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VR\Desktop\New_Projects\Products\Supporting Documents\Product-7\"/>
    </mc:Choice>
  </mc:AlternateContent>
  <xr:revisionPtr revIDLastSave="0" documentId="13_ncr:1_{5BA1EA03-1D08-4BA3-9835-E8A7E44447FF}" xr6:coauthVersionLast="47" xr6:coauthVersionMax="47" xr10:uidLastSave="{00000000-0000-0000-0000-000000000000}"/>
  <bookViews>
    <workbookView xWindow="-108" yWindow="-108" windowWidth="23256" windowHeight="12456" firstSheet="1" activeTab="1" xr2:uid="{00000000-000D-0000-FFFF-FFFF00000000}"/>
  </bookViews>
  <sheets>
    <sheet name="ADCL Codes Updated" sheetId="47" state="hidden" r:id="rId1"/>
    <sheet name="Profiles Tracker" sheetId="1" r:id="rId2"/>
  </sheets>
  <definedNames>
    <definedName name="_xlnm._FilterDatabase" localSheetId="0" hidden="1">'ADCL Codes Updated'!$A$1:$AM$118</definedName>
    <definedName name="_xlnm._FilterDatabase" localSheetId="1" hidden="1">'Profiles Tracker'!$A$1:$O$6850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847" i="1" l="1"/>
  <c r="A6848" i="1"/>
  <c r="A6849" i="1"/>
  <c r="A6850" i="1"/>
  <c r="A6846" i="1"/>
  <c r="A6844" i="1"/>
  <c r="A6845" i="1"/>
  <c r="A6841" i="1"/>
  <c r="A6842" i="1"/>
  <c r="A6843" i="1"/>
  <c r="A6834" i="1"/>
  <c r="A6835" i="1"/>
  <c r="A6836" i="1"/>
  <c r="A6837" i="1"/>
  <c r="A6838" i="1"/>
  <c r="A6839" i="1"/>
  <c r="A6840" i="1"/>
  <c r="A6831" i="1"/>
  <c r="A6832" i="1"/>
  <c r="A6833" i="1"/>
  <c r="A6821" i="1"/>
  <c r="A6822" i="1"/>
  <c r="A6823" i="1"/>
  <c r="A6824" i="1"/>
  <c r="A6825" i="1"/>
  <c r="A6826" i="1"/>
  <c r="A6827" i="1"/>
  <c r="A6828" i="1"/>
  <c r="A6829" i="1"/>
  <c r="A6830" i="1"/>
  <c r="A6819" i="1"/>
  <c r="A6820" i="1"/>
  <c r="A6818" i="1"/>
  <c r="A6808" i="1"/>
  <c r="A6809" i="1"/>
  <c r="A6810" i="1"/>
  <c r="A6811" i="1"/>
  <c r="A6812" i="1"/>
  <c r="A6813" i="1"/>
  <c r="A6814" i="1"/>
  <c r="A6815" i="1"/>
  <c r="A6816" i="1"/>
  <c r="A6817" i="1"/>
  <c r="A6806" i="1"/>
  <c r="A6807" i="1"/>
  <c r="A6804" i="1"/>
  <c r="A6805" i="1"/>
  <c r="A6800" i="1"/>
  <c r="A6801" i="1"/>
  <c r="A6802" i="1"/>
  <c r="A6803" i="1"/>
  <c r="A6796" i="1"/>
  <c r="A6797" i="1"/>
  <c r="A6798" i="1"/>
  <c r="A6799" i="1"/>
  <c r="A6788" i="1"/>
  <c r="A6789" i="1"/>
  <c r="A6790" i="1"/>
  <c r="A6791" i="1"/>
  <c r="A6792" i="1"/>
  <c r="A6793" i="1"/>
  <c r="A6794" i="1"/>
  <c r="A6795" i="1"/>
  <c r="A6783" i="1"/>
  <c r="A6784" i="1"/>
  <c r="A6785" i="1"/>
  <c r="A6786" i="1"/>
  <c r="A6787" i="1"/>
  <c r="A6778" i="1"/>
  <c r="A6779" i="1"/>
  <c r="A6780" i="1"/>
  <c r="A6781" i="1"/>
  <c r="A6782" i="1"/>
  <c r="A6768" i="1"/>
  <c r="A6769" i="1"/>
  <c r="A6770" i="1"/>
  <c r="A6771" i="1"/>
  <c r="A6772" i="1"/>
  <c r="A6773" i="1"/>
  <c r="A6774" i="1"/>
  <c r="A6775" i="1"/>
  <c r="A6776" i="1"/>
  <c r="A6777" i="1"/>
  <c r="A6766" i="1"/>
  <c r="A6767" i="1"/>
  <c r="A6764" i="1"/>
  <c r="A6765" i="1"/>
  <c r="A6757" i="1"/>
  <c r="A6758" i="1"/>
  <c r="A6759" i="1"/>
  <c r="A6760" i="1"/>
  <c r="A6761" i="1"/>
  <c r="A6762" i="1"/>
  <c r="A6763" i="1"/>
  <c r="A6753" i="1"/>
  <c r="A6754" i="1"/>
  <c r="A6755" i="1"/>
  <c r="A6756" i="1"/>
  <c r="A6750" i="1"/>
  <c r="A6751" i="1"/>
  <c r="A6752" i="1"/>
  <c r="A6747" i="1"/>
  <c r="A6748" i="1"/>
  <c r="A6749" i="1"/>
  <c r="A6745" i="1"/>
  <c r="A6746" i="1"/>
  <c r="A6740" i="1"/>
  <c r="A6741" i="1"/>
  <c r="A6742" i="1"/>
  <c r="A6743" i="1"/>
  <c r="A6744" i="1"/>
  <c r="A6738" i="1"/>
  <c r="A6739" i="1"/>
  <c r="A6733" i="1"/>
  <c r="A6734" i="1"/>
  <c r="A6735" i="1"/>
  <c r="A6736" i="1"/>
  <c r="A6737" i="1"/>
  <c r="A6731" i="1"/>
  <c r="A6732" i="1"/>
  <c r="A6730" i="1"/>
  <c r="A6724" i="1"/>
  <c r="A6725" i="1"/>
  <c r="A6726" i="1"/>
  <c r="A6727" i="1"/>
  <c r="A6728" i="1"/>
  <c r="A6729" i="1"/>
  <c r="A6719" i="1"/>
  <c r="A6720" i="1"/>
  <c r="A6721" i="1"/>
  <c r="A6722" i="1"/>
  <c r="A6723" i="1"/>
  <c r="A6712" i="1"/>
  <c r="A6713" i="1"/>
  <c r="A6714" i="1"/>
  <c r="A6715" i="1"/>
  <c r="A6716" i="1"/>
  <c r="A6717" i="1"/>
  <c r="A6718" i="1"/>
  <c r="A6701" i="1"/>
  <c r="A6702" i="1"/>
  <c r="A6703" i="1"/>
  <c r="A6704" i="1"/>
  <c r="A6705" i="1"/>
  <c r="A6706" i="1"/>
  <c r="A6707" i="1"/>
  <c r="A6708" i="1"/>
  <c r="A6709" i="1"/>
  <c r="A6710" i="1"/>
  <c r="A6711" i="1"/>
  <c r="A6698" i="1"/>
  <c r="A6699" i="1"/>
  <c r="A6700" i="1"/>
  <c r="A6694" i="1"/>
  <c r="A6695" i="1"/>
  <c r="A6696" i="1"/>
  <c r="A6697" i="1"/>
  <c r="A6685" i="1"/>
  <c r="A6686" i="1"/>
  <c r="A6687" i="1"/>
  <c r="A6688" i="1"/>
  <c r="A6689" i="1"/>
  <c r="A6690" i="1"/>
  <c r="A6691" i="1"/>
  <c r="A6692" i="1"/>
  <c r="A6693" i="1"/>
  <c r="A6684" i="1"/>
  <c r="A6683" i="1"/>
  <c r="A6682" i="1"/>
  <c r="A6677" i="1"/>
  <c r="A6678" i="1"/>
  <c r="A6679" i="1"/>
  <c r="A6680" i="1"/>
  <c r="A6681" i="1"/>
  <c r="A6676" i="1"/>
  <c r="A6664" i="1"/>
  <c r="A6665" i="1"/>
  <c r="A6666" i="1"/>
  <c r="A6667" i="1"/>
  <c r="A6668" i="1"/>
  <c r="A6669" i="1"/>
  <c r="A6670" i="1"/>
  <c r="A6671" i="1"/>
  <c r="A6672" i="1"/>
  <c r="A6673" i="1"/>
  <c r="A6674" i="1"/>
  <c r="A6675" i="1"/>
  <c r="A6663" i="1"/>
  <c r="A6662" i="1"/>
  <c r="A6657" i="1"/>
  <c r="A6658" i="1"/>
  <c r="A6659" i="1"/>
  <c r="A6660" i="1"/>
  <c r="A6661" i="1"/>
  <c r="A6655" i="1"/>
  <c r="A6656" i="1"/>
  <c r="A6651" i="1"/>
  <c r="A6652" i="1"/>
  <c r="A6653" i="1"/>
  <c r="A6654" i="1"/>
  <c r="A6637" i="1"/>
  <c r="A6638" i="1"/>
  <c r="A6639" i="1"/>
  <c r="A6640" i="1"/>
  <c r="A6641" i="1"/>
  <c r="A6642" i="1"/>
  <c r="A6643" i="1"/>
  <c r="A6644" i="1"/>
  <c r="A6645" i="1"/>
  <c r="A6646" i="1"/>
  <c r="A6647" i="1"/>
  <c r="A6648" i="1"/>
  <c r="A6649" i="1"/>
  <c r="A6650" i="1"/>
  <c r="A6632" i="1"/>
  <c r="A6633" i="1"/>
  <c r="A6634" i="1"/>
  <c r="A6635" i="1"/>
  <c r="A6636" i="1"/>
  <c r="A6631" i="1"/>
  <c r="A6626" i="1"/>
  <c r="A6627" i="1"/>
  <c r="A6628" i="1"/>
  <c r="A6629" i="1"/>
  <c r="A6630" i="1"/>
  <c r="A6623" i="1"/>
  <c r="A6624" i="1"/>
  <c r="A6625" i="1"/>
  <c r="A6621" i="1"/>
  <c r="A6622" i="1"/>
  <c r="A6620" i="1"/>
  <c r="A6619" i="1"/>
  <c r="A6618" i="1"/>
  <c r="A6606" i="1"/>
  <c r="A6607" i="1"/>
  <c r="A6608" i="1"/>
  <c r="A6609" i="1"/>
  <c r="A6610" i="1"/>
  <c r="A6611" i="1"/>
  <c r="A6612" i="1"/>
  <c r="A6613" i="1"/>
  <c r="A6614" i="1"/>
  <c r="A6615" i="1"/>
  <c r="A6616" i="1"/>
  <c r="A6617" i="1"/>
  <c r="A6603" i="1"/>
  <c r="A6604" i="1"/>
  <c r="A6605" i="1"/>
  <c r="A6600" i="1"/>
  <c r="A6601" i="1"/>
  <c r="A6602" i="1"/>
  <c r="A6599" i="1"/>
  <c r="A6597" i="1"/>
  <c r="A6598" i="1"/>
  <c r="A6588" i="1"/>
  <c r="A6589" i="1"/>
  <c r="A6590" i="1"/>
  <c r="A6591" i="1"/>
  <c r="A6592" i="1"/>
  <c r="A6593" i="1"/>
  <c r="A6594" i="1"/>
  <c r="A6595" i="1"/>
  <c r="A6596" i="1"/>
  <c r="A6586" i="1"/>
  <c r="A6587" i="1"/>
  <c r="A6585" i="1"/>
  <c r="A6584" i="1"/>
  <c r="A6582" i="1"/>
  <c r="A6583" i="1"/>
  <c r="A6581" i="1"/>
  <c r="A6578" i="1"/>
  <c r="A6579" i="1"/>
  <c r="A6580" i="1"/>
  <c r="A6576" i="1"/>
  <c r="A6577" i="1"/>
  <c r="A6575" i="1"/>
  <c r="A6573" i="1"/>
  <c r="A6574" i="1"/>
  <c r="A6571" i="1"/>
  <c r="A6572" i="1"/>
  <c r="A6570" i="1"/>
  <c r="A6569" i="1"/>
  <c r="A6565" i="1"/>
  <c r="A6566" i="1"/>
  <c r="A6567" i="1"/>
  <c r="A6568" i="1"/>
  <c r="A6559" i="1"/>
  <c r="A6560" i="1"/>
  <c r="A6561" i="1"/>
  <c r="A6562" i="1"/>
  <c r="A6563" i="1"/>
  <c r="A6564" i="1"/>
  <c r="A6558" i="1"/>
  <c r="A6557" i="1"/>
  <c r="A6554" i="1"/>
  <c r="A6555" i="1"/>
  <c r="A6556" i="1"/>
  <c r="A6553" i="1"/>
  <c r="A6546" i="1"/>
  <c r="A6547" i="1"/>
  <c r="A6548" i="1"/>
  <c r="A6549" i="1"/>
  <c r="A6550" i="1"/>
  <c r="A6551" i="1"/>
  <c r="A6552" i="1"/>
  <c r="A6544" i="1"/>
  <c r="A6545" i="1"/>
  <c r="A6538" i="1"/>
  <c r="A6539" i="1"/>
  <c r="A6540" i="1"/>
  <c r="A6541" i="1"/>
  <c r="A6542" i="1"/>
  <c r="A6543" i="1"/>
  <c r="A6537" i="1"/>
  <c r="A6532" i="1"/>
  <c r="A6533" i="1"/>
  <c r="A6534" i="1"/>
  <c r="A6535" i="1"/>
  <c r="A6536" i="1"/>
  <c r="A6531" i="1"/>
  <c r="A6530" i="1"/>
  <c r="A6523" i="1"/>
  <c r="A6524" i="1"/>
  <c r="A6525" i="1"/>
  <c r="A6526" i="1"/>
  <c r="A6527" i="1"/>
  <c r="A6528" i="1"/>
  <c r="A6529" i="1"/>
  <c r="A6522" i="1"/>
  <c r="A6521" i="1"/>
  <c r="A6515" i="1"/>
  <c r="A6516" i="1"/>
  <c r="A6517" i="1"/>
  <c r="A6518" i="1"/>
  <c r="A6519" i="1"/>
  <c r="A6520" i="1"/>
  <c r="A6514" i="1"/>
  <c r="A6513" i="1"/>
  <c r="A6512" i="1"/>
  <c r="A6508" i="1"/>
  <c r="A6509" i="1"/>
  <c r="A6510" i="1"/>
  <c r="A6511" i="1"/>
  <c r="A6501" i="1"/>
  <c r="A6502" i="1"/>
  <c r="A6503" i="1"/>
  <c r="A6504" i="1"/>
  <c r="A6505" i="1"/>
  <c r="A6506" i="1"/>
  <c r="A6507" i="1"/>
  <c r="A6499" i="1"/>
  <c r="A6500" i="1"/>
  <c r="A6495" i="1"/>
  <c r="A6496" i="1"/>
  <c r="A6497" i="1"/>
  <c r="A6498" i="1"/>
  <c r="A6492" i="1"/>
  <c r="A6493" i="1"/>
  <c r="A6494" i="1"/>
  <c r="A6490" i="1"/>
  <c r="A6491" i="1"/>
  <c r="A6487" i="1"/>
  <c r="A6488" i="1"/>
  <c r="A6489" i="1"/>
  <c r="A6483" i="1"/>
  <c r="A6484" i="1"/>
  <c r="A6485" i="1"/>
  <c r="A6486" i="1"/>
  <c r="A6482" i="1"/>
  <c r="A6481" i="1"/>
  <c r="A6477" i="1"/>
  <c r="A6478" i="1"/>
  <c r="A6479" i="1"/>
  <c r="A6480" i="1"/>
  <c r="A6476" i="1"/>
  <c r="A6475" i="1"/>
  <c r="A6471" i="1"/>
  <c r="A6472" i="1"/>
  <c r="A6473" i="1"/>
  <c r="A6474" i="1"/>
  <c r="A6470" i="1"/>
  <c r="A6468" i="1"/>
  <c r="A6469" i="1"/>
  <c r="A6466" i="1"/>
  <c r="A6467" i="1"/>
  <c r="A6465" i="1"/>
  <c r="A6464" i="1"/>
  <c r="A6463" i="1"/>
  <c r="A6454" i="1"/>
  <c r="A6455" i="1"/>
  <c r="A6456" i="1"/>
  <c r="A6457" i="1"/>
  <c r="A6458" i="1"/>
  <c r="A6459" i="1"/>
  <c r="A6460" i="1"/>
  <c r="A6461" i="1"/>
  <c r="A6462" i="1"/>
  <c r="A6453" i="1"/>
  <c r="A6447" i="1"/>
  <c r="A6448" i="1"/>
  <c r="A6449" i="1"/>
  <c r="A6450" i="1"/>
  <c r="A6451" i="1"/>
  <c r="A6452" i="1"/>
  <c r="A6445" i="1"/>
  <c r="A6446" i="1"/>
  <c r="A6443" i="1"/>
  <c r="A6444" i="1"/>
  <c r="A6440" i="1"/>
  <c r="A6441" i="1"/>
  <c r="A6442" i="1"/>
  <c r="A6432" i="1"/>
  <c r="A6433" i="1"/>
  <c r="A6434" i="1"/>
  <c r="A6435" i="1"/>
  <c r="A6436" i="1"/>
  <c r="A6437" i="1"/>
  <c r="A6438" i="1"/>
  <c r="A6439" i="1"/>
  <c r="A6430" i="1"/>
  <c r="A6431" i="1"/>
  <c r="A6429" i="1"/>
  <c r="A6421" i="1"/>
  <c r="A6422" i="1"/>
  <c r="A6423" i="1"/>
  <c r="A6424" i="1"/>
  <c r="A6425" i="1"/>
  <c r="A6426" i="1"/>
  <c r="A6427" i="1"/>
  <c r="A6428" i="1"/>
  <c r="A6413" i="1"/>
  <c r="A6414" i="1"/>
  <c r="A6415" i="1"/>
  <c r="A6416" i="1"/>
  <c r="A6417" i="1"/>
  <c r="A6418" i="1"/>
  <c r="A6419" i="1"/>
  <c r="A6420" i="1"/>
  <c r="A6410" i="1"/>
  <c r="A6411" i="1"/>
  <c r="A6412" i="1"/>
  <c r="A6406" i="1"/>
  <c r="A6407" i="1"/>
  <c r="A6408" i="1"/>
  <c r="A6409" i="1"/>
  <c r="A6405" i="1"/>
  <c r="A6400" i="1"/>
  <c r="A6401" i="1"/>
  <c r="A6402" i="1"/>
  <c r="A6403" i="1"/>
  <c r="A6404" i="1"/>
  <c r="A6399" i="1"/>
  <c r="A6395" i="1"/>
  <c r="A6396" i="1"/>
  <c r="A6397" i="1"/>
  <c r="A6398" i="1"/>
  <c r="A6394" i="1"/>
  <c r="A6393" i="1"/>
  <c r="A6390" i="1"/>
  <c r="A6391" i="1"/>
  <c r="A6392" i="1"/>
  <c r="A6385" i="1"/>
  <c r="A6386" i="1"/>
  <c r="A6387" i="1"/>
  <c r="A6388" i="1"/>
  <c r="A6389" i="1"/>
  <c r="A6383" i="1"/>
  <c r="A6384" i="1"/>
  <c r="A6381" i="1"/>
  <c r="A6382" i="1"/>
  <c r="A6380" i="1"/>
  <c r="A6379" i="1"/>
  <c r="A6378" i="1"/>
  <c r="A6377" i="1"/>
  <c r="A6368" i="1"/>
  <c r="A6369" i="1"/>
  <c r="A6370" i="1"/>
  <c r="A6371" i="1"/>
  <c r="A6372" i="1"/>
  <c r="A6373" i="1"/>
  <c r="A6374" i="1"/>
  <c r="A6375" i="1"/>
  <c r="A6376" i="1"/>
  <c r="A6367" i="1"/>
  <c r="A6365" i="1"/>
  <c r="A6366" i="1"/>
  <c r="A6363" i="1"/>
  <c r="A6364" i="1"/>
  <c r="A6362" i="1"/>
  <c r="A6360" i="1"/>
  <c r="A6361" i="1"/>
  <c r="A6359" i="1"/>
  <c r="A6357" i="1"/>
  <c r="A6358" i="1"/>
  <c r="A6356" i="1"/>
  <c r="A6352" i="1"/>
  <c r="A6353" i="1"/>
  <c r="A6354" i="1"/>
  <c r="A6355" i="1"/>
  <c r="A6351" i="1"/>
  <c r="A6350" i="1"/>
  <c r="A6347" i="1"/>
  <c r="A6348" i="1"/>
  <c r="A6349" i="1"/>
  <c r="A6346" i="1"/>
  <c r="A6345" i="1"/>
  <c r="A6342" i="1"/>
  <c r="A6343" i="1"/>
  <c r="A6344" i="1"/>
  <c r="A6341" i="1"/>
  <c r="A6326" i="1"/>
  <c r="A6327" i="1"/>
  <c r="A6328" i="1"/>
  <c r="A6329" i="1"/>
  <c r="A6330" i="1"/>
  <c r="A6331" i="1"/>
  <c r="A6332" i="1"/>
  <c r="A6333" i="1"/>
  <c r="A6334" i="1"/>
  <c r="A6335" i="1"/>
  <c r="A6336" i="1"/>
  <c r="A6337" i="1"/>
  <c r="A6338" i="1"/>
  <c r="A6339" i="1"/>
  <c r="A6340" i="1"/>
  <c r="A6325" i="1"/>
  <c r="A6322" i="1"/>
  <c r="A6323" i="1"/>
  <c r="A6324" i="1"/>
  <c r="A6319" i="1"/>
  <c r="A6320" i="1"/>
  <c r="A6321" i="1"/>
  <c r="A6318" i="1"/>
  <c r="A6315" i="1"/>
  <c r="A6316" i="1"/>
  <c r="A6317" i="1"/>
  <c r="A6307" i="1"/>
  <c r="A6308" i="1"/>
  <c r="A6309" i="1"/>
  <c r="A6310" i="1"/>
  <c r="A6311" i="1"/>
  <c r="A6312" i="1"/>
  <c r="A6313" i="1"/>
  <c r="A6314" i="1"/>
  <c r="A6306" i="1"/>
  <c r="A6305" i="1"/>
  <c r="A6303" i="1"/>
  <c r="A6304" i="1"/>
  <c r="A6301" i="1"/>
  <c r="A6302" i="1"/>
  <c r="A6299" i="1"/>
  <c r="A6300" i="1"/>
  <c r="A4960" i="1"/>
  <c r="A6278" i="1"/>
  <c r="A6279" i="1"/>
  <c r="A6280" i="1"/>
  <c r="A6281" i="1"/>
  <c r="A6282" i="1"/>
  <c r="A6283" i="1"/>
  <c r="A6284" i="1"/>
  <c r="A6285" i="1"/>
  <c r="A6286" i="1"/>
  <c r="A6287" i="1"/>
  <c r="A6288" i="1"/>
  <c r="A6289" i="1"/>
  <c r="A6290" i="1"/>
  <c r="A6291" i="1"/>
  <c r="A6292" i="1"/>
  <c r="A6293" i="1"/>
  <c r="A6294" i="1"/>
  <c r="A6295" i="1"/>
  <c r="A6296" i="1"/>
  <c r="A6297" i="1"/>
  <c r="A6298" i="1"/>
  <c r="A6272" i="1"/>
  <c r="A6273" i="1"/>
  <c r="A6274" i="1"/>
  <c r="A6275" i="1"/>
  <c r="A6276" i="1"/>
  <c r="A6277" i="1"/>
  <c r="A6268" i="1"/>
  <c r="A6269" i="1"/>
  <c r="A6270" i="1"/>
  <c r="A6271" i="1"/>
  <c r="A6267" i="1"/>
  <c r="A6266" i="1"/>
  <c r="A6264" i="1"/>
  <c r="A6265" i="1"/>
  <c r="A6260" i="1"/>
  <c r="A6261" i="1"/>
  <c r="A6262" i="1"/>
  <c r="A6263" i="1"/>
  <c r="A6259" i="1"/>
  <c r="A6256" i="1"/>
  <c r="A6257" i="1"/>
  <c r="A6258" i="1"/>
  <c r="A6251" i="1"/>
  <c r="A6252" i="1"/>
  <c r="A6253" i="1"/>
  <c r="A6254" i="1"/>
  <c r="A6255" i="1"/>
  <c r="A6248" i="1"/>
  <c r="A6249" i="1"/>
  <c r="A6250" i="1"/>
  <c r="A6243" i="1"/>
  <c r="A6244" i="1"/>
  <c r="A6245" i="1"/>
  <c r="A6246" i="1"/>
  <c r="A6247" i="1"/>
  <c r="A6238" i="1"/>
  <c r="A6239" i="1"/>
  <c r="A6240" i="1"/>
  <c r="A6241" i="1"/>
  <c r="A6242" i="1"/>
  <c r="A6237" i="1"/>
  <c r="A6232" i="1"/>
  <c r="A6233" i="1"/>
  <c r="A6234" i="1"/>
  <c r="A6235" i="1"/>
  <c r="A6236" i="1"/>
  <c r="A6227" i="1"/>
  <c r="A6228" i="1"/>
  <c r="A6229" i="1"/>
  <c r="A6230" i="1"/>
  <c r="A6231" i="1"/>
  <c r="A6224" i="1"/>
  <c r="A6225" i="1"/>
  <c r="A6226" i="1"/>
  <c r="A6220" i="1"/>
  <c r="A6221" i="1"/>
  <c r="A6222" i="1"/>
  <c r="A6223" i="1"/>
  <c r="A6219" i="1"/>
  <c r="A6212" i="1"/>
  <c r="A6213" i="1"/>
  <c r="A6214" i="1"/>
  <c r="A6215" i="1"/>
  <c r="A6216" i="1"/>
  <c r="A6217" i="1"/>
  <c r="A6218" i="1"/>
  <c r="A6202" i="1"/>
  <c r="A6203" i="1"/>
  <c r="A6204" i="1"/>
  <c r="A6205" i="1"/>
  <c r="A6206" i="1"/>
  <c r="A6207" i="1"/>
  <c r="A6208" i="1"/>
  <c r="A6209" i="1"/>
  <c r="A6210" i="1"/>
  <c r="A6211" i="1"/>
  <c r="A6199" i="1"/>
  <c r="A6200" i="1"/>
  <c r="A6201" i="1"/>
  <c r="A6198" i="1"/>
  <c r="A6196" i="1"/>
  <c r="A6197" i="1"/>
  <c r="A6194" i="1"/>
  <c r="A6195" i="1"/>
  <c r="A6192" i="1"/>
  <c r="A6193" i="1"/>
  <c r="A6186" i="1"/>
  <c r="A6187" i="1"/>
  <c r="A6188" i="1"/>
  <c r="A6189" i="1"/>
  <c r="A6190" i="1"/>
  <c r="A6191" i="1"/>
  <c r="A6183" i="1"/>
  <c r="A6184" i="1"/>
  <c r="A6185" i="1"/>
  <c r="A6181" i="1"/>
  <c r="A6182" i="1"/>
  <c r="A6176" i="1"/>
  <c r="A6177" i="1"/>
  <c r="A6178" i="1"/>
  <c r="A6179" i="1"/>
  <c r="A6180" i="1"/>
  <c r="A6174" i="1"/>
  <c r="A6175" i="1"/>
  <c r="A6169" i="1"/>
  <c r="A6170" i="1"/>
  <c r="A6171" i="1"/>
  <c r="A6172" i="1"/>
  <c r="A6173" i="1"/>
  <c r="A6165" i="1"/>
  <c r="A6166" i="1"/>
  <c r="A6167" i="1"/>
  <c r="A6168" i="1"/>
  <c r="A6147" i="1"/>
  <c r="A6148" i="1"/>
  <c r="A6149" i="1"/>
  <c r="A6150" i="1"/>
  <c r="A6151" i="1"/>
  <c r="A6152" i="1"/>
  <c r="A6153" i="1"/>
  <c r="A6154" i="1"/>
  <c r="A6155" i="1"/>
  <c r="A6156" i="1"/>
  <c r="A6157" i="1"/>
  <c r="A6158" i="1"/>
  <c r="A6159" i="1"/>
  <c r="A6160" i="1"/>
  <c r="A6161" i="1"/>
  <c r="A6162" i="1"/>
  <c r="A6163" i="1"/>
  <c r="A6164" i="1"/>
  <c r="A6146" i="1"/>
  <c r="A6140" i="1"/>
  <c r="A6141" i="1"/>
  <c r="A6142" i="1"/>
  <c r="A6143" i="1"/>
  <c r="A6144" i="1"/>
  <c r="A6145" i="1"/>
  <c r="A6136" i="1"/>
  <c r="A6137" i="1"/>
  <c r="A6138" i="1"/>
  <c r="A6139" i="1"/>
  <c r="A6129" i="1"/>
  <c r="A6130" i="1"/>
  <c r="A6131" i="1"/>
  <c r="A6132" i="1"/>
  <c r="A6133" i="1"/>
  <c r="A6134" i="1"/>
  <c r="A6135" i="1"/>
  <c r="A6125" i="1"/>
  <c r="A6126" i="1"/>
  <c r="A6127" i="1"/>
  <c r="A6128" i="1"/>
  <c r="A6119" i="1"/>
  <c r="A6120" i="1"/>
  <c r="A6121" i="1"/>
  <c r="A6122" i="1"/>
  <c r="A6123" i="1"/>
  <c r="A6124" i="1"/>
  <c r="A6116" i="1"/>
  <c r="A6117" i="1"/>
  <c r="A6118" i="1"/>
  <c r="A6115" i="1"/>
  <c r="A6106" i="1"/>
  <c r="A6107" i="1"/>
  <c r="A6108" i="1"/>
  <c r="A6109" i="1"/>
  <c r="A6110" i="1"/>
  <c r="A6111" i="1"/>
  <c r="A6112" i="1"/>
  <c r="A6113" i="1"/>
  <c r="A6114" i="1"/>
  <c r="A6103" i="1"/>
  <c r="A6104" i="1"/>
  <c r="A6105" i="1"/>
  <c r="A6097" i="1"/>
  <c r="A6098" i="1"/>
  <c r="A6099" i="1"/>
  <c r="A6100" i="1"/>
  <c r="A6101" i="1"/>
  <c r="A6102" i="1"/>
  <c r="A6090" i="1"/>
  <c r="A6091" i="1"/>
  <c r="A6092" i="1"/>
  <c r="A6093" i="1"/>
  <c r="A6094" i="1"/>
  <c r="A6095" i="1"/>
  <c r="A6096" i="1"/>
  <c r="A6088" i="1"/>
  <c r="A6089" i="1"/>
  <c r="A6086" i="1"/>
  <c r="A6087" i="1"/>
  <c r="A6082" i="1"/>
  <c r="A6083" i="1"/>
  <c r="A6084" i="1"/>
  <c r="A6085" i="1"/>
  <c r="A608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01" i="1"/>
  <c r="A5999" i="1"/>
  <c r="A6000" i="1"/>
  <c r="A5991" i="1"/>
  <c r="A5992" i="1"/>
  <c r="A5993" i="1"/>
  <c r="A5994" i="1"/>
  <c r="A5995" i="1"/>
  <c r="A5996" i="1"/>
  <c r="A5997" i="1"/>
  <c r="A5998" i="1"/>
  <c r="A5988" i="1"/>
  <c r="A5989" i="1"/>
  <c r="A5990" i="1"/>
  <c r="A5987" i="1"/>
  <c r="A5982" i="1"/>
  <c r="A5983" i="1"/>
  <c r="A5984" i="1"/>
  <c r="A5985" i="1"/>
  <c r="A5986" i="1"/>
  <c r="A5979" i="1"/>
  <c r="A5980" i="1"/>
  <c r="A5981" i="1"/>
  <c r="A5978" i="1"/>
  <c r="A5977" i="1"/>
  <c r="A5976" i="1"/>
  <c r="A5972" i="1"/>
  <c r="A5973" i="1"/>
  <c r="A5974" i="1"/>
  <c r="A5975" i="1"/>
  <c r="A5970" i="1"/>
  <c r="A5971" i="1"/>
  <c r="A5963" i="1"/>
  <c r="A5964" i="1"/>
  <c r="A5965" i="1"/>
  <c r="A5966" i="1"/>
  <c r="A5967" i="1"/>
  <c r="A5968" i="1"/>
  <c r="A5969" i="1"/>
  <c r="A5962" i="1"/>
  <c r="A5961" i="1"/>
  <c r="A5960" i="1"/>
  <c r="A5959" i="1"/>
  <c r="A5956" i="1"/>
  <c r="A5957" i="1"/>
  <c r="A5958" i="1"/>
  <c r="A5945" i="1"/>
  <c r="A5946" i="1"/>
  <c r="A5947" i="1"/>
  <c r="A5948" i="1"/>
  <c r="A5949" i="1"/>
  <c r="A5950" i="1"/>
  <c r="A5951" i="1"/>
  <c r="A5952" i="1"/>
  <c r="A5953" i="1"/>
  <c r="A5954" i="1"/>
  <c r="A5955" i="1"/>
  <c r="A5944" i="1"/>
  <c r="A5943" i="1"/>
  <c r="A5941" i="1"/>
  <c r="A5942" i="1"/>
  <c r="A5931" i="1"/>
  <c r="A5932" i="1"/>
  <c r="A5933" i="1"/>
  <c r="A5934" i="1"/>
  <c r="A5935" i="1"/>
  <c r="A5936" i="1"/>
  <c r="A5937" i="1"/>
  <c r="A5938" i="1"/>
  <c r="A5939" i="1"/>
  <c r="A5940" i="1"/>
  <c r="A5925" i="1"/>
  <c r="A5926" i="1"/>
  <c r="A5927" i="1"/>
  <c r="A5928" i="1"/>
  <c r="A5929" i="1"/>
  <c r="A5930" i="1"/>
  <c r="A5922" i="1"/>
  <c r="A5923" i="1"/>
  <c r="A5924" i="1"/>
  <c r="A5919" i="1"/>
  <c r="A5920" i="1"/>
  <c r="A5921" i="1"/>
  <c r="A5918" i="1"/>
  <c r="A5915" i="1"/>
  <c r="A5916" i="1"/>
  <c r="A5917" i="1"/>
  <c r="A5913" i="1"/>
  <c r="A5914" i="1"/>
  <c r="A5910" i="1"/>
  <c r="A5911" i="1"/>
  <c r="A5912" i="1"/>
  <c r="A5907" i="1"/>
  <c r="A5908" i="1"/>
  <c r="A5909" i="1"/>
  <c r="A5904" i="1"/>
  <c r="A5905" i="1"/>
  <c r="A5906" i="1"/>
  <c r="A5900" i="1"/>
  <c r="A5901" i="1"/>
  <c r="A5902" i="1"/>
  <c r="A5903" i="1"/>
  <c r="A5899" i="1"/>
  <c r="A5888" i="1"/>
  <c r="A5889" i="1"/>
  <c r="A5890" i="1"/>
  <c r="A5891" i="1"/>
  <c r="A5892" i="1"/>
  <c r="A5893" i="1"/>
  <c r="A5894" i="1"/>
  <c r="A5895" i="1"/>
  <c r="A5896" i="1"/>
  <c r="A5897" i="1"/>
  <c r="A5898" i="1"/>
  <c r="A5884" i="1"/>
  <c r="A5885" i="1"/>
  <c r="A5886" i="1"/>
  <c r="A5887" i="1"/>
  <c r="A5879" i="1"/>
  <c r="A5880" i="1"/>
  <c r="A5881" i="1"/>
  <c r="A5882" i="1"/>
  <c r="A5883" i="1"/>
  <c r="A5878" i="1"/>
  <c r="A5876" i="1"/>
  <c r="A5877" i="1"/>
  <c r="A5875" i="1"/>
  <c r="A5862" i="1"/>
  <c r="A5863" i="1"/>
  <c r="A5864" i="1"/>
  <c r="A5865" i="1"/>
  <c r="A5866" i="1"/>
  <c r="A5867" i="1"/>
  <c r="A5868" i="1"/>
  <c r="A5869" i="1"/>
  <c r="A5870" i="1"/>
  <c r="A5871" i="1"/>
  <c r="A5872" i="1"/>
  <c r="A5873" i="1"/>
  <c r="A5874" i="1"/>
  <c r="A5859" i="1"/>
  <c r="A5860" i="1"/>
  <c r="A5861" i="1"/>
  <c r="A5857" i="1"/>
  <c r="A5858" i="1"/>
  <c r="A5854" i="1"/>
  <c r="A5855" i="1"/>
  <c r="A5856" i="1"/>
  <c r="A5851" i="1"/>
  <c r="A5852" i="1"/>
  <c r="A5853" i="1"/>
  <c r="A5850" i="1"/>
  <c r="A5848" i="1"/>
  <c r="A5849" i="1"/>
  <c r="A5845" i="1"/>
  <c r="A5846" i="1"/>
  <c r="A5847" i="1"/>
  <c r="A5842" i="1"/>
  <c r="A5843" i="1"/>
  <c r="A5844" i="1"/>
  <c r="A5836" i="1"/>
  <c r="A5837" i="1"/>
  <c r="A5838" i="1"/>
  <c r="A5839" i="1"/>
  <c r="A5840" i="1"/>
  <c r="A5841" i="1"/>
  <c r="A5832" i="1"/>
  <c r="A5833" i="1"/>
  <c r="A5834" i="1"/>
  <c r="A5835" i="1"/>
  <c r="A5828" i="1"/>
  <c r="A5829" i="1"/>
  <c r="A5830" i="1"/>
  <c r="A5831" i="1"/>
  <c r="A5825" i="1"/>
  <c r="A5826" i="1"/>
  <c r="A5827" i="1"/>
  <c r="A5823" i="1"/>
  <c r="A5824" i="1"/>
  <c r="A5819" i="1"/>
  <c r="A5820" i="1"/>
  <c r="A5821" i="1"/>
  <c r="A5822" i="1"/>
  <c r="A5814" i="1"/>
  <c r="A5815" i="1"/>
  <c r="A5816" i="1"/>
  <c r="A5817" i="1"/>
  <c r="A5818" i="1"/>
  <c r="A5811" i="1"/>
  <c r="A5812" i="1"/>
  <c r="A5813" i="1"/>
  <c r="A5809" i="1"/>
  <c r="A5810" i="1"/>
  <c r="A5805" i="1"/>
  <c r="A5806" i="1"/>
  <c r="A5807" i="1"/>
  <c r="A5808" i="1"/>
  <c r="A5803" i="1"/>
  <c r="A5804" i="1"/>
  <c r="A5800" i="1"/>
  <c r="A5801" i="1"/>
  <c r="A5802" i="1"/>
  <c r="A5798" i="1"/>
  <c r="A5799" i="1"/>
  <c r="A5797" i="1"/>
  <c r="A5796" i="1"/>
  <c r="A5791" i="1"/>
  <c r="A5792" i="1"/>
  <c r="A5793" i="1"/>
  <c r="A5794" i="1"/>
  <c r="A5795" i="1"/>
  <c r="A5788" i="1"/>
  <c r="A5789" i="1"/>
  <c r="A5790" i="1"/>
  <c r="A5783" i="1"/>
  <c r="A5784" i="1"/>
  <c r="A5785" i="1"/>
  <c r="A5786" i="1"/>
  <c r="A5787" i="1"/>
  <c r="A5777" i="1"/>
  <c r="A5778" i="1"/>
  <c r="A5779" i="1"/>
  <c r="A5780" i="1"/>
  <c r="A5781" i="1"/>
  <c r="A5782" i="1"/>
  <c r="A5776" i="1"/>
  <c r="A5772" i="1"/>
  <c r="A5773" i="1"/>
  <c r="A5774" i="1"/>
  <c r="A5775" i="1"/>
  <c r="A5771" i="1"/>
  <c r="A5770" i="1"/>
  <c r="A5768" i="1"/>
  <c r="A5769" i="1"/>
  <c r="A5767" i="1"/>
  <c r="A5766" i="1"/>
  <c r="A5759" i="1"/>
  <c r="A5760" i="1"/>
  <c r="A5761" i="1"/>
  <c r="A5762" i="1"/>
  <c r="A5763" i="1"/>
  <c r="A5764" i="1"/>
  <c r="A5765" i="1"/>
  <c r="A5751" i="1"/>
  <c r="A5752" i="1"/>
  <c r="A5753" i="1"/>
  <c r="A5754" i="1"/>
  <c r="A5755" i="1"/>
  <c r="A5756" i="1"/>
  <c r="A5757" i="1"/>
  <c r="A5758" i="1"/>
  <c r="A5750" i="1"/>
  <c r="A5749" i="1"/>
  <c r="A5747" i="1"/>
  <c r="A5748" i="1"/>
  <c r="A5731" i="1"/>
  <c r="A5732" i="1"/>
  <c r="A5733" i="1"/>
  <c r="A5734" i="1"/>
  <c r="A5735" i="1"/>
  <c r="A5736" i="1"/>
  <c r="A5737" i="1"/>
  <c r="A5738" i="1"/>
  <c r="A5739" i="1"/>
  <c r="A5740" i="1"/>
  <c r="A5741" i="1"/>
  <c r="A5742" i="1"/>
  <c r="A5743" i="1"/>
  <c r="A5744" i="1"/>
  <c r="A5745" i="1"/>
  <c r="A5746" i="1"/>
  <c r="A5730" i="1"/>
  <c r="A5728" i="1"/>
  <c r="A5729" i="1"/>
  <c r="A5727" i="1"/>
  <c r="A5726" i="1"/>
  <c r="A5716" i="1"/>
  <c r="A5717" i="1"/>
  <c r="A5718" i="1"/>
  <c r="A5719" i="1"/>
  <c r="A5720" i="1"/>
  <c r="A5721" i="1"/>
  <c r="A5722" i="1"/>
  <c r="A5723" i="1"/>
  <c r="A5724" i="1"/>
  <c r="A5725" i="1"/>
  <c r="A5700" i="1"/>
  <c r="A5701" i="1"/>
  <c r="A5702" i="1"/>
  <c r="A5703" i="1"/>
  <c r="A5704" i="1"/>
  <c r="A5705" i="1"/>
  <c r="A5706" i="1"/>
  <c r="A5707" i="1"/>
  <c r="A5708" i="1"/>
  <c r="A5709" i="1"/>
  <c r="A5710" i="1"/>
  <c r="A5711" i="1"/>
  <c r="A5712" i="1"/>
  <c r="A5713" i="1"/>
  <c r="A5714" i="1"/>
  <c r="A5715" i="1"/>
  <c r="A5694" i="1"/>
  <c r="A5695" i="1"/>
  <c r="A5696" i="1"/>
  <c r="A5697" i="1"/>
  <c r="A5698" i="1"/>
  <c r="A5699" i="1"/>
  <c r="A5693" i="1"/>
  <c r="A5687" i="1"/>
  <c r="A5688" i="1"/>
  <c r="A5689" i="1"/>
  <c r="A5690" i="1"/>
  <c r="A5691" i="1"/>
  <c r="A5692" i="1"/>
  <c r="A5683" i="1"/>
  <c r="A5684" i="1"/>
  <c r="A5685" i="1"/>
  <c r="A5686" i="1"/>
  <c r="A5678" i="1"/>
  <c r="A5679" i="1"/>
  <c r="A5680" i="1"/>
  <c r="A5681" i="1"/>
  <c r="A5682" i="1"/>
  <c r="A5675" i="1"/>
  <c r="A5676" i="1"/>
  <c r="A5677" i="1"/>
  <c r="A5674" i="1"/>
  <c r="A5673" i="1"/>
  <c r="A5664" i="1"/>
  <c r="A5665" i="1"/>
  <c r="A5666" i="1"/>
  <c r="A5667" i="1"/>
  <c r="A5668" i="1"/>
  <c r="A5669" i="1"/>
  <c r="A5670" i="1"/>
  <c r="A5671" i="1"/>
  <c r="A5672" i="1"/>
  <c r="A5662" i="1"/>
  <c r="A5663" i="1"/>
  <c r="A5661" i="1"/>
  <c r="A5659" i="1"/>
  <c r="A5660"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30" i="1"/>
  <c r="A5631" i="1"/>
  <c r="A5629" i="1"/>
  <c r="A5628" i="1"/>
  <c r="A5627" i="1"/>
  <c r="A5626" i="1"/>
  <c r="A5625" i="1"/>
  <c r="A5624" i="1"/>
  <c r="A5623" i="1"/>
  <c r="A5622" i="1"/>
  <c r="A5621" i="1"/>
  <c r="A5620" i="1"/>
  <c r="A5619" i="1"/>
  <c r="M5377" i="1"/>
  <c r="M5496" i="1"/>
  <c r="M5497" i="1"/>
  <c r="M5450" i="1"/>
  <c r="A5616" i="1"/>
  <c r="A5617" i="1"/>
  <c r="A5618" i="1"/>
  <c r="A5613" i="1"/>
  <c r="A5614" i="1"/>
  <c r="A5615" i="1"/>
  <c r="A5610" i="1"/>
  <c r="A5611" i="1"/>
  <c r="A5612" i="1"/>
  <c r="A5607" i="1"/>
  <c r="A5608" i="1"/>
  <c r="A5609" i="1"/>
  <c r="A5606" i="1"/>
  <c r="A5603" i="1"/>
  <c r="A5604" i="1"/>
  <c r="A5605" i="1"/>
  <c r="A5599" i="1"/>
  <c r="A5600" i="1"/>
  <c r="A5601" i="1"/>
  <c r="A5602" i="1"/>
  <c r="A5597" i="1"/>
  <c r="A5598" i="1"/>
  <c r="A5595" i="1"/>
  <c r="A5596" i="1"/>
  <c r="A5588" i="1"/>
  <c r="A5589" i="1"/>
  <c r="A5590" i="1"/>
  <c r="A5591" i="1"/>
  <c r="A5592" i="1"/>
  <c r="A5593" i="1"/>
  <c r="A5594" i="1"/>
  <c r="A5583" i="1"/>
  <c r="A5584" i="1"/>
  <c r="A5585" i="1"/>
  <c r="A5586" i="1"/>
  <c r="A5587" i="1"/>
  <c r="A5579" i="1"/>
  <c r="A5580" i="1"/>
  <c r="A5581" i="1"/>
  <c r="A5582" i="1"/>
  <c r="A5576" i="1"/>
  <c r="A5577" i="1"/>
  <c r="A5578" i="1"/>
  <c r="A5567" i="1"/>
  <c r="A5568" i="1"/>
  <c r="A5569" i="1"/>
  <c r="A5570" i="1"/>
  <c r="A5571" i="1"/>
  <c r="A5572" i="1"/>
  <c r="A5573" i="1"/>
  <c r="A5574" i="1"/>
  <c r="A5575" i="1"/>
  <c r="A5565" i="1"/>
  <c r="A5566" i="1"/>
  <c r="A5549" i="1"/>
  <c r="A5550" i="1"/>
  <c r="A5551" i="1"/>
  <c r="A5552" i="1"/>
  <c r="A5553" i="1"/>
  <c r="A5554" i="1"/>
  <c r="A5555" i="1"/>
  <c r="A5556" i="1"/>
  <c r="A5557" i="1"/>
  <c r="A5558" i="1"/>
  <c r="A5559" i="1"/>
  <c r="A5560" i="1"/>
  <c r="A5561" i="1"/>
  <c r="A5562" i="1"/>
  <c r="A5563" i="1"/>
  <c r="A5564" i="1"/>
  <c r="A5546" i="1"/>
  <c r="A5547" i="1"/>
  <c r="A5548" i="1"/>
  <c r="A5543" i="1"/>
  <c r="A5544" i="1"/>
  <c r="A5545" i="1"/>
  <c r="A5539" i="1"/>
  <c r="A5540" i="1"/>
  <c r="A5541" i="1"/>
  <c r="A5542" i="1"/>
  <c r="A5534" i="1"/>
  <c r="A5535" i="1"/>
  <c r="A5536" i="1"/>
  <c r="A5537" i="1"/>
  <c r="A5538" i="1"/>
  <c r="A5530" i="1"/>
  <c r="A5531" i="1"/>
  <c r="A5532" i="1"/>
  <c r="A5533" i="1"/>
  <c r="A5525" i="1"/>
  <c r="A5526" i="1"/>
  <c r="A5527" i="1"/>
  <c r="A5528" i="1"/>
  <c r="A5529" i="1"/>
  <c r="A5524" i="1"/>
  <c r="A5520" i="1"/>
  <c r="A5521" i="1"/>
  <c r="A5522" i="1"/>
  <c r="A5523" i="1"/>
  <c r="A5519" i="1"/>
  <c r="A5510" i="1"/>
  <c r="A5511" i="1"/>
  <c r="A5512" i="1"/>
  <c r="A5513" i="1"/>
  <c r="A5514" i="1"/>
  <c r="A5515" i="1"/>
  <c r="A5516" i="1"/>
  <c r="A5517" i="1"/>
  <c r="A5518" i="1"/>
  <c r="A5505" i="1"/>
  <c r="A5506" i="1"/>
  <c r="A5507" i="1"/>
  <c r="A5508" i="1"/>
  <c r="A5509" i="1"/>
  <c r="A5501" i="1"/>
  <c r="A5502" i="1"/>
  <c r="A5503" i="1"/>
  <c r="A5504" i="1"/>
  <c r="A5500" i="1"/>
  <c r="A5488" i="1"/>
  <c r="A5489" i="1"/>
  <c r="A5490" i="1"/>
  <c r="A5491" i="1"/>
  <c r="A5492" i="1"/>
  <c r="A5493" i="1"/>
  <c r="A5494" i="1"/>
  <c r="A5495" i="1"/>
  <c r="A5496" i="1"/>
  <c r="A5497" i="1"/>
  <c r="A5498" i="1"/>
  <c r="A5499" i="1"/>
  <c r="A5486" i="1"/>
  <c r="A5487" i="1"/>
  <c r="A5485" i="1"/>
  <c r="A5484" i="1"/>
  <c r="A5482" i="1"/>
  <c r="A5483" i="1"/>
  <c r="A5479" i="1"/>
  <c r="A5480" i="1"/>
  <c r="A5481" i="1"/>
  <c r="A5478" i="1"/>
  <c r="A5473" i="1"/>
  <c r="A5474" i="1"/>
  <c r="A5475" i="1"/>
  <c r="A5476" i="1"/>
  <c r="A5477" i="1"/>
  <c r="A5472" i="1"/>
  <c r="A5462" i="1"/>
  <c r="A5463" i="1"/>
  <c r="A5464" i="1"/>
  <c r="A5465" i="1"/>
  <c r="A5466" i="1"/>
  <c r="A5467" i="1"/>
  <c r="A5468" i="1"/>
  <c r="A5469" i="1"/>
  <c r="A5470" i="1"/>
  <c r="A5471"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37" i="1"/>
  <c r="A5433" i="1"/>
  <c r="A5434" i="1"/>
  <c r="A5435" i="1"/>
  <c r="A5436" i="1"/>
  <c r="A5426" i="1"/>
  <c r="A5427" i="1"/>
  <c r="A5428" i="1"/>
  <c r="A5429" i="1"/>
  <c r="A5430" i="1"/>
  <c r="A5431" i="1"/>
  <c r="A5432" i="1"/>
  <c r="A5417" i="1"/>
  <c r="A5418" i="1"/>
  <c r="A5419" i="1"/>
  <c r="A5420" i="1"/>
  <c r="A5421" i="1"/>
  <c r="A5422" i="1"/>
  <c r="A5423" i="1"/>
  <c r="A5424" i="1"/>
  <c r="A5425" i="1"/>
  <c r="A5416" i="1"/>
  <c r="A5413" i="1"/>
  <c r="A5414" i="1"/>
  <c r="A5415" i="1"/>
  <c r="A5410" i="1"/>
  <c r="A5411" i="1"/>
  <c r="A5412" i="1"/>
  <c r="A5403" i="1"/>
  <c r="A5404" i="1"/>
  <c r="A5405" i="1"/>
  <c r="A5406" i="1"/>
  <c r="A5407" i="1"/>
  <c r="A5408" i="1"/>
  <c r="A5409" i="1"/>
  <c r="A5402" i="1"/>
  <c r="A5400" i="1"/>
  <c r="A5401" i="1"/>
  <c r="A5399" i="1"/>
  <c r="A5389" i="1"/>
  <c r="A5390" i="1"/>
  <c r="A5391" i="1"/>
  <c r="A5392" i="1"/>
  <c r="A5393" i="1"/>
  <c r="A5394" i="1"/>
  <c r="A5395" i="1"/>
  <c r="A5396" i="1"/>
  <c r="A5397" i="1"/>
  <c r="A5398" i="1"/>
  <c r="A5384" i="1"/>
  <c r="A5385" i="1"/>
  <c r="A5386" i="1"/>
  <c r="A5387" i="1"/>
  <c r="A5388" i="1"/>
  <c r="A5382" i="1"/>
  <c r="A5383" i="1"/>
  <c r="A5380" i="1"/>
  <c r="A5381" i="1"/>
  <c r="A5376" i="1"/>
  <c r="A5377" i="1"/>
  <c r="A5378" i="1"/>
  <c r="A5379" i="1"/>
  <c r="A5373" i="1"/>
  <c r="A5374" i="1"/>
  <c r="A5375" i="1"/>
  <c r="A5369" i="1"/>
  <c r="A5370" i="1"/>
  <c r="A5371" i="1"/>
  <c r="A5372" i="1"/>
  <c r="A5368" i="1"/>
  <c r="A5360" i="1"/>
  <c r="A5361" i="1"/>
  <c r="A5362" i="1"/>
  <c r="A5363" i="1"/>
  <c r="A5364" i="1"/>
  <c r="A5365" i="1"/>
  <c r="A5366" i="1"/>
  <c r="A5367" i="1"/>
  <c r="A5356" i="1"/>
  <c r="A5357" i="1"/>
  <c r="A5358" i="1"/>
  <c r="A5359" i="1"/>
  <c r="A5355" i="1"/>
  <c r="A5350" i="1"/>
  <c r="A5351" i="1"/>
  <c r="A5352" i="1"/>
  <c r="A5353" i="1"/>
  <c r="A5354" i="1"/>
  <c r="A5343" i="1"/>
  <c r="A5344" i="1"/>
  <c r="A5345" i="1"/>
  <c r="A5346" i="1"/>
  <c r="A5347" i="1"/>
  <c r="A5348" i="1"/>
  <c r="A5349" i="1"/>
  <c r="A5336" i="1"/>
  <c r="A5337" i="1"/>
  <c r="A5338" i="1"/>
  <c r="A5339" i="1"/>
  <c r="A5340" i="1"/>
  <c r="A5341" i="1"/>
  <c r="A5342" i="1"/>
  <c r="A5334" i="1"/>
  <c r="A5335" i="1"/>
  <c r="A5330" i="1"/>
  <c r="A5331" i="1"/>
  <c r="A5332" i="1"/>
  <c r="A5333" i="1"/>
  <c r="A5329" i="1"/>
  <c r="A5320" i="1"/>
  <c r="A5321" i="1"/>
  <c r="A5322" i="1"/>
  <c r="A5323" i="1"/>
  <c r="A5324" i="1"/>
  <c r="A5325" i="1"/>
  <c r="A5326" i="1"/>
  <c r="A5327" i="1"/>
  <c r="A5328" i="1"/>
  <c r="A5310" i="1"/>
  <c r="A5311" i="1"/>
  <c r="A5312" i="1"/>
  <c r="A5313" i="1"/>
  <c r="A5314" i="1"/>
  <c r="A5315" i="1"/>
  <c r="A5316" i="1"/>
  <c r="A5317" i="1"/>
  <c r="A5318" i="1"/>
  <c r="A5319" i="1"/>
  <c r="A5309" i="1"/>
  <c r="A5306" i="1"/>
  <c r="A5307" i="1"/>
  <c r="A5308" i="1"/>
  <c r="A5300" i="1"/>
  <c r="A5301" i="1"/>
  <c r="A5302" i="1"/>
  <c r="A5303" i="1"/>
  <c r="A5304" i="1"/>
  <c r="A5305" i="1"/>
  <c r="A5297" i="1"/>
  <c r="A5298" i="1"/>
  <c r="A5299" i="1"/>
  <c r="A5292" i="1"/>
  <c r="A5293" i="1"/>
  <c r="A5294" i="1"/>
  <c r="A5295" i="1"/>
  <c r="A5296" i="1"/>
  <c r="A5291" i="1"/>
  <c r="A5288" i="1"/>
  <c r="A5289" i="1"/>
  <c r="A5290" i="1"/>
  <c r="A5286" i="1"/>
  <c r="A5287" i="1"/>
  <c r="A5285" i="1"/>
  <c r="A5282" i="1"/>
  <c r="A5283" i="1"/>
  <c r="A5284" i="1"/>
  <c r="A5280" i="1"/>
  <c r="A5281" i="1"/>
  <c r="A5277" i="1"/>
  <c r="A5278" i="1"/>
  <c r="A5279" i="1"/>
  <c r="A5272" i="1"/>
  <c r="A5273" i="1"/>
  <c r="A5274" i="1"/>
  <c r="A5275" i="1"/>
  <c r="A5276" i="1"/>
  <c r="A5271" i="1"/>
  <c r="A5258" i="1"/>
  <c r="A5259" i="1"/>
  <c r="A5260" i="1"/>
  <c r="A5261" i="1"/>
  <c r="A5262" i="1"/>
  <c r="A5263" i="1"/>
  <c r="A5264" i="1"/>
  <c r="A5265" i="1"/>
  <c r="A5266" i="1"/>
  <c r="A5267" i="1"/>
  <c r="A5268" i="1"/>
  <c r="A5269" i="1"/>
  <c r="A5270" i="1"/>
  <c r="A5250" i="1"/>
  <c r="A5251" i="1"/>
  <c r="A5252" i="1"/>
  <c r="A5253" i="1"/>
  <c r="A5254" i="1"/>
  <c r="A5255" i="1"/>
  <c r="A5256" i="1"/>
  <c r="A5257" i="1"/>
  <c r="A5245" i="1"/>
  <c r="A5246" i="1"/>
  <c r="A5247" i="1"/>
  <c r="A5248" i="1"/>
  <c r="A5249" i="1"/>
  <c r="A5240" i="1"/>
  <c r="A5241" i="1"/>
  <c r="A5242" i="1"/>
  <c r="A5243" i="1"/>
  <c r="A5244" i="1"/>
  <c r="A5239" i="1"/>
  <c r="A5235" i="1"/>
  <c r="A5236" i="1"/>
  <c r="A5237" i="1"/>
  <c r="A5238" i="1"/>
  <c r="A5234" i="1"/>
  <c r="A5229" i="1"/>
  <c r="A5230" i="1"/>
  <c r="A5231" i="1"/>
  <c r="A5232" i="1"/>
  <c r="A5233" i="1"/>
  <c r="A5219" i="1"/>
  <c r="A5220" i="1"/>
  <c r="A5221" i="1"/>
  <c r="A5222" i="1"/>
  <c r="A5223" i="1"/>
  <c r="A5224" i="1"/>
  <c r="A5225" i="1"/>
  <c r="A5226" i="1"/>
  <c r="A5227" i="1"/>
  <c r="A5228" i="1"/>
  <c r="A5217" i="1"/>
  <c r="A5218" i="1"/>
  <c r="A5216" i="1"/>
  <c r="A5215" i="1"/>
  <c r="A5213" i="1"/>
  <c r="A5214" i="1"/>
  <c r="A5204" i="1"/>
  <c r="A5205" i="1"/>
  <c r="A5206" i="1"/>
  <c r="A5207" i="1"/>
  <c r="A5208" i="1"/>
  <c r="A5209" i="1"/>
  <c r="A5210" i="1"/>
  <c r="A5211" i="1"/>
  <c r="A5212" i="1"/>
  <c r="A5197" i="1"/>
  <c r="A5198" i="1"/>
  <c r="A5199" i="1"/>
  <c r="A5200" i="1"/>
  <c r="A5201" i="1"/>
  <c r="A5202" i="1"/>
  <c r="A5203" i="1"/>
  <c r="A5194" i="1"/>
  <c r="A5195" i="1"/>
  <c r="A5196" i="1"/>
  <c r="A5192" i="1"/>
  <c r="A5193" i="1"/>
  <c r="A5186" i="1"/>
  <c r="A5187" i="1"/>
  <c r="A5188" i="1"/>
  <c r="A5189" i="1"/>
  <c r="A5190" i="1"/>
  <c r="A5191" i="1"/>
  <c r="A5178" i="1"/>
  <c r="A5179" i="1"/>
  <c r="A5180" i="1"/>
  <c r="A5181" i="1"/>
  <c r="A5182" i="1"/>
  <c r="A5183" i="1"/>
  <c r="A5184" i="1"/>
  <c r="A5185" i="1"/>
  <c r="A5173" i="1"/>
  <c r="A5174" i="1"/>
  <c r="A5175" i="1"/>
  <c r="A5176" i="1"/>
  <c r="A5177" i="1"/>
  <c r="A5171" i="1"/>
  <c r="A5172" i="1"/>
  <c r="A5170" i="1"/>
  <c r="A5168" i="1"/>
  <c r="A5169" i="1"/>
  <c r="A5165" i="1"/>
  <c r="A5166" i="1"/>
  <c r="A5167" i="1"/>
  <c r="A5164" i="1"/>
  <c r="A5163" i="1"/>
  <c r="A5162" i="1"/>
  <c r="A5161" i="1"/>
  <c r="A5155" i="1"/>
  <c r="A5156" i="1"/>
  <c r="A5157" i="1"/>
  <c r="A5158" i="1"/>
  <c r="A5159" i="1"/>
  <c r="A5160" i="1"/>
  <c r="A5153" i="1"/>
  <c r="A5154" i="1"/>
  <c r="A5150" i="1"/>
  <c r="A5151" i="1"/>
  <c r="A5152" i="1"/>
  <c r="A5148" i="1"/>
  <c r="A5149" i="1"/>
  <c r="A5144" i="1"/>
  <c r="A5145" i="1"/>
  <c r="A5146" i="1"/>
  <c r="A5147" i="1"/>
  <c r="A5140" i="1"/>
  <c r="A5141" i="1"/>
  <c r="A5142" i="1"/>
  <c r="A5143" i="1"/>
  <c r="A5137" i="1"/>
  <c r="A5138" i="1"/>
  <c r="A5139" i="1"/>
  <c r="A5134" i="1"/>
  <c r="A5135" i="1"/>
  <c r="A5136" i="1"/>
  <c r="A5130" i="1"/>
  <c r="A5131" i="1"/>
  <c r="A5132" i="1"/>
  <c r="A5133" i="1"/>
  <c r="A5128" i="1"/>
  <c r="A5129" i="1"/>
  <c r="A5127" i="1"/>
  <c r="A5114" i="1"/>
  <c r="A5115" i="1"/>
  <c r="A5116" i="1"/>
  <c r="A5117" i="1"/>
  <c r="A5118" i="1"/>
  <c r="A5119" i="1"/>
  <c r="A5120" i="1"/>
  <c r="A5121" i="1"/>
  <c r="A5122" i="1"/>
  <c r="A5123" i="1"/>
  <c r="A5124" i="1"/>
  <c r="A5125" i="1"/>
  <c r="A5126" i="1"/>
  <c r="A5111" i="1"/>
  <c r="A5112" i="1"/>
  <c r="A5113" i="1"/>
  <c r="A5109" i="1"/>
  <c r="A5110" i="1"/>
  <c r="A5102" i="1"/>
  <c r="A5103" i="1"/>
  <c r="A5104" i="1"/>
  <c r="A5105" i="1"/>
  <c r="A5106" i="1"/>
  <c r="A5107" i="1"/>
  <c r="A5108" i="1"/>
  <c r="A5101" i="1"/>
  <c r="A5098" i="1"/>
  <c r="A5099" i="1"/>
  <c r="A5100" i="1"/>
  <c r="A5095" i="1"/>
  <c r="A5096" i="1"/>
  <c r="A5097" i="1"/>
  <c r="A5094" i="1"/>
  <c r="A5086" i="1"/>
  <c r="A5087" i="1"/>
  <c r="A5088" i="1"/>
  <c r="A5089" i="1"/>
  <c r="A5090" i="1"/>
  <c r="A5091" i="1"/>
  <c r="A5092" i="1"/>
  <c r="A5093" i="1"/>
  <c r="A5081" i="1"/>
  <c r="A5082" i="1"/>
  <c r="A5083" i="1"/>
  <c r="A5084" i="1"/>
  <c r="A5085" i="1"/>
  <c r="A5079" i="1"/>
  <c r="A5080" i="1"/>
  <c r="A5078" i="1"/>
  <c r="A5076" i="1"/>
  <c r="A5077" i="1"/>
  <c r="A5075" i="1"/>
  <c r="A5073" i="1"/>
  <c r="A5074" i="1"/>
  <c r="A5072" i="1"/>
  <c r="A5070" i="1"/>
  <c r="A5071" i="1"/>
  <c r="A5069" i="1"/>
  <c r="A5067" i="1"/>
  <c r="A5068" i="1"/>
  <c r="A5063" i="1"/>
  <c r="A5064" i="1"/>
  <c r="A5065" i="1"/>
  <c r="A5066" i="1"/>
  <c r="A5061" i="1"/>
  <c r="A5062" i="1"/>
  <c r="A5059" i="1"/>
  <c r="A5060" i="1"/>
  <c r="A5056" i="1"/>
  <c r="A5057" i="1"/>
  <c r="A5058" i="1"/>
  <c r="A5055" i="1"/>
  <c r="A5052" i="1"/>
  <c r="A5053" i="1"/>
  <c r="A5054" i="1"/>
  <c r="A5047" i="1"/>
  <c r="A5048" i="1"/>
  <c r="A5049" i="1"/>
  <c r="A5050" i="1"/>
  <c r="A5051" i="1"/>
  <c r="A5042" i="1"/>
  <c r="A5043" i="1"/>
  <c r="A5044" i="1"/>
  <c r="A5045" i="1"/>
  <c r="A5046" i="1"/>
  <c r="A5041" i="1"/>
  <c r="A5040" i="1"/>
  <c r="A5035" i="1"/>
  <c r="A5036" i="1"/>
  <c r="A5037" i="1"/>
  <c r="A5038" i="1"/>
  <c r="A5039" i="1"/>
  <c r="A5028" i="1"/>
  <c r="A5029" i="1"/>
  <c r="A5030" i="1"/>
  <c r="A5031" i="1"/>
  <c r="A5032" i="1"/>
  <c r="A5033" i="1"/>
  <c r="A5034" i="1"/>
  <c r="A5026" i="1"/>
  <c r="A5027" i="1"/>
  <c r="A5021" i="1"/>
  <c r="A5022" i="1"/>
  <c r="A5023" i="1"/>
  <c r="A5024" i="1"/>
  <c r="A5025" i="1"/>
  <c r="A5019" i="1"/>
  <c r="A5020" i="1"/>
  <c r="A5018" i="1"/>
  <c r="A5014" i="1"/>
  <c r="A5015" i="1"/>
  <c r="A5016" i="1"/>
  <c r="A5017" i="1"/>
  <c r="A5012" i="1"/>
  <c r="A5013" i="1"/>
  <c r="A5011" i="1"/>
  <c r="A5010" i="1"/>
  <c r="A5006" i="1"/>
  <c r="A5007" i="1"/>
  <c r="A5008" i="1"/>
  <c r="A5009" i="1"/>
  <c r="A5005" i="1"/>
  <c r="A5002" i="1"/>
  <c r="A5003" i="1"/>
  <c r="A5004" i="1"/>
  <c r="A4994" i="1"/>
  <c r="A4995" i="1"/>
  <c r="A4996" i="1"/>
  <c r="A4997" i="1"/>
  <c r="A4998" i="1"/>
  <c r="A4999" i="1"/>
  <c r="A5000" i="1"/>
  <c r="A5001" i="1"/>
  <c r="A4989" i="1"/>
  <c r="A4990" i="1"/>
  <c r="A4991" i="1"/>
  <c r="A4992" i="1"/>
  <c r="A4993" i="1"/>
  <c r="A4988" i="1"/>
  <c r="A4986" i="1"/>
  <c r="A4987" i="1"/>
  <c r="A4978" i="1"/>
  <c r="A4979" i="1"/>
  <c r="A4980" i="1"/>
  <c r="A4981" i="1"/>
  <c r="A4982" i="1"/>
  <c r="A4983" i="1"/>
  <c r="A4984" i="1"/>
  <c r="A4985" i="1"/>
  <c r="A4976" i="1"/>
  <c r="A4977" i="1"/>
  <c r="A4974" i="1"/>
  <c r="A4975" i="1"/>
  <c r="A4969" i="1"/>
  <c r="A4970" i="1"/>
  <c r="A4971" i="1"/>
  <c r="A4972" i="1"/>
  <c r="A4973" i="1"/>
  <c r="A4961" i="1"/>
  <c r="A4962" i="1"/>
  <c r="A4963" i="1"/>
  <c r="A4964" i="1"/>
  <c r="A4965" i="1"/>
  <c r="A4966" i="1"/>
  <c r="A4967" i="1"/>
  <c r="A4968" i="1"/>
  <c r="A4956" i="1"/>
  <c r="A4957" i="1"/>
  <c r="A4958" i="1"/>
  <c r="A4959" i="1"/>
  <c r="A4955" i="1"/>
  <c r="A4954" i="1"/>
  <c r="A4952" i="1"/>
  <c r="A4953" i="1"/>
  <c r="A4945" i="1"/>
  <c r="A4946" i="1"/>
  <c r="A4947" i="1"/>
  <c r="A4948" i="1"/>
  <c r="A4949" i="1"/>
  <c r="A4950" i="1"/>
  <c r="A4951" i="1"/>
  <c r="A4944" i="1"/>
  <c r="A4940" i="1"/>
  <c r="A4941" i="1"/>
  <c r="A4942" i="1"/>
  <c r="A4943" i="1"/>
  <c r="A4939" i="1"/>
  <c r="A4933" i="1"/>
  <c r="A4934" i="1"/>
  <c r="A4935" i="1"/>
  <c r="A4936" i="1"/>
  <c r="A4937" i="1"/>
  <c r="A4938" i="1"/>
  <c r="A4929" i="1"/>
  <c r="A4930" i="1"/>
  <c r="A4931" i="1"/>
  <c r="A4932" i="1"/>
  <c r="A4925" i="1"/>
  <c r="A4926" i="1"/>
  <c r="A4927" i="1"/>
  <c r="A4928" i="1"/>
  <c r="A4923" i="1"/>
  <c r="A4924" i="1"/>
  <c r="A4920" i="1"/>
  <c r="A4921" i="1"/>
  <c r="A4922" i="1"/>
  <c r="A4915" i="1"/>
  <c r="A4916" i="1"/>
  <c r="A4917" i="1"/>
  <c r="A4918" i="1"/>
  <c r="A4919" i="1"/>
  <c r="A4914" i="1"/>
  <c r="A4913" i="1"/>
  <c r="A4906" i="1"/>
  <c r="A4907" i="1"/>
  <c r="A4908" i="1"/>
  <c r="A4909" i="1"/>
  <c r="A4910" i="1"/>
  <c r="A4911" i="1"/>
  <c r="A4912" i="1"/>
  <c r="A4904" i="1"/>
  <c r="A4903" i="1"/>
  <c r="A4902" i="1"/>
  <c r="A4901" i="1"/>
  <c r="A4900" i="1"/>
  <c r="A4905" i="1"/>
  <c r="A4899" i="1"/>
  <c r="A4898" i="1"/>
  <c r="A4895" i="1"/>
  <c r="A4896" i="1"/>
  <c r="A4897" i="1"/>
  <c r="A4894" i="1"/>
  <c r="A4892" i="1"/>
  <c r="A4893" i="1"/>
  <c r="A4890" i="1"/>
  <c r="A4891" i="1"/>
  <c r="A4889" i="1"/>
  <c r="A4888" i="1"/>
  <c r="A4887" i="1"/>
  <c r="A4884" i="1"/>
  <c r="A4885" i="1"/>
  <c r="A4886" i="1"/>
  <c r="A4883" i="1"/>
  <c r="A4881" i="1"/>
  <c r="A4882" i="1"/>
  <c r="A4867" i="1"/>
  <c r="A4868" i="1"/>
  <c r="A4869" i="1"/>
  <c r="A4870" i="1"/>
  <c r="A4871" i="1"/>
  <c r="A4872" i="1"/>
  <c r="A4873" i="1"/>
  <c r="A4874" i="1"/>
  <c r="A4875" i="1"/>
  <c r="A4876" i="1"/>
  <c r="A4877" i="1"/>
  <c r="A4878" i="1"/>
  <c r="A4879" i="1"/>
  <c r="A4880" i="1"/>
  <c r="A4865" i="1"/>
  <c r="A4866" i="1"/>
  <c r="A4861" i="1"/>
  <c r="A4862" i="1"/>
  <c r="A4863" i="1"/>
  <c r="A4864" i="1"/>
  <c r="A4858" i="1"/>
  <c r="A4859" i="1"/>
  <c r="A4860" i="1"/>
  <c r="A4852" i="1"/>
  <c r="A4853" i="1"/>
  <c r="A4854" i="1"/>
  <c r="A4855" i="1"/>
  <c r="A4856" i="1"/>
  <c r="A4857" i="1"/>
  <c r="A4851" i="1"/>
  <c r="A4850" i="1"/>
  <c r="A4849" i="1"/>
  <c r="A4848" i="1"/>
  <c r="A4847" i="1"/>
  <c r="A4842" i="1"/>
  <c r="A4843" i="1"/>
  <c r="A4844" i="1"/>
  <c r="A4845" i="1"/>
  <c r="A4846" i="1"/>
  <c r="A4839" i="1"/>
  <c r="A4840" i="1"/>
  <c r="A4841" i="1"/>
  <c r="A4838" i="1"/>
  <c r="A4837" i="1"/>
  <c r="A4836" i="1"/>
  <c r="A4835" i="1"/>
  <c r="A4823" i="1"/>
  <c r="A4824" i="1"/>
  <c r="A4825" i="1"/>
  <c r="A4826" i="1"/>
  <c r="A4827" i="1"/>
  <c r="A4828" i="1"/>
  <c r="A4829" i="1"/>
  <c r="A4830" i="1"/>
  <c r="A4831" i="1"/>
  <c r="A4832" i="1"/>
  <c r="A4833" i="1"/>
  <c r="A4834" i="1"/>
  <c r="A4811" i="1"/>
  <c r="A4812" i="1"/>
  <c r="A4813" i="1"/>
  <c r="A4814" i="1"/>
  <c r="A4815" i="1"/>
  <c r="A4816" i="1"/>
  <c r="A4817" i="1"/>
  <c r="A4818" i="1"/>
  <c r="A4819" i="1"/>
  <c r="A4820" i="1"/>
  <c r="A4821" i="1"/>
  <c r="A4822" i="1"/>
  <c r="A4808" i="1"/>
  <c r="A4809" i="1"/>
  <c r="A4810" i="1"/>
  <c r="A4806" i="1"/>
  <c r="A4807" i="1"/>
  <c r="A4802" i="1"/>
  <c r="A4803" i="1"/>
  <c r="A4804" i="1"/>
  <c r="A4805" i="1"/>
  <c r="A4801" i="1"/>
  <c r="A4800" i="1"/>
  <c r="A4799" i="1"/>
  <c r="A4797" i="1"/>
  <c r="A4798" i="1"/>
  <c r="A4792" i="1"/>
  <c r="A4793" i="1"/>
  <c r="A4794" i="1"/>
  <c r="A4795" i="1"/>
  <c r="A4796" i="1"/>
  <c r="A4783" i="1"/>
  <c r="A4784" i="1"/>
  <c r="A4785" i="1"/>
  <c r="A4786" i="1"/>
  <c r="A4787" i="1"/>
  <c r="A4788" i="1"/>
  <c r="A4789" i="1"/>
  <c r="A4790" i="1"/>
  <c r="A4791" i="1"/>
  <c r="A4782" i="1"/>
  <c r="A4780" i="1"/>
  <c r="A4781" i="1"/>
  <c r="A4779" i="1"/>
  <c r="A4778" i="1"/>
  <c r="A4775" i="1"/>
  <c r="A4776" i="1"/>
  <c r="A4777" i="1"/>
  <c r="A4774" i="1"/>
  <c r="A4773" i="1"/>
  <c r="A4770" i="1"/>
  <c r="A4771" i="1"/>
  <c r="A4772" i="1"/>
  <c r="A4769" i="1"/>
  <c r="A4760" i="1"/>
  <c r="A4761" i="1"/>
  <c r="A4762" i="1"/>
  <c r="A4763" i="1"/>
  <c r="A4764" i="1"/>
  <c r="A4765" i="1"/>
  <c r="A4766" i="1"/>
  <c r="A4767" i="1"/>
  <c r="A4768" i="1"/>
  <c r="A4757" i="1"/>
  <c r="A4758" i="1"/>
  <c r="A4759" i="1"/>
  <c r="A4754" i="1"/>
  <c r="A4755" i="1"/>
  <c r="A4756" i="1"/>
  <c r="A4753" i="1"/>
  <c r="A4752" i="1"/>
  <c r="A4750" i="1"/>
  <c r="A4751" i="1"/>
  <c r="A4745" i="1"/>
  <c r="A4746" i="1"/>
  <c r="A4747" i="1"/>
  <c r="A4748" i="1"/>
  <c r="A4749"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7" i="47"/>
  <c r="T118" i="47"/>
  <c r="S118" i="47"/>
  <c r="R118" i="47"/>
  <c r="Q118" i="47"/>
  <c r="P118" i="47"/>
  <c r="O118" i="47"/>
  <c r="N118" i="47"/>
  <c r="A118" i="47"/>
  <c r="AM117" i="47"/>
  <c r="AL117" i="47"/>
  <c r="AK117" i="47"/>
  <c r="AJ117" i="47"/>
  <c r="AI117" i="47"/>
  <c r="AC117" i="47"/>
  <c r="W117" i="47"/>
  <c r="T117" i="47"/>
  <c r="S117" i="47"/>
  <c r="R117" i="47"/>
  <c r="Q117" i="47"/>
  <c r="P117" i="47"/>
  <c r="O117" i="47"/>
  <c r="N117" i="47"/>
  <c r="AC116" i="47"/>
  <c r="W116" i="47"/>
  <c r="T116" i="47"/>
  <c r="S116" i="47"/>
  <c r="R116" i="47"/>
  <c r="Q116" i="47"/>
  <c r="P116" i="47"/>
  <c r="O116" i="47"/>
  <c r="N116" i="47"/>
  <c r="AM115" i="47"/>
  <c r="AL115" i="47"/>
  <c r="AK115" i="47"/>
  <c r="AJ115" i="47"/>
  <c r="AI115" i="47"/>
  <c r="AC115" i="47"/>
  <c r="W115" i="47"/>
  <c r="T115" i="47"/>
  <c r="S115" i="47"/>
  <c r="R115" i="47"/>
  <c r="Q115" i="47"/>
  <c r="P115" i="47"/>
  <c r="O115" i="47"/>
  <c r="N115" i="47"/>
  <c r="AM114" i="47"/>
  <c r="AL114" i="47"/>
  <c r="AK114" i="47"/>
  <c r="AJ114" i="47"/>
  <c r="AI114" i="47"/>
  <c r="AC114" i="47"/>
  <c r="W114" i="47"/>
  <c r="T114" i="47"/>
  <c r="S114" i="47"/>
  <c r="R114" i="47"/>
  <c r="Q114" i="47"/>
  <c r="P114" i="47"/>
  <c r="O114" i="47"/>
  <c r="N114" i="47"/>
  <c r="A114" i="47"/>
  <c r="AM113" i="47"/>
  <c r="AL113" i="47"/>
  <c r="AK113" i="47"/>
  <c r="AJ113" i="47"/>
  <c r="AI113" i="47"/>
  <c r="AC113" i="47"/>
  <c r="W113" i="47"/>
  <c r="T113" i="47"/>
  <c r="S113" i="47"/>
  <c r="R113" i="47"/>
  <c r="Q113" i="47"/>
  <c r="P113" i="47"/>
  <c r="O113" i="47"/>
  <c r="N113" i="47"/>
  <c r="A113" i="47"/>
  <c r="AM112" i="47"/>
  <c r="AL112" i="47"/>
  <c r="AK112" i="47"/>
  <c r="AJ112" i="47"/>
  <c r="AI112" i="47"/>
  <c r="AC112" i="47"/>
  <c r="W112" i="47"/>
  <c r="T112" i="47"/>
  <c r="S112" i="47"/>
  <c r="R112" i="47"/>
  <c r="Q112" i="47"/>
  <c r="P112" i="47"/>
  <c r="O112" i="47"/>
  <c r="N112" i="47"/>
  <c r="A112" i="47"/>
  <c r="AM111" i="47"/>
  <c r="AL111" i="47"/>
  <c r="AK111" i="47"/>
  <c r="AJ111" i="47"/>
  <c r="AI111" i="47"/>
  <c r="AC111" i="47"/>
  <c r="W111" i="47"/>
  <c r="T111" i="47"/>
  <c r="S111" i="47"/>
  <c r="R111" i="47"/>
  <c r="Q111" i="47"/>
  <c r="P111" i="47"/>
  <c r="O111" i="47"/>
  <c r="N111" i="47"/>
  <c r="A111" i="47"/>
  <c r="AM2" i="47"/>
  <c r="AL2" i="47"/>
  <c r="AK2" i="47"/>
  <c r="AJ2" i="47"/>
  <c r="AI2" i="47"/>
  <c r="AC2" i="47"/>
  <c r="W2" i="47"/>
  <c r="T2" i="47"/>
  <c r="S2" i="47"/>
  <c r="R2" i="47"/>
  <c r="Q2" i="47"/>
  <c r="P2" i="47"/>
  <c r="O2" i="47"/>
  <c r="N2" i="47"/>
  <c r="A2" i="47"/>
  <c r="AC110" i="47"/>
  <c r="W110" i="47"/>
  <c r="T110" i="47"/>
  <c r="S110" i="47"/>
  <c r="R110" i="47"/>
  <c r="Q110" i="47"/>
  <c r="P110" i="47"/>
  <c r="O110" i="47"/>
  <c r="N110" i="47"/>
  <c r="A110" i="47"/>
  <c r="AC109" i="47"/>
  <c r="W109" i="47"/>
  <c r="T109" i="47"/>
  <c r="S109" i="47"/>
  <c r="R109" i="47"/>
  <c r="Q109" i="47"/>
  <c r="P109" i="47"/>
  <c r="O109" i="47"/>
  <c r="N109" i="47"/>
  <c r="A109" i="47"/>
  <c r="AM108" i="47"/>
  <c r="AL108" i="47"/>
  <c r="AK108" i="47"/>
  <c r="AJ108" i="47"/>
  <c r="AI108" i="47"/>
  <c r="AC108" i="47"/>
  <c r="W108" i="47"/>
  <c r="T108" i="47"/>
  <c r="S108" i="47"/>
  <c r="R108" i="47"/>
  <c r="Q108" i="47"/>
  <c r="P108" i="47"/>
  <c r="O108" i="47"/>
  <c r="N108" i="47"/>
  <c r="A108" i="47"/>
  <c r="AC107" i="47"/>
  <c r="W107" i="47"/>
  <c r="T107" i="47"/>
  <c r="S107" i="47"/>
  <c r="R107" i="47"/>
  <c r="Q107" i="47"/>
  <c r="P107" i="47"/>
  <c r="O107" i="47"/>
  <c r="N107" i="47"/>
  <c r="A107" i="47"/>
  <c r="AM106" i="47"/>
  <c r="AL106" i="47"/>
  <c r="AK106" i="47"/>
  <c r="AJ106" i="47"/>
  <c r="AI106" i="47"/>
  <c r="AC106" i="47"/>
  <c r="W106" i="47"/>
  <c r="T106" i="47"/>
  <c r="S106" i="47"/>
  <c r="R106" i="47"/>
  <c r="Q106" i="47"/>
  <c r="P106" i="47"/>
  <c r="O106" i="47"/>
  <c r="N106" i="47"/>
  <c r="A106" i="47"/>
  <c r="AM105" i="47"/>
  <c r="AL105" i="47"/>
  <c r="AK105" i="47"/>
  <c r="AJ105" i="47"/>
  <c r="AI105" i="47"/>
  <c r="AC105" i="47"/>
  <c r="W105" i="47"/>
  <c r="T105" i="47"/>
  <c r="S105" i="47"/>
  <c r="R105" i="47"/>
  <c r="Q105" i="47"/>
  <c r="P105" i="47"/>
  <c r="O105" i="47"/>
  <c r="N105" i="47"/>
  <c r="A105" i="47"/>
  <c r="AM104" i="47"/>
  <c r="AL104" i="47"/>
  <c r="AK104" i="47"/>
  <c r="AJ104" i="47"/>
  <c r="AI104" i="47"/>
  <c r="AC104" i="47"/>
  <c r="W104" i="47"/>
  <c r="T104" i="47"/>
  <c r="S104" i="47"/>
  <c r="R104" i="47"/>
  <c r="Q104" i="47"/>
  <c r="P104" i="47"/>
  <c r="O104" i="47"/>
  <c r="N104" i="47"/>
  <c r="A104" i="47"/>
  <c r="AC103" i="47"/>
  <c r="W103" i="47"/>
  <c r="T103" i="47"/>
  <c r="S103" i="47"/>
  <c r="R103" i="47"/>
  <c r="Q103" i="47"/>
  <c r="P103" i="47"/>
  <c r="O103" i="47"/>
  <c r="N103" i="47"/>
  <c r="A103" i="47"/>
  <c r="AC102" i="47"/>
  <c r="W102" i="47"/>
  <c r="T102" i="47"/>
  <c r="S102" i="47"/>
  <c r="R102" i="47"/>
  <c r="Q102" i="47"/>
  <c r="P102" i="47"/>
  <c r="O102" i="47"/>
  <c r="N102" i="47"/>
  <c r="A102" i="47"/>
  <c r="AM101" i="47"/>
  <c r="AL101" i="47"/>
  <c r="AK101" i="47"/>
  <c r="AJ101" i="47"/>
  <c r="AI101" i="47"/>
  <c r="AC101" i="47"/>
  <c r="W101" i="47"/>
  <c r="T101" i="47"/>
  <c r="S101" i="47"/>
  <c r="R101" i="47"/>
  <c r="Q101" i="47"/>
  <c r="P101" i="47"/>
  <c r="O101" i="47"/>
  <c r="N101" i="47"/>
  <c r="A101" i="47"/>
  <c r="AC100" i="47"/>
  <c r="W100" i="47"/>
  <c r="T100" i="47"/>
  <c r="S100" i="47"/>
  <c r="R100" i="47"/>
  <c r="Q100" i="47"/>
  <c r="P100" i="47"/>
  <c r="O100" i="47"/>
  <c r="N100" i="47"/>
  <c r="A100" i="47"/>
  <c r="AC99" i="47"/>
  <c r="W99" i="47"/>
  <c r="T99" i="47"/>
  <c r="S99" i="47"/>
  <c r="R99" i="47"/>
  <c r="Q99" i="47"/>
  <c r="P99" i="47"/>
  <c r="O99" i="47"/>
  <c r="N99" i="47"/>
  <c r="A99" i="47"/>
  <c r="AC98" i="47"/>
  <c r="W98" i="47"/>
  <c r="T98" i="47"/>
  <c r="S98" i="47"/>
  <c r="R98" i="47"/>
  <c r="Q98" i="47"/>
  <c r="P98" i="47"/>
  <c r="O98" i="47"/>
  <c r="N98" i="47"/>
  <c r="A98" i="47"/>
  <c r="AC97" i="47"/>
  <c r="W97" i="47"/>
  <c r="T97" i="47"/>
  <c r="S97" i="47"/>
  <c r="R97" i="47"/>
  <c r="Q97" i="47"/>
  <c r="P97" i="47"/>
  <c r="O97" i="47"/>
  <c r="N97" i="47"/>
  <c r="A97" i="47"/>
  <c r="AC96" i="47"/>
  <c r="W96" i="47"/>
  <c r="T96" i="47"/>
  <c r="S96" i="47"/>
  <c r="R96" i="47"/>
  <c r="Q96" i="47"/>
  <c r="P96" i="47"/>
  <c r="O96" i="47"/>
  <c r="N96" i="47"/>
  <c r="A96" i="47"/>
  <c r="AC95" i="47"/>
  <c r="W95" i="47"/>
  <c r="T95" i="47"/>
  <c r="S95" i="47"/>
  <c r="R95" i="47"/>
  <c r="Q95" i="47"/>
  <c r="P95" i="47"/>
  <c r="O95" i="47"/>
  <c r="N95" i="47"/>
  <c r="A95" i="47"/>
  <c r="AC94" i="47"/>
  <c r="W94" i="47"/>
  <c r="T94" i="47"/>
  <c r="S94" i="47"/>
  <c r="R94" i="47"/>
  <c r="Q94" i="47"/>
  <c r="P94" i="47"/>
  <c r="O94" i="47"/>
  <c r="N94" i="47"/>
  <c r="A94" i="47"/>
  <c r="AC93" i="47"/>
  <c r="W93" i="47"/>
  <c r="T93" i="47"/>
  <c r="S93" i="47"/>
  <c r="R93" i="47"/>
  <c r="Q93" i="47"/>
  <c r="P93" i="47"/>
  <c r="O93" i="47"/>
  <c r="N93" i="47"/>
  <c r="A93" i="47"/>
  <c r="AM92" i="47"/>
  <c r="AL92" i="47"/>
  <c r="AK92" i="47"/>
  <c r="AJ92" i="47"/>
  <c r="AI92" i="47"/>
  <c r="AC92" i="47"/>
  <c r="W92" i="47"/>
  <c r="T92" i="47"/>
  <c r="S92" i="47"/>
  <c r="R92" i="47"/>
  <c r="Q92" i="47"/>
  <c r="P92" i="47"/>
  <c r="O92" i="47"/>
  <c r="N92" i="47"/>
  <c r="A92" i="47"/>
  <c r="AC91" i="47"/>
  <c r="W91" i="47"/>
  <c r="T91" i="47"/>
  <c r="S91" i="47"/>
  <c r="R91" i="47"/>
  <c r="Q91" i="47"/>
  <c r="P91" i="47"/>
  <c r="O91" i="47"/>
  <c r="N91" i="47"/>
  <c r="A91" i="47"/>
  <c r="AM90" i="47"/>
  <c r="AL90" i="47"/>
  <c r="AK90" i="47"/>
  <c r="AJ90" i="47"/>
  <c r="AI90" i="47"/>
  <c r="AC90" i="47"/>
  <c r="W90" i="47"/>
  <c r="T90" i="47"/>
  <c r="S90" i="47"/>
  <c r="R90" i="47"/>
  <c r="Q90" i="47"/>
  <c r="P90" i="47"/>
  <c r="O90" i="47"/>
  <c r="N90" i="47"/>
  <c r="A90" i="47"/>
  <c r="AM89" i="47"/>
  <c r="AL89" i="47"/>
  <c r="AK89" i="47"/>
  <c r="AJ89" i="47"/>
  <c r="AI89" i="47"/>
  <c r="AC89" i="47"/>
  <c r="W89" i="47"/>
  <c r="T89" i="47"/>
  <c r="S89" i="47"/>
  <c r="R89" i="47"/>
  <c r="Q89" i="47"/>
  <c r="P89" i="47"/>
  <c r="O89" i="47"/>
  <c r="N89" i="47"/>
  <c r="A89" i="47"/>
  <c r="AM88" i="47"/>
  <c r="AL88" i="47"/>
  <c r="AK88" i="47"/>
  <c r="AJ88" i="47"/>
  <c r="AI88" i="47"/>
  <c r="AC88" i="47"/>
  <c r="W88" i="47"/>
  <c r="T88" i="47"/>
  <c r="S88" i="47"/>
  <c r="R88" i="47"/>
  <c r="Q88" i="47"/>
  <c r="P88" i="47"/>
  <c r="O88" i="47"/>
  <c r="N88" i="47"/>
  <c r="A88" i="47"/>
  <c r="AC87" i="47"/>
  <c r="W87" i="47"/>
  <c r="T87" i="47"/>
  <c r="S87" i="47"/>
  <c r="R87" i="47"/>
  <c r="Q87" i="47"/>
  <c r="P87" i="47"/>
  <c r="O87" i="47"/>
  <c r="N87" i="47"/>
  <c r="A87" i="47"/>
  <c r="AC86" i="47"/>
  <c r="W86" i="47"/>
  <c r="T86" i="47"/>
  <c r="S86" i="47"/>
  <c r="R86" i="47"/>
  <c r="Q86" i="47"/>
  <c r="P86" i="47"/>
  <c r="O86" i="47"/>
  <c r="N86" i="47"/>
  <c r="A86" i="47"/>
  <c r="AC85" i="47"/>
  <c r="W85" i="47"/>
  <c r="T85" i="47"/>
  <c r="S85" i="47"/>
  <c r="R85" i="47"/>
  <c r="Q85" i="47"/>
  <c r="P85" i="47"/>
  <c r="O85" i="47"/>
  <c r="N85" i="47"/>
  <c r="A85" i="47"/>
  <c r="AC84" i="47"/>
  <c r="W84" i="47"/>
  <c r="T84" i="47"/>
  <c r="S84" i="47"/>
  <c r="R84" i="47"/>
  <c r="Q84" i="47"/>
  <c r="P84" i="47"/>
  <c r="O84" i="47"/>
  <c r="N84" i="47"/>
  <c r="A84" i="47"/>
  <c r="AM83" i="47"/>
  <c r="AL83" i="47"/>
  <c r="AK83" i="47"/>
  <c r="AJ83" i="47"/>
  <c r="AI83" i="47"/>
  <c r="AC83" i="47"/>
  <c r="W83" i="47"/>
  <c r="T83" i="47"/>
  <c r="S83" i="47"/>
  <c r="R83" i="47"/>
  <c r="Q83" i="47"/>
  <c r="P83" i="47"/>
  <c r="O83" i="47"/>
  <c r="N83" i="47"/>
  <c r="A83" i="47"/>
  <c r="AM82" i="47"/>
  <c r="AL82" i="47"/>
  <c r="AK82" i="47"/>
  <c r="AJ82" i="47"/>
  <c r="AI82" i="47"/>
  <c r="AC82" i="47"/>
  <c r="W82" i="47"/>
  <c r="T82" i="47"/>
  <c r="S82" i="47"/>
  <c r="R82" i="47"/>
  <c r="Q82" i="47"/>
  <c r="P82" i="47"/>
  <c r="O82" i="47"/>
  <c r="N82" i="47"/>
  <c r="A82" i="47"/>
  <c r="AM81" i="47"/>
  <c r="AL81" i="47"/>
  <c r="AK81" i="47"/>
  <c r="AJ81" i="47"/>
  <c r="AI81" i="47"/>
  <c r="AC81" i="47"/>
  <c r="W81" i="47"/>
  <c r="T81" i="47"/>
  <c r="S81" i="47"/>
  <c r="R81" i="47"/>
  <c r="Q81" i="47"/>
  <c r="P81" i="47"/>
  <c r="O81" i="47"/>
  <c r="N81" i="47"/>
  <c r="A81" i="47"/>
  <c r="AM80" i="47"/>
  <c r="AL80" i="47"/>
  <c r="AK80" i="47"/>
  <c r="AJ80" i="47"/>
  <c r="AI80" i="47"/>
  <c r="AC80" i="47"/>
  <c r="W80" i="47"/>
  <c r="T80" i="47"/>
  <c r="S80" i="47"/>
  <c r="R80" i="47"/>
  <c r="Q80" i="47"/>
  <c r="P80" i="47"/>
  <c r="O80" i="47"/>
  <c r="N80" i="47"/>
  <c r="A80" i="47"/>
  <c r="AM79" i="47"/>
  <c r="AL79" i="47"/>
  <c r="AK79" i="47"/>
  <c r="AJ79" i="47"/>
  <c r="AI79" i="47"/>
  <c r="AC79" i="47"/>
  <c r="W79" i="47"/>
  <c r="T79" i="47"/>
  <c r="S79" i="47"/>
  <c r="R79" i="47"/>
  <c r="Q79" i="47"/>
  <c r="P79" i="47"/>
  <c r="O79" i="47"/>
  <c r="N79" i="47"/>
  <c r="A79" i="47"/>
  <c r="AC78" i="47"/>
  <c r="W78" i="47"/>
  <c r="T78" i="47"/>
  <c r="S78" i="47"/>
  <c r="R78" i="47"/>
  <c r="Q78" i="47"/>
  <c r="P78" i="47"/>
  <c r="O78" i="47"/>
  <c r="N78" i="47"/>
  <c r="A78" i="47"/>
  <c r="AC77" i="47"/>
  <c r="W77" i="47"/>
  <c r="T77" i="47"/>
  <c r="S77" i="47"/>
  <c r="R77" i="47"/>
  <c r="Q77" i="47"/>
  <c r="P77" i="47"/>
  <c r="O77" i="47"/>
  <c r="N77" i="47"/>
  <c r="A77" i="47"/>
  <c r="AC76" i="47"/>
  <c r="W76" i="47"/>
  <c r="T76" i="47"/>
  <c r="S76" i="47"/>
  <c r="R76" i="47"/>
  <c r="Q76" i="47"/>
  <c r="P76" i="47"/>
  <c r="O76" i="47"/>
  <c r="N76" i="47"/>
  <c r="A76" i="47"/>
  <c r="AM75" i="47"/>
  <c r="AL75" i="47"/>
  <c r="AK75" i="47"/>
  <c r="AJ75" i="47"/>
  <c r="AI75" i="47"/>
  <c r="AC75" i="47"/>
  <c r="W75" i="47"/>
  <c r="T75" i="47"/>
  <c r="S75" i="47"/>
  <c r="R75" i="47"/>
  <c r="Q75" i="47"/>
  <c r="P75" i="47"/>
  <c r="O75" i="47"/>
  <c r="N75" i="47"/>
  <c r="A75" i="47"/>
  <c r="AC74" i="47"/>
  <c r="W74" i="47"/>
  <c r="T74" i="47"/>
  <c r="S74" i="47"/>
  <c r="R74" i="47"/>
  <c r="Q74" i="47"/>
  <c r="P74" i="47"/>
  <c r="O74" i="47"/>
  <c r="N74" i="47"/>
  <c r="A74" i="47"/>
  <c r="AM73" i="47"/>
  <c r="AL73" i="47"/>
  <c r="AK73" i="47"/>
  <c r="AJ73" i="47"/>
  <c r="AI73" i="47"/>
  <c r="AC73" i="47"/>
  <c r="W73" i="47"/>
  <c r="T73" i="47"/>
  <c r="S73" i="47"/>
  <c r="R73" i="47"/>
  <c r="Q73" i="47"/>
  <c r="P73" i="47"/>
  <c r="O73" i="47"/>
  <c r="N73" i="47"/>
  <c r="A73" i="47"/>
  <c r="AM72" i="47"/>
  <c r="AL72" i="47"/>
  <c r="AK72" i="47"/>
  <c r="AJ72" i="47"/>
  <c r="AI72" i="47"/>
  <c r="AC72" i="47"/>
  <c r="W72" i="47"/>
  <c r="T72" i="47"/>
  <c r="S72" i="47"/>
  <c r="R72" i="47"/>
  <c r="Q72" i="47"/>
  <c r="P72" i="47"/>
  <c r="O72" i="47"/>
  <c r="N72" i="47"/>
  <c r="A72" i="47"/>
  <c r="AC71" i="47"/>
  <c r="W71" i="47"/>
  <c r="T71" i="47"/>
  <c r="S71" i="47"/>
  <c r="R71" i="47"/>
  <c r="Q71" i="47"/>
  <c r="P71" i="47"/>
  <c r="O71" i="47"/>
  <c r="N71" i="47"/>
  <c r="A71" i="47"/>
  <c r="AC70" i="47"/>
  <c r="W70" i="47"/>
  <c r="T70" i="47"/>
  <c r="S70" i="47"/>
  <c r="R70" i="47"/>
  <c r="Q70" i="47"/>
  <c r="P70" i="47"/>
  <c r="O70" i="47"/>
  <c r="N70" i="47"/>
  <c r="A70" i="47"/>
  <c r="AM69" i="47"/>
  <c r="AL69" i="47"/>
  <c r="AK69" i="47"/>
  <c r="AJ69" i="47"/>
  <c r="AI69" i="47"/>
  <c r="AC69" i="47"/>
  <c r="W69" i="47"/>
  <c r="T69" i="47"/>
  <c r="S69" i="47"/>
  <c r="R69" i="47"/>
  <c r="Q69" i="47"/>
  <c r="P69" i="47"/>
  <c r="O69" i="47"/>
  <c r="N69" i="47"/>
  <c r="A69" i="47"/>
  <c r="AC68" i="47"/>
  <c r="W68" i="47"/>
  <c r="T68" i="47"/>
  <c r="S68" i="47"/>
  <c r="R68" i="47"/>
  <c r="Q68" i="47"/>
  <c r="P68" i="47"/>
  <c r="O68" i="47"/>
  <c r="N68" i="47"/>
  <c r="A68" i="47"/>
  <c r="AC67" i="47"/>
  <c r="W67" i="47"/>
  <c r="T67" i="47"/>
  <c r="S67" i="47"/>
  <c r="R67" i="47"/>
  <c r="Q67" i="47"/>
  <c r="P67" i="47"/>
  <c r="O67" i="47"/>
  <c r="N67" i="47"/>
  <c r="A67" i="47"/>
  <c r="AM66" i="47"/>
  <c r="AL66" i="47"/>
  <c r="AK66" i="47"/>
  <c r="AJ66" i="47"/>
  <c r="AI66" i="47"/>
  <c r="AC66" i="47"/>
  <c r="W66" i="47"/>
  <c r="T66" i="47"/>
  <c r="S66" i="47"/>
  <c r="R66" i="47"/>
  <c r="Q66" i="47"/>
  <c r="P66" i="47"/>
  <c r="O66" i="47"/>
  <c r="N66" i="47"/>
  <c r="A66" i="47"/>
  <c r="AC65" i="47"/>
  <c r="W65" i="47"/>
  <c r="T65" i="47"/>
  <c r="S65" i="47"/>
  <c r="R65" i="47"/>
  <c r="Q65" i="47"/>
  <c r="P65" i="47"/>
  <c r="O65" i="47"/>
  <c r="N65" i="47"/>
  <c r="A65" i="47"/>
  <c r="AM64" i="47"/>
  <c r="AL64" i="47"/>
  <c r="AK64" i="47"/>
  <c r="AJ64" i="47"/>
  <c r="AI64" i="47"/>
  <c r="AC64" i="47"/>
  <c r="W64" i="47"/>
  <c r="T64" i="47"/>
  <c r="S64" i="47"/>
  <c r="R64" i="47"/>
  <c r="Q64" i="47"/>
  <c r="P64" i="47"/>
  <c r="O64" i="47"/>
  <c r="N64" i="47"/>
  <c r="A64" i="47"/>
  <c r="AM63" i="47"/>
  <c r="AL63" i="47"/>
  <c r="AK63" i="47"/>
  <c r="AJ63" i="47"/>
  <c r="AI63" i="47"/>
  <c r="AC63" i="47"/>
  <c r="W63" i="47"/>
  <c r="T63" i="47"/>
  <c r="S63" i="47"/>
  <c r="R63" i="47"/>
  <c r="Q63" i="47"/>
  <c r="P63" i="47"/>
  <c r="O63" i="47"/>
  <c r="N63" i="47"/>
  <c r="A63" i="47"/>
  <c r="AM62" i="47"/>
  <c r="AL62" i="47"/>
  <c r="AK62" i="47"/>
  <c r="AJ62" i="47"/>
  <c r="AI62" i="47"/>
  <c r="AC62" i="47"/>
  <c r="W62" i="47"/>
  <c r="T62" i="47"/>
  <c r="S62" i="47"/>
  <c r="R62" i="47"/>
  <c r="Q62" i="47"/>
  <c r="P62" i="47"/>
  <c r="O62" i="47"/>
  <c r="N62" i="47"/>
  <c r="A62" i="47"/>
  <c r="AM33" i="47"/>
  <c r="AL33" i="47"/>
  <c r="AK33" i="47"/>
  <c r="AJ33" i="47"/>
  <c r="AI33" i="47"/>
  <c r="AC33" i="47"/>
  <c r="W33" i="47"/>
  <c r="T33" i="47"/>
  <c r="S33" i="47"/>
  <c r="R33" i="47"/>
  <c r="Q33" i="47"/>
  <c r="P33" i="47"/>
  <c r="O33" i="47"/>
  <c r="N33" i="47"/>
  <c r="A33" i="47"/>
  <c r="AM61" i="47"/>
  <c r="AL61" i="47"/>
  <c r="AK61" i="47"/>
  <c r="AJ61" i="47"/>
  <c r="AI61" i="47"/>
  <c r="AC61" i="47"/>
  <c r="W61" i="47"/>
  <c r="T61" i="47"/>
  <c r="S61" i="47"/>
  <c r="R61" i="47"/>
  <c r="Q61" i="47"/>
  <c r="P61" i="47"/>
  <c r="O61" i="47"/>
  <c r="N61" i="47"/>
  <c r="A61" i="47"/>
  <c r="AC60" i="47"/>
  <c r="W60" i="47"/>
  <c r="T60" i="47"/>
  <c r="S60" i="47"/>
  <c r="R60" i="47"/>
  <c r="Q60" i="47"/>
  <c r="P60" i="47"/>
  <c r="O60" i="47"/>
  <c r="N60" i="47"/>
  <c r="A60" i="47"/>
  <c r="AC59" i="47"/>
  <c r="W59" i="47"/>
  <c r="T59" i="47"/>
  <c r="S59" i="47"/>
  <c r="R59" i="47"/>
  <c r="Q59" i="47"/>
  <c r="P59" i="47"/>
  <c r="O59" i="47"/>
  <c r="N59" i="47"/>
  <c r="A59" i="47"/>
  <c r="AC58" i="47"/>
  <c r="W58" i="47"/>
  <c r="T58" i="47"/>
  <c r="S58" i="47"/>
  <c r="R58" i="47"/>
  <c r="Q58" i="47"/>
  <c r="P58" i="47"/>
  <c r="O58" i="47"/>
  <c r="N58" i="47"/>
  <c r="A58" i="47"/>
  <c r="AM57" i="47"/>
  <c r="AL57" i="47"/>
  <c r="AK57" i="47"/>
  <c r="AJ57" i="47"/>
  <c r="AI57" i="47"/>
  <c r="AC57" i="47"/>
  <c r="W57" i="47"/>
  <c r="T57" i="47"/>
  <c r="S57" i="47"/>
  <c r="R57" i="47"/>
  <c r="Q57" i="47"/>
  <c r="P57" i="47"/>
  <c r="O57" i="47"/>
  <c r="N57" i="47"/>
  <c r="A57" i="47"/>
  <c r="AM56" i="47"/>
  <c r="AL56" i="47"/>
  <c r="AK56" i="47"/>
  <c r="AJ56" i="47"/>
  <c r="AI56" i="47"/>
  <c r="AC56" i="47"/>
  <c r="W56" i="47"/>
  <c r="T56" i="47"/>
  <c r="S56" i="47"/>
  <c r="R56" i="47"/>
  <c r="Q56" i="47"/>
  <c r="P56" i="47"/>
  <c r="O56" i="47"/>
  <c r="N56" i="47"/>
  <c r="A56" i="47"/>
  <c r="AC55" i="47"/>
  <c r="W55" i="47"/>
  <c r="T55" i="47"/>
  <c r="S55" i="47"/>
  <c r="R55" i="47"/>
  <c r="Q55" i="47"/>
  <c r="P55" i="47"/>
  <c r="O55" i="47"/>
  <c r="N55" i="47"/>
  <c r="A55" i="47"/>
  <c r="AC54" i="47"/>
  <c r="W54" i="47"/>
  <c r="T54" i="47"/>
  <c r="S54" i="47"/>
  <c r="R54" i="47"/>
  <c r="Q54" i="47"/>
  <c r="P54" i="47"/>
  <c r="O54" i="47"/>
  <c r="N54" i="47"/>
  <c r="A54" i="47"/>
  <c r="AM53" i="47"/>
  <c r="AL53" i="47"/>
  <c r="AK53" i="47"/>
  <c r="AJ53" i="47"/>
  <c r="AI53" i="47"/>
  <c r="AC53" i="47"/>
  <c r="W53" i="47"/>
  <c r="T53" i="47"/>
  <c r="S53" i="47"/>
  <c r="R53" i="47"/>
  <c r="Q53" i="47"/>
  <c r="P53" i="47"/>
  <c r="O53" i="47"/>
  <c r="N53" i="47"/>
  <c r="A53" i="47"/>
  <c r="AC52" i="47"/>
  <c r="W52" i="47"/>
  <c r="T52" i="47"/>
  <c r="S52" i="47"/>
  <c r="R52" i="47"/>
  <c r="Q52" i="47"/>
  <c r="P52" i="47"/>
  <c r="O52" i="47"/>
  <c r="N52" i="47"/>
  <c r="A52" i="47"/>
  <c r="AC51" i="47"/>
  <c r="W51" i="47"/>
  <c r="T51" i="47"/>
  <c r="S51" i="47"/>
  <c r="R51" i="47"/>
  <c r="Q51" i="47"/>
  <c r="P51" i="47"/>
  <c r="O51" i="47"/>
  <c r="N51" i="47"/>
  <c r="A51" i="47"/>
  <c r="AC15" i="47"/>
  <c r="W15" i="47"/>
  <c r="T15" i="47"/>
  <c r="S15" i="47"/>
  <c r="R15" i="47"/>
  <c r="Q15" i="47"/>
  <c r="P15" i="47"/>
  <c r="O15" i="47"/>
  <c r="N15" i="47"/>
  <c r="A15" i="47"/>
  <c r="AC50" i="47"/>
  <c r="W50" i="47"/>
  <c r="T50" i="47"/>
  <c r="S50" i="47"/>
  <c r="R50" i="47"/>
  <c r="Q50" i="47"/>
  <c r="P50" i="47"/>
  <c r="O50" i="47"/>
  <c r="N50" i="47"/>
  <c r="A50" i="47"/>
  <c r="AC49" i="47"/>
  <c r="W49" i="47"/>
  <c r="T49" i="47"/>
  <c r="S49" i="47"/>
  <c r="R49" i="47"/>
  <c r="Q49" i="47"/>
  <c r="P49" i="47"/>
  <c r="O49" i="47"/>
  <c r="N49" i="47"/>
  <c r="A49" i="47"/>
  <c r="AC48" i="47"/>
  <c r="W48" i="47"/>
  <c r="T48" i="47"/>
  <c r="S48" i="47"/>
  <c r="R48" i="47"/>
  <c r="Q48" i="47"/>
  <c r="P48" i="47"/>
  <c r="O48" i="47"/>
  <c r="N48" i="47"/>
  <c r="A48" i="47"/>
  <c r="AC47" i="47"/>
  <c r="W47" i="47"/>
  <c r="T47" i="47"/>
  <c r="S47" i="47"/>
  <c r="R47" i="47"/>
  <c r="Q47" i="47"/>
  <c r="P47" i="47"/>
  <c r="O47" i="47"/>
  <c r="N47" i="47"/>
  <c r="A47" i="47"/>
  <c r="AC46" i="47"/>
  <c r="W46" i="47"/>
  <c r="T46" i="47"/>
  <c r="S46" i="47"/>
  <c r="R46" i="47"/>
  <c r="Q46" i="47"/>
  <c r="P46" i="47"/>
  <c r="O46" i="47"/>
  <c r="N46" i="47"/>
  <c r="A46" i="47"/>
  <c r="AM45" i="47"/>
  <c r="AL45" i="47"/>
  <c r="AK45" i="47"/>
  <c r="AJ45" i="47"/>
  <c r="AI45" i="47"/>
  <c r="AC45" i="47"/>
  <c r="W45" i="47"/>
  <c r="T45" i="47"/>
  <c r="S45" i="47"/>
  <c r="R45" i="47"/>
  <c r="Q45" i="47"/>
  <c r="P45" i="47"/>
  <c r="O45" i="47"/>
  <c r="N45" i="47"/>
  <c r="A45" i="47"/>
  <c r="AM44" i="47"/>
  <c r="AL44" i="47"/>
  <c r="AK44" i="47"/>
  <c r="AJ44" i="47"/>
  <c r="AI44" i="47"/>
  <c r="AC44" i="47"/>
  <c r="W44" i="47"/>
  <c r="T44" i="47"/>
  <c r="S44" i="47"/>
  <c r="R44" i="47"/>
  <c r="Q44" i="47"/>
  <c r="P44" i="47"/>
  <c r="O44" i="47"/>
  <c r="N44" i="47"/>
  <c r="A44" i="47"/>
  <c r="AM43" i="47"/>
  <c r="AL43" i="47"/>
  <c r="AK43" i="47"/>
  <c r="AJ43" i="47"/>
  <c r="AI43" i="47"/>
  <c r="AC43" i="47"/>
  <c r="W43" i="47"/>
  <c r="T43" i="47"/>
  <c r="S43" i="47"/>
  <c r="R43" i="47"/>
  <c r="Q43" i="47"/>
  <c r="P43" i="47"/>
  <c r="O43" i="47"/>
  <c r="N43" i="47"/>
  <c r="A43" i="47"/>
  <c r="AM42" i="47"/>
  <c r="AL42" i="47"/>
  <c r="AK42" i="47"/>
  <c r="AJ42" i="47"/>
  <c r="AI42" i="47"/>
  <c r="AC42" i="47"/>
  <c r="W42" i="47"/>
  <c r="T42" i="47"/>
  <c r="S42" i="47"/>
  <c r="R42" i="47"/>
  <c r="Q42" i="47"/>
  <c r="P42" i="47"/>
  <c r="O42" i="47"/>
  <c r="N42" i="47"/>
  <c r="A42" i="47"/>
  <c r="AC41" i="47"/>
  <c r="W41" i="47"/>
  <c r="T41" i="47"/>
  <c r="S41" i="47"/>
  <c r="R41" i="47"/>
  <c r="Q41" i="47"/>
  <c r="P41" i="47"/>
  <c r="O41" i="47"/>
  <c r="N41" i="47"/>
  <c r="A41" i="47"/>
  <c r="AM40" i="47"/>
  <c r="AL40" i="47"/>
  <c r="AK40" i="47"/>
  <c r="AJ40" i="47"/>
  <c r="AI40" i="47"/>
  <c r="AC40" i="47"/>
  <c r="W40" i="47"/>
  <c r="T40" i="47"/>
  <c r="S40" i="47"/>
  <c r="R40" i="47"/>
  <c r="Q40" i="47"/>
  <c r="P40" i="47"/>
  <c r="O40" i="47"/>
  <c r="N40" i="47"/>
  <c r="A40" i="47"/>
  <c r="AC39" i="47"/>
  <c r="W39" i="47"/>
  <c r="T39" i="47"/>
  <c r="S39" i="47"/>
  <c r="R39" i="47"/>
  <c r="Q39" i="47"/>
  <c r="P39" i="47"/>
  <c r="O39" i="47"/>
  <c r="N39" i="47"/>
  <c r="A39" i="47"/>
  <c r="AC38" i="47"/>
  <c r="W38" i="47"/>
  <c r="T38" i="47"/>
  <c r="S38" i="47"/>
  <c r="R38" i="47"/>
  <c r="Q38" i="47"/>
  <c r="P38" i="47"/>
  <c r="O38" i="47"/>
  <c r="N38" i="47"/>
  <c r="A38" i="47"/>
  <c r="AC37" i="47"/>
  <c r="W37" i="47"/>
  <c r="T37" i="47"/>
  <c r="S37" i="47"/>
  <c r="R37" i="47"/>
  <c r="Q37" i="47"/>
  <c r="P37" i="47"/>
  <c r="O37" i="47"/>
  <c r="N37" i="47"/>
  <c r="A37" i="47"/>
  <c r="AC36" i="47"/>
  <c r="W36" i="47"/>
  <c r="T36" i="47"/>
  <c r="S36" i="47"/>
  <c r="R36" i="47"/>
  <c r="Q36" i="47"/>
  <c r="P36" i="47"/>
  <c r="O36" i="47"/>
  <c r="N36" i="47"/>
  <c r="A36" i="47"/>
  <c r="AM35" i="47"/>
  <c r="AL35" i="47"/>
  <c r="AK35" i="47"/>
  <c r="AJ35" i="47"/>
  <c r="AI35" i="47"/>
  <c r="AC35" i="47"/>
  <c r="W35" i="47"/>
  <c r="T35" i="47"/>
  <c r="S35" i="47"/>
  <c r="R35" i="47"/>
  <c r="Q35" i="47"/>
  <c r="P35" i="47"/>
  <c r="O35" i="47"/>
  <c r="N35" i="47"/>
  <c r="A35" i="47"/>
  <c r="AM34" i="47"/>
  <c r="AL34" i="47"/>
  <c r="AK34" i="47"/>
  <c r="AJ34" i="47"/>
  <c r="AI34" i="47"/>
  <c r="AC34" i="47"/>
  <c r="W34" i="47"/>
  <c r="T34" i="47"/>
  <c r="S34" i="47"/>
  <c r="R34" i="47"/>
  <c r="Q34" i="47"/>
  <c r="P34" i="47"/>
  <c r="O34" i="47"/>
  <c r="N34" i="47"/>
  <c r="A34" i="47"/>
  <c r="AM32" i="47"/>
  <c r="AL32" i="47"/>
  <c r="AK32" i="47"/>
  <c r="AJ32" i="47"/>
  <c r="AI32" i="47"/>
  <c r="AC32" i="47"/>
  <c r="W32" i="47"/>
  <c r="T32" i="47"/>
  <c r="S32" i="47"/>
  <c r="R32" i="47"/>
  <c r="Q32" i="47"/>
  <c r="P32" i="47"/>
  <c r="O32" i="47"/>
  <c r="N32" i="47"/>
  <c r="A32" i="47"/>
  <c r="AC31" i="47"/>
  <c r="W31" i="47"/>
  <c r="T31" i="47"/>
  <c r="S31" i="47"/>
  <c r="R31" i="47"/>
  <c r="Q31" i="47"/>
  <c r="P31" i="47"/>
  <c r="O31" i="47"/>
  <c r="N31" i="47"/>
  <c r="A31" i="47"/>
  <c r="AC30" i="47"/>
  <c r="W30" i="47"/>
  <c r="T30" i="47"/>
  <c r="S30" i="47"/>
  <c r="R30" i="47"/>
  <c r="Q30" i="47"/>
  <c r="P30" i="47"/>
  <c r="O30" i="47"/>
  <c r="N30" i="47"/>
  <c r="A30" i="47"/>
  <c r="AC29" i="47"/>
  <c r="W29" i="47"/>
  <c r="T29" i="47"/>
  <c r="S29" i="47"/>
  <c r="R29" i="47"/>
  <c r="Q29" i="47"/>
  <c r="P29" i="47"/>
  <c r="O29" i="47"/>
  <c r="N29" i="47"/>
  <c r="A29" i="47"/>
  <c r="AM28" i="47"/>
  <c r="AL28" i="47"/>
  <c r="AK28" i="47"/>
  <c r="AJ28" i="47"/>
  <c r="AI28" i="47"/>
  <c r="AC28" i="47"/>
  <c r="W28" i="47"/>
  <c r="T28" i="47"/>
  <c r="S28" i="47"/>
  <c r="R28" i="47"/>
  <c r="Q28" i="47"/>
  <c r="P28" i="47"/>
  <c r="O28" i="47"/>
  <c r="N28" i="47"/>
  <c r="A28" i="47"/>
  <c r="AC27" i="47"/>
  <c r="W27" i="47"/>
  <c r="T27" i="47"/>
  <c r="S27" i="47"/>
  <c r="R27" i="47"/>
  <c r="Q27" i="47"/>
  <c r="P27" i="47"/>
  <c r="O27" i="47"/>
  <c r="N27" i="47"/>
  <c r="A27" i="47"/>
  <c r="AC26" i="47"/>
  <c r="W26" i="47"/>
  <c r="T26" i="47"/>
  <c r="S26" i="47"/>
  <c r="R26" i="47"/>
  <c r="Q26" i="47"/>
  <c r="P26" i="47"/>
  <c r="O26" i="47"/>
  <c r="N26" i="47"/>
  <c r="A26" i="47"/>
  <c r="AC25" i="47"/>
  <c r="W25" i="47"/>
  <c r="T25" i="47"/>
  <c r="S25" i="47"/>
  <c r="R25" i="47"/>
  <c r="Q25" i="47"/>
  <c r="P25" i="47"/>
  <c r="O25" i="47"/>
  <c r="N25" i="47"/>
  <c r="A25" i="47"/>
  <c r="AC24" i="47"/>
  <c r="W24" i="47"/>
  <c r="T24" i="47"/>
  <c r="S24" i="47"/>
  <c r="R24" i="47"/>
  <c r="Q24" i="47"/>
  <c r="P24" i="47"/>
  <c r="O24" i="47"/>
  <c r="N24" i="47"/>
  <c r="A24" i="47"/>
  <c r="AC23" i="47"/>
  <c r="W23" i="47"/>
  <c r="T23" i="47"/>
  <c r="S23" i="47"/>
  <c r="R23" i="47"/>
  <c r="Q23" i="47"/>
  <c r="P23" i="47"/>
  <c r="O23" i="47"/>
  <c r="N23" i="47"/>
  <c r="A23" i="47"/>
  <c r="AC22" i="47"/>
  <c r="W22" i="47"/>
  <c r="T22" i="47"/>
  <c r="S22" i="47"/>
  <c r="R22" i="47"/>
  <c r="Q22" i="47"/>
  <c r="P22" i="47"/>
  <c r="O22" i="47"/>
  <c r="N22" i="47"/>
  <c r="A22" i="47"/>
  <c r="AC21" i="47"/>
  <c r="W21" i="47"/>
  <c r="T21" i="47"/>
  <c r="S21" i="47"/>
  <c r="R21" i="47"/>
  <c r="Q21" i="47"/>
  <c r="P21" i="47"/>
  <c r="O21" i="47"/>
  <c r="N21" i="47"/>
  <c r="A21" i="47"/>
  <c r="AC20" i="47"/>
  <c r="W20" i="47"/>
  <c r="T20" i="47"/>
  <c r="S20" i="47"/>
  <c r="R20" i="47"/>
  <c r="Q20" i="47"/>
  <c r="P20" i="47"/>
  <c r="O20" i="47"/>
  <c r="N20" i="47"/>
  <c r="A20" i="47"/>
  <c r="AC19" i="47"/>
  <c r="W19" i="47"/>
  <c r="T19" i="47"/>
  <c r="S19" i="47"/>
  <c r="R19" i="47"/>
  <c r="Q19" i="47"/>
  <c r="P19" i="47"/>
  <c r="O19" i="47"/>
  <c r="N19" i="47"/>
  <c r="A19" i="47"/>
  <c r="AC18" i="47"/>
  <c r="W18" i="47"/>
  <c r="T18" i="47"/>
  <c r="S18" i="47"/>
  <c r="R18" i="47"/>
  <c r="Q18" i="47"/>
  <c r="P18" i="47"/>
  <c r="O18" i="47"/>
  <c r="N18" i="47"/>
  <c r="A18" i="47"/>
  <c r="AM17" i="47"/>
  <c r="AL17" i="47"/>
  <c r="AK17" i="47"/>
  <c r="AJ17" i="47"/>
  <c r="AI17" i="47"/>
  <c r="AC17" i="47"/>
  <c r="W17" i="47"/>
  <c r="T17" i="47"/>
  <c r="S17" i="47"/>
  <c r="R17" i="47"/>
  <c r="Q17" i="47"/>
  <c r="P17" i="47"/>
  <c r="O17" i="47"/>
  <c r="N17" i="47"/>
  <c r="A17" i="47"/>
  <c r="AC16" i="47"/>
  <c r="W16" i="47"/>
  <c r="T16" i="47"/>
  <c r="S16" i="47"/>
  <c r="R16" i="47"/>
  <c r="Q16" i="47"/>
  <c r="P16" i="47"/>
  <c r="O16" i="47"/>
  <c r="N16" i="47"/>
  <c r="A16" i="47"/>
  <c r="AM14" i="47"/>
  <c r="AL14" i="47"/>
  <c r="AK14" i="47"/>
  <c r="AJ14" i="47"/>
  <c r="AI14" i="47"/>
  <c r="AC14" i="47"/>
  <c r="W14" i="47"/>
  <c r="T14" i="47"/>
  <c r="S14" i="47"/>
  <c r="R14" i="47"/>
  <c r="Q14" i="47"/>
  <c r="P14" i="47"/>
  <c r="O14" i="47"/>
  <c r="N14" i="47"/>
  <c r="A14" i="47"/>
  <c r="AM13" i="47"/>
  <c r="AL13" i="47"/>
  <c r="AK13" i="47"/>
  <c r="AJ13" i="47"/>
  <c r="AI13" i="47"/>
  <c r="AC13" i="47"/>
  <c r="W13" i="47"/>
  <c r="T13" i="47"/>
  <c r="S13" i="47"/>
  <c r="R13" i="47"/>
  <c r="Q13" i="47"/>
  <c r="P13" i="47"/>
  <c r="O13" i="47"/>
  <c r="N13" i="47"/>
  <c r="A13" i="47"/>
  <c r="AM12" i="47"/>
  <c r="AL12" i="47"/>
  <c r="AK12" i="47"/>
  <c r="AJ12" i="47"/>
  <c r="AI12" i="47"/>
  <c r="AC12" i="47"/>
  <c r="W12" i="47"/>
  <c r="T12" i="47"/>
  <c r="S12" i="47"/>
  <c r="R12" i="47"/>
  <c r="Q12" i="47"/>
  <c r="P12" i="47"/>
  <c r="O12" i="47"/>
  <c r="N12" i="47"/>
  <c r="A12" i="47"/>
  <c r="AM11" i="47"/>
  <c r="AL11" i="47"/>
  <c r="AK11" i="47"/>
  <c r="AJ11" i="47"/>
  <c r="AI11" i="47"/>
  <c r="AC11" i="47"/>
  <c r="W11" i="47"/>
  <c r="T11" i="47"/>
  <c r="S11" i="47"/>
  <c r="R11" i="47"/>
  <c r="Q11" i="47"/>
  <c r="P11" i="47"/>
  <c r="O11" i="47"/>
  <c r="N11" i="47"/>
  <c r="A11" i="47"/>
  <c r="AC10" i="47"/>
  <c r="W10" i="47"/>
  <c r="T10" i="47"/>
  <c r="S10" i="47"/>
  <c r="R10" i="47"/>
  <c r="Q10" i="47"/>
  <c r="P10" i="47"/>
  <c r="O10" i="47"/>
  <c r="N10" i="47"/>
  <c r="A10" i="47"/>
  <c r="AM9" i="47"/>
  <c r="AL9" i="47"/>
  <c r="AK9" i="47"/>
  <c r="AJ9" i="47"/>
  <c r="AI9" i="47"/>
  <c r="AC9" i="47"/>
  <c r="W9" i="47"/>
  <c r="T9" i="47"/>
  <c r="S9" i="47"/>
  <c r="R9" i="47"/>
  <c r="Q9" i="47"/>
  <c r="P9" i="47"/>
  <c r="O9" i="47"/>
  <c r="N9" i="47"/>
  <c r="A9" i="47"/>
  <c r="AC8" i="47"/>
  <c r="W8" i="47"/>
  <c r="T8" i="47"/>
  <c r="S8" i="47"/>
  <c r="R8" i="47"/>
  <c r="Q8" i="47"/>
  <c r="P8" i="47"/>
  <c r="O8" i="47"/>
  <c r="N8" i="47"/>
  <c r="A8" i="47"/>
  <c r="AC6" i="47"/>
  <c r="W6" i="47"/>
  <c r="T6" i="47"/>
  <c r="S6" i="47"/>
  <c r="R6" i="47"/>
  <c r="Q6" i="47"/>
  <c r="P6" i="47"/>
  <c r="O6" i="47"/>
  <c r="N6" i="47"/>
  <c r="A6" i="47"/>
  <c r="AM5" i="47"/>
  <c r="AL5" i="47"/>
  <c r="AK5" i="47"/>
  <c r="AJ5" i="47"/>
  <c r="AI5" i="47"/>
  <c r="AC5" i="47"/>
  <c r="W5" i="47"/>
  <c r="T5" i="47"/>
  <c r="S5" i="47"/>
  <c r="R5" i="47"/>
  <c r="Q5" i="47"/>
  <c r="P5" i="47"/>
  <c r="O5" i="47"/>
  <c r="N5" i="47"/>
  <c r="A5" i="47"/>
  <c r="AC4" i="47"/>
  <c r="W4" i="47"/>
  <c r="T4" i="47"/>
  <c r="S4" i="47"/>
  <c r="R4" i="47"/>
  <c r="Q4" i="47"/>
  <c r="P4" i="47"/>
  <c r="O4" i="47"/>
  <c r="N4" i="47"/>
  <c r="A4" i="47"/>
  <c r="AC3" i="47"/>
  <c r="W3" i="47"/>
  <c r="T3" i="47"/>
  <c r="S3" i="47"/>
  <c r="R3" i="47"/>
  <c r="Q3" i="47"/>
  <c r="P3" i="47"/>
  <c r="O3" i="47"/>
  <c r="N3" i="47"/>
  <c r="A3" i="47"/>
  <c r="U19" i="47" l="1"/>
  <c r="U22" i="47"/>
  <c r="U25" i="47"/>
  <c r="U28" i="47"/>
  <c r="U29" i="47"/>
  <c r="U32" i="47"/>
  <c r="U34" i="47"/>
  <c r="U35" i="47"/>
  <c r="U36" i="47"/>
  <c r="U39" i="47"/>
  <c r="U47" i="47"/>
  <c r="U50" i="47"/>
  <c r="U52" i="47"/>
  <c r="U56" i="47"/>
  <c r="U57" i="47"/>
  <c r="U58" i="47"/>
  <c r="U69" i="47"/>
  <c r="U70" i="47"/>
  <c r="U75" i="47"/>
  <c r="U76" i="47"/>
  <c r="U79" i="47"/>
  <c r="U80" i="47"/>
  <c r="U81" i="47"/>
  <c r="U82" i="47"/>
  <c r="U83" i="47"/>
  <c r="U84" i="47"/>
  <c r="U87" i="47"/>
  <c r="U94" i="47"/>
  <c r="U97" i="47"/>
  <c r="U100" i="47"/>
  <c r="U104" i="47"/>
  <c r="U105" i="47"/>
  <c r="U106" i="47"/>
  <c r="U107" i="47"/>
  <c r="U2" i="47"/>
  <c r="U111" i="47"/>
  <c r="U112" i="47"/>
  <c r="U60" i="47"/>
  <c r="U113" i="47"/>
  <c r="U114" i="47"/>
  <c r="U59" i="47"/>
  <c r="U4" i="47"/>
  <c r="U9" i="47"/>
  <c r="U10" i="47"/>
  <c r="AM59" i="47"/>
  <c r="AL59" i="47"/>
  <c r="AK59" i="47"/>
  <c r="AJ59" i="47"/>
  <c r="AI59" i="47"/>
  <c r="AM65" i="47"/>
  <c r="AL65" i="47"/>
  <c r="AK65" i="47"/>
  <c r="AJ65" i="47"/>
  <c r="AI65" i="47"/>
  <c r="AM58" i="47"/>
  <c r="AL58" i="47"/>
  <c r="AK58" i="47"/>
  <c r="AJ58" i="47"/>
  <c r="AI58" i="47"/>
  <c r="U5" i="47"/>
  <c r="U6" i="47"/>
  <c r="U11" i="47"/>
  <c r="U12" i="47"/>
  <c r="U13" i="47"/>
  <c r="U14" i="47"/>
  <c r="U16" i="47"/>
  <c r="U20" i="47"/>
  <c r="U23" i="47"/>
  <c r="U26" i="47"/>
  <c r="U30" i="47"/>
  <c r="U37" i="47"/>
  <c r="U40" i="47"/>
  <c r="U41" i="47"/>
  <c r="U48" i="47"/>
  <c r="U15" i="47"/>
  <c r="U53" i="47"/>
  <c r="U54" i="47"/>
  <c r="U61" i="47"/>
  <c r="U33" i="47"/>
  <c r="U62" i="47"/>
  <c r="U63" i="47"/>
  <c r="U64" i="47"/>
  <c r="U65" i="47"/>
  <c r="U66" i="47"/>
  <c r="U67" i="47"/>
  <c r="U71" i="47"/>
  <c r="U77" i="47"/>
  <c r="U85" i="47"/>
  <c r="U88" i="47"/>
  <c r="U89" i="47"/>
  <c r="U90" i="47"/>
  <c r="U91" i="47"/>
  <c r="U95" i="47"/>
  <c r="U98" i="47"/>
  <c r="U101" i="47"/>
  <c r="U102" i="47"/>
  <c r="U108" i="47"/>
  <c r="U109" i="47"/>
  <c r="U116" i="47"/>
  <c r="U117" i="47"/>
  <c r="U118" i="47"/>
  <c r="U3" i="47"/>
  <c r="U8" i="47"/>
  <c r="U17" i="47"/>
  <c r="U18" i="47"/>
  <c r="U21" i="47"/>
  <c r="U24" i="47"/>
  <c r="U27" i="47"/>
  <c r="U31" i="47"/>
  <c r="U38" i="47"/>
  <c r="U42" i="47"/>
  <c r="U43" i="47"/>
  <c r="U44" i="47"/>
  <c r="U45" i="47"/>
  <c r="U46" i="47"/>
  <c r="U49" i="47"/>
  <c r="U51" i="47"/>
  <c r="U55" i="47"/>
  <c r="U68" i="47"/>
  <c r="U72" i="47"/>
  <c r="U73" i="47"/>
  <c r="U74" i="47"/>
  <c r="U78" i="47"/>
  <c r="U86" i="47"/>
  <c r="U92" i="47"/>
  <c r="U93" i="47"/>
  <c r="U96" i="47"/>
  <c r="U99" i="47"/>
  <c r="U103" i="47"/>
  <c r="U110" i="47"/>
  <c r="U115" i="47"/>
  <c r="AM52" i="47"/>
  <c r="AL52" i="47"/>
  <c r="AK52" i="47"/>
  <c r="AJ52" i="47"/>
  <c r="AI52" i="47"/>
  <c r="AM22" i="47"/>
  <c r="AL22" i="47"/>
  <c r="AK22" i="47"/>
  <c r="AJ22" i="47"/>
  <c r="AI22" i="47"/>
  <c r="AM4" i="47"/>
  <c r="AL4" i="47"/>
  <c r="AK4" i="47"/>
  <c r="AJ4" i="47"/>
  <c r="AI4" i="47"/>
  <c r="AM24" i="47"/>
  <c r="AL24" i="47"/>
  <c r="AK24" i="47"/>
  <c r="AJ24" i="47"/>
  <c r="AI24" i="47"/>
  <c r="AM68" i="47"/>
  <c r="AL68" i="47"/>
  <c r="AK68" i="47"/>
  <c r="AJ68" i="47"/>
  <c r="AI68" i="47"/>
  <c r="AM67" i="47"/>
  <c r="AL67" i="47"/>
  <c r="AK67" i="47"/>
  <c r="AJ67" i="47"/>
  <c r="AI67" i="47"/>
  <c r="AM48" i="47"/>
  <c r="AL48" i="47"/>
  <c r="AK48" i="47"/>
  <c r="AJ48" i="47"/>
  <c r="AI48" i="47"/>
  <c r="AM76" i="47"/>
  <c r="AL76" i="47"/>
  <c r="AK76" i="47"/>
  <c r="AJ76" i="47"/>
  <c r="AI76" i="47"/>
  <c r="AM3" i="47"/>
  <c r="AL3" i="47"/>
  <c r="AK3" i="47"/>
  <c r="AJ3" i="47"/>
  <c r="AI3" i="47"/>
  <c r="AM8" i="47"/>
  <c r="AL8" i="47"/>
  <c r="AK8" i="47"/>
  <c r="AJ8" i="47"/>
  <c r="AI8" i="47"/>
  <c r="AM29" i="47"/>
  <c r="AL29" i="47"/>
  <c r="AK29" i="47"/>
  <c r="AJ29" i="47"/>
  <c r="AI29" i="47"/>
  <c r="AM37" i="47"/>
  <c r="AL37" i="47"/>
  <c r="AK37" i="47"/>
  <c r="AJ37" i="47"/>
  <c r="AI37" i="47"/>
  <c r="AM103" i="47"/>
  <c r="AL103" i="47"/>
  <c r="AK103" i="47"/>
  <c r="AJ103" i="47"/>
  <c r="AI103" i="47"/>
  <c r="AM102" i="47"/>
  <c r="AL102" i="47"/>
  <c r="AK102" i="47"/>
  <c r="AJ102" i="47"/>
  <c r="AI102" i="47"/>
  <c r="AM50" i="47"/>
  <c r="AL50" i="47"/>
  <c r="AK50" i="47"/>
  <c r="AJ50" i="47"/>
  <c r="AI50" i="47"/>
  <c r="AM19" i="47"/>
  <c r="AL19" i="47"/>
  <c r="AK19" i="47"/>
  <c r="AJ19" i="47"/>
  <c r="AI19" i="47"/>
  <c r="AM16" i="47"/>
  <c r="AL16" i="47"/>
  <c r="AK16" i="47"/>
  <c r="AJ16" i="47"/>
  <c r="AI16" i="47"/>
  <c r="AM20" i="47"/>
  <c r="AL20" i="47"/>
  <c r="AK20" i="47"/>
  <c r="AJ20" i="47"/>
  <c r="AI20" i="47"/>
  <c r="AM55" i="47"/>
  <c r="AL55" i="47"/>
  <c r="AK55" i="47"/>
  <c r="AJ55" i="47"/>
  <c r="AI55" i="47"/>
  <c r="AM54" i="47"/>
  <c r="AL54" i="47"/>
  <c r="AK54" i="47"/>
  <c r="AJ54" i="47"/>
  <c r="AI54" i="47"/>
  <c r="AM27" i="47"/>
  <c r="AL27" i="47"/>
  <c r="AK27" i="47"/>
  <c r="AJ27" i="47"/>
  <c r="AI27" i="47"/>
  <c r="AM26" i="47"/>
  <c r="AL26" i="47"/>
  <c r="AK26" i="47"/>
  <c r="AJ26" i="47"/>
  <c r="AI26" i="47"/>
  <c r="AM98" i="47"/>
  <c r="AL98" i="47"/>
  <c r="AK98" i="47"/>
  <c r="AJ98" i="47"/>
  <c r="AI98" i="47"/>
  <c r="AM39" i="47"/>
  <c r="AL39" i="47"/>
  <c r="AK39" i="47"/>
  <c r="AJ39" i="47"/>
  <c r="AI39" i="47"/>
  <c r="AM100" i="47"/>
  <c r="AL100" i="47"/>
  <c r="AK100" i="47"/>
  <c r="AJ100" i="47"/>
  <c r="AI100" i="47"/>
  <c r="AM99" i="47"/>
  <c r="AL99" i="47"/>
  <c r="AK99" i="47"/>
  <c r="AJ99" i="47"/>
  <c r="AI99" i="47"/>
  <c r="AM87" i="47"/>
  <c r="AL87" i="47"/>
  <c r="AK87" i="47"/>
  <c r="AJ87" i="47"/>
  <c r="AI87" i="47"/>
  <c r="AM96" i="47"/>
  <c r="AL96" i="47"/>
  <c r="AK96" i="47"/>
  <c r="AJ96" i="47"/>
  <c r="AI96" i="47"/>
  <c r="AM18" i="47"/>
  <c r="AL18" i="47"/>
  <c r="AK18" i="47"/>
  <c r="AJ18" i="47"/>
  <c r="AI18" i="47"/>
  <c r="AM74" i="47"/>
  <c r="AL74" i="47"/>
  <c r="AK74" i="47"/>
  <c r="AJ74" i="47"/>
  <c r="AI74" i="47"/>
  <c r="AM94" i="47"/>
  <c r="AL94" i="47"/>
  <c r="AK94" i="47"/>
  <c r="AJ94" i="47"/>
  <c r="AI94" i="47"/>
  <c r="AM93" i="47"/>
  <c r="AL93" i="47"/>
  <c r="AK93" i="47"/>
  <c r="AJ93" i="47"/>
  <c r="AI93" i="47"/>
  <c r="AM71" i="47"/>
  <c r="AL71" i="47"/>
  <c r="AK71" i="47"/>
  <c r="AJ71" i="47"/>
  <c r="AI71" i="47"/>
  <c r="AM116" i="47"/>
  <c r="AL116" i="47"/>
  <c r="AK116" i="47"/>
  <c r="AJ116" i="47"/>
  <c r="AI116" i="47"/>
  <c r="AM110" i="47"/>
  <c r="AL110" i="47"/>
  <c r="AK110" i="47"/>
  <c r="AJ110" i="47"/>
  <c r="AI110" i="47"/>
  <c r="AM25" i="47"/>
  <c r="AL25" i="47"/>
  <c r="AK25" i="47"/>
  <c r="AJ25" i="47"/>
  <c r="AI25" i="47"/>
  <c r="AM21" i="47"/>
  <c r="AL21" i="47"/>
  <c r="AK21" i="47"/>
  <c r="AJ21" i="47"/>
  <c r="AI21" i="47"/>
  <c r="AM60" i="47"/>
  <c r="AL60" i="47"/>
  <c r="AK60" i="47"/>
  <c r="AJ60" i="47"/>
  <c r="AI60" i="47"/>
  <c r="AM49" i="47"/>
  <c r="AL49" i="47"/>
  <c r="AK49" i="47"/>
  <c r="AJ49" i="47"/>
  <c r="AI49" i="47"/>
  <c r="AM38" i="47"/>
  <c r="AL38" i="47"/>
  <c r="AK38" i="47"/>
  <c r="AJ38" i="47"/>
  <c r="AI38" i="47"/>
  <c r="AM41" i="47"/>
  <c r="AL41" i="47"/>
  <c r="AK41" i="47"/>
  <c r="AJ41" i="47"/>
  <c r="AI41" i="47"/>
  <c r="AM107" i="47"/>
  <c r="AL107" i="47"/>
  <c r="AK107" i="47"/>
  <c r="AJ107" i="47"/>
  <c r="AI107" i="47"/>
  <c r="AM78" i="47"/>
  <c r="AL78" i="47"/>
  <c r="AK78" i="47"/>
  <c r="AJ78" i="47"/>
  <c r="AI78" i="47"/>
  <c r="AM77" i="47"/>
  <c r="AL77" i="47"/>
  <c r="AK77" i="47"/>
  <c r="AJ77" i="47"/>
  <c r="AI77" i="47"/>
  <c r="AM85" i="47"/>
  <c r="AL85" i="47"/>
  <c r="AK85" i="47"/>
  <c r="AJ85" i="47"/>
  <c r="AI85" i="47"/>
  <c r="AM91" i="47"/>
  <c r="AL91" i="47"/>
  <c r="AK91" i="47"/>
  <c r="AJ91" i="47"/>
  <c r="AI91" i="47"/>
  <c r="AM84" i="47"/>
  <c r="AL84" i="47"/>
  <c r="AK84" i="47"/>
  <c r="AJ84" i="47"/>
  <c r="AI84" i="47"/>
  <c r="AM31" i="47"/>
  <c r="AL31" i="47"/>
  <c r="AK31" i="47"/>
  <c r="AJ31" i="47"/>
  <c r="AI31" i="47"/>
  <c r="AM47" i="47"/>
  <c r="AL47" i="47"/>
  <c r="AK47" i="47"/>
  <c r="AJ47" i="47"/>
  <c r="AI47" i="47"/>
  <c r="AM70" i="47"/>
  <c r="AL70" i="47"/>
  <c r="AK70" i="47"/>
  <c r="AJ70" i="47"/>
  <c r="AI70" i="47"/>
  <c r="AM109" i="47"/>
  <c r="AL109" i="47"/>
  <c r="AK109" i="47"/>
  <c r="AJ109" i="47"/>
  <c r="AI109" i="47"/>
  <c r="AM10" i="47"/>
  <c r="AL10" i="47"/>
  <c r="AK10" i="47"/>
  <c r="AJ10" i="47"/>
  <c r="AI10" i="47"/>
  <c r="AM95" i="47"/>
  <c r="AL95" i="47"/>
  <c r="AK95" i="47"/>
  <c r="AJ95" i="47"/>
  <c r="AI95" i="47"/>
  <c r="AM30" i="47"/>
  <c r="AL30" i="47"/>
  <c r="AK30" i="47"/>
  <c r="AJ30" i="47"/>
  <c r="AI30" i="47"/>
  <c r="AM15" i="47"/>
  <c r="AL15" i="47"/>
  <c r="AK15" i="47"/>
  <c r="AJ15" i="47"/>
  <c r="AI15" i="47"/>
  <c r="AM6" i="47"/>
  <c r="AL6" i="47"/>
  <c r="AK6" i="47"/>
  <c r="AJ6" i="47"/>
  <c r="AI6" i="47"/>
  <c r="AM46" i="47"/>
  <c r="AL46" i="47"/>
  <c r="AK46" i="47"/>
  <c r="AJ46" i="47"/>
  <c r="AI46" i="47"/>
  <c r="AM86" i="47"/>
  <c r="AL86" i="47"/>
  <c r="AK86" i="47"/>
  <c r="AJ86" i="47"/>
  <c r="AI86" i="47"/>
  <c r="AM51" i="47"/>
  <c r="AL51" i="47"/>
  <c r="AK51" i="47"/>
  <c r="AJ51" i="47"/>
  <c r="AI51" i="47"/>
  <c r="AM36" i="47"/>
  <c r="AL36" i="47"/>
  <c r="AK36" i="47"/>
  <c r="AJ36" i="47"/>
  <c r="AI36" i="47"/>
  <c r="AM97" i="47"/>
  <c r="AL97" i="47"/>
  <c r="AK97" i="47"/>
  <c r="AJ97" i="47"/>
  <c r="AI97" i="47"/>
  <c r="AM23" i="47"/>
  <c r="AL23" i="47"/>
  <c r="AK23" i="47"/>
  <c r="AJ23" i="47"/>
  <c r="AI23" i="47"/>
  <c r="V3" i="47"/>
  <c r="Z3" i="47"/>
  <c r="X3" i="47"/>
  <c r="AF3" i="47"/>
  <c r="AD3" i="47"/>
  <c r="V4" i="47"/>
  <c r="Z4" i="47"/>
  <c r="X4" i="47"/>
  <c r="AF4" i="47"/>
  <c r="AD4" i="47"/>
  <c r="V5" i="47"/>
  <c r="Z5" i="47"/>
  <c r="X5" i="47"/>
  <c r="AF5" i="47"/>
  <c r="AD5" i="47"/>
  <c r="V6" i="47"/>
  <c r="Z6" i="47"/>
  <c r="X6" i="47"/>
  <c r="AF6" i="47"/>
  <c r="AD6" i="47"/>
  <c r="V8" i="47"/>
  <c r="Z8" i="47"/>
  <c r="X8" i="47"/>
  <c r="AF8" i="47"/>
  <c r="AD8" i="47"/>
  <c r="V9" i="47"/>
  <c r="Z9" i="47"/>
  <c r="X9" i="47"/>
  <c r="AF9" i="47"/>
  <c r="AD9" i="47"/>
  <c r="V10" i="47"/>
  <c r="Z10" i="47"/>
  <c r="X10" i="47"/>
  <c r="AF10" i="47"/>
  <c r="AD10" i="47"/>
  <c r="V11" i="47"/>
  <c r="Z11" i="47"/>
  <c r="X11" i="47"/>
  <c r="AF11" i="47"/>
  <c r="AD11" i="47"/>
  <c r="V12" i="47"/>
  <c r="Z12" i="47"/>
  <c r="X12" i="47"/>
  <c r="AF12" i="47"/>
  <c r="AD12" i="47"/>
  <c r="V13" i="47"/>
  <c r="Z13" i="47"/>
  <c r="X13" i="47"/>
  <c r="AF13" i="47"/>
  <c r="AD13" i="47"/>
  <c r="V14" i="47"/>
  <c r="Z14" i="47"/>
  <c r="X14" i="47"/>
  <c r="AF14" i="47"/>
  <c r="AD14" i="47"/>
  <c r="V16" i="47"/>
  <c r="Z16" i="47"/>
  <c r="X16" i="47"/>
  <c r="AF16" i="47"/>
  <c r="AD16" i="47"/>
  <c r="V17" i="47"/>
  <c r="Z17" i="47"/>
  <c r="X17" i="47"/>
  <c r="AF17" i="47"/>
  <c r="AD17" i="47"/>
  <c r="V18" i="47"/>
  <c r="Z18" i="47"/>
  <c r="X18" i="47"/>
  <c r="AF18" i="47"/>
  <c r="AD18" i="47"/>
  <c r="V19" i="47"/>
  <c r="Z19" i="47"/>
  <c r="X19" i="47"/>
  <c r="AF19" i="47"/>
  <c r="AD19" i="47"/>
  <c r="V20" i="47"/>
  <c r="Z20" i="47"/>
  <c r="X20" i="47"/>
  <c r="AF20" i="47"/>
  <c r="AD20" i="47"/>
  <c r="V21" i="47"/>
  <c r="Z21" i="47"/>
  <c r="X21" i="47"/>
  <c r="AF21" i="47"/>
  <c r="AD21" i="47"/>
  <c r="V22" i="47"/>
  <c r="Z22" i="47"/>
  <c r="X22" i="47"/>
  <c r="AF22" i="47"/>
  <c r="AD22" i="47"/>
  <c r="V23" i="47"/>
  <c r="Z23" i="47"/>
  <c r="X23" i="47"/>
  <c r="AF23" i="47"/>
  <c r="AD23" i="47"/>
  <c r="V24" i="47"/>
  <c r="Z24" i="47"/>
  <c r="X24" i="47"/>
  <c r="AF24" i="47"/>
  <c r="AD24" i="47"/>
  <c r="V25" i="47"/>
  <c r="Z25" i="47"/>
  <c r="X25" i="47"/>
  <c r="AF25" i="47"/>
  <c r="AD25" i="47"/>
  <c r="V26" i="47"/>
  <c r="Z26" i="47"/>
  <c r="X26" i="47"/>
  <c r="AF26" i="47"/>
  <c r="AD26" i="47"/>
  <c r="V27" i="47"/>
  <c r="Z27" i="47"/>
  <c r="X27" i="47"/>
  <c r="AF27" i="47"/>
  <c r="AD27" i="47"/>
  <c r="V28" i="47"/>
  <c r="Z28" i="47"/>
  <c r="X28" i="47"/>
  <c r="AF28" i="47"/>
  <c r="AD28" i="47"/>
  <c r="V29" i="47"/>
  <c r="Z29" i="47"/>
  <c r="X29" i="47"/>
  <c r="AF29" i="47"/>
  <c r="AD29" i="47"/>
  <c r="V30" i="47"/>
  <c r="Z30" i="47"/>
  <c r="X30" i="47"/>
  <c r="AF30" i="47"/>
  <c r="AD30" i="47"/>
  <c r="V31" i="47"/>
  <c r="Z31" i="47"/>
  <c r="X31" i="47"/>
  <c r="AF31" i="47"/>
  <c r="AD31" i="47"/>
  <c r="V32" i="47"/>
  <c r="Z32" i="47"/>
  <c r="X32" i="47"/>
  <c r="AF32" i="47"/>
  <c r="AD32" i="47"/>
  <c r="V34" i="47"/>
  <c r="Z34" i="47"/>
  <c r="X34" i="47"/>
  <c r="AF34" i="47"/>
  <c r="AD34" i="47"/>
  <c r="V35" i="47"/>
  <c r="Z35" i="47"/>
  <c r="X35" i="47"/>
  <c r="AF35" i="47"/>
  <c r="AD35" i="47"/>
  <c r="V36" i="47"/>
  <c r="Z36" i="47"/>
  <c r="X36" i="47"/>
  <c r="AF36" i="47"/>
  <c r="AD36" i="47"/>
  <c r="V37" i="47"/>
  <c r="Z37" i="47"/>
  <c r="X37" i="47"/>
  <c r="AF37" i="47"/>
  <c r="AD37" i="47"/>
  <c r="V38" i="47"/>
  <c r="Z38" i="47"/>
  <c r="X38" i="47"/>
  <c r="AF38" i="47"/>
  <c r="AD38" i="47"/>
  <c r="V39" i="47"/>
  <c r="Z39" i="47"/>
  <c r="X39" i="47"/>
  <c r="AF39" i="47"/>
  <c r="AD39" i="47"/>
  <c r="V40" i="47"/>
  <c r="Z40" i="47"/>
  <c r="X40" i="47"/>
  <c r="AF40" i="47"/>
  <c r="AD40" i="47"/>
  <c r="V41" i="47"/>
  <c r="Z41" i="47"/>
  <c r="X41" i="47"/>
  <c r="AF41" i="47"/>
  <c r="AD41" i="47"/>
  <c r="V42" i="47"/>
  <c r="Z42" i="47"/>
  <c r="X42" i="47"/>
  <c r="AF42" i="47"/>
  <c r="AD42" i="47"/>
  <c r="V43" i="47"/>
  <c r="Z43" i="47"/>
  <c r="X43" i="47"/>
  <c r="AF43" i="47"/>
  <c r="AD43" i="47"/>
  <c r="V44" i="47"/>
  <c r="Z44" i="47"/>
  <c r="X44" i="47"/>
  <c r="AF44" i="47"/>
  <c r="AD44" i="47"/>
  <c r="V45" i="47"/>
  <c r="Z45" i="47"/>
  <c r="X45" i="47"/>
  <c r="AF45" i="47"/>
  <c r="AD45" i="47"/>
  <c r="V46" i="47"/>
  <c r="Z46" i="47"/>
  <c r="X46" i="47"/>
  <c r="AF46" i="47"/>
  <c r="AD46" i="47"/>
  <c r="V47" i="47"/>
  <c r="Z47" i="47"/>
  <c r="X47" i="47"/>
  <c r="AF47" i="47"/>
  <c r="AD47" i="47"/>
  <c r="V48" i="47"/>
  <c r="Z48" i="47"/>
  <c r="X48" i="47"/>
  <c r="AF48" i="47"/>
  <c r="AD48" i="47"/>
  <c r="V49" i="47"/>
  <c r="Z49" i="47"/>
  <c r="X49" i="47"/>
  <c r="AF49" i="47"/>
  <c r="AD49" i="47"/>
  <c r="V50" i="47"/>
  <c r="Z50" i="47"/>
  <c r="X50" i="47"/>
  <c r="AF50" i="47"/>
  <c r="AD50" i="47"/>
  <c r="V15" i="47"/>
  <c r="Z15" i="47"/>
  <c r="X15" i="47"/>
  <c r="AF15" i="47"/>
  <c r="AD15" i="47"/>
  <c r="V51" i="47"/>
  <c r="Z51" i="47"/>
  <c r="X51" i="47"/>
  <c r="AF51" i="47"/>
  <c r="AD51" i="47"/>
  <c r="V52" i="47"/>
  <c r="Z52" i="47"/>
  <c r="X52" i="47"/>
  <c r="AF52" i="47"/>
  <c r="AD52" i="47"/>
  <c r="V53" i="47"/>
  <c r="Z53" i="47"/>
  <c r="X53" i="47"/>
  <c r="AF53" i="47"/>
  <c r="AD53" i="47"/>
  <c r="V54" i="47"/>
  <c r="Z54" i="47"/>
  <c r="X54" i="47"/>
  <c r="AF54" i="47"/>
  <c r="AD54" i="47"/>
  <c r="V55" i="47"/>
  <c r="Z55" i="47"/>
  <c r="X55" i="47"/>
  <c r="AF55" i="47"/>
  <c r="AD55" i="47"/>
  <c r="V56" i="47"/>
  <c r="Z56" i="47"/>
  <c r="X56" i="47"/>
  <c r="AF56" i="47"/>
  <c r="AD56" i="47"/>
  <c r="V57" i="47"/>
  <c r="Z57" i="47"/>
  <c r="X57" i="47"/>
  <c r="AF57" i="47"/>
  <c r="AD57" i="47"/>
  <c r="V58" i="47"/>
  <c r="Z58" i="47"/>
  <c r="X58" i="47"/>
  <c r="AF58" i="47"/>
  <c r="AD58" i="47"/>
  <c r="V59" i="47"/>
  <c r="Z59" i="47"/>
  <c r="X59" i="47"/>
  <c r="AF59" i="47"/>
  <c r="AD59" i="47"/>
  <c r="V60" i="47"/>
  <c r="Z60" i="47"/>
  <c r="X60" i="47"/>
  <c r="AF60" i="47"/>
  <c r="AD60" i="47"/>
  <c r="V61" i="47"/>
  <c r="Z61" i="47"/>
  <c r="X61" i="47"/>
  <c r="AF61" i="47"/>
  <c r="AD61" i="47"/>
  <c r="V33" i="47"/>
  <c r="Z33" i="47"/>
  <c r="X33" i="47"/>
  <c r="AF33" i="47"/>
  <c r="AD33" i="47"/>
  <c r="V62" i="47"/>
  <c r="Z62" i="47"/>
  <c r="X62" i="47"/>
  <c r="AF62" i="47"/>
  <c r="AD62" i="47"/>
  <c r="V63" i="47"/>
  <c r="Z63" i="47"/>
  <c r="X63" i="47"/>
  <c r="AF63" i="47"/>
  <c r="AD63" i="47"/>
  <c r="V64" i="47"/>
  <c r="Z64" i="47"/>
  <c r="X64" i="47"/>
  <c r="AF64" i="47"/>
  <c r="AD64" i="47"/>
  <c r="V65" i="47"/>
  <c r="Z65" i="47"/>
  <c r="X65" i="47"/>
  <c r="AF65" i="47"/>
  <c r="AD65" i="47"/>
  <c r="V66" i="47"/>
  <c r="Z66" i="47"/>
  <c r="X66" i="47"/>
  <c r="AF66" i="47"/>
  <c r="AD66" i="47"/>
  <c r="V67" i="47"/>
  <c r="Z67" i="47"/>
  <c r="X67" i="47"/>
  <c r="AF67" i="47"/>
  <c r="AD67" i="47"/>
  <c r="V68" i="47"/>
  <c r="Z68" i="47"/>
  <c r="X68" i="47"/>
  <c r="AF68" i="47"/>
  <c r="AD68" i="47"/>
  <c r="V69" i="47"/>
  <c r="Z69" i="47"/>
  <c r="X69" i="47"/>
  <c r="AF69" i="47"/>
  <c r="AD69" i="47"/>
  <c r="V70" i="47"/>
  <c r="Z70" i="47"/>
  <c r="X70" i="47"/>
  <c r="AF70" i="47"/>
  <c r="AD70" i="47"/>
  <c r="V71" i="47"/>
  <c r="Z71" i="47"/>
  <c r="X71" i="47"/>
  <c r="AF71" i="47"/>
  <c r="AD71" i="47"/>
  <c r="V72" i="47"/>
  <c r="Z72" i="47"/>
  <c r="X72" i="47"/>
  <c r="AF72" i="47"/>
  <c r="AD72" i="47"/>
  <c r="V73" i="47"/>
  <c r="Z73" i="47"/>
  <c r="X73" i="47"/>
  <c r="AF73" i="47"/>
  <c r="AD73" i="47"/>
  <c r="V74" i="47"/>
  <c r="Z74" i="47"/>
  <c r="X74" i="47"/>
  <c r="AF74" i="47"/>
  <c r="AD74" i="47"/>
  <c r="V75" i="47"/>
  <c r="Z75" i="47"/>
  <c r="X75" i="47"/>
  <c r="AF75" i="47"/>
  <c r="AD75" i="47"/>
  <c r="V76" i="47"/>
  <c r="Z76" i="47"/>
  <c r="X76" i="47"/>
  <c r="AF76" i="47"/>
  <c r="AD76" i="47"/>
  <c r="V77" i="47"/>
  <c r="Z77" i="47"/>
  <c r="X77" i="47"/>
  <c r="AF77" i="47"/>
  <c r="AD77" i="47"/>
  <c r="V78" i="47"/>
  <c r="Z78" i="47"/>
  <c r="X78" i="47"/>
  <c r="AF78" i="47"/>
  <c r="AD78" i="47"/>
  <c r="V79" i="47"/>
  <c r="Z79" i="47"/>
  <c r="X79" i="47"/>
  <c r="AF79" i="47"/>
  <c r="AD79" i="47"/>
  <c r="V80" i="47"/>
  <c r="Z80" i="47"/>
  <c r="X80" i="47"/>
  <c r="AF80" i="47"/>
  <c r="AD80" i="47"/>
  <c r="V81" i="47"/>
  <c r="Z81" i="47"/>
  <c r="X81" i="47"/>
  <c r="AF81" i="47"/>
  <c r="AD81" i="47"/>
  <c r="V82" i="47"/>
  <c r="Z82" i="47"/>
  <c r="X82" i="47"/>
  <c r="AF82" i="47"/>
  <c r="AD82" i="47"/>
  <c r="V83" i="47"/>
  <c r="Z83" i="47"/>
  <c r="X83" i="47"/>
  <c r="AF83" i="47"/>
  <c r="AD83" i="47"/>
  <c r="V84" i="47"/>
  <c r="Z84" i="47"/>
  <c r="X84" i="47"/>
  <c r="AF84" i="47"/>
  <c r="AD84" i="47"/>
  <c r="V85" i="47"/>
  <c r="Z85" i="47"/>
  <c r="X85" i="47"/>
  <c r="AF85" i="47"/>
  <c r="AD85" i="47"/>
  <c r="V86" i="47"/>
  <c r="Z86" i="47"/>
  <c r="X86" i="47"/>
  <c r="AF86" i="47"/>
  <c r="AD86" i="47"/>
  <c r="V87" i="47"/>
  <c r="Z87" i="47"/>
  <c r="X87" i="47"/>
  <c r="AF87" i="47"/>
  <c r="AD87" i="47"/>
  <c r="V88" i="47"/>
  <c r="Z88" i="47"/>
  <c r="X88" i="47"/>
  <c r="AF88" i="47"/>
  <c r="AD88" i="47"/>
  <c r="V89" i="47"/>
  <c r="Z89" i="47"/>
  <c r="X89" i="47"/>
  <c r="AF89" i="47"/>
  <c r="AD89" i="47"/>
  <c r="V90" i="47"/>
  <c r="Z90" i="47"/>
  <c r="X90" i="47"/>
  <c r="AF90" i="47"/>
  <c r="AD90" i="47"/>
  <c r="V91" i="47"/>
  <c r="Z91" i="47"/>
  <c r="X91" i="47"/>
  <c r="AF91" i="47"/>
  <c r="AD91" i="47"/>
  <c r="V92" i="47"/>
  <c r="Z92" i="47"/>
  <c r="X92" i="47"/>
  <c r="AF92" i="47"/>
  <c r="AD92" i="47"/>
  <c r="V93" i="47"/>
  <c r="Z93" i="47"/>
  <c r="X93" i="47"/>
  <c r="AF93" i="47"/>
  <c r="AD93" i="47"/>
  <c r="V94" i="47"/>
  <c r="Z94" i="47"/>
  <c r="X94" i="47"/>
  <c r="AF94" i="47"/>
  <c r="AD94" i="47"/>
  <c r="V95" i="47"/>
  <c r="Z95" i="47"/>
  <c r="X95" i="47"/>
  <c r="AF95" i="47"/>
  <c r="AD95" i="47"/>
  <c r="V96" i="47"/>
  <c r="Z96" i="47"/>
  <c r="X96" i="47"/>
  <c r="AF96" i="47"/>
  <c r="AD96" i="47"/>
  <c r="V97" i="47"/>
  <c r="Z97" i="47"/>
  <c r="X97" i="47"/>
  <c r="AF97" i="47"/>
  <c r="AD97" i="47"/>
  <c r="V98" i="47"/>
  <c r="Z98" i="47"/>
  <c r="X98" i="47"/>
  <c r="AF98" i="47"/>
  <c r="AD98" i="47"/>
  <c r="V99" i="47"/>
  <c r="Z99" i="47"/>
  <c r="X99" i="47"/>
  <c r="AF99" i="47"/>
  <c r="AD99" i="47"/>
  <c r="V100" i="47"/>
  <c r="Z100" i="47"/>
  <c r="X100" i="47"/>
  <c r="AF100" i="47"/>
  <c r="AD100" i="47"/>
  <c r="V101" i="47"/>
  <c r="Z101" i="47"/>
  <c r="X101" i="47"/>
  <c r="AF101" i="47"/>
  <c r="AD101" i="47"/>
  <c r="V102" i="47"/>
  <c r="Z102" i="47"/>
  <c r="X102" i="47"/>
  <c r="AF102" i="47"/>
  <c r="AD102" i="47"/>
  <c r="V103" i="47"/>
  <c r="Z103" i="47"/>
  <c r="X103" i="47"/>
  <c r="AF103" i="47"/>
  <c r="AD103" i="47"/>
  <c r="V104" i="47"/>
  <c r="Z104" i="47"/>
  <c r="X104" i="47"/>
  <c r="AF104" i="47"/>
  <c r="AD104" i="47"/>
  <c r="V105" i="47"/>
  <c r="Z105" i="47"/>
  <c r="X105" i="47"/>
  <c r="AF105" i="47"/>
  <c r="AD105" i="47"/>
  <c r="V106" i="47"/>
  <c r="Z106" i="47"/>
  <c r="X106" i="47"/>
  <c r="AF106" i="47"/>
  <c r="AD106" i="47"/>
  <c r="V107" i="47"/>
  <c r="Z107" i="47"/>
  <c r="X107" i="47"/>
  <c r="AF107" i="47"/>
  <c r="AD107" i="47"/>
  <c r="V108" i="47"/>
  <c r="Z108" i="47"/>
  <c r="X108" i="47"/>
  <c r="AF108" i="47"/>
  <c r="AD108" i="47"/>
  <c r="V109" i="47"/>
  <c r="Z109" i="47"/>
  <c r="X109" i="47"/>
  <c r="AF109" i="47"/>
  <c r="AD109" i="47"/>
  <c r="V110" i="47"/>
  <c r="Z110" i="47"/>
  <c r="X110" i="47"/>
  <c r="AF110" i="47"/>
  <c r="AD110" i="47"/>
  <c r="V2" i="47"/>
  <c r="Z2" i="47"/>
  <c r="X2" i="47"/>
  <c r="AF2" i="47"/>
  <c r="AD2" i="47"/>
  <c r="V111" i="47"/>
  <c r="Z111" i="47"/>
  <c r="X111" i="47"/>
  <c r="AF111" i="47"/>
  <c r="AD111" i="47"/>
  <c r="V112" i="47"/>
  <c r="Z112" i="47"/>
  <c r="X112" i="47"/>
  <c r="AF112" i="47"/>
  <c r="AD112" i="47"/>
  <c r="V113" i="47"/>
  <c r="Z113" i="47"/>
  <c r="X113" i="47"/>
  <c r="AF113" i="47"/>
  <c r="AD113" i="47"/>
  <c r="V114" i="47"/>
  <c r="Z114" i="47"/>
  <c r="X114" i="47"/>
  <c r="AF114" i="47"/>
  <c r="AD114" i="47"/>
  <c r="V115" i="47"/>
  <c r="Z115" i="47"/>
  <c r="X115" i="47"/>
  <c r="AF115" i="47"/>
  <c r="AD115" i="47"/>
  <c r="V116" i="47"/>
  <c r="Z116" i="47"/>
  <c r="X116" i="47"/>
  <c r="AF116" i="47"/>
  <c r="AD116" i="47"/>
  <c r="V117" i="47"/>
  <c r="Z117" i="47"/>
  <c r="X117" i="47"/>
  <c r="AF117" i="47"/>
  <c r="AD117" i="47"/>
  <c r="V118" i="47"/>
  <c r="AG117" i="47" l="1"/>
  <c r="AE117" i="47"/>
  <c r="AH117" i="47" s="1"/>
  <c r="AA117" i="47"/>
  <c r="AB117" i="47" s="1"/>
  <c r="Y117" i="47"/>
  <c r="AG116" i="47"/>
  <c r="AE116" i="47"/>
  <c r="AH116" i="47" s="1"/>
  <c r="AA116" i="47"/>
  <c r="AB116" i="47" s="1"/>
  <c r="Y116" i="47"/>
  <c r="AG115" i="47"/>
  <c r="AE115" i="47"/>
  <c r="AH115" i="47" s="1"/>
  <c r="AA115" i="47"/>
  <c r="AB115" i="47" s="1"/>
  <c r="Y115" i="47"/>
  <c r="AG114" i="47"/>
  <c r="AE114" i="47"/>
  <c r="AH114" i="47" s="1"/>
  <c r="AA114" i="47"/>
  <c r="AB114" i="47" s="1"/>
  <c r="Y114" i="47"/>
  <c r="AG113" i="47"/>
  <c r="AE113" i="47"/>
  <c r="AH113" i="47" s="1"/>
  <c r="AA113" i="47"/>
  <c r="AB113" i="47" s="1"/>
  <c r="Y113" i="47"/>
  <c r="AG112" i="47"/>
  <c r="AE112" i="47"/>
  <c r="AH112" i="47" s="1"/>
  <c r="AA112" i="47"/>
  <c r="AB112" i="47" s="1"/>
  <c r="Y112" i="47"/>
  <c r="AG111" i="47"/>
  <c r="AE111" i="47"/>
  <c r="AH111" i="47" s="1"/>
  <c r="AA111" i="47"/>
  <c r="AB111" i="47" s="1"/>
  <c r="Y111" i="47"/>
  <c r="AG2" i="47"/>
  <c r="AE2" i="47"/>
  <c r="AH2" i="47" s="1"/>
  <c r="AA2" i="47"/>
  <c r="AB2" i="47" s="1"/>
  <c r="Y2" i="47"/>
  <c r="AG110" i="47"/>
  <c r="AE110" i="47"/>
  <c r="AH110" i="47" s="1"/>
  <c r="AA110" i="47"/>
  <c r="AB110" i="47" s="1"/>
  <c r="Y110" i="47"/>
  <c r="AG109" i="47"/>
  <c r="AE109" i="47"/>
  <c r="AH109" i="47" s="1"/>
  <c r="AA109" i="47"/>
  <c r="AB109" i="47" s="1"/>
  <c r="Y109" i="47"/>
  <c r="AG108" i="47"/>
  <c r="AE108" i="47"/>
  <c r="AH108" i="47" s="1"/>
  <c r="AA108" i="47"/>
  <c r="AB108" i="47" s="1"/>
  <c r="Y108" i="47"/>
  <c r="AG107" i="47"/>
  <c r="AE107" i="47"/>
  <c r="AH107" i="47" s="1"/>
  <c r="AA107" i="47"/>
  <c r="AB107" i="47" s="1"/>
  <c r="Y107" i="47"/>
  <c r="AG106" i="47"/>
  <c r="AE106" i="47"/>
  <c r="AH106" i="47" s="1"/>
  <c r="AA106" i="47"/>
  <c r="AB106" i="47" s="1"/>
  <c r="Y106" i="47"/>
  <c r="AG105" i="47"/>
  <c r="AE105" i="47"/>
  <c r="AH105" i="47" s="1"/>
  <c r="AA105" i="47"/>
  <c r="AB105" i="47" s="1"/>
  <c r="Y105" i="47"/>
  <c r="AG104" i="47"/>
  <c r="AE104" i="47"/>
  <c r="AH104" i="47" s="1"/>
  <c r="AA104" i="47"/>
  <c r="AB104" i="47" s="1"/>
  <c r="Y104" i="47"/>
  <c r="AG103" i="47"/>
  <c r="AE103" i="47"/>
  <c r="AH103" i="47" s="1"/>
  <c r="AA103" i="47"/>
  <c r="AB103" i="47" s="1"/>
  <c r="Y103" i="47"/>
  <c r="AG102" i="47"/>
  <c r="AE102" i="47"/>
  <c r="AH102" i="47" s="1"/>
  <c r="AA102" i="47"/>
  <c r="AB102" i="47" s="1"/>
  <c r="Y102" i="47"/>
  <c r="AG101" i="47"/>
  <c r="AE101" i="47"/>
  <c r="AH101" i="47" s="1"/>
  <c r="AA101" i="47"/>
  <c r="AB101" i="47" s="1"/>
  <c r="Y101" i="47"/>
  <c r="AG100" i="47"/>
  <c r="AE100" i="47"/>
  <c r="AH100" i="47" s="1"/>
  <c r="AA100" i="47"/>
  <c r="AB100" i="47" s="1"/>
  <c r="Y100" i="47"/>
  <c r="AG99" i="47"/>
  <c r="AE99" i="47"/>
  <c r="AH99" i="47" s="1"/>
  <c r="AA99" i="47"/>
  <c r="AB99" i="47" s="1"/>
  <c r="Y99" i="47"/>
  <c r="AG98" i="47"/>
  <c r="AE98" i="47"/>
  <c r="AH98" i="47" s="1"/>
  <c r="AA98" i="47"/>
  <c r="AB98" i="47" s="1"/>
  <c r="Y98" i="47"/>
  <c r="AG97" i="47"/>
  <c r="AE97" i="47"/>
  <c r="AH97" i="47" s="1"/>
  <c r="AA97" i="47"/>
  <c r="AB97" i="47" s="1"/>
  <c r="Y97" i="47"/>
  <c r="AG96" i="47"/>
  <c r="AE96" i="47"/>
  <c r="AH96" i="47" s="1"/>
  <c r="AA96" i="47"/>
  <c r="AB96" i="47" s="1"/>
  <c r="Y96" i="47"/>
  <c r="AG95" i="47"/>
  <c r="AE95" i="47"/>
  <c r="AH95" i="47" s="1"/>
  <c r="AA95" i="47"/>
  <c r="AB95" i="47" s="1"/>
  <c r="Y95" i="47"/>
  <c r="AG94" i="47"/>
  <c r="AE94" i="47"/>
  <c r="AH94" i="47" s="1"/>
  <c r="AA94" i="47"/>
  <c r="AB94" i="47" s="1"/>
  <c r="Y94" i="47"/>
  <c r="AG93" i="47"/>
  <c r="AE93" i="47"/>
  <c r="AH93" i="47" s="1"/>
  <c r="AA93" i="47"/>
  <c r="AB93" i="47" s="1"/>
  <c r="Y93" i="47"/>
  <c r="AG92" i="47"/>
  <c r="AE92" i="47"/>
  <c r="AH92" i="47" s="1"/>
  <c r="AA92" i="47"/>
  <c r="AB92" i="47" s="1"/>
  <c r="Y92" i="47"/>
  <c r="AG91" i="47"/>
  <c r="AE91" i="47"/>
  <c r="AH91" i="47" s="1"/>
  <c r="AA91" i="47"/>
  <c r="AB91" i="47" s="1"/>
  <c r="Y91" i="47"/>
  <c r="AG90" i="47"/>
  <c r="AE90" i="47"/>
  <c r="AH90" i="47" s="1"/>
  <c r="AA90" i="47"/>
  <c r="AB90" i="47" s="1"/>
  <c r="Y90" i="47"/>
  <c r="AG89" i="47"/>
  <c r="AE89" i="47"/>
  <c r="AH89" i="47" s="1"/>
  <c r="AA89" i="47"/>
  <c r="AB89" i="47" s="1"/>
  <c r="Y89" i="47"/>
  <c r="AG88" i="47"/>
  <c r="AE88" i="47"/>
  <c r="AH88" i="47" s="1"/>
  <c r="AA88" i="47"/>
  <c r="AB88" i="47" s="1"/>
  <c r="Y88" i="47"/>
  <c r="AG87" i="47"/>
  <c r="AE87" i="47"/>
  <c r="AH87" i="47" s="1"/>
  <c r="AA87" i="47"/>
  <c r="AB87" i="47" s="1"/>
  <c r="Y87" i="47"/>
  <c r="AG86" i="47"/>
  <c r="AE86" i="47"/>
  <c r="AH86" i="47" s="1"/>
  <c r="AA86" i="47"/>
  <c r="AB86" i="47" s="1"/>
  <c r="Y86" i="47"/>
  <c r="AG85" i="47"/>
  <c r="AE85" i="47"/>
  <c r="AH85" i="47" s="1"/>
  <c r="AA85" i="47"/>
  <c r="AB85" i="47" s="1"/>
  <c r="Y85" i="47"/>
  <c r="AG84" i="47"/>
  <c r="AE84" i="47"/>
  <c r="AH84" i="47" s="1"/>
  <c r="AA84" i="47"/>
  <c r="AB84" i="47" s="1"/>
  <c r="Y84" i="47"/>
  <c r="AG83" i="47"/>
  <c r="AE83" i="47"/>
  <c r="AH83" i="47" s="1"/>
  <c r="AA83" i="47"/>
  <c r="AB83" i="47" s="1"/>
  <c r="Y83" i="47"/>
  <c r="AG82" i="47"/>
  <c r="AE82" i="47"/>
  <c r="AH82" i="47" s="1"/>
  <c r="AA82" i="47"/>
  <c r="AB82" i="47" s="1"/>
  <c r="Y82" i="47"/>
  <c r="AG81" i="47"/>
  <c r="AE81" i="47"/>
  <c r="AH81" i="47" s="1"/>
  <c r="AA81" i="47"/>
  <c r="AB81" i="47" s="1"/>
  <c r="Y81" i="47"/>
  <c r="AG80" i="47"/>
  <c r="AE80" i="47"/>
  <c r="AH80" i="47" s="1"/>
  <c r="AA80" i="47"/>
  <c r="AB80" i="47" s="1"/>
  <c r="Y80" i="47"/>
  <c r="AG79" i="47"/>
  <c r="AE79" i="47"/>
  <c r="AH79" i="47" s="1"/>
  <c r="AA79" i="47"/>
  <c r="AB79" i="47" s="1"/>
  <c r="Y79" i="47"/>
  <c r="AG78" i="47"/>
  <c r="AE78" i="47"/>
  <c r="AH78" i="47" s="1"/>
  <c r="AA78" i="47"/>
  <c r="AB78" i="47" s="1"/>
  <c r="Y78" i="47"/>
  <c r="AG77" i="47"/>
  <c r="AE77" i="47"/>
  <c r="AH77" i="47" s="1"/>
  <c r="AA77" i="47"/>
  <c r="AB77" i="47" s="1"/>
  <c r="Y77" i="47"/>
  <c r="AG76" i="47"/>
  <c r="AE76" i="47"/>
  <c r="AH76" i="47" s="1"/>
  <c r="AA76" i="47"/>
  <c r="AB76" i="47" s="1"/>
  <c r="Y76" i="47"/>
  <c r="AG75" i="47"/>
  <c r="AE75" i="47"/>
  <c r="AH75" i="47" s="1"/>
  <c r="AA75" i="47"/>
  <c r="AB75" i="47" s="1"/>
  <c r="Y75" i="47"/>
  <c r="AG74" i="47"/>
  <c r="AE74" i="47"/>
  <c r="AH74" i="47" s="1"/>
  <c r="AA74" i="47"/>
  <c r="AB74" i="47" s="1"/>
  <c r="Y74" i="47"/>
  <c r="AG73" i="47"/>
  <c r="AE73" i="47"/>
  <c r="AH73" i="47" s="1"/>
  <c r="AA73" i="47"/>
  <c r="AB73" i="47" s="1"/>
  <c r="Y73" i="47"/>
  <c r="AG72" i="47"/>
  <c r="AE72" i="47"/>
  <c r="AH72" i="47" s="1"/>
  <c r="AA72" i="47"/>
  <c r="AB72" i="47" s="1"/>
  <c r="Y72" i="47"/>
  <c r="AG71" i="47"/>
  <c r="AE71" i="47"/>
  <c r="AH71" i="47" s="1"/>
  <c r="AA71" i="47"/>
  <c r="AB71" i="47" s="1"/>
  <c r="Y71" i="47"/>
  <c r="AG70" i="47"/>
  <c r="AE70" i="47"/>
  <c r="AH70" i="47" s="1"/>
  <c r="AA70" i="47"/>
  <c r="AB70" i="47" s="1"/>
  <c r="Y70" i="47"/>
  <c r="AG69" i="47"/>
  <c r="AE69" i="47"/>
  <c r="AH69" i="47" s="1"/>
  <c r="AA69" i="47"/>
  <c r="AB69" i="47" s="1"/>
  <c r="Y69" i="47"/>
  <c r="AG68" i="47"/>
  <c r="AE68" i="47"/>
  <c r="AH68" i="47" s="1"/>
  <c r="AA68" i="47"/>
  <c r="AB68" i="47" s="1"/>
  <c r="Y68" i="47"/>
  <c r="AG67" i="47"/>
  <c r="AE67" i="47"/>
  <c r="AH67" i="47" s="1"/>
  <c r="AA67" i="47"/>
  <c r="AB67" i="47" s="1"/>
  <c r="Y67" i="47"/>
  <c r="AG66" i="47"/>
  <c r="AE66" i="47"/>
  <c r="AH66" i="47" s="1"/>
  <c r="AA66" i="47"/>
  <c r="AB66" i="47" s="1"/>
  <c r="Y66" i="47"/>
  <c r="AG65" i="47"/>
  <c r="AE65" i="47"/>
  <c r="AH65" i="47" s="1"/>
  <c r="AA65" i="47"/>
  <c r="AB65" i="47" s="1"/>
  <c r="Y65" i="47"/>
  <c r="AG64" i="47"/>
  <c r="AE64" i="47"/>
  <c r="AH64" i="47" s="1"/>
  <c r="AA64" i="47"/>
  <c r="AB64" i="47" s="1"/>
  <c r="Y64" i="47"/>
  <c r="AG63" i="47"/>
  <c r="AE63" i="47"/>
  <c r="AH63" i="47" s="1"/>
  <c r="AA63" i="47"/>
  <c r="AB63" i="47" s="1"/>
  <c r="Y63" i="47"/>
  <c r="AG62" i="47"/>
  <c r="AE62" i="47"/>
  <c r="AH62" i="47" s="1"/>
  <c r="AA62" i="47"/>
  <c r="AB62" i="47" s="1"/>
  <c r="Y62" i="47"/>
  <c r="AG33" i="47"/>
  <c r="AE33" i="47"/>
  <c r="AH33" i="47" s="1"/>
  <c r="AA33" i="47"/>
  <c r="AB33" i="47" s="1"/>
  <c r="Y33" i="47"/>
  <c r="AG61" i="47"/>
  <c r="AE61" i="47"/>
  <c r="AH61" i="47" s="1"/>
  <c r="AA61" i="47"/>
  <c r="AB61" i="47" s="1"/>
  <c r="Y61" i="47"/>
  <c r="AG60" i="47"/>
  <c r="AE60" i="47"/>
  <c r="AH60" i="47" s="1"/>
  <c r="AA60" i="47"/>
  <c r="AB60" i="47" s="1"/>
  <c r="Y60" i="47"/>
  <c r="AG59" i="47"/>
  <c r="AE59" i="47"/>
  <c r="AH59" i="47" s="1"/>
  <c r="AA59" i="47"/>
  <c r="AB59" i="47" s="1"/>
  <c r="Y59" i="47"/>
  <c r="AG58" i="47"/>
  <c r="AE58" i="47"/>
  <c r="AH58" i="47" s="1"/>
  <c r="AA58" i="47"/>
  <c r="AB58" i="47" s="1"/>
  <c r="Y58" i="47"/>
  <c r="AG57" i="47"/>
  <c r="AE57" i="47"/>
  <c r="AH57" i="47" s="1"/>
  <c r="AA57" i="47"/>
  <c r="AB57" i="47" s="1"/>
  <c r="Y57" i="47"/>
  <c r="AG56" i="47"/>
  <c r="AE56" i="47"/>
  <c r="AH56" i="47" s="1"/>
  <c r="AA56" i="47"/>
  <c r="AB56" i="47" s="1"/>
  <c r="Y56" i="47"/>
  <c r="AG55" i="47"/>
  <c r="AE55" i="47"/>
  <c r="AH55" i="47" s="1"/>
  <c r="AA55" i="47"/>
  <c r="AB55" i="47" s="1"/>
  <c r="Y55" i="47"/>
  <c r="AG54" i="47"/>
  <c r="AE54" i="47"/>
  <c r="AH54" i="47" s="1"/>
  <c r="AA54" i="47"/>
  <c r="AB54" i="47" s="1"/>
  <c r="Y54" i="47"/>
  <c r="AG53" i="47"/>
  <c r="AE53" i="47"/>
  <c r="AH53" i="47" s="1"/>
  <c r="AA53" i="47"/>
  <c r="AB53" i="47" s="1"/>
  <c r="Y53" i="47"/>
  <c r="AG52" i="47"/>
  <c r="AE52" i="47"/>
  <c r="AH52" i="47" s="1"/>
  <c r="AA52" i="47"/>
  <c r="AB52" i="47" s="1"/>
  <c r="Y52" i="47"/>
  <c r="AG51" i="47"/>
  <c r="AE51" i="47"/>
  <c r="AH51" i="47" s="1"/>
  <c r="AA51" i="47"/>
  <c r="AB51" i="47" s="1"/>
  <c r="Y51" i="47"/>
  <c r="AG15" i="47"/>
  <c r="AE15" i="47"/>
  <c r="AH15" i="47" s="1"/>
  <c r="AA15" i="47"/>
  <c r="AB15" i="47" s="1"/>
  <c r="Y15" i="47"/>
  <c r="AG50" i="47"/>
  <c r="AE50" i="47"/>
  <c r="AH50" i="47" s="1"/>
  <c r="AA50" i="47"/>
  <c r="AB50" i="47" s="1"/>
  <c r="Y50" i="47"/>
  <c r="AG49" i="47"/>
  <c r="AE49" i="47"/>
  <c r="AH49" i="47" s="1"/>
  <c r="AA49" i="47"/>
  <c r="AB49" i="47" s="1"/>
  <c r="Y49" i="47"/>
  <c r="AG48" i="47"/>
  <c r="AE48" i="47"/>
  <c r="AH48" i="47" s="1"/>
  <c r="AA48" i="47"/>
  <c r="AB48" i="47" s="1"/>
  <c r="Y48" i="47"/>
  <c r="AG47" i="47"/>
  <c r="AE47" i="47"/>
  <c r="AH47" i="47" s="1"/>
  <c r="AA47" i="47"/>
  <c r="AB47" i="47" s="1"/>
  <c r="Y47" i="47"/>
  <c r="AG46" i="47"/>
  <c r="AE46" i="47"/>
  <c r="AH46" i="47" s="1"/>
  <c r="AA46" i="47"/>
  <c r="AB46" i="47" s="1"/>
  <c r="Y46" i="47"/>
  <c r="AG45" i="47"/>
  <c r="AE45" i="47"/>
  <c r="AH45" i="47" s="1"/>
  <c r="AA45" i="47"/>
  <c r="AB45" i="47" s="1"/>
  <c r="Y45" i="47"/>
  <c r="AG44" i="47"/>
  <c r="AE44" i="47"/>
  <c r="AH44" i="47" s="1"/>
  <c r="AA44" i="47"/>
  <c r="AB44" i="47" s="1"/>
  <c r="Y44" i="47"/>
  <c r="AG43" i="47"/>
  <c r="AE43" i="47"/>
  <c r="AH43" i="47" s="1"/>
  <c r="AA43" i="47"/>
  <c r="AB43" i="47" s="1"/>
  <c r="Y43" i="47"/>
  <c r="AG42" i="47"/>
  <c r="AE42" i="47"/>
  <c r="AH42" i="47" s="1"/>
  <c r="AA42" i="47"/>
  <c r="AB42" i="47" s="1"/>
  <c r="Y42" i="47"/>
  <c r="AG41" i="47"/>
  <c r="AE41" i="47"/>
  <c r="AH41" i="47" s="1"/>
  <c r="AA41" i="47"/>
  <c r="AB41" i="47" s="1"/>
  <c r="Y41" i="47"/>
  <c r="AG40" i="47"/>
  <c r="AE40" i="47"/>
  <c r="AH40" i="47" s="1"/>
  <c r="AA40" i="47"/>
  <c r="AB40" i="47" s="1"/>
  <c r="Y40" i="47"/>
  <c r="AG39" i="47"/>
  <c r="AE39" i="47"/>
  <c r="AH39" i="47" s="1"/>
  <c r="AA39" i="47"/>
  <c r="AB39" i="47" s="1"/>
  <c r="Y39" i="47"/>
  <c r="AG38" i="47"/>
  <c r="AE38" i="47"/>
  <c r="AH38" i="47" s="1"/>
  <c r="AA38" i="47"/>
  <c r="AB38" i="47" s="1"/>
  <c r="Y38" i="47"/>
  <c r="AG37" i="47"/>
  <c r="AE37" i="47"/>
  <c r="AH37" i="47" s="1"/>
  <c r="AA37" i="47"/>
  <c r="AB37" i="47" s="1"/>
  <c r="Y37" i="47"/>
  <c r="AG36" i="47"/>
  <c r="AE36" i="47"/>
  <c r="AH36" i="47" s="1"/>
  <c r="AA36" i="47"/>
  <c r="AB36" i="47" s="1"/>
  <c r="Y36" i="47"/>
  <c r="AG35" i="47"/>
  <c r="AE35" i="47"/>
  <c r="AH35" i="47" s="1"/>
  <c r="AA35" i="47"/>
  <c r="AB35" i="47" s="1"/>
  <c r="Y35" i="47"/>
  <c r="AG34" i="47"/>
  <c r="AE34" i="47"/>
  <c r="AH34" i="47" s="1"/>
  <c r="AA34" i="47"/>
  <c r="AB34" i="47" s="1"/>
  <c r="Y34" i="47"/>
  <c r="AG32" i="47"/>
  <c r="AE32" i="47"/>
  <c r="AH32" i="47" s="1"/>
  <c r="AA32" i="47"/>
  <c r="AB32" i="47" s="1"/>
  <c r="Y32" i="47"/>
  <c r="AG31" i="47"/>
  <c r="AE31" i="47"/>
  <c r="AH31" i="47" s="1"/>
  <c r="AA31" i="47"/>
  <c r="AB31" i="47" s="1"/>
  <c r="Y31" i="47"/>
  <c r="AG30" i="47"/>
  <c r="AE30" i="47"/>
  <c r="AH30" i="47" s="1"/>
  <c r="AA30" i="47"/>
  <c r="AB30" i="47" s="1"/>
  <c r="Y30" i="47"/>
  <c r="AG29" i="47"/>
  <c r="AE29" i="47"/>
  <c r="AH29" i="47" s="1"/>
  <c r="AA29" i="47"/>
  <c r="AB29" i="47" s="1"/>
  <c r="Y29" i="47"/>
  <c r="AG28" i="47"/>
  <c r="AE28" i="47"/>
  <c r="AH28" i="47" s="1"/>
  <c r="AA28" i="47"/>
  <c r="AB28" i="47" s="1"/>
  <c r="Y28" i="47"/>
  <c r="AG27" i="47"/>
  <c r="AE27" i="47"/>
  <c r="AH27" i="47" s="1"/>
  <c r="AA27" i="47"/>
  <c r="AB27" i="47" s="1"/>
  <c r="Y27" i="47"/>
  <c r="AG26" i="47"/>
  <c r="AE26" i="47"/>
  <c r="AH26" i="47" s="1"/>
  <c r="AA26" i="47"/>
  <c r="AB26" i="47" s="1"/>
  <c r="Y26" i="47"/>
  <c r="AG25" i="47"/>
  <c r="AE25" i="47"/>
  <c r="AH25" i="47" s="1"/>
  <c r="AA25" i="47"/>
  <c r="AB25" i="47" s="1"/>
  <c r="Y25" i="47"/>
  <c r="AG24" i="47"/>
  <c r="AE24" i="47"/>
  <c r="AH24" i="47" s="1"/>
  <c r="AA24" i="47"/>
  <c r="AB24" i="47" s="1"/>
  <c r="Y24" i="47"/>
  <c r="AG23" i="47"/>
  <c r="AE23" i="47"/>
  <c r="AH23" i="47" s="1"/>
  <c r="AA23" i="47"/>
  <c r="AB23" i="47" s="1"/>
  <c r="Y23" i="47"/>
  <c r="AG22" i="47"/>
  <c r="AE22" i="47"/>
  <c r="AH22" i="47" s="1"/>
  <c r="AA22" i="47"/>
  <c r="AB22" i="47" s="1"/>
  <c r="Y22" i="47"/>
  <c r="AG21" i="47"/>
  <c r="AE21" i="47"/>
  <c r="AH21" i="47" s="1"/>
  <c r="AA21" i="47"/>
  <c r="AB21" i="47" s="1"/>
  <c r="Y21" i="47"/>
  <c r="AG20" i="47"/>
  <c r="AE20" i="47"/>
  <c r="AH20" i="47" s="1"/>
  <c r="AA20" i="47"/>
  <c r="AB20" i="47" s="1"/>
  <c r="Y20" i="47"/>
  <c r="AG19" i="47"/>
  <c r="AE19" i="47"/>
  <c r="AH19" i="47" s="1"/>
  <c r="AA19" i="47"/>
  <c r="AB19" i="47" s="1"/>
  <c r="Y19" i="47"/>
  <c r="AG18" i="47"/>
  <c r="AE18" i="47"/>
  <c r="AH18" i="47" s="1"/>
  <c r="AA18" i="47"/>
  <c r="AB18" i="47" s="1"/>
  <c r="Y18" i="47"/>
  <c r="AG17" i="47"/>
  <c r="AE17" i="47"/>
  <c r="AH17" i="47" s="1"/>
  <c r="AA17" i="47"/>
  <c r="AB17" i="47" s="1"/>
  <c r="Y17" i="47"/>
  <c r="AG16" i="47"/>
  <c r="AE16" i="47"/>
  <c r="AH16" i="47" s="1"/>
  <c r="AA16" i="47"/>
  <c r="AB16" i="47" s="1"/>
  <c r="Y16" i="47"/>
  <c r="AG14" i="47"/>
  <c r="AE14" i="47"/>
  <c r="AH14" i="47" s="1"/>
  <c r="AA14" i="47"/>
  <c r="AB14" i="47" s="1"/>
  <c r="Y14" i="47"/>
  <c r="AG13" i="47"/>
  <c r="AE13" i="47"/>
  <c r="AH13" i="47" s="1"/>
  <c r="AA13" i="47"/>
  <c r="AB13" i="47" s="1"/>
  <c r="Y13" i="47"/>
  <c r="AG12" i="47"/>
  <c r="AE12" i="47"/>
  <c r="AH12" i="47" s="1"/>
  <c r="AA12" i="47"/>
  <c r="AB12" i="47" s="1"/>
  <c r="Y12" i="47"/>
  <c r="AG11" i="47"/>
  <c r="AE11" i="47"/>
  <c r="AH11" i="47" s="1"/>
  <c r="AA11" i="47"/>
  <c r="AB11" i="47" s="1"/>
  <c r="Y11" i="47"/>
  <c r="AG10" i="47"/>
  <c r="AE10" i="47"/>
  <c r="AH10" i="47" s="1"/>
  <c r="AA10" i="47"/>
  <c r="AB10" i="47" s="1"/>
  <c r="Y10" i="47"/>
  <c r="AG9" i="47"/>
  <c r="AE9" i="47"/>
  <c r="AH9" i="47" s="1"/>
  <c r="AA9" i="47"/>
  <c r="AB9" i="47" s="1"/>
  <c r="Y9" i="47"/>
  <c r="AG8" i="47"/>
  <c r="AE8" i="47"/>
  <c r="AH8" i="47" s="1"/>
  <c r="AA8" i="47"/>
  <c r="AB8" i="47" s="1"/>
  <c r="Y8" i="47"/>
  <c r="AG6" i="47"/>
  <c r="AE6" i="47"/>
  <c r="AH6" i="47" s="1"/>
  <c r="AA6" i="47"/>
  <c r="AB6" i="47" s="1"/>
  <c r="Y6" i="47"/>
  <c r="AG5" i="47"/>
  <c r="AE5" i="47"/>
  <c r="AH5" i="47" s="1"/>
  <c r="AA5" i="47"/>
  <c r="AB5" i="47" s="1"/>
  <c r="Y5" i="47"/>
  <c r="AG4" i="47"/>
  <c r="AE4" i="47"/>
  <c r="AH4" i="47" s="1"/>
  <c r="AA4" i="47"/>
  <c r="AB4" i="47" s="1"/>
  <c r="Y4" i="47"/>
  <c r="AG3" i="47"/>
  <c r="AE3" i="47"/>
  <c r="AH3" i="47" s="1"/>
  <c r="AA3" i="47"/>
  <c r="AB3" i="47" s="1"/>
  <c r="Y3" i="4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F3ACCC-F889-49AE-B524-3702F6AED975}" keepAlive="1" name="Recruitment20Tracker" type="5" refreshedVersion="8" background="1" refreshOnLoad="1">
    <dbPr connection="Provider=MSOLAP;Integrated Security=ClaimsToken;Identity Provider=https://login.microsoftonline.com/common, https://analysis.windows.net/powerbi/api, 929d0ec0-7a41-4b1e-bc7c-b754a28bddcc;Persist Security Info=True;Data Source=pbiazure://api.powerbi.com;Initial Catalog=702a85c2-5712-43de-a20d-f252aec1591c;MDX Compatibility= 1; MDX Missing Member Mode= Error; Safety Options= 2; Update Isolation Level= 2;Locale Identifier=1033;" command="DEFINE_x000d__x000a__x0009_VAR __DS0Core = _x000d__x000a__x0009__x0009_SUMMARIZECOLUMNS(_x000d__x000a__x0009__x0009__x0009_'Profiles Tracker'[Name],_x000d__x000a__x0009__x0009__x0009_'Profiles Tracker'[Project],_x000d__x000a__x0009__x0009__x0009_'Profiles Tracker'[Role],_x000d__x000a__x0009__x0009__x0009_'Profiles Tracker'[Department],_x000d__x000a__x0009__x0009__x0009_'Profiles Tracker'[Job ID],_x000d__x000a__x0009__x0009__x0009_'Profiles Tracker'[Stage],_x000d__x000a__x0009__x0009__x0009_'Profiles Tracker'[Interviewer],_x000d__x000a__x0009__x0009__x0009_'Profiles Tracker'[Interviewer Feedback],_x000d__x000a__x0009__x0009__x0009_'Profiles Tracker'[Rejection Reason],_x000d__x000a__x0009__x0009__x0009_'Profiles Tracker'[Sourcing Date],_x000d__x000a__x0009__x0009__x0009_'Profiles Tracker'[Resume Screening Done Date],_x000d__x000a__x0009__x0009__x0009_'Profiles Tracker'[Interview Done Date],_x000d__x000a__x0009__x0009__x0009_'Profiles Tracker'[Offer Release Date],_x000d__x000a__x0009__x0009__x0009_'Profiles Tracker'[Expected Joining Date],_x000d__x000a__x0009__x0009__x0009_'Profiles Tracker'[Joined Date],_x000d__x000a__x0009__x0009__x0009_'Profiles Tracker'[Remarks],_x000d__x000a__x0009__x0009__x0009_&quot;SumS_No&quot;, CALCULATE(SUM('Profiles Tracker'[S.No])),_x000d__x000a__x0009__x0009__x0009_&quot;SumMobile_No_&quot;, CALCULATE(SUM('Profiles Tracker'[Mobile No.])),_x000d__x000a__x0009__x0009__x0009_&quot;SumAlternate_Mobile_No_&quot;, CALCULATE(SUM('Profiles Tracker'[Alternate Mobile No.]))_x000d__x000a__x0009__x0009_)_x000d__x000a__x000d__x000a__x0009_VAR __DS0BodyLimited = _x000d__x000a__x0009__x0009_TOPN(_x000d__x000a__x0009__x0009__x0009_500000,_x000d__x000a__x0009__x0009__x0009___DS0Core,_x000d__x000a__x0009__x0009__x0009_'Profiles Tracker'[Name],_x000d__x000a__x0009__x0009__x0009_1,_x000d__x000a__x0009__x0009__x0009_'Profiles Tracker'[Project],_x000d__x000a__x0009__x0009__x0009_1,_x000d__x000a__x0009__x0009__x0009_'Profiles Tracker'[Role],_x000d__x000a__x0009__x0009__x0009_1,_x000d__x000a__x0009__x0009__x0009_'Profiles Tracker'[Department],_x000d__x000a__x0009__x0009__x0009_1,_x000d__x000a__x0009__x0009__x0009_'Profiles Tracker'[Job ID],_x000d__x000a__x0009__x0009__x0009_1,_x000d__x000a__x0009__x0009__x0009_'Profiles Tracker'[Stage],_x000d__x000a__x0009__x0009__x0009_1,_x000d__x000a__x0009__x0009__x0009_'Profiles Tracker'[Interviewer],_x000d__x000a__x0009__x0009__x0009_1,_x000d__x000a__x0009__x0009__x0009_'Profiles Tracker'[Interviewer Feedback],_x000d__x000a__x0009__x0009__x0009_1,_x000d__x000a__x0009__x0009__x0009_'Profiles Tracker'[Rejection Reason],_x000d__x000a__x0009__x0009__x0009_1,_x000d__x000a__x0009__x0009__x0009_'Profiles Tracker'[Sourcing Date],_x000d__x000a__x0009__x0009__x0009_1,_x000d__x000a__x0009__x0009__x0009_'Profiles Tracker'[Resume Screening Done Date],_x000d__x000a__x0009__x0009__x0009_1,_x000d__x000a__x0009__x0009__x0009_'Profiles Tracker'[Interview Done Date],_x000d__x000a__x0009__x0009__x0009_1,_x000d__x000a__x0009__x0009__x0009_'Profiles Tracker'[Offer Release Date],_x000d__x000a__x0009__x0009__x0009_1,_x000d__x000a__x0009__x0009__x0009_'Profiles Tracker'[Expected Joining Date],_x000d__x000a__x0009__x0009__x0009_1,_x000d__x000a__x0009__x0009__x0009_'Profiles Tracker'[Joined Date],_x000d__x000a__x0009__x0009__x0009_1,_x000d__x000a__x0009__x0009__x0009_'Profiles Tracker'[Remarks],_x000d__x000a__x0009__x0009__x0009_1_x000d__x000a__x0009__x0009_)_x000d__x000a__x000d__x000a_EVALUATE_x000d__x000a__x0009___DS0BodyLimited_x000d__x000a__x000d__x000a_ORDER BY_x000d__x000a__x0009_'Profiles Tracker'[Name],_x000d__x000a__x0009_'Profiles Tracker'[Project],_x000d__x000a__x0009_'Profiles Tracker'[Role],_x000d__x000a__x0009_'Profiles Tracker'[Department],_x000d__x000a__x0009_'Profiles Tracker'[Job ID],_x000d__x000a__x0009_'Profiles Tracker'[Stage],_x000d__x000a__x0009_'Profiles Tracker'[Interviewer],_x000d__x000a__x0009_'Profiles Tracker'[Interviewer Feedback],_x000d__x000a__x0009_'Profiles Tracker'[Rejection Reason],_x000d__x000a__x0009_'Profiles Tracker'[Sourcing Date],_x000d__x000a__x0009_'Profiles Tracker'[Resume Screening Done Date],_x000d__x000a__x0009_'Profiles Tracker'[Interview Done Date],_x000d__x000a__x0009_'Profiles Tracker'[Offer Release Date],_x000d__x000a__x0009_'Profiles Tracker'[Expected Joining Date],_x000d__x000a__x0009_'Profiles Tracker'[Joined Date],_x000d__x000a__x0009_'Profiles Tracker'[Remarks]" commandType="4"/>
  </connection>
</connections>
</file>

<file path=xl/sharedStrings.xml><?xml version="1.0" encoding="utf-8"?>
<sst xmlns="http://schemas.openxmlformats.org/spreadsheetml/2006/main" count="48161" uniqueCount="9714">
  <si>
    <t>S.No</t>
  </si>
  <si>
    <t>Project</t>
  </si>
  <si>
    <t>Nature of work</t>
  </si>
  <si>
    <t>Department</t>
  </si>
  <si>
    <t>Indent Date</t>
  </si>
  <si>
    <t>Role</t>
  </si>
  <si>
    <t>Total Req</t>
  </si>
  <si>
    <t>Required By Date</t>
  </si>
  <si>
    <t>Interview Panel</t>
  </si>
  <si>
    <t>HR SPOC</t>
  </si>
  <si>
    <t>Job ID</t>
  </si>
  <si>
    <t>Level</t>
  </si>
  <si>
    <t>Interview Pipeline</t>
  </si>
  <si>
    <t>Second Level Interviews</t>
  </si>
  <si>
    <t>Offer Negotiation in Process</t>
  </si>
  <si>
    <t>Offer Released</t>
  </si>
  <si>
    <t>Joined</t>
  </si>
  <si>
    <t>Interview Rejected</t>
  </si>
  <si>
    <t>Candidate Not Interested</t>
  </si>
  <si>
    <t>Total Sourcing</t>
  </si>
  <si>
    <t>Open</t>
  </si>
  <si>
    <t>Exp  Offer Release &amp; further stages Count</t>
  </si>
  <si>
    <t xml:space="preserve">Exp Salary Negotiation &amp; Further stages  </t>
  </si>
  <si>
    <t>Exp Interview Pipeline Count</t>
  </si>
  <si>
    <t>Pending Offer Released &amp; further</t>
  </si>
  <si>
    <t>Pending Salary Negotiation &amp; Further</t>
  </si>
  <si>
    <t>Pending Interview Pipeline &amp; further</t>
  </si>
  <si>
    <t>Target Date to close all offers</t>
  </si>
  <si>
    <t>Target Date to complete interviews</t>
  </si>
  <si>
    <t>Target Date to  complete sourcing</t>
  </si>
  <si>
    <t>Weeks Remaining to complete offers</t>
  </si>
  <si>
    <t>Weeks Remaining to complete interviews</t>
  </si>
  <si>
    <t>Weeks Remaining to complete sourcing</t>
  </si>
  <si>
    <t>Exp Joinings in Apr 1st Wk</t>
  </si>
  <si>
    <t>Exp Joinings in Apr 2nd Wk</t>
  </si>
  <si>
    <t>Exp Joinings in Apr 3rd Wk</t>
  </si>
  <si>
    <t>Exp Joinings in Apr 4th Wk</t>
  </si>
  <si>
    <t>Exp Joinings in May 1st Wk</t>
  </si>
  <si>
    <t>ADCL</t>
  </si>
  <si>
    <t>General</t>
  </si>
  <si>
    <t>VP/AVP/SGM</t>
  </si>
  <si>
    <t>Mr. Raghu Rama Raju</t>
  </si>
  <si>
    <t>Mr. Ravindra Varma</t>
  </si>
  <si>
    <t>ANY-113</t>
  </si>
  <si>
    <t>ADCL-01</t>
  </si>
  <si>
    <t>APM &amp; Above</t>
  </si>
  <si>
    <t>General Manager</t>
  </si>
  <si>
    <t>ANY-01</t>
  </si>
  <si>
    <t>ADCL-02</t>
  </si>
  <si>
    <t>Roads</t>
  </si>
  <si>
    <t>PM ( Structures &amp; Roads )</t>
  </si>
  <si>
    <t>ANY-02</t>
  </si>
  <si>
    <t>ADCL-03</t>
  </si>
  <si>
    <t>Structures</t>
  </si>
  <si>
    <t>DPM Structures</t>
  </si>
  <si>
    <t>ANY-03</t>
  </si>
  <si>
    <t>ADCL-04</t>
  </si>
  <si>
    <t>DPM Roads</t>
  </si>
  <si>
    <t>ANY-04</t>
  </si>
  <si>
    <t>ADCL-05</t>
  </si>
  <si>
    <t>Earthwork</t>
  </si>
  <si>
    <t>DPM Earthwork</t>
  </si>
  <si>
    <t>-</t>
  </si>
  <si>
    <t>ADCL-06</t>
  </si>
  <si>
    <t>Sr.Engineer (Structures )</t>
  </si>
  <si>
    <t>Mr. Radha Krishna (Consultant)</t>
  </si>
  <si>
    <t>ANY-05</t>
  </si>
  <si>
    <t>ADCL-07</t>
  </si>
  <si>
    <t>APM Below</t>
  </si>
  <si>
    <t>Sr.Engineer ( Roads &amp; Miscellaneous )</t>
  </si>
  <si>
    <t>Mr. Varaprasad (Consultant)</t>
  </si>
  <si>
    <t>ANY-06</t>
  </si>
  <si>
    <t>ADCL-08</t>
  </si>
  <si>
    <t>Engineers ( Structures )</t>
  </si>
  <si>
    <t>ANY-07</t>
  </si>
  <si>
    <t>ADCL-09</t>
  </si>
  <si>
    <t>Engineers ( Roads )</t>
  </si>
  <si>
    <t>Mr. Madhusudhan Reddy</t>
  </si>
  <si>
    <t>ANY-08</t>
  </si>
  <si>
    <t>ADCL-10</t>
  </si>
  <si>
    <t>Jr.Engineer ( structures)</t>
  </si>
  <si>
    <t>ANY-09</t>
  </si>
  <si>
    <t>ADCL-11</t>
  </si>
  <si>
    <t>Jr. Engineer ( Roads )</t>
  </si>
  <si>
    <t>ANY-10</t>
  </si>
  <si>
    <t>ADCL-12</t>
  </si>
  <si>
    <t>Surveyors</t>
  </si>
  <si>
    <t>Mr. Swaroop (Consultant)</t>
  </si>
  <si>
    <t>Mr. Srinivas</t>
  </si>
  <si>
    <t>ANY-11</t>
  </si>
  <si>
    <t>ADCL-13</t>
  </si>
  <si>
    <t>Safety</t>
  </si>
  <si>
    <t>Safety Executives</t>
  </si>
  <si>
    <t>Mr. Palem Krishna Reddy</t>
  </si>
  <si>
    <t>Mr. Venu</t>
  </si>
  <si>
    <t>ANY-49</t>
  </si>
  <si>
    <t>ADCL-14</t>
  </si>
  <si>
    <t>Safety Officers</t>
  </si>
  <si>
    <t>ANY-13</t>
  </si>
  <si>
    <t>ADCL-15</t>
  </si>
  <si>
    <t>QC</t>
  </si>
  <si>
    <t>Manager/Asst Manager ( QC )</t>
  </si>
  <si>
    <t>Mr. Rudra Murthy G</t>
  </si>
  <si>
    <t>ANY-14</t>
  </si>
  <si>
    <t>ADCL-16</t>
  </si>
  <si>
    <t>Sr.Engineer (QC)</t>
  </si>
  <si>
    <t>ANY-15</t>
  </si>
  <si>
    <t>ADCL-17</t>
  </si>
  <si>
    <t>Engineer/Asst Engineer - QC</t>
  </si>
  <si>
    <t>ANY-16</t>
  </si>
  <si>
    <t>ADCL-18</t>
  </si>
  <si>
    <t>Technicians</t>
  </si>
  <si>
    <t>ANY-17</t>
  </si>
  <si>
    <t>ADCL-19</t>
  </si>
  <si>
    <t>Planning &amp; QS</t>
  </si>
  <si>
    <t>DGM ( Planning &amp; QS )</t>
  </si>
  <si>
    <t>Mr. Subash</t>
  </si>
  <si>
    <t>ANY-18</t>
  </si>
  <si>
    <t>ADCL-20</t>
  </si>
  <si>
    <t>Planning  &amp; QS Manager</t>
  </si>
  <si>
    <t>ANY-19</t>
  </si>
  <si>
    <t>ADCL-21</t>
  </si>
  <si>
    <t>Sr.Engineer ( QS )</t>
  </si>
  <si>
    <t>ANY-20</t>
  </si>
  <si>
    <t>ADCL-22</t>
  </si>
  <si>
    <t>Asst Engineer ( QS )</t>
  </si>
  <si>
    <t>ANY-21</t>
  </si>
  <si>
    <t>ADCL-23</t>
  </si>
  <si>
    <t>Stores</t>
  </si>
  <si>
    <t>Sr. Manager ( Stores &amp; Procurement )</t>
  </si>
  <si>
    <t>Mr. Y Srinivas Rao</t>
  </si>
  <si>
    <t>ANY-23</t>
  </si>
  <si>
    <t>ADCL-24</t>
  </si>
  <si>
    <t xml:space="preserve">Manager Stores </t>
  </si>
  <si>
    <t>ANY-24</t>
  </si>
  <si>
    <t>ADCL-25</t>
  </si>
  <si>
    <t>Stores Executives</t>
  </si>
  <si>
    <t>ANY-25</t>
  </si>
  <si>
    <t>ADCL-26</t>
  </si>
  <si>
    <t>Strores Asst</t>
  </si>
  <si>
    <t>ANY-26</t>
  </si>
  <si>
    <t>ADCL-27</t>
  </si>
  <si>
    <t>HR &amp; Admin</t>
  </si>
  <si>
    <t>Sr. Manager ( HR &amp; Admin)</t>
  </si>
  <si>
    <t>ANY-27</t>
  </si>
  <si>
    <t>ADCL-28</t>
  </si>
  <si>
    <t>Manager ( Admin &amp; HR )</t>
  </si>
  <si>
    <t>ANY-28</t>
  </si>
  <si>
    <t>ADCL-29</t>
  </si>
  <si>
    <t>Admin &amp; HR Executives</t>
  </si>
  <si>
    <t>ANY-29</t>
  </si>
  <si>
    <t>ADCL-30</t>
  </si>
  <si>
    <t>Accounts</t>
  </si>
  <si>
    <t xml:space="preserve">Sr.Accouts Officer </t>
  </si>
  <si>
    <t>Mr. Sunil/Gangadhar</t>
  </si>
  <si>
    <t>ANY-30</t>
  </si>
  <si>
    <t>ADCL-31</t>
  </si>
  <si>
    <t>Accounts Asst</t>
  </si>
  <si>
    <t>ANY-62</t>
  </si>
  <si>
    <t>ADCL-32</t>
  </si>
  <si>
    <t>P&amp;M</t>
  </si>
  <si>
    <t>Manager ( P&amp; M)</t>
  </si>
  <si>
    <t>Mr. Vijaya Rama Raju</t>
  </si>
  <si>
    <t>ANY-31</t>
  </si>
  <si>
    <t>ADCL-33</t>
  </si>
  <si>
    <t>Sr. Engineer ( P&amp; M)</t>
  </si>
  <si>
    <t>ANY-32</t>
  </si>
  <si>
    <t>ADCL-34</t>
  </si>
  <si>
    <t>Engineer ( P&amp; M)</t>
  </si>
  <si>
    <t>ANY-33</t>
  </si>
  <si>
    <t>ADCL-35</t>
  </si>
  <si>
    <t>Project Manager ( Earthwork)</t>
  </si>
  <si>
    <t>ANY-35</t>
  </si>
  <si>
    <t>ADCL-36</t>
  </si>
  <si>
    <t>Sr.Engineers ( Earthwork )</t>
  </si>
  <si>
    <t>ANY-36</t>
  </si>
  <si>
    <t>ANY-37</t>
  </si>
  <si>
    <t>Supervisors</t>
  </si>
  <si>
    <t>ANY-38</t>
  </si>
  <si>
    <t>ANY-39</t>
  </si>
  <si>
    <t>ANY-40</t>
  </si>
  <si>
    <t>ANY-41</t>
  </si>
  <si>
    <t>ANY-42</t>
  </si>
  <si>
    <t>ANY-43</t>
  </si>
  <si>
    <t>ANY-44</t>
  </si>
  <si>
    <t>ANY-45</t>
  </si>
  <si>
    <t>ANY-46</t>
  </si>
  <si>
    <t>ANY-47</t>
  </si>
  <si>
    <t>ANY-48</t>
  </si>
  <si>
    <t>Asst Engineer - QC</t>
  </si>
  <si>
    <t>Mr. Venkata Reddy/ Mr. Nagaraju Matham (Consultants)</t>
  </si>
  <si>
    <t>ANY-50</t>
  </si>
  <si>
    <t>ANY-51</t>
  </si>
  <si>
    <t>ANY-52</t>
  </si>
  <si>
    <t>ANY-53</t>
  </si>
  <si>
    <t>ANY-54</t>
  </si>
  <si>
    <t>ANY-56</t>
  </si>
  <si>
    <t>ANY-57</t>
  </si>
  <si>
    <t>ANY-58</t>
  </si>
  <si>
    <t>ANY-59</t>
  </si>
  <si>
    <t>Admin Executives</t>
  </si>
  <si>
    <t>ANY-60</t>
  </si>
  <si>
    <t>ANY-61</t>
  </si>
  <si>
    <t>ANY-63</t>
  </si>
  <si>
    <t>ANY-64</t>
  </si>
  <si>
    <t>ANY-67</t>
  </si>
  <si>
    <t>ANY-68</t>
  </si>
  <si>
    <t>ANY-69</t>
  </si>
  <si>
    <t>ANY-70</t>
  </si>
  <si>
    <t>ANY-71</t>
  </si>
  <si>
    <t>ANY-72</t>
  </si>
  <si>
    <t>ANY-73</t>
  </si>
  <si>
    <t>ANY-74</t>
  </si>
  <si>
    <t>ANY-75</t>
  </si>
  <si>
    <t>ANY-76</t>
  </si>
  <si>
    <t>ANY-77</t>
  </si>
  <si>
    <t>ANY-78</t>
  </si>
  <si>
    <t>ANY-79</t>
  </si>
  <si>
    <t>ANY-81</t>
  </si>
  <si>
    <t>ANY-82</t>
  </si>
  <si>
    <t>ANY-83</t>
  </si>
  <si>
    <t>ANY-84</t>
  </si>
  <si>
    <t>ANY-85</t>
  </si>
  <si>
    <t>ANY-86</t>
  </si>
  <si>
    <t>ANY-87</t>
  </si>
  <si>
    <t>ANY-88</t>
  </si>
  <si>
    <t>ANY-89</t>
  </si>
  <si>
    <t>ANY-90</t>
  </si>
  <si>
    <t>ANY-91</t>
  </si>
  <si>
    <t>ANY-94</t>
  </si>
  <si>
    <t>ANY-95</t>
  </si>
  <si>
    <t>ANY-96</t>
  </si>
  <si>
    <t>ANY-97</t>
  </si>
  <si>
    <t>ANY-98</t>
  </si>
  <si>
    <t>ANY-99</t>
  </si>
  <si>
    <t>ANY-100</t>
  </si>
  <si>
    <t>ANY-101</t>
  </si>
  <si>
    <t>ANY-102</t>
  </si>
  <si>
    <t>ANY-104</t>
  </si>
  <si>
    <t>ANY-105</t>
  </si>
  <si>
    <t>ANY-106</t>
  </si>
  <si>
    <t>ANY-107</t>
  </si>
  <si>
    <t>ANY-108</t>
  </si>
  <si>
    <t>ANY-109</t>
  </si>
  <si>
    <t>ANY-110</t>
  </si>
  <si>
    <t>GET</t>
  </si>
  <si>
    <t>ANY-12</t>
  </si>
  <si>
    <t>ANY-22</t>
  </si>
  <si>
    <t>ANY-55</t>
  </si>
  <si>
    <t>ANY-80</t>
  </si>
  <si>
    <t>ANY-103</t>
  </si>
  <si>
    <t>ANY-111</t>
  </si>
  <si>
    <t>Electrician</t>
  </si>
  <si>
    <t>Mr. Purna Kumar</t>
  </si>
  <si>
    <t>ANY-112</t>
  </si>
  <si>
    <t>ANY-114</t>
  </si>
  <si>
    <t>ANY-115</t>
  </si>
  <si>
    <t>ANY-116</t>
  </si>
  <si>
    <t>ANY-117</t>
  </si>
  <si>
    <t>Mechanical</t>
  </si>
  <si>
    <t>ANY-92</t>
  </si>
  <si>
    <t>Environmental Engineer</t>
  </si>
  <si>
    <t>ANY-118</t>
  </si>
  <si>
    <t>Social &amp; Labour manager</t>
  </si>
  <si>
    <t>ANY-119</t>
  </si>
  <si>
    <t>ANY-201</t>
  </si>
  <si>
    <t>Stage</t>
  </si>
  <si>
    <t>Engineer - Planning &amp; QS</t>
  </si>
  <si>
    <t>Engineer - QA/QC</t>
  </si>
  <si>
    <t>Senior Engineer - Safety</t>
  </si>
  <si>
    <t>Senior Executive - Admin (P&amp;M)</t>
  </si>
  <si>
    <t>Supervisor - Stores</t>
  </si>
  <si>
    <t>Weigh Bridge Operator</t>
  </si>
  <si>
    <t>Manager- Purchase</t>
  </si>
  <si>
    <t>Assistant - Accounts</t>
  </si>
  <si>
    <t>DPM</t>
  </si>
  <si>
    <t>Sr. Accountant</t>
  </si>
  <si>
    <t>Sr. Surveyor</t>
  </si>
  <si>
    <t>Engineer - QS</t>
  </si>
  <si>
    <t>GET - QS</t>
  </si>
  <si>
    <t>Name</t>
  </si>
  <si>
    <t>Mobile No.</t>
  </si>
  <si>
    <t>Alternate Mobile No.</t>
  </si>
  <si>
    <t>Candidate Current Role</t>
  </si>
  <si>
    <t>Interviewer</t>
  </si>
  <si>
    <t>Interviewer Feedback</t>
  </si>
  <si>
    <t>Sourcing Date</t>
  </si>
  <si>
    <t>Interview Done Date</t>
  </si>
  <si>
    <t>Offer Release Date</t>
  </si>
  <si>
    <t>Expected Joining Date</t>
  </si>
  <si>
    <t>Joined Date</t>
  </si>
  <si>
    <t>Utsav Das</t>
  </si>
  <si>
    <t>PRR-118</t>
  </si>
  <si>
    <t xml:space="preserve">Surveyor - Tunnel </t>
  </si>
  <si>
    <t>Surveyor</t>
  </si>
  <si>
    <t>Offer Dropped</t>
  </si>
  <si>
    <t>Mr. Prashant</t>
  </si>
  <si>
    <t>Accepted</t>
  </si>
  <si>
    <t>SARDAR BAIG</t>
  </si>
  <si>
    <t>PLMC-01</t>
  </si>
  <si>
    <t xml:space="preserve">Surveyor </t>
  </si>
  <si>
    <t>Noor Alam</t>
  </si>
  <si>
    <t>PRR-30</t>
  </si>
  <si>
    <t>Supervisor</t>
  </si>
  <si>
    <t>Execution</t>
  </si>
  <si>
    <t>Mr. Ravindra Goud</t>
  </si>
  <si>
    <t>Rahul Pal</t>
  </si>
  <si>
    <t>PRR-20</t>
  </si>
  <si>
    <t>Engineer</t>
  </si>
  <si>
    <t>Arpan Sahoo</t>
  </si>
  <si>
    <t>Engineer - Structures</t>
  </si>
  <si>
    <t>Abhishek Kumar Singh</t>
  </si>
  <si>
    <t>PRR-21</t>
  </si>
  <si>
    <t>Structure Engineer</t>
  </si>
  <si>
    <t>Manoj Kumar Gautam</t>
  </si>
  <si>
    <t>PRR-22</t>
  </si>
  <si>
    <t>Pratyush Kumar</t>
  </si>
  <si>
    <t xml:space="preserve">Shivam Varma </t>
  </si>
  <si>
    <t>PRR-24</t>
  </si>
  <si>
    <t>Jr Engineer</t>
  </si>
  <si>
    <t>Schidanand</t>
  </si>
  <si>
    <t>Subhadip Mitra</t>
  </si>
  <si>
    <t>PRR-23</t>
  </si>
  <si>
    <t>SITE ENGINEER</t>
  </si>
  <si>
    <t xml:space="preserve">Surjeet Kumar </t>
  </si>
  <si>
    <t>PRR-15</t>
  </si>
  <si>
    <t>Assistant Construction Manager (Structure).</t>
  </si>
  <si>
    <t>Upendra Pandey</t>
  </si>
  <si>
    <t>PRR-18</t>
  </si>
  <si>
    <t>Junior Engineer</t>
  </si>
  <si>
    <t>Joined &amp; Left</t>
  </si>
  <si>
    <t>Akhilesh Chaudhary</t>
  </si>
  <si>
    <t>PRR-19</t>
  </si>
  <si>
    <t>Sr. Engineer</t>
  </si>
  <si>
    <t>B Jayanth Babu</t>
  </si>
  <si>
    <t>LISMB-02</t>
  </si>
  <si>
    <t>Sr. Engineer - QS &amp; Planning</t>
  </si>
  <si>
    <t>Boddu Hari Kiran</t>
  </si>
  <si>
    <t>LISMB-08</t>
  </si>
  <si>
    <t>Engineer - P&amp;M</t>
  </si>
  <si>
    <t>Puneet Kumar</t>
  </si>
  <si>
    <t>PRR-127</t>
  </si>
  <si>
    <t>Sr.Engineer - P&amp;M</t>
  </si>
  <si>
    <t>Sandeep Tiwari</t>
  </si>
  <si>
    <t>CBCMP-41</t>
  </si>
  <si>
    <t>Nazmul Haque</t>
  </si>
  <si>
    <t>CBCMP-04</t>
  </si>
  <si>
    <t>Shivam Kumar Dwivedi</t>
  </si>
  <si>
    <t>CBCMP-40</t>
  </si>
  <si>
    <t>Kamleshvar Tiwari</t>
  </si>
  <si>
    <t>CBCMP-46</t>
  </si>
  <si>
    <t>Liaison - Executive</t>
  </si>
  <si>
    <t>Mr. Pankaj Sharma</t>
  </si>
  <si>
    <t>Gopal Kamawat</t>
  </si>
  <si>
    <t>K.Pratap (Sr.Engineer)</t>
  </si>
  <si>
    <t>PRR-44</t>
  </si>
  <si>
    <t xml:space="preserve">QA QC </t>
  </si>
  <si>
    <t>Mr. Jitendra</t>
  </si>
  <si>
    <t>Ramesh Chandra</t>
  </si>
  <si>
    <t>CBCMP-26</t>
  </si>
  <si>
    <t>Safety Executive</t>
  </si>
  <si>
    <t>Mr. Surya Mohan</t>
  </si>
  <si>
    <t xml:space="preserve">Sanjay Kumar </t>
  </si>
  <si>
    <t>Rakesh Kumar</t>
  </si>
  <si>
    <t xml:space="preserve">Supervisor </t>
  </si>
  <si>
    <t>Kuldeep Kumar (Engineer)</t>
  </si>
  <si>
    <t>PRR-92</t>
  </si>
  <si>
    <t>Electrical PRR</t>
  </si>
  <si>
    <t>Mr. Chandra Mouli</t>
  </si>
  <si>
    <t>Ravi Solankey (Foreman)</t>
  </si>
  <si>
    <t>Foreman - PRR</t>
  </si>
  <si>
    <t>Akshay Ku nayak</t>
  </si>
  <si>
    <t>Pushpendra Kumar Vishwakarma</t>
  </si>
  <si>
    <t>PRR-07</t>
  </si>
  <si>
    <t>Supervisor - Roads</t>
  </si>
  <si>
    <t>Ranjan Kumar Yadav</t>
  </si>
  <si>
    <t>PRR-08</t>
  </si>
  <si>
    <t>Lakesh Baghel</t>
  </si>
  <si>
    <t>CBCMP-06</t>
  </si>
  <si>
    <t>Senior Supervisor - Civil</t>
  </si>
  <si>
    <t>Dhiraj Kumar Thakur</t>
  </si>
  <si>
    <t>CBCMP-07</t>
  </si>
  <si>
    <t xml:space="preserve">Anil Kumar Batham </t>
  </si>
  <si>
    <t>CBCMP-10</t>
  </si>
  <si>
    <t>Senior Executive - Liaison</t>
  </si>
  <si>
    <t>Raju Singh</t>
  </si>
  <si>
    <t>PRR-47</t>
  </si>
  <si>
    <t>Prasanta Mahato</t>
  </si>
  <si>
    <t>Senior Engineer - QA/QC</t>
  </si>
  <si>
    <t>Maniraj Singh Parihar</t>
  </si>
  <si>
    <t>PRR-45</t>
  </si>
  <si>
    <t>Soumyabrata Mandal</t>
  </si>
  <si>
    <t>PRR-46</t>
  </si>
  <si>
    <t>Mukna Ram</t>
  </si>
  <si>
    <t>PRR-49</t>
  </si>
  <si>
    <t>Senior Lab Technician</t>
  </si>
  <si>
    <t>Kunwar Deep Singh</t>
  </si>
  <si>
    <t>Sr. Engineer - P&amp;M</t>
  </si>
  <si>
    <t xml:space="preserve">Chetan Ghansham Muley </t>
  </si>
  <si>
    <t>PRR-77</t>
  </si>
  <si>
    <t xml:space="preserve">Engineer - Electrical </t>
  </si>
  <si>
    <t>Suratha Behera</t>
  </si>
  <si>
    <t>PRR-120</t>
  </si>
  <si>
    <t>Executive - Stores</t>
  </si>
  <si>
    <t>Amarjeet Kumar Sah</t>
  </si>
  <si>
    <t>Koyyedi Ravi Kumar</t>
  </si>
  <si>
    <t>Senior Executive - Stores</t>
  </si>
  <si>
    <t>Gandubilli Simhachalam</t>
  </si>
  <si>
    <t>PLMC-02</t>
  </si>
  <si>
    <t xml:space="preserve">Senior Surveyor </t>
  </si>
  <si>
    <t>Gavadakatla Pavan Kalyan</t>
  </si>
  <si>
    <t>PLMC-05</t>
  </si>
  <si>
    <t>Graduate Engineer Trainee - Civil</t>
  </si>
  <si>
    <t>Vijay Kumar</t>
  </si>
  <si>
    <t>PRR-03</t>
  </si>
  <si>
    <t>Ravindra Kumar</t>
  </si>
  <si>
    <t>Offer Negotiation Hold</t>
  </si>
  <si>
    <t>Satyajit Nayak</t>
  </si>
  <si>
    <t>PRR-04</t>
  </si>
  <si>
    <t>Jr. Engineer</t>
  </si>
  <si>
    <t>H. Sai Kiran</t>
  </si>
  <si>
    <t>PRR-06</t>
  </si>
  <si>
    <t>Amit Kumar</t>
  </si>
  <si>
    <t>Anuj Kumar manu</t>
  </si>
  <si>
    <t>Interview Done</t>
  </si>
  <si>
    <t>Rejected</t>
  </si>
  <si>
    <t>Abhishek Kumar Giri</t>
  </si>
  <si>
    <t>PRR-02</t>
  </si>
  <si>
    <t>Rohit Choudhary</t>
  </si>
  <si>
    <t xml:space="preserve">Amit Singh </t>
  </si>
  <si>
    <t>PRR-114</t>
  </si>
  <si>
    <t xml:space="preserve">Senior Surveyor - Tunnel </t>
  </si>
  <si>
    <t xml:space="preserve">Abhishek Mishra </t>
  </si>
  <si>
    <t>PRR-117</t>
  </si>
  <si>
    <t>Suman Dey</t>
  </si>
  <si>
    <t>Mrinmoy Dhara</t>
  </si>
  <si>
    <t xml:space="preserve">Debjyoti Kumar </t>
  </si>
  <si>
    <t xml:space="preserve">Ankush Kumar </t>
  </si>
  <si>
    <t xml:space="preserve">Ram Kumar </t>
  </si>
  <si>
    <t>Harsh Kursoulia</t>
  </si>
  <si>
    <t>PRR-60</t>
  </si>
  <si>
    <t>QS &amp; Planning Engineer</t>
  </si>
  <si>
    <t>Ajit Kumar Ram</t>
  </si>
  <si>
    <t>Quantity Surveyor</t>
  </si>
  <si>
    <t>Jai Chile</t>
  </si>
  <si>
    <t>CBCMP-72</t>
  </si>
  <si>
    <t>Billing Engineer</t>
  </si>
  <si>
    <t>Ankit Pandey</t>
  </si>
  <si>
    <t>CBCMP-01</t>
  </si>
  <si>
    <t>JE - QS</t>
  </si>
  <si>
    <t>Sujeet Prajapati</t>
  </si>
  <si>
    <t>Assistant Engineer</t>
  </si>
  <si>
    <t>Vaibhav Dixit</t>
  </si>
  <si>
    <t>Afeez Basha</t>
  </si>
  <si>
    <t>Engineer - Construction Management</t>
  </si>
  <si>
    <t>Ravi Teja</t>
  </si>
  <si>
    <t>Sr. Engineer - QS</t>
  </si>
  <si>
    <t>Abhishek Kumar</t>
  </si>
  <si>
    <t>PRR-94</t>
  </si>
  <si>
    <t xml:space="preserve">Bikram Kumar Rout </t>
  </si>
  <si>
    <t>CBCMP-42</t>
  </si>
  <si>
    <t>Safety Officer</t>
  </si>
  <si>
    <t>B Rajender</t>
  </si>
  <si>
    <t>Supervisor - Civil</t>
  </si>
  <si>
    <t>Mr. Shobanadri</t>
  </si>
  <si>
    <t>S Venkata Pradeep Reddy</t>
  </si>
  <si>
    <t>NISHANT SHARMA</t>
  </si>
  <si>
    <t>PRR-109</t>
  </si>
  <si>
    <t xml:space="preserve">Senior Engineer QS </t>
  </si>
  <si>
    <t>Masaver Ahmed</t>
  </si>
  <si>
    <t>PRR-111</t>
  </si>
  <si>
    <t>Engineer QS</t>
  </si>
  <si>
    <t xml:space="preserve">Suresh Parida </t>
  </si>
  <si>
    <t>PRR-112</t>
  </si>
  <si>
    <t>Chandu S Chandran</t>
  </si>
  <si>
    <t>LISMB-09</t>
  </si>
  <si>
    <t>Ganji Raviteja</t>
  </si>
  <si>
    <t>Rahul Kumar</t>
  </si>
  <si>
    <t>PRR-126</t>
  </si>
  <si>
    <t>Assistant Manager - P&amp;M</t>
  </si>
  <si>
    <t>Deepak Sahani</t>
  </si>
  <si>
    <t>Senior Engineer - P&amp;M</t>
  </si>
  <si>
    <t>Abhishek Kumar Rai</t>
  </si>
  <si>
    <t>Sakala Manimohan</t>
  </si>
  <si>
    <t>Aadil Fayaz</t>
  </si>
  <si>
    <t>PRR-100</t>
  </si>
  <si>
    <t xml:space="preserve">Engineer Tunnel </t>
  </si>
  <si>
    <t>Mr. Devi Prasad</t>
  </si>
  <si>
    <t>Subhajit Bera</t>
  </si>
  <si>
    <t>PRR-70</t>
  </si>
  <si>
    <t>Sr. Supervisor</t>
  </si>
  <si>
    <t>Mahendra Kushwaha</t>
  </si>
  <si>
    <t>PRR-71</t>
  </si>
  <si>
    <t>Sonu Kumar</t>
  </si>
  <si>
    <t>CBCMP-136</t>
  </si>
  <si>
    <t xml:space="preserve">Manish Kumar   </t>
  </si>
  <si>
    <t>Sr. Safety Supervisor</t>
  </si>
  <si>
    <t>Yuganter</t>
  </si>
  <si>
    <t>Jr. Safety Manager</t>
  </si>
  <si>
    <t>Avinash Kumar Rai</t>
  </si>
  <si>
    <t>PRR-124</t>
  </si>
  <si>
    <t>Md Safi Alam</t>
  </si>
  <si>
    <t>PRR-122</t>
  </si>
  <si>
    <t>Safety Supervisor</t>
  </si>
  <si>
    <t>Md Sajid</t>
  </si>
  <si>
    <t>Jr. Manager</t>
  </si>
  <si>
    <t>Nagendra Kumar</t>
  </si>
  <si>
    <t>Safety Engineer</t>
  </si>
  <si>
    <t>Hemraj Swami</t>
  </si>
  <si>
    <t>Safety officer</t>
  </si>
  <si>
    <t>rijwanullah Ansari</t>
  </si>
  <si>
    <t>Shubham Suresh Bhosale</t>
  </si>
  <si>
    <t>PRR-72</t>
  </si>
  <si>
    <t>Rajsekhar Singh</t>
  </si>
  <si>
    <t>Milan Kumar Singh</t>
  </si>
  <si>
    <t>HSE Engineer</t>
  </si>
  <si>
    <t>Kalandi Charan Patra</t>
  </si>
  <si>
    <t>PRR-69</t>
  </si>
  <si>
    <t>Sr. HSE Engineer</t>
  </si>
  <si>
    <t>Pratap Chandra Sethi</t>
  </si>
  <si>
    <t>CBCMP-43</t>
  </si>
  <si>
    <t>Pravesh Kumar Sharma</t>
  </si>
  <si>
    <t>CBCMP-59</t>
  </si>
  <si>
    <t>Pradeep Kumar</t>
  </si>
  <si>
    <t>CBCMP-27</t>
  </si>
  <si>
    <t>Sangpal Panchbhai</t>
  </si>
  <si>
    <t>CBCMP-16</t>
  </si>
  <si>
    <t>Mr. C Venkata Ramana</t>
  </si>
  <si>
    <t>Dhanabal P</t>
  </si>
  <si>
    <t>Miriyala Naga Madhu</t>
  </si>
  <si>
    <t>CBCMP-02</t>
  </si>
  <si>
    <t>Sunil</t>
  </si>
  <si>
    <t>Shaik Imran</t>
  </si>
  <si>
    <t>CBCMP-03</t>
  </si>
  <si>
    <t>Avijit Roy</t>
  </si>
  <si>
    <t>Anil Kumar</t>
  </si>
  <si>
    <t>Sakatar Singh</t>
  </si>
  <si>
    <t>Amol Chandanse</t>
  </si>
  <si>
    <t>PRR-25</t>
  </si>
  <si>
    <t>AE - Structures</t>
  </si>
  <si>
    <t>Faizan Malik</t>
  </si>
  <si>
    <t>Joginder Singh</t>
  </si>
  <si>
    <t>PRR-16</t>
  </si>
  <si>
    <t>Asst Manager</t>
  </si>
  <si>
    <t>Basant Kumar Mishra</t>
  </si>
  <si>
    <t>Lovkush Kumar Gupta</t>
  </si>
  <si>
    <t>Krishan Dutt</t>
  </si>
  <si>
    <t>Hrishob Guha Majumdar</t>
  </si>
  <si>
    <t>Irfan Maqbool</t>
  </si>
  <si>
    <t>Vikash Kumar</t>
  </si>
  <si>
    <t>PRR-17</t>
  </si>
  <si>
    <t>Bhavani Singh</t>
  </si>
  <si>
    <t>Sheikh Rufaid Rubani</t>
  </si>
  <si>
    <t>Vasuki Nath Yadav</t>
  </si>
  <si>
    <t>Ashish Yadav</t>
  </si>
  <si>
    <t>Gaurav Sharma</t>
  </si>
  <si>
    <t>Ankit Singhal</t>
  </si>
  <si>
    <t>Arpit Kumar</t>
  </si>
  <si>
    <t>Shivam Singh</t>
  </si>
  <si>
    <t>PRR-05</t>
  </si>
  <si>
    <t>Atiwarsh</t>
  </si>
  <si>
    <t>Daulat Singh</t>
  </si>
  <si>
    <t>Indrajeet Kumar</t>
  </si>
  <si>
    <t>Shashank Singh</t>
  </si>
  <si>
    <t>Ayashe Alam</t>
  </si>
  <si>
    <t>Kapil Yadav</t>
  </si>
  <si>
    <t>Santosh Kumar Yadav</t>
  </si>
  <si>
    <t>Tejsingh Ghosh</t>
  </si>
  <si>
    <t>Ishwar Singh</t>
  </si>
  <si>
    <t>Senior Engineer</t>
  </si>
  <si>
    <t>Prabhash Kumar</t>
  </si>
  <si>
    <t>Anoop Singh</t>
  </si>
  <si>
    <t>Dipak Kumar Singh</t>
  </si>
  <si>
    <t>PRR-09</t>
  </si>
  <si>
    <t>MD Hamid Hussain</t>
  </si>
  <si>
    <t>Sr. Foreman</t>
  </si>
  <si>
    <t>Kunwar Lav Prakash Singh</t>
  </si>
  <si>
    <t>Shyamal Podder</t>
  </si>
  <si>
    <t>Shyam Narayan Pandey</t>
  </si>
  <si>
    <t xml:space="preserve">P Bhavani Sankar </t>
  </si>
  <si>
    <t>AM-04</t>
  </si>
  <si>
    <t xml:space="preserve">Jr Engineer Civil </t>
  </si>
  <si>
    <t>Mr. PC Raju</t>
  </si>
  <si>
    <t>Ravuri Sai Srinivas</t>
  </si>
  <si>
    <t>AM-12</t>
  </si>
  <si>
    <t>Senior Engineer QS</t>
  </si>
  <si>
    <t>Mr. Asivirathan</t>
  </si>
  <si>
    <t>Nune Arthur Babu</t>
  </si>
  <si>
    <t>AM-02</t>
  </si>
  <si>
    <t xml:space="preserve">Senior Engineer Civil </t>
  </si>
  <si>
    <t xml:space="preserve">Mr. Siva Sekhar Raju </t>
  </si>
  <si>
    <t xml:space="preserve">Kampara Srinivas </t>
  </si>
  <si>
    <t xml:space="preserve">Amu Thirupathi </t>
  </si>
  <si>
    <t>Mattaparthi Veeranna</t>
  </si>
  <si>
    <t>AM-23</t>
  </si>
  <si>
    <t xml:space="preserve">Assistant Surveyor </t>
  </si>
  <si>
    <t>Dhanraj S</t>
  </si>
  <si>
    <t xml:space="preserve">S Jagadeesh </t>
  </si>
  <si>
    <t>AM-03</t>
  </si>
  <si>
    <t xml:space="preserve">Engineer Civil </t>
  </si>
  <si>
    <t xml:space="preserve">A Maheswara Rao </t>
  </si>
  <si>
    <t>AM-01</t>
  </si>
  <si>
    <t xml:space="preserve">Deputy Project Manager - Civil </t>
  </si>
  <si>
    <t>Satyendra Yadav</t>
  </si>
  <si>
    <t>Mr. Gopal (PRR)</t>
  </si>
  <si>
    <t>Niranjan Kumar</t>
  </si>
  <si>
    <t>Sagar V Wankhede</t>
  </si>
  <si>
    <t>PRR-31</t>
  </si>
  <si>
    <t>Arunakumara Gitagi</t>
  </si>
  <si>
    <t>PRR-68</t>
  </si>
  <si>
    <t>Documentation</t>
  </si>
  <si>
    <t>Ayodhya Kumar</t>
  </si>
  <si>
    <t>Foreman</t>
  </si>
  <si>
    <t>Mintu Kumar</t>
  </si>
  <si>
    <t>Structure Foreman</t>
  </si>
  <si>
    <t>Jitendra Pandey</t>
  </si>
  <si>
    <t>Civil Foreman</t>
  </si>
  <si>
    <t>Ram Awtar Mishra</t>
  </si>
  <si>
    <t>Rajesh Kumar Pandey</t>
  </si>
  <si>
    <t>Chandi Ram</t>
  </si>
  <si>
    <t>SK Ahammad</t>
  </si>
  <si>
    <t>Yatendra Kumar</t>
  </si>
  <si>
    <t>PRR-10</t>
  </si>
  <si>
    <t xml:space="preserve">Anand Kumar    </t>
  </si>
  <si>
    <t>Sannket Mohan Misal</t>
  </si>
  <si>
    <t xml:space="preserve">Pavan Kumar Yadav </t>
  </si>
  <si>
    <t xml:space="preserve">Executive Safety </t>
  </si>
  <si>
    <t xml:space="preserve">Hechu Sowmyakethan </t>
  </si>
  <si>
    <t>AM-21</t>
  </si>
  <si>
    <t xml:space="preserve">Executive HR &amp; ADMIN </t>
  </si>
  <si>
    <t>Mr. Srinivas Vemuri</t>
  </si>
  <si>
    <t>Bratin Pradhan</t>
  </si>
  <si>
    <t>PRR-36</t>
  </si>
  <si>
    <t>Ashish Tripathi</t>
  </si>
  <si>
    <t>Ranjeet Singh</t>
  </si>
  <si>
    <t>PRR-37</t>
  </si>
  <si>
    <t>Diwakar Verma</t>
  </si>
  <si>
    <t>PRR-41</t>
  </si>
  <si>
    <t>Assistant Surveyor</t>
  </si>
  <si>
    <t>Komal Raut</t>
  </si>
  <si>
    <t>PRR-38</t>
  </si>
  <si>
    <t>ADITYA KUMAR GUPTA </t>
  </si>
  <si>
    <t>Kosuik Datta</t>
  </si>
  <si>
    <t>PRR-42</t>
  </si>
  <si>
    <t>Survey Engineer</t>
  </si>
  <si>
    <t>Nirmal Kumar</t>
  </si>
  <si>
    <t>PRR-40</t>
  </si>
  <si>
    <t>Prasenjit Mallick</t>
  </si>
  <si>
    <t>Rebba Aswini Kumar</t>
  </si>
  <si>
    <t>Sajid Khan</t>
  </si>
  <si>
    <t>PRR-128</t>
  </si>
  <si>
    <t>Senior Engineer P&amp;M</t>
  </si>
  <si>
    <t xml:space="preserve">Bandaru Suresh </t>
  </si>
  <si>
    <t>AM-18</t>
  </si>
  <si>
    <t xml:space="preserve">Junior Engineer Civil </t>
  </si>
  <si>
    <t>Rajeshkannan S</t>
  </si>
  <si>
    <t xml:space="preserve">Enigneer Civil </t>
  </si>
  <si>
    <t xml:space="preserve">Rohit Rajaram Patil </t>
  </si>
  <si>
    <t>Batchu VN Krishna Prasad</t>
  </si>
  <si>
    <t>Asst Manager-HIghway</t>
  </si>
  <si>
    <t xml:space="preserve">Mr. Lava Kumar &amp; Mr. Raghu Rama Raju </t>
  </si>
  <si>
    <t>Nagireddy Sridhar</t>
  </si>
  <si>
    <t>Senior Manager-Highways</t>
  </si>
  <si>
    <t>Sanjeev varaprasad Morri</t>
  </si>
  <si>
    <t>GM-HIghways</t>
  </si>
  <si>
    <t>K. Subhash</t>
  </si>
  <si>
    <t>Dy. Project Manger (QS&amp; Planning)</t>
  </si>
  <si>
    <t>Vitta Nageswara Rao</t>
  </si>
  <si>
    <t>I . Srinivasa Raju</t>
  </si>
  <si>
    <t>Ramesh Ragam Anaparthi</t>
  </si>
  <si>
    <t>Sr.Manager-Structures</t>
  </si>
  <si>
    <t>Narasimha Murthy Gompa</t>
  </si>
  <si>
    <t>PRR-11</t>
  </si>
  <si>
    <t>Project Manager -Structures</t>
  </si>
  <si>
    <t>Mr. GVT Rao</t>
  </si>
  <si>
    <t>Suresh Kumar Kakara</t>
  </si>
  <si>
    <t>DGM-Structures</t>
  </si>
  <si>
    <t>A. Prabhu</t>
  </si>
  <si>
    <t>Project Manager - Highway</t>
  </si>
  <si>
    <t>Mr. Lava Kumar</t>
  </si>
  <si>
    <t>Koyyana Uma Maheswara Rao</t>
  </si>
  <si>
    <t>Sr. Engineer-HIghway</t>
  </si>
  <si>
    <t>UV Rama Subba Rao</t>
  </si>
  <si>
    <t>Manager-Highways</t>
  </si>
  <si>
    <t>V. Suneel kumar</t>
  </si>
  <si>
    <t>DPM - Highways</t>
  </si>
  <si>
    <t>PV Narayana</t>
  </si>
  <si>
    <t>Sr. Manager</t>
  </si>
  <si>
    <t>Sarat Anand Rao Gouridevi</t>
  </si>
  <si>
    <t>APM</t>
  </si>
  <si>
    <t>T. Naga Ravi Shankar</t>
  </si>
  <si>
    <t xml:space="preserve">Senior Manager </t>
  </si>
  <si>
    <t>T. Yagna Srinivas</t>
  </si>
  <si>
    <t>JP Naidu</t>
  </si>
  <si>
    <t>Manager-Structure</t>
  </si>
  <si>
    <t>G Rudramurthy</t>
  </si>
  <si>
    <t>Manager -QC</t>
  </si>
  <si>
    <t>N. Madhusudhan Rao</t>
  </si>
  <si>
    <t>AVP-Highway</t>
  </si>
  <si>
    <t>Y. Koti Rathnakar</t>
  </si>
  <si>
    <t>Project Manager-Project Execution</t>
  </si>
  <si>
    <t>Gangadhar Srinivas Swayamvarapu</t>
  </si>
  <si>
    <t>Manager(HOD) -Planning, Billing &amp; QA</t>
  </si>
  <si>
    <t>QS &amp; Billing</t>
  </si>
  <si>
    <t>K. Omkar</t>
  </si>
  <si>
    <t>Dy Project Manager -Highway</t>
  </si>
  <si>
    <t>Arun Kumar Sinha</t>
  </si>
  <si>
    <t>Sr. Manager - QC</t>
  </si>
  <si>
    <t>Shortlisted for next round of interview</t>
  </si>
  <si>
    <t>P. Ramalinga Reddy</t>
  </si>
  <si>
    <t>Dy. Manager</t>
  </si>
  <si>
    <t>Kalagunta Srinivasa Reddy</t>
  </si>
  <si>
    <t>G. Saravanan</t>
  </si>
  <si>
    <t>Naga Ravi Sankar A</t>
  </si>
  <si>
    <t>GM</t>
  </si>
  <si>
    <t>Vyshyaraju Kalyan Kumar</t>
  </si>
  <si>
    <t>Senior Engineer-Highway</t>
  </si>
  <si>
    <t>Mr. Sanjeev Varaprasad</t>
  </si>
  <si>
    <t>M. Chiranjeevi</t>
  </si>
  <si>
    <t>Varun Yadav</t>
  </si>
  <si>
    <t>Syed Khadar Basha</t>
  </si>
  <si>
    <t>B. Venkateswarlu</t>
  </si>
  <si>
    <t>V Pavan Kalyan</t>
  </si>
  <si>
    <t>LISMB-07</t>
  </si>
  <si>
    <t>Bandaru Sitaramaiah</t>
  </si>
  <si>
    <t>GET/DEO</t>
  </si>
  <si>
    <t xml:space="preserve">P Manideep </t>
  </si>
  <si>
    <t xml:space="preserve">Senior Engineer - QA/QC </t>
  </si>
  <si>
    <t>Tapendu</t>
  </si>
  <si>
    <t>Koteswara Rao Myla</t>
  </si>
  <si>
    <t xml:space="preserve">Vivek Pandey </t>
  </si>
  <si>
    <t xml:space="preserve">Subodh Kumar </t>
  </si>
  <si>
    <t xml:space="preserve">Rajan Tiwari </t>
  </si>
  <si>
    <t>Vishnu Dutt Sharma</t>
  </si>
  <si>
    <t>Krishna Murari Kumar</t>
  </si>
  <si>
    <t>B. Sankar Rao</t>
  </si>
  <si>
    <t>Sr. Site Engineer - Highway Execution</t>
  </si>
  <si>
    <t>Pramod Kumar Patel</t>
  </si>
  <si>
    <t>Sr. Engineer-Highways (M3A)</t>
  </si>
  <si>
    <t>TAUKIR AHMAD</t>
  </si>
  <si>
    <t>Team Leader - Higway Execution(Sr. Engineer)</t>
  </si>
  <si>
    <t>G. Sarvesh</t>
  </si>
  <si>
    <t>Assistant Manager Highways</t>
  </si>
  <si>
    <t>N.B Srinivas</t>
  </si>
  <si>
    <t>Sr. Project Manager</t>
  </si>
  <si>
    <t>S. Praveen Kumar</t>
  </si>
  <si>
    <t>Sr. Engineer-Highway</t>
  </si>
  <si>
    <t>Ashwani Dhār Dubey</t>
  </si>
  <si>
    <t>Highway Engineer</t>
  </si>
  <si>
    <t>Hold For Future</t>
  </si>
  <si>
    <t>Puvvadi Sai Akhilesh</t>
  </si>
  <si>
    <t>Sr. Engineer - Structures</t>
  </si>
  <si>
    <t>Mr. Radha Krishna</t>
  </si>
  <si>
    <t>E. Ashokan</t>
  </si>
  <si>
    <t>Sr. Bridge Engineer</t>
  </si>
  <si>
    <t>B. Amarnath Reddy</t>
  </si>
  <si>
    <t>Bankapalli Pushpak</t>
  </si>
  <si>
    <t>Dasari Venkata Nirmal Babu</t>
  </si>
  <si>
    <t>Associate Manager -Structures</t>
  </si>
  <si>
    <t>Pinnebouna Hari Krishna</t>
  </si>
  <si>
    <t>Site Engineer - Structures</t>
  </si>
  <si>
    <t>Koduri Mahendra</t>
  </si>
  <si>
    <t>Rechintala Naveen</t>
  </si>
  <si>
    <t>R. Raja</t>
  </si>
  <si>
    <t>Resume Screening Done</t>
  </si>
  <si>
    <t>Ranveer Kumar</t>
  </si>
  <si>
    <t>Engineer-Structures</t>
  </si>
  <si>
    <t>Siriki Eswar Rao</t>
  </si>
  <si>
    <t>Jr. Engineer -Structures</t>
  </si>
  <si>
    <t xml:space="preserve">Jampana Sai Varma </t>
  </si>
  <si>
    <t>Engineer -Structures</t>
  </si>
  <si>
    <t>Shaik Subhani</t>
  </si>
  <si>
    <t>Site Engineer -Structures</t>
  </si>
  <si>
    <t>Somesula Rajeshwar</t>
  </si>
  <si>
    <t>Sr. Engineer -Structures</t>
  </si>
  <si>
    <t>Vennapusapalli Imran</t>
  </si>
  <si>
    <t>Vallabaneni Prabhu Raju</t>
  </si>
  <si>
    <t>Sr. Structure Engineer</t>
  </si>
  <si>
    <t xml:space="preserve">Vikas Singh </t>
  </si>
  <si>
    <t xml:space="preserve">Venkatraman </t>
  </si>
  <si>
    <t xml:space="preserve">Gangula Lokesh </t>
  </si>
  <si>
    <t>AM-14</t>
  </si>
  <si>
    <t xml:space="preserve">Palli Arun Kumar </t>
  </si>
  <si>
    <t>AM-08</t>
  </si>
  <si>
    <t>Senior Engineer - HVAC</t>
  </si>
  <si>
    <t>Mr. Venkat Rao</t>
  </si>
  <si>
    <t>P Leela Naga Babu</t>
  </si>
  <si>
    <t>Planning Engineer &amp; QS</t>
  </si>
  <si>
    <t>Mr. Subhash</t>
  </si>
  <si>
    <t xml:space="preserve">G. Jaya Prakash </t>
  </si>
  <si>
    <t>Sr. Engineer -QS Billing</t>
  </si>
  <si>
    <t>Boiella Narasimha Reddy</t>
  </si>
  <si>
    <t>Engineer - QS &amp; Billing</t>
  </si>
  <si>
    <t>Yathati Kiran babu</t>
  </si>
  <si>
    <t>Sandeep Kumar Pasuladi</t>
  </si>
  <si>
    <t>Sr. Engineer - QS &amp; Billing</t>
  </si>
  <si>
    <t>Gangasani Srikanth Reddy</t>
  </si>
  <si>
    <t>Karri Srinivas</t>
  </si>
  <si>
    <t>AM-06</t>
  </si>
  <si>
    <t>Deputy Project Manager - Electrical</t>
  </si>
  <si>
    <t>Kothapalli Samba Siva Raju</t>
  </si>
  <si>
    <t>Jayaram Polaki</t>
  </si>
  <si>
    <t>Sr. Engineer - Highways</t>
  </si>
  <si>
    <t>Raja Rajeswaran</t>
  </si>
  <si>
    <t>M. Ravindra</t>
  </si>
  <si>
    <t>Sr. Engineer-Highway Execution</t>
  </si>
  <si>
    <t>K. Mahesh</t>
  </si>
  <si>
    <t>R Naresh</t>
  </si>
  <si>
    <t>K. Rajasekhar</t>
  </si>
  <si>
    <t>Bukka Srinivasa Durga Sivaram</t>
  </si>
  <si>
    <t>Sr. Highway Engineer</t>
  </si>
  <si>
    <t>G. Parthiban</t>
  </si>
  <si>
    <t>Peddireddy Venkata Siva Reddy</t>
  </si>
  <si>
    <t>Gaurav Upadhyay</t>
  </si>
  <si>
    <t>Stores Executive</t>
  </si>
  <si>
    <t>Mr. Y. Srinivasa Rao</t>
  </si>
  <si>
    <t>Ch. Nageswara Rao</t>
  </si>
  <si>
    <t>Stores Manager</t>
  </si>
  <si>
    <t xml:space="preserve">T. Manikanta </t>
  </si>
  <si>
    <t>Sr. Store Assistant</t>
  </si>
  <si>
    <t>Ch Veera Bhaskar</t>
  </si>
  <si>
    <t>Store Incharge</t>
  </si>
  <si>
    <t>Mangesh Valmik Kairnar</t>
  </si>
  <si>
    <t>Store Keeper</t>
  </si>
  <si>
    <t>Garav Kumar</t>
  </si>
  <si>
    <t>Store Executive</t>
  </si>
  <si>
    <t>irfan Ansari</t>
  </si>
  <si>
    <t>Aftab Alam</t>
  </si>
  <si>
    <t>CBCMP-30</t>
  </si>
  <si>
    <t>Jr. Engineer - P &amp; M</t>
  </si>
  <si>
    <t>Swarup Panja</t>
  </si>
  <si>
    <t>PRR-115</t>
  </si>
  <si>
    <t xml:space="preserve">Ajay Kumar  </t>
  </si>
  <si>
    <t>ABARAR AHAMAD</t>
  </si>
  <si>
    <t>RAKHAHARI HAZRA</t>
  </si>
  <si>
    <t>SAJAL PORE</t>
  </si>
  <si>
    <t>Nitesh Kumar Tripathi</t>
  </si>
  <si>
    <t>DEBASIS PAL</t>
  </si>
  <si>
    <t>BASUDEV BARMAN</t>
  </si>
  <si>
    <t>T. Sivaram</t>
  </si>
  <si>
    <t>VP-Highway</t>
  </si>
  <si>
    <t>M. Babu</t>
  </si>
  <si>
    <t>Chief Project Manager-Highway</t>
  </si>
  <si>
    <t>Krishna Rao Gade</t>
  </si>
  <si>
    <t>Head-Construction Service Line</t>
  </si>
  <si>
    <t>B. Srinivasa Rao</t>
  </si>
  <si>
    <t>Consultant</t>
  </si>
  <si>
    <t>Kanishak Chopra</t>
  </si>
  <si>
    <t>Ajit Hribhau</t>
  </si>
  <si>
    <t>Sr. Store Executive</t>
  </si>
  <si>
    <t>Abhilash Kumar Sharma</t>
  </si>
  <si>
    <t>PRR-84</t>
  </si>
  <si>
    <t>Akash Jichkar</t>
  </si>
  <si>
    <t>Kishor Kumre</t>
  </si>
  <si>
    <t>Rupesh Sethi</t>
  </si>
  <si>
    <t>Dilip Kumar Pradhan</t>
  </si>
  <si>
    <t>PRR-83</t>
  </si>
  <si>
    <t>Narendra Sharma</t>
  </si>
  <si>
    <t>Abhishek Singh</t>
  </si>
  <si>
    <t>Senior Store Asst.</t>
  </si>
  <si>
    <t>Sharad Yadav</t>
  </si>
  <si>
    <t>Store ASST.</t>
  </si>
  <si>
    <t>Amiyo Bhattacharya</t>
  </si>
  <si>
    <t>Store Supervisor</t>
  </si>
  <si>
    <t>Rahul Kumar Singh</t>
  </si>
  <si>
    <t>Bhosi Pavan</t>
  </si>
  <si>
    <t>PRR-86</t>
  </si>
  <si>
    <t>Jr. Executive</t>
  </si>
  <si>
    <t>Sanjeev Singh</t>
  </si>
  <si>
    <t>CBCMP-28</t>
  </si>
  <si>
    <t>Vivek Kumar Singh</t>
  </si>
  <si>
    <t>Lakshmana Rao</t>
  </si>
  <si>
    <t>CBCMP-29</t>
  </si>
  <si>
    <t>V. Surendra Yadav</t>
  </si>
  <si>
    <t>Koganti Kutumba Rao</t>
  </si>
  <si>
    <t>Highway Execution-Manager</t>
  </si>
  <si>
    <t>T. Arivalagan</t>
  </si>
  <si>
    <t>Construction Manager</t>
  </si>
  <si>
    <t>Moturu Vaddikasulu</t>
  </si>
  <si>
    <t>Mastan Vasimalla</t>
  </si>
  <si>
    <t>Posa Mahesh</t>
  </si>
  <si>
    <t>Ashish Kumar</t>
  </si>
  <si>
    <t>Mohd Redwan Khanday</t>
  </si>
  <si>
    <t>PRR-129</t>
  </si>
  <si>
    <t>SUSHIL KUMAR</t>
  </si>
  <si>
    <t>Manager P&amp;M</t>
  </si>
  <si>
    <t>Neeraj Saini</t>
  </si>
  <si>
    <t>Mandala Anil Kumar</t>
  </si>
  <si>
    <t>Amit Singh Baghel</t>
  </si>
  <si>
    <t>Ravish Kumar</t>
  </si>
  <si>
    <t>Karam Chand</t>
  </si>
  <si>
    <t xml:space="preserve">Engineer - Civil </t>
  </si>
  <si>
    <t>Devendra</t>
  </si>
  <si>
    <t>Ayush Kumar</t>
  </si>
  <si>
    <t>PRR-99</t>
  </si>
  <si>
    <t xml:space="preserve">Senior Engineer - Civil </t>
  </si>
  <si>
    <t>Raghuvendra Pratap Singh</t>
  </si>
  <si>
    <t>Savitendra Kumar Singh</t>
  </si>
  <si>
    <t>PRR-97</t>
  </si>
  <si>
    <t>APM/DPM Civil</t>
  </si>
  <si>
    <t>Shaik Mastan</t>
  </si>
  <si>
    <t>Pankaj Khushwaha</t>
  </si>
  <si>
    <t>Neeraj</t>
  </si>
  <si>
    <t>Deepak</t>
  </si>
  <si>
    <t>Pancham Singh</t>
  </si>
  <si>
    <t>Suraj Singh</t>
  </si>
  <si>
    <t>Maqsood Ahmed</t>
  </si>
  <si>
    <t>PRR-104</t>
  </si>
  <si>
    <t>Pramod</t>
  </si>
  <si>
    <t>PRR-101</t>
  </si>
  <si>
    <t>Santosh Sarkar</t>
  </si>
  <si>
    <t>kausar Khan</t>
  </si>
  <si>
    <t>CBCMP-36</t>
  </si>
  <si>
    <t>Mr. Subbaramayya</t>
  </si>
  <si>
    <t>Jitendra Mallik</t>
  </si>
  <si>
    <t>CBCMP-32</t>
  </si>
  <si>
    <t>Vibekanada Mahato</t>
  </si>
  <si>
    <t>CBCMP-37</t>
  </si>
  <si>
    <t>Pankaj Kumar</t>
  </si>
  <si>
    <t>Ravi Kumar Yadav</t>
  </si>
  <si>
    <t>Asst Engineer</t>
  </si>
  <si>
    <t>Lunavath Suresh</t>
  </si>
  <si>
    <t>CBCMP-35</t>
  </si>
  <si>
    <t>Malla Sri Sai</t>
  </si>
  <si>
    <t>Suresh Koonapareddy</t>
  </si>
  <si>
    <t>Mohd Aslam</t>
  </si>
  <si>
    <t>Lavudya Sagar</t>
  </si>
  <si>
    <t>Sasikanta Samantaray</t>
  </si>
  <si>
    <t>Amrish Kumar</t>
  </si>
  <si>
    <t>CBCMP-54</t>
  </si>
  <si>
    <t>Mr. Sankara Rao</t>
  </si>
  <si>
    <t>Motilal Jamod</t>
  </si>
  <si>
    <t>CBCMP-34</t>
  </si>
  <si>
    <t>Abhishant Kumar Pandey</t>
  </si>
  <si>
    <t>Durgesh Chandra Yadav</t>
  </si>
  <si>
    <t>Usthela Ramesh</t>
  </si>
  <si>
    <t>Myalapalliappala Raju</t>
  </si>
  <si>
    <t>CBCMP-33</t>
  </si>
  <si>
    <t>Arun Kumar</t>
  </si>
  <si>
    <t>Satyaranjan Sahoo</t>
  </si>
  <si>
    <t>Hariom Kumar</t>
  </si>
  <si>
    <t xml:space="preserve">Foreman Tunnel </t>
  </si>
  <si>
    <t>ABDUL QUYOOM</t>
  </si>
  <si>
    <t>A.SUMANTH</t>
  </si>
  <si>
    <t xml:space="preserve">Danish Wani </t>
  </si>
  <si>
    <t>Executive - Safety</t>
  </si>
  <si>
    <t>P.Vijayanarasimhulu</t>
  </si>
  <si>
    <t>Manager - P&amp;M</t>
  </si>
  <si>
    <t>V. Sudhakar Reddy</t>
  </si>
  <si>
    <t>Sr. Manager-P&amp;M</t>
  </si>
  <si>
    <t>Teja Pradhana</t>
  </si>
  <si>
    <t>Swaranapudi Kumarbabu</t>
  </si>
  <si>
    <t>Sr. Engineer-P&amp;M</t>
  </si>
  <si>
    <t>P. Nageswar Reddy</t>
  </si>
  <si>
    <t>Manager-P&amp;M - Highway</t>
  </si>
  <si>
    <t>M. Nagendra Kumar Reddy</t>
  </si>
  <si>
    <t>Head-P&amp;M</t>
  </si>
  <si>
    <t>Tapan Sur</t>
  </si>
  <si>
    <t>Sr. Store manager</t>
  </si>
  <si>
    <t>Dhiraj Kumar Sinha  Kshatriya</t>
  </si>
  <si>
    <t>Bandi Venkateswarlu</t>
  </si>
  <si>
    <t>Senior Supervisor </t>
  </si>
  <si>
    <t>Pilli Venkata Satya Prasad </t>
  </si>
  <si>
    <t>A Siva Malleswara Reddy</t>
  </si>
  <si>
    <t>Amit Kumar Swain</t>
  </si>
  <si>
    <t>Rajeeet Kumar</t>
  </si>
  <si>
    <t>Asst. Store Office</t>
  </si>
  <si>
    <t>Bisikeshan Rauta</t>
  </si>
  <si>
    <t>Asst. Executive - Stores</t>
  </si>
  <si>
    <t>Sumanta Kumar Parida</t>
  </si>
  <si>
    <t>U Srinivas</t>
  </si>
  <si>
    <t>HYD-02</t>
  </si>
  <si>
    <t>Project Manager</t>
  </si>
  <si>
    <t>VISHAL SINGH</t>
  </si>
  <si>
    <t>SEKH RAHAMAT ALI</t>
  </si>
  <si>
    <t>MANSA SHIT</t>
  </si>
  <si>
    <t>SANTOSH KUMAR</t>
  </si>
  <si>
    <t>Md Sufaid</t>
  </si>
  <si>
    <t>Veerababu</t>
  </si>
  <si>
    <t>Prakash  Chandra Sharma</t>
  </si>
  <si>
    <t>CBCMP-44</t>
  </si>
  <si>
    <t xml:space="preserve">Executive </t>
  </si>
  <si>
    <t>Alok Kumar Singh</t>
  </si>
  <si>
    <t>Sonu Singh</t>
  </si>
  <si>
    <t>Karunendra</t>
  </si>
  <si>
    <t>Prince Kumar</t>
  </si>
  <si>
    <t>PRR-48</t>
  </si>
  <si>
    <t xml:space="preserve">Engineer </t>
  </si>
  <si>
    <t xml:space="preserve">Masum Raj </t>
  </si>
  <si>
    <t>Executive Safety</t>
  </si>
  <si>
    <t>Rangalu Purna Chandra Dora</t>
  </si>
  <si>
    <t>RANJIT ROY</t>
  </si>
  <si>
    <t>S. DineshWaran</t>
  </si>
  <si>
    <t>G Laxmi Narayana</t>
  </si>
  <si>
    <t>Civil Supervisor</t>
  </si>
  <si>
    <t>Gopi Krishna</t>
  </si>
  <si>
    <t>M Laxmana Rao</t>
  </si>
  <si>
    <t>LISMB-01</t>
  </si>
  <si>
    <t>PM - Pipeline</t>
  </si>
  <si>
    <t>Mr. Damodar Naidu</t>
  </si>
  <si>
    <t>Ankan Samanta</t>
  </si>
  <si>
    <t>Engineer - Highway</t>
  </si>
  <si>
    <t>Surya Prakash Singh</t>
  </si>
  <si>
    <t>Sr. Engineer (HighWay)</t>
  </si>
  <si>
    <t>Ongoing Process</t>
  </si>
  <si>
    <t>Ashish Kumar Gantayat</t>
  </si>
  <si>
    <t>Tera Brahmmaji</t>
  </si>
  <si>
    <t>Road Site Engineer</t>
  </si>
  <si>
    <t>Mamidi Vinod Kumar</t>
  </si>
  <si>
    <t>Bhojraj Nandlal Pardhi</t>
  </si>
  <si>
    <t>CBCMP-38</t>
  </si>
  <si>
    <t>Senior Supervisor</t>
  </si>
  <si>
    <t>Azhar Mondal</t>
  </si>
  <si>
    <t>Kabula Pradhan</t>
  </si>
  <si>
    <t>PRR-39</t>
  </si>
  <si>
    <t>Arifujjaman Shaikh</t>
  </si>
  <si>
    <t>Sudipta Mondal</t>
  </si>
  <si>
    <t>suresh</t>
  </si>
  <si>
    <t>Robin Kumar Bhadoriya</t>
  </si>
  <si>
    <t>N Hemanth Kumar</t>
  </si>
  <si>
    <t>Deepak Samantaray</t>
  </si>
  <si>
    <t>Arun Jamkar</t>
  </si>
  <si>
    <t>P Vijay Kumar</t>
  </si>
  <si>
    <t>ADCL-37</t>
  </si>
  <si>
    <t>Durga Prasad Adapa</t>
  </si>
  <si>
    <t>Gyananajay Behera</t>
  </si>
  <si>
    <t>Aditya Pratap Singh</t>
  </si>
  <si>
    <t>Executive - Liaison</t>
  </si>
  <si>
    <t>RONTU BORA</t>
  </si>
  <si>
    <t>PRR-106</t>
  </si>
  <si>
    <t xml:space="preserve">Geologist </t>
  </si>
  <si>
    <t>T.B. Prakasa Rao</t>
  </si>
  <si>
    <t>GP-02</t>
  </si>
  <si>
    <t>Uday Bhaskar Chebolu</t>
  </si>
  <si>
    <t>Satyanarayana Sethy</t>
  </si>
  <si>
    <t>GP-06</t>
  </si>
  <si>
    <t xml:space="preserve">Engineer - Pipeline </t>
  </si>
  <si>
    <t>R. Lakshman Murthy</t>
  </si>
  <si>
    <t>GP-04</t>
  </si>
  <si>
    <t>Pipeline Engineer</t>
  </si>
  <si>
    <t>Halavath Premdas</t>
  </si>
  <si>
    <t>Sr Engineer - Pipe line</t>
  </si>
  <si>
    <t>Manish Kumar Sharma</t>
  </si>
  <si>
    <t>PRR-73</t>
  </si>
  <si>
    <t>Safety supervisor</t>
  </si>
  <si>
    <t>Sankar Patra</t>
  </si>
  <si>
    <t>Pradeep Kumar Yadav</t>
  </si>
  <si>
    <t>Guru Prasad Tripathi</t>
  </si>
  <si>
    <t>PRR-74</t>
  </si>
  <si>
    <t xml:space="preserve">MD. Tarique iqbal </t>
  </si>
  <si>
    <t>Safety Steward</t>
  </si>
  <si>
    <t>Sonu Kumar Yadav</t>
  </si>
  <si>
    <t>Arman Alam</t>
  </si>
  <si>
    <t>Sanjay Yadav</t>
  </si>
  <si>
    <t>PRR-75</t>
  </si>
  <si>
    <t>Sharukh Khan</t>
  </si>
  <si>
    <t>Digbijay Behera</t>
  </si>
  <si>
    <t>Amit Kumar Singh</t>
  </si>
  <si>
    <t>Ajay Kumar</t>
  </si>
  <si>
    <t>Harman Banjara</t>
  </si>
  <si>
    <t>Lab Technician</t>
  </si>
  <si>
    <t>M. Krishnaiah</t>
  </si>
  <si>
    <t>NARESH GUDURU</t>
  </si>
  <si>
    <t xml:space="preserve">DPM - CIVIL </t>
  </si>
  <si>
    <t>B Syed Ibrahim</t>
  </si>
  <si>
    <t>CBCMP-12</t>
  </si>
  <si>
    <t>DPM- Civil</t>
  </si>
  <si>
    <t>Chittaranjan Sahu</t>
  </si>
  <si>
    <t>GP-01</t>
  </si>
  <si>
    <t>GM - Projects</t>
  </si>
  <si>
    <t>T V Rama Reddy</t>
  </si>
  <si>
    <t>Akshat Gupta</t>
  </si>
  <si>
    <t>Sr. Planning and QS Engineer</t>
  </si>
  <si>
    <t>Praveen Avula</t>
  </si>
  <si>
    <t>HYD-03</t>
  </si>
  <si>
    <t>N. Madhusudhan Reddy</t>
  </si>
  <si>
    <t>Shahwaz</t>
  </si>
  <si>
    <t>Sr. Safety Officer</t>
  </si>
  <si>
    <t xml:space="preserve">Masoom Raja </t>
  </si>
  <si>
    <t xml:space="preserve">Senior Executive Safety </t>
  </si>
  <si>
    <t>Vikas Upadhayay</t>
  </si>
  <si>
    <t>ManeeshRajput</t>
  </si>
  <si>
    <t xml:space="preserve">Harash Singh </t>
  </si>
  <si>
    <t xml:space="preserve">RItik Hait </t>
  </si>
  <si>
    <t>AYAN PAL</t>
  </si>
  <si>
    <t>Rajesh Kumar Patel</t>
  </si>
  <si>
    <t>CBCMP-14</t>
  </si>
  <si>
    <t>Ashish Kumar Singh</t>
  </si>
  <si>
    <t>Lalit Singh</t>
  </si>
  <si>
    <t>CBCMP-17</t>
  </si>
  <si>
    <t>Chandan Pal</t>
  </si>
  <si>
    <t>Virendra Pratap</t>
  </si>
  <si>
    <t>CBCMP-15</t>
  </si>
  <si>
    <t>Soumya Ranjan Das</t>
  </si>
  <si>
    <t>Chandan Pandey</t>
  </si>
  <si>
    <t>Gaurav Kumar Soni</t>
  </si>
  <si>
    <t>Mr. Yugandhar</t>
  </si>
  <si>
    <t>Amarijit Singh</t>
  </si>
  <si>
    <t>GRISHM KUMAR TIWARI</t>
  </si>
  <si>
    <t>Chandan Kumar Rai</t>
  </si>
  <si>
    <t>Dilip singh</t>
  </si>
  <si>
    <t>CBCMP-24</t>
  </si>
  <si>
    <t xml:space="preserve">Store Keeper </t>
  </si>
  <si>
    <t>Sudhanshu Tiwari</t>
  </si>
  <si>
    <t>Raman Shrama</t>
  </si>
  <si>
    <t>CBCMP-22</t>
  </si>
  <si>
    <t>Harish Solanki</t>
  </si>
  <si>
    <t>Adarsh singh</t>
  </si>
  <si>
    <t>CBCMP-21</t>
  </si>
  <si>
    <t>Sr. Executive Store</t>
  </si>
  <si>
    <t>Ajay Kumar Goyal</t>
  </si>
  <si>
    <t>Ramkishun Gupta</t>
  </si>
  <si>
    <t>Assistant General Manager - Project</t>
  </si>
  <si>
    <t>S  S Raghunadha Raju</t>
  </si>
  <si>
    <t>HYD-01</t>
  </si>
  <si>
    <t>Sutanu Mishra</t>
  </si>
  <si>
    <t>Deputy General Manager - Project</t>
  </si>
  <si>
    <t>Nagender P</t>
  </si>
  <si>
    <t>Senior Deputy General Manager - Project</t>
  </si>
  <si>
    <t>Niranjan</t>
  </si>
  <si>
    <t>PRR-52</t>
  </si>
  <si>
    <t>Raja Kumar</t>
  </si>
  <si>
    <t>ASHOK KUMAR</t>
  </si>
  <si>
    <t>Nitish Sharma</t>
  </si>
  <si>
    <t>S.ABISHEK</t>
  </si>
  <si>
    <t>Pukaram Borana</t>
  </si>
  <si>
    <t>PRR-50</t>
  </si>
  <si>
    <t>Raushan Kumar</t>
  </si>
  <si>
    <t>Abhimanyu Kumar</t>
  </si>
  <si>
    <t>PRR-55</t>
  </si>
  <si>
    <t>Anuj Kumar</t>
  </si>
  <si>
    <t>PRR-58</t>
  </si>
  <si>
    <t>ASST. Lab Technician</t>
  </si>
  <si>
    <t>Ashish Kumar Patel</t>
  </si>
  <si>
    <t>Jr.Engineer</t>
  </si>
  <si>
    <t>Dharani Paharia</t>
  </si>
  <si>
    <t>PRR-54</t>
  </si>
  <si>
    <t>Nishant Kumar Singh</t>
  </si>
  <si>
    <t>Rajesh Yadav</t>
  </si>
  <si>
    <t>Pankaj sharma</t>
  </si>
  <si>
    <t>sr. Engineer</t>
  </si>
  <si>
    <t>Raghib Hussain</t>
  </si>
  <si>
    <t>PRR-59</t>
  </si>
  <si>
    <t>Rohan Raj</t>
  </si>
  <si>
    <t>Vinod Singh</t>
  </si>
  <si>
    <t>PRR-56</t>
  </si>
  <si>
    <t>Jr. Lab Technician</t>
  </si>
  <si>
    <t>Narendra</t>
  </si>
  <si>
    <t>CBCMP-45</t>
  </si>
  <si>
    <t>Executive</t>
  </si>
  <si>
    <t>Newton Bala</t>
  </si>
  <si>
    <t xml:space="preserve">Safety officer </t>
  </si>
  <si>
    <t>Jwala Yadav</t>
  </si>
  <si>
    <t>Bipul Kushwaha</t>
  </si>
  <si>
    <t xml:space="preserve">Asst Manager </t>
  </si>
  <si>
    <t>Surya Narayana Shukla</t>
  </si>
  <si>
    <t>Jr Engineer(pipeline)</t>
  </si>
  <si>
    <t>Ashish Rawat</t>
  </si>
  <si>
    <t>Civil Engineer(pipeline)</t>
  </si>
  <si>
    <t>Deepak Kumar Mishra</t>
  </si>
  <si>
    <t>Sk. Jamed Nasir</t>
  </si>
  <si>
    <t>GP-49</t>
  </si>
  <si>
    <t>Asst Engineer - QS</t>
  </si>
  <si>
    <t>Elavarasan T</t>
  </si>
  <si>
    <t>Kowtharapu Raju</t>
  </si>
  <si>
    <t>Sr. Structure engineer</t>
  </si>
  <si>
    <t>T. Raju</t>
  </si>
  <si>
    <t>Veeramsetti Narendra</t>
  </si>
  <si>
    <t>Killampalli Suresh</t>
  </si>
  <si>
    <t>Sr. Engineer - Structures (Viaduct)</t>
  </si>
  <si>
    <t>Putta Srikanth reddy</t>
  </si>
  <si>
    <t xml:space="preserve">Sr. Engineer - Structures </t>
  </si>
  <si>
    <t>Bathula Sravan Kumar</t>
  </si>
  <si>
    <t>HYD-04</t>
  </si>
  <si>
    <t>Associate Manager</t>
  </si>
  <si>
    <t>Interview Hold</t>
  </si>
  <si>
    <t>T. Venkata Subbaiah</t>
  </si>
  <si>
    <t>A Mahesh</t>
  </si>
  <si>
    <t>Santhosh Kumar</t>
  </si>
  <si>
    <t>Bhavireddy Chakradharudu</t>
  </si>
  <si>
    <t>Sammeta Ramulu</t>
  </si>
  <si>
    <t>Srinivasu Manchala</t>
  </si>
  <si>
    <t>Avijit Sarkar</t>
  </si>
  <si>
    <t>PRR-116</t>
  </si>
  <si>
    <t>Dangeti Satish</t>
  </si>
  <si>
    <t>GP-05</t>
  </si>
  <si>
    <t>Mr. Kalai Vanan</t>
  </si>
  <si>
    <t>Akash Raghav</t>
  </si>
  <si>
    <t>Kandukuri Raja</t>
  </si>
  <si>
    <t>GP-07</t>
  </si>
  <si>
    <t>Associate Engineer - Civil Structures) WS</t>
  </si>
  <si>
    <t>Mithun Kumar Mahapatro</t>
  </si>
  <si>
    <t>Asst Engineer-Civil Engineer - Structure</t>
  </si>
  <si>
    <t>Manoj Rai</t>
  </si>
  <si>
    <t>Sr Engineer - Structures</t>
  </si>
  <si>
    <t>B. Sudhakar Rao</t>
  </si>
  <si>
    <t>Srinivasa Rao Rajana</t>
  </si>
  <si>
    <t>Kubireddy</t>
  </si>
  <si>
    <t>GP-22</t>
  </si>
  <si>
    <t>Manager</t>
  </si>
  <si>
    <t>V Linga Naik</t>
  </si>
  <si>
    <t>Ganesh Awasthi</t>
  </si>
  <si>
    <t>GP-03</t>
  </si>
  <si>
    <t>Sivamanikandan P</t>
  </si>
  <si>
    <t>GP-23</t>
  </si>
  <si>
    <t>K Praveen Kumar</t>
  </si>
  <si>
    <t>Nakkala Naga Gopi N</t>
  </si>
  <si>
    <t>Dilip Kumar Yadav</t>
  </si>
  <si>
    <t>GP-24</t>
  </si>
  <si>
    <t>S Siddarda Chandrasekhar</t>
  </si>
  <si>
    <t>Prabhakarreddy Boreddy</t>
  </si>
  <si>
    <t>Venkatasubbaiah Alamuri</t>
  </si>
  <si>
    <t>Amit Kumar Yadav</t>
  </si>
  <si>
    <t>Ram Pratap Bharti</t>
  </si>
  <si>
    <t>Veer Babu Singh</t>
  </si>
  <si>
    <t>M Ravindar</t>
  </si>
  <si>
    <t>Ankam Vijay Kumar</t>
  </si>
  <si>
    <t>Mukesh Kumar</t>
  </si>
  <si>
    <t>RAJESH SINGH PARIHAR</t>
  </si>
  <si>
    <t>Bijoy Ghosh</t>
  </si>
  <si>
    <t>Sanjit Kumar</t>
  </si>
  <si>
    <t>Sharwan Mehta</t>
  </si>
  <si>
    <t>Ram Bharat Lodha</t>
  </si>
  <si>
    <t>PRR-51</t>
  </si>
  <si>
    <t>Pushkar Kumar</t>
  </si>
  <si>
    <t>PRR-53</t>
  </si>
  <si>
    <t>Gopal Singh</t>
  </si>
  <si>
    <t xml:space="preserve">SHEELENDRA KUMAR </t>
  </si>
  <si>
    <t>Manjeet Singh</t>
  </si>
  <si>
    <t>P. Suresh Babu</t>
  </si>
  <si>
    <t>Krishna Kumar Sah</t>
  </si>
  <si>
    <t>Akash kumar</t>
  </si>
  <si>
    <t>Tara Chandra</t>
  </si>
  <si>
    <t>PRR-57</t>
  </si>
  <si>
    <t>Kanhiya Kumar</t>
  </si>
  <si>
    <t>Raushan kumar</t>
  </si>
  <si>
    <t>Sr. Lab Technician</t>
  </si>
  <si>
    <t>Aryan Singh</t>
  </si>
  <si>
    <t>CBCMP-11</t>
  </si>
  <si>
    <t>Admin Assistant</t>
  </si>
  <si>
    <t>Sujit Kumar Trigunayak</t>
  </si>
  <si>
    <t>Executive Hr/Admin</t>
  </si>
  <si>
    <t>Koti Raju</t>
  </si>
  <si>
    <t>DPM-Highway Execution</t>
  </si>
  <si>
    <t>Ravi Chandra Parasa</t>
  </si>
  <si>
    <t>Sr. Manager-Highways</t>
  </si>
  <si>
    <t>CS Chakravarthi</t>
  </si>
  <si>
    <t>G. Dora Babu</t>
  </si>
  <si>
    <t>Padam Ramakrishna</t>
  </si>
  <si>
    <t>Assistant QS</t>
  </si>
  <si>
    <t>Achu Mohanan</t>
  </si>
  <si>
    <t>Junior Engineer (Planning)+QS</t>
  </si>
  <si>
    <t>Anvesh.K</t>
  </si>
  <si>
    <t>Sr Structural Engr(Structures)</t>
  </si>
  <si>
    <t>Amit Yadav</t>
  </si>
  <si>
    <t>Structure Engineer(Structures)</t>
  </si>
  <si>
    <t>Sagar Maharana</t>
  </si>
  <si>
    <t>DGM</t>
  </si>
  <si>
    <t>Bhoopendra Singh</t>
  </si>
  <si>
    <t>PM Highway</t>
  </si>
  <si>
    <t>Manne Naveen</t>
  </si>
  <si>
    <t>Highway manager</t>
  </si>
  <si>
    <t xml:space="preserve">Piyush Jain </t>
  </si>
  <si>
    <t>Deputy Project Manager - Highways</t>
  </si>
  <si>
    <t>Bhayharan Singh</t>
  </si>
  <si>
    <t>Ranvijay Singh</t>
  </si>
  <si>
    <t>Venkat Reddy Narendra Reddy Avula</t>
  </si>
  <si>
    <t xml:space="preserve">Asst. Highway Engg </t>
  </si>
  <si>
    <t>Sena Prasad</t>
  </si>
  <si>
    <t>Sr Manager High Way</t>
  </si>
  <si>
    <t xml:space="preserve">Raj Kishore Mallick </t>
  </si>
  <si>
    <t>Sr. Engg Highways</t>
  </si>
  <si>
    <t>R. Satish Kumar</t>
  </si>
  <si>
    <t>Kallagunta Prakash</t>
  </si>
  <si>
    <t>Anaparthi Veera Venkata Manikanta</t>
  </si>
  <si>
    <t>Sr Highway Engineer</t>
  </si>
  <si>
    <t>Ram Reddy</t>
  </si>
  <si>
    <t>Sr Highway Engineer(Execution)</t>
  </si>
  <si>
    <t>Asim Biswas</t>
  </si>
  <si>
    <t>Highway Engineer(Execution)</t>
  </si>
  <si>
    <t>Peresetti Gopinadh</t>
  </si>
  <si>
    <t>Site Engineer(Highway)(Execution)</t>
  </si>
  <si>
    <t>Manoj Kumar Yadav</t>
  </si>
  <si>
    <t>Engineer(Execution)</t>
  </si>
  <si>
    <t>Kommera Tarun</t>
  </si>
  <si>
    <t>Site Engineer(Execution)</t>
  </si>
  <si>
    <t>Ramnarayan Tiwari</t>
  </si>
  <si>
    <t>Supervisor - Highways</t>
  </si>
  <si>
    <t>Samshad Ali</t>
  </si>
  <si>
    <t>Linga Reddy Gaddam</t>
  </si>
  <si>
    <t>Rayapu Krishnamurthy</t>
  </si>
  <si>
    <t>P. Vijaya Kumar</t>
  </si>
  <si>
    <t>N. Murali</t>
  </si>
  <si>
    <t>B ANIL KUMAR</t>
  </si>
  <si>
    <t>AM-11</t>
  </si>
  <si>
    <t>ELECTRICIAN</t>
  </si>
  <si>
    <t>Mr. L. Chandrasekhar</t>
  </si>
  <si>
    <t>KOTHAGADI SANJAY</t>
  </si>
  <si>
    <t>SURVEY</t>
  </si>
  <si>
    <t>Vaibhav Sharma</t>
  </si>
  <si>
    <t>Akash Kumar Yadav</t>
  </si>
  <si>
    <t>GP-32</t>
  </si>
  <si>
    <t>Sr. Engineer - Water Supply</t>
  </si>
  <si>
    <t>Raja Natha</t>
  </si>
  <si>
    <t>Engineer - Water Supply</t>
  </si>
  <si>
    <t xml:space="preserve">Donaka Kesava Rao </t>
  </si>
  <si>
    <t>AM-15</t>
  </si>
  <si>
    <t xml:space="preserve">Junior Executive Safety </t>
  </si>
  <si>
    <t>R RAGHVENDRA GUPTHA</t>
  </si>
  <si>
    <t>PRR-113</t>
  </si>
  <si>
    <t xml:space="preserve">Manager Surveyor </t>
  </si>
  <si>
    <t>Kamlesh Prajapati</t>
  </si>
  <si>
    <t>Site Engineer</t>
  </si>
  <si>
    <t>N.B.S.Sampath Rayudu</t>
  </si>
  <si>
    <t>Subham Kumar</t>
  </si>
  <si>
    <t>Ujwal Anil Wagh</t>
  </si>
  <si>
    <t>Rohit Ravindra Wani</t>
  </si>
  <si>
    <t>Suman Das</t>
  </si>
  <si>
    <t>PRR-26</t>
  </si>
  <si>
    <t>Bijoy Biswas</t>
  </si>
  <si>
    <t>Ambuj Kumar</t>
  </si>
  <si>
    <t>Siva Prasad</t>
  </si>
  <si>
    <t>Abhdesh Dhakad</t>
  </si>
  <si>
    <t>Muhammad Aasif Ansari</t>
  </si>
  <si>
    <t>Sujit Dharmangad Patkulkar</t>
  </si>
  <si>
    <t>Nikhil pardhi</t>
  </si>
  <si>
    <t>Prashant Hambirrao desai</t>
  </si>
  <si>
    <t>Jitendra Kumar</t>
  </si>
  <si>
    <t>LISMB-05</t>
  </si>
  <si>
    <t>Abhisek Rout</t>
  </si>
  <si>
    <t>LISMB-04</t>
  </si>
  <si>
    <t>Ashish Tiwari</t>
  </si>
  <si>
    <t>LISMB-06</t>
  </si>
  <si>
    <t>Md Nazim</t>
  </si>
  <si>
    <t>Pavan Kumar Singh</t>
  </si>
  <si>
    <t>Jithendar Thatipelli</t>
  </si>
  <si>
    <t>Vijay Kumar Vasamsetti</t>
  </si>
  <si>
    <t>Rujibul Khan</t>
  </si>
  <si>
    <t>Premanonda Mridha</t>
  </si>
  <si>
    <t>Monu Kumar</t>
  </si>
  <si>
    <t>Badam Singh</t>
  </si>
  <si>
    <t>Nitin Mishra</t>
  </si>
  <si>
    <t>Asst Surveyor</t>
  </si>
  <si>
    <t>Dipak Kumar Pandey</t>
  </si>
  <si>
    <t>Suraj Kumar</t>
  </si>
  <si>
    <t>PRR-43</t>
  </si>
  <si>
    <t>Md Saleem</t>
  </si>
  <si>
    <t>Ashok Kumar Sonkar</t>
  </si>
  <si>
    <t>Rajeev Kumar Singh</t>
  </si>
  <si>
    <t>Nagendrakumar Tiwari</t>
  </si>
  <si>
    <t>Ajay Kumar Mishra</t>
  </si>
  <si>
    <t>Dharmendra Kumar Prajapati</t>
  </si>
  <si>
    <t>Karan Kumar</t>
  </si>
  <si>
    <t>Shantanu Samanta</t>
  </si>
  <si>
    <t>PRR-32</t>
  </si>
  <si>
    <t>Vikas Kumar Chaudhary</t>
  </si>
  <si>
    <t>Ch.RameshBabu</t>
  </si>
  <si>
    <t>Sr. Deputy Project Manager -Structures</t>
  </si>
  <si>
    <t>Ambrish  Kumar Rai</t>
  </si>
  <si>
    <t>Deputy Project Manager -Structures</t>
  </si>
  <si>
    <t>Narayanan.P</t>
  </si>
  <si>
    <t>Manager -Structures</t>
  </si>
  <si>
    <t>S. Sankar</t>
  </si>
  <si>
    <t>R. Chandra Mouli</t>
  </si>
  <si>
    <t>DPM - Structures</t>
  </si>
  <si>
    <t>Siva Rayapati</t>
  </si>
  <si>
    <t>DPM (Structures)</t>
  </si>
  <si>
    <t>A. Siva Krishna</t>
  </si>
  <si>
    <t>Ijjada Dileep krishna kumar</t>
  </si>
  <si>
    <t>Engineer-Highways</t>
  </si>
  <si>
    <t>Keshav Kumar</t>
  </si>
  <si>
    <t>Anem Vineth</t>
  </si>
  <si>
    <t xml:space="preserve">Asst Engineer - Highway </t>
  </si>
  <si>
    <t>PAMU RAKESH</t>
  </si>
  <si>
    <t>Chatla Rajesh</t>
  </si>
  <si>
    <t>Asst Highway Engineer</t>
  </si>
  <si>
    <t xml:space="preserve">Moses Pulavarthi </t>
  </si>
  <si>
    <t xml:space="preserve">Asst. Engineer - Highways </t>
  </si>
  <si>
    <t xml:space="preserve">Kamalesh Kumar </t>
  </si>
  <si>
    <t>Jr Engineer Highways</t>
  </si>
  <si>
    <t xml:space="preserve">Deepak Kumar Pandey </t>
  </si>
  <si>
    <t>jr Engineer Highways</t>
  </si>
  <si>
    <t>GumpaSwamy Pola</t>
  </si>
  <si>
    <t xml:space="preserve">Aman Kumar </t>
  </si>
  <si>
    <t>Engineer - Highways</t>
  </si>
  <si>
    <t>BeerSingh</t>
  </si>
  <si>
    <t>Assistant Bridge Engineer</t>
  </si>
  <si>
    <t xml:space="preserve"> Mr. Radha Krishna</t>
  </si>
  <si>
    <t>Shubham Saxena</t>
  </si>
  <si>
    <t>Assistant Bridge/Structure Engineer</t>
  </si>
  <si>
    <t>Shubham Sharma</t>
  </si>
  <si>
    <t xml:space="preserve">Structure &amp; Billing Engineer </t>
  </si>
  <si>
    <t>Gaurav Kumar Sorout</t>
  </si>
  <si>
    <t>Field Engineer Bridge</t>
  </si>
  <si>
    <t>Khokan Raskhit</t>
  </si>
  <si>
    <t>PRR-119</t>
  </si>
  <si>
    <t>Maheswar Rout</t>
  </si>
  <si>
    <t>Vakati Mahendra</t>
  </si>
  <si>
    <t>Sudhir Kumar Pandey</t>
  </si>
  <si>
    <t>Stores Keeper</t>
  </si>
  <si>
    <t xml:space="preserve">Ajay Jha </t>
  </si>
  <si>
    <t>S. Naga Raju</t>
  </si>
  <si>
    <t>Sr. Construction Manager</t>
  </si>
  <si>
    <t>R. Hari krishna</t>
  </si>
  <si>
    <t>Project Manager - Earthwork</t>
  </si>
  <si>
    <t>A. Suresh Kumar</t>
  </si>
  <si>
    <t>Manager - Construction</t>
  </si>
  <si>
    <t>V. Sreekanth Reddy</t>
  </si>
  <si>
    <t>Manager - Highway</t>
  </si>
  <si>
    <t>Nagulapally Jayanth</t>
  </si>
  <si>
    <t>RO-01</t>
  </si>
  <si>
    <t>MIS Executive</t>
  </si>
  <si>
    <t>Mr. Naveen Dhanala</t>
  </si>
  <si>
    <t>Aman Kumar Gupta</t>
  </si>
  <si>
    <t>GP-26</t>
  </si>
  <si>
    <t>Anand Kumar</t>
  </si>
  <si>
    <t>GP-27</t>
  </si>
  <si>
    <t>Vagganagari Hari Prasad</t>
  </si>
  <si>
    <t>Arun Shriwas</t>
  </si>
  <si>
    <t>Vishal Patnaik</t>
  </si>
  <si>
    <t>Prabhat Tiwari</t>
  </si>
  <si>
    <t>Sr. Executive</t>
  </si>
  <si>
    <t>Veeresh Kumar</t>
  </si>
  <si>
    <t>Md Aaquib Zafar</t>
  </si>
  <si>
    <t>Syed Aslam</t>
  </si>
  <si>
    <t>AM-33</t>
  </si>
  <si>
    <t>Rajasekhar Govindayapalli</t>
  </si>
  <si>
    <t>M Rajeev Kumar</t>
  </si>
  <si>
    <t>Thirupathi Gutthikonda</t>
  </si>
  <si>
    <t>Kusuma Nagaraju</t>
  </si>
  <si>
    <t xml:space="preserve">L. Naresh Kumar </t>
  </si>
  <si>
    <t>Asst Manager - Survey</t>
  </si>
  <si>
    <t>Mr. Ramakrishna Rao</t>
  </si>
  <si>
    <t>Deepak Verma</t>
  </si>
  <si>
    <t>Asst. Surveyor</t>
  </si>
  <si>
    <t>N Madhusudhan</t>
  </si>
  <si>
    <t>Mr. R. Hari Krishna</t>
  </si>
  <si>
    <t>Binoy Ghosh</t>
  </si>
  <si>
    <t>Sr surveyor</t>
  </si>
  <si>
    <t>Ram Kumar Subramaniyan</t>
  </si>
  <si>
    <t>AM-07</t>
  </si>
  <si>
    <t xml:space="preserve">Rashapl Singh </t>
  </si>
  <si>
    <t>PRR-125</t>
  </si>
  <si>
    <t xml:space="preserve">Upendra Kumar Singh </t>
  </si>
  <si>
    <t xml:space="preserve">Anurag Sharma </t>
  </si>
  <si>
    <t>MANIKANDAN G</t>
  </si>
  <si>
    <t>Senior Engineer </t>
  </si>
  <si>
    <t>SAIKAT KOWER</t>
  </si>
  <si>
    <t>Junior Surveyor </t>
  </si>
  <si>
    <t>SHYAM DHARAM RAJ PANDEY</t>
  </si>
  <si>
    <t>Foreman </t>
  </si>
  <si>
    <t>Mulayam </t>
  </si>
  <si>
    <t>Surveyor </t>
  </si>
  <si>
    <t>SHAFKET ALI</t>
  </si>
  <si>
    <t>PRR-105</t>
  </si>
  <si>
    <t>Ravinder Singh</t>
  </si>
  <si>
    <t>Pintu Mondal </t>
  </si>
  <si>
    <t>Anand Pal</t>
  </si>
  <si>
    <t>PRR-107</t>
  </si>
  <si>
    <t>Senior Geologist </t>
  </si>
  <si>
    <t>GAUTAM SINGH</t>
  </si>
  <si>
    <t>PRADYUT HAZRA</t>
  </si>
  <si>
    <t>AM-22</t>
  </si>
  <si>
    <t>Mr. Manu</t>
  </si>
  <si>
    <t>Santanu Parda</t>
  </si>
  <si>
    <t>RAJESH SAU</t>
  </si>
  <si>
    <t>Raman</t>
  </si>
  <si>
    <t>Senior Engineer Tunnel </t>
  </si>
  <si>
    <t>Tasleem Arif</t>
  </si>
  <si>
    <t>Sajad Ahmed</t>
  </si>
  <si>
    <t>ASHISH KUMAR</t>
  </si>
  <si>
    <t>Naresh Bharadwaj</t>
  </si>
  <si>
    <t>Praveen Srivastava</t>
  </si>
  <si>
    <t>AGM</t>
  </si>
  <si>
    <t>RayalaSunil Chowdary</t>
  </si>
  <si>
    <t>PRR-85</t>
  </si>
  <si>
    <t>Senior Executive Stores </t>
  </si>
  <si>
    <t>Kushal Kumar</t>
  </si>
  <si>
    <t>Anil Vishwakarma</t>
  </si>
  <si>
    <t>Laxmidhar Behara</t>
  </si>
  <si>
    <t>S.RamPrasad</t>
  </si>
  <si>
    <t>Veerendra lakher</t>
  </si>
  <si>
    <t>Mohd Sohail</t>
  </si>
  <si>
    <t>HARIKESH SINGH</t>
  </si>
  <si>
    <t>Surender M</t>
  </si>
  <si>
    <t>Jaini Naveen Kumar</t>
  </si>
  <si>
    <t>Srinivasa Rao Bhogi</t>
  </si>
  <si>
    <t>L. Naga Raju</t>
  </si>
  <si>
    <t>Gella Chiranjeevi</t>
  </si>
  <si>
    <t>Arif Khan</t>
  </si>
  <si>
    <t>PRR-34</t>
  </si>
  <si>
    <t>Pratik Raj</t>
  </si>
  <si>
    <t>PRR-35</t>
  </si>
  <si>
    <t>Ritesh Kumar Sonu</t>
  </si>
  <si>
    <t>Rohan Mohanty</t>
  </si>
  <si>
    <t>ENGINEER</t>
  </si>
  <si>
    <t>Ankit Ayush</t>
  </si>
  <si>
    <t>CBCMP-48</t>
  </si>
  <si>
    <t>Engineer / Senior Engineer Civil</t>
  </si>
  <si>
    <t>GOLUKUMAR</t>
  </si>
  <si>
    <t>CBCMP-49</t>
  </si>
  <si>
    <t>HEMANT THAKUR</t>
  </si>
  <si>
    <t>Pratik Chedge </t>
  </si>
  <si>
    <t>Manoj Solanki</t>
  </si>
  <si>
    <t>RABIN KUMAR</t>
  </si>
  <si>
    <t>Vijay Kumar Gupta</t>
  </si>
  <si>
    <t>PLMC-03</t>
  </si>
  <si>
    <t>Rohit Kumar</t>
  </si>
  <si>
    <t>Gobinda Bain</t>
  </si>
  <si>
    <t>Sanjit Biswas</t>
  </si>
  <si>
    <t>PLMC-04</t>
  </si>
  <si>
    <t>Dhirendra Giri</t>
  </si>
  <si>
    <t>Asst Safety Officer</t>
  </si>
  <si>
    <t>Md Zulfekar Manauwar</t>
  </si>
  <si>
    <t>Davili Suresh</t>
  </si>
  <si>
    <t>Engineer-Pipe Laying</t>
  </si>
  <si>
    <t>M.Rustam Khan</t>
  </si>
  <si>
    <t>Sr. Engineer -Pipe Laying</t>
  </si>
  <si>
    <t>Raja Ram Puhan</t>
  </si>
  <si>
    <t>Chandaka Krishna Karthik</t>
  </si>
  <si>
    <t>Avanish Dubey</t>
  </si>
  <si>
    <t>Rishav Das</t>
  </si>
  <si>
    <t>Santhosh Kumar Singh</t>
  </si>
  <si>
    <t>Aniket R. Kalmegh</t>
  </si>
  <si>
    <t>Shubham Kumar</t>
  </si>
  <si>
    <t>PRR-33</t>
  </si>
  <si>
    <t>Akramkhan</t>
  </si>
  <si>
    <t>Rohit kashniyal</t>
  </si>
  <si>
    <t>Abhijeet Bhoyar</t>
  </si>
  <si>
    <t>SANTANU JANA</t>
  </si>
  <si>
    <t>CHITTELA BHANU CHARAN</t>
  </si>
  <si>
    <t>HYD-29</t>
  </si>
  <si>
    <t xml:space="preserve">Shaik Khasim Basha </t>
  </si>
  <si>
    <t>Anish Katoch </t>
  </si>
  <si>
    <t>PRR-81</t>
  </si>
  <si>
    <t>Executive HR &amp; Admin </t>
  </si>
  <si>
    <t>Mr. Venu/ Mr. Srinivas</t>
  </si>
  <si>
    <t>Satyam Srivastava</t>
  </si>
  <si>
    <t>Abhijith RK</t>
  </si>
  <si>
    <t>Karunaiah Sattenapalli</t>
  </si>
  <si>
    <t>HO-01</t>
  </si>
  <si>
    <t>G. Suryanaraya Raju</t>
  </si>
  <si>
    <t>Sudhakar Rao</t>
  </si>
  <si>
    <t>HO-02</t>
  </si>
  <si>
    <t>Mr. Murali</t>
  </si>
  <si>
    <t>Ravi K</t>
  </si>
  <si>
    <t>RO-03</t>
  </si>
  <si>
    <t>GM-HR</t>
  </si>
  <si>
    <t>Penta Karnakar</t>
  </si>
  <si>
    <t>sarvan kumar</t>
  </si>
  <si>
    <t>Asst. Engineer</t>
  </si>
  <si>
    <t>Shivam Rana</t>
  </si>
  <si>
    <t>MD Shadab</t>
  </si>
  <si>
    <t>Bikash Pradhan</t>
  </si>
  <si>
    <t>surinder</t>
  </si>
  <si>
    <t>Store Assistant</t>
  </si>
  <si>
    <t>Gajendra Pratap Singh</t>
  </si>
  <si>
    <t>ATUL RISHABH</t>
  </si>
  <si>
    <t>CBCMP-25</t>
  </si>
  <si>
    <t>Surjeet Kumar</t>
  </si>
  <si>
    <t>SHIVAM</t>
  </si>
  <si>
    <t>PRASHANT TIWARI</t>
  </si>
  <si>
    <t>Ashutosh mishra</t>
  </si>
  <si>
    <t>CBCMP-23</t>
  </si>
  <si>
    <t>Store keeper</t>
  </si>
  <si>
    <t>Naveen Nagle</t>
  </si>
  <si>
    <t>Arjun Singh Bhadauriya</t>
  </si>
  <si>
    <t>CBCMP-20</t>
  </si>
  <si>
    <t>Vijaykumar</t>
  </si>
  <si>
    <t>Ramesh Marupu</t>
  </si>
  <si>
    <t>Sr Engineer(QA/QC)</t>
  </si>
  <si>
    <t>Sumanta Pradhan</t>
  </si>
  <si>
    <t>CBCMP-50</t>
  </si>
  <si>
    <t>Neelendra Ghosh</t>
  </si>
  <si>
    <t>CBCMP-39</t>
  </si>
  <si>
    <t>Satyam Dubey</t>
  </si>
  <si>
    <t>Lakshman Kumar</t>
  </si>
  <si>
    <t>Varada Sai Kumar</t>
  </si>
  <si>
    <t>Vicky Ashokrao Khandare</t>
  </si>
  <si>
    <t>Mohit Kumar Pal</t>
  </si>
  <si>
    <t>CBCMP-51</t>
  </si>
  <si>
    <t>Yuvraj Patil</t>
  </si>
  <si>
    <t>Fitter</t>
  </si>
  <si>
    <t>Omkar Sahani</t>
  </si>
  <si>
    <t>Suraj Mishra</t>
  </si>
  <si>
    <t>Amit Kumar Pandey</t>
  </si>
  <si>
    <t>Nimai Chandra Kundu</t>
  </si>
  <si>
    <t>Neeraj Kumar</t>
  </si>
  <si>
    <t>Pawan Kumar Sahu</t>
  </si>
  <si>
    <t>SK Sahil Haque</t>
  </si>
  <si>
    <t>Executive - Stores </t>
  </si>
  <si>
    <t>Aridaman Singh Chauhan</t>
  </si>
  <si>
    <t>Shivam Kumar</t>
  </si>
  <si>
    <t>PRR-87</t>
  </si>
  <si>
    <t>Saurabh Bisht</t>
  </si>
  <si>
    <t>Manvendra Kumar Singh</t>
  </si>
  <si>
    <t>Mool Singh Rajput</t>
  </si>
  <si>
    <t>PRR-88</t>
  </si>
  <si>
    <t>MANISH KUMAR</t>
  </si>
  <si>
    <t>Executive Safety </t>
  </si>
  <si>
    <t>Sagar Ravindra Patil</t>
  </si>
  <si>
    <t>GAURAV SINGH</t>
  </si>
  <si>
    <t>Pradeep Kumar Dubey</t>
  </si>
  <si>
    <t>DIPCHAND KUMAR SAH</t>
  </si>
  <si>
    <t>Sanjay Barman</t>
  </si>
  <si>
    <t>Mr. V.Satyanarayana</t>
  </si>
  <si>
    <t>Viraj Rawat</t>
  </si>
  <si>
    <t>Shivendra Kumar Mishra</t>
  </si>
  <si>
    <t>CBCMP-122</t>
  </si>
  <si>
    <t>Sathish Chandra Yadav</t>
  </si>
  <si>
    <t>RAHUL RAHANGDALE</t>
  </si>
  <si>
    <t>Jangam Naresh Kumar</t>
  </si>
  <si>
    <t xml:space="preserve">Samir Das </t>
  </si>
  <si>
    <t>Mr. Palam Krishna</t>
  </si>
  <si>
    <t>Kuldeep Singh</t>
  </si>
  <si>
    <t xml:space="preserve">Ramesh Royyala </t>
  </si>
  <si>
    <t>Ranendra Narayan Sen</t>
  </si>
  <si>
    <t>AK Masud</t>
  </si>
  <si>
    <t>Ramakrishna Gowdi</t>
  </si>
  <si>
    <t>HYD-19</t>
  </si>
  <si>
    <t>Afreed Mohammad</t>
  </si>
  <si>
    <t>Prasad Tangirala</t>
  </si>
  <si>
    <t>HYD-17</t>
  </si>
  <si>
    <t>P Dhamodhar</t>
  </si>
  <si>
    <t>HYD-18</t>
  </si>
  <si>
    <t>G Narasimharaju</t>
  </si>
  <si>
    <t>Eslavath Naresh</t>
  </si>
  <si>
    <t>Vanjarapu Simhachalam</t>
  </si>
  <si>
    <t>Animireddi Kishore</t>
  </si>
  <si>
    <t>HYD-16</t>
  </si>
  <si>
    <t>Mekala Kishor</t>
  </si>
  <si>
    <t>Labhani Siva Sankar</t>
  </si>
  <si>
    <t>Ch Akhil Babu</t>
  </si>
  <si>
    <t>K Raghuvarma</t>
  </si>
  <si>
    <t>Sekolu Maheshbabu</t>
  </si>
  <si>
    <t>HYD-05</t>
  </si>
  <si>
    <t>V Jaya Gopal</t>
  </si>
  <si>
    <t>Pawan Kumar</t>
  </si>
  <si>
    <t>Mohammed Shadab</t>
  </si>
  <si>
    <t>Ankit Kumar</t>
  </si>
  <si>
    <t>Sunil mandal</t>
  </si>
  <si>
    <t>Anit Kumar</t>
  </si>
  <si>
    <t>Sr. Safety Executive</t>
  </si>
  <si>
    <t>ATIQUR RAHMAN</t>
  </si>
  <si>
    <t>Samim Ansari</t>
  </si>
  <si>
    <t>Rakesh</t>
  </si>
  <si>
    <t>Nasimoddin Seikh</t>
  </si>
  <si>
    <t>Senior Survey Engineer</t>
  </si>
  <si>
    <t>B.Jagadeesh</t>
  </si>
  <si>
    <t>Balaji Kadam</t>
  </si>
  <si>
    <t>P Venkaiah ( Venkat)</t>
  </si>
  <si>
    <t>Guntur</t>
  </si>
  <si>
    <t>D Venkateshwara Rao</t>
  </si>
  <si>
    <t>Belgam - Karnataka</t>
  </si>
  <si>
    <t>Kiran Bhaskar</t>
  </si>
  <si>
    <t>Project Manager-Highway</t>
  </si>
  <si>
    <t>K. Sangam Naidu</t>
  </si>
  <si>
    <t>ACM</t>
  </si>
  <si>
    <t>Mahendra M Pandey</t>
  </si>
  <si>
    <t xml:space="preserve">Project Manager </t>
  </si>
  <si>
    <t>Rittwik Kumar Das</t>
  </si>
  <si>
    <t>Chandan Patel</t>
  </si>
  <si>
    <t>Sushil Prasad</t>
  </si>
  <si>
    <t>Deputy Project Manager</t>
  </si>
  <si>
    <t>P Kullayappa</t>
  </si>
  <si>
    <t>Ganapathi Rao Majji</t>
  </si>
  <si>
    <t>Deputy Project Manager(Highways)</t>
  </si>
  <si>
    <t>Assistant Manager (Highways)</t>
  </si>
  <si>
    <t>Ananthram Reddy</t>
  </si>
  <si>
    <t>DPM-Highway</t>
  </si>
  <si>
    <t>Buppidi Anjani Raghav</t>
  </si>
  <si>
    <t>B. CHINTHALAIAH</t>
  </si>
  <si>
    <t>G. Hari Babu</t>
  </si>
  <si>
    <t>Krishna Chaitanya</t>
  </si>
  <si>
    <t>AGM-Planning &amp; QS</t>
  </si>
  <si>
    <t>Niraj Kr Singh</t>
  </si>
  <si>
    <t>Deepak Mishra</t>
  </si>
  <si>
    <t>DPM(Road&amp;Highway)</t>
  </si>
  <si>
    <t>T. Yeshu Raju</t>
  </si>
  <si>
    <t>Assistant Highway Engineer (</t>
  </si>
  <si>
    <t>Sandeep Sharma</t>
  </si>
  <si>
    <t>Vinay Kumay yadav</t>
  </si>
  <si>
    <t>Bhaskar Raju Sagi</t>
  </si>
  <si>
    <t>Technical Assistant Engineer</t>
  </si>
  <si>
    <t>Irfan Nadaf</t>
  </si>
  <si>
    <t>Sr Civil Engineer</t>
  </si>
  <si>
    <t>Krishna Kant Gupta</t>
  </si>
  <si>
    <t>Junior Engr</t>
  </si>
  <si>
    <t>Happy Kumar</t>
  </si>
  <si>
    <t>Sr Engr(Highway)</t>
  </si>
  <si>
    <t>SureshNaidu</t>
  </si>
  <si>
    <t>Sr. Engineer (Highway Project)</t>
  </si>
  <si>
    <t>Guntreddiguna Sekhar</t>
  </si>
  <si>
    <t>Pattan Subhani</t>
  </si>
  <si>
    <t>Shivam Dahikar</t>
  </si>
  <si>
    <t>DET - Civil</t>
  </si>
  <si>
    <t>Pendem Sandeep</t>
  </si>
  <si>
    <t>PRR-76</t>
  </si>
  <si>
    <t>Kondagalla Krishna</t>
  </si>
  <si>
    <t>Munimoksham Pandu</t>
  </si>
  <si>
    <t>Borlakunta Divakar</t>
  </si>
  <si>
    <t>Yarnam Yashwanth</t>
  </si>
  <si>
    <t>Akhil Paithari</t>
  </si>
  <si>
    <t>Satyanarayana Prasad Guptha</t>
  </si>
  <si>
    <t>Merugu Naveen</t>
  </si>
  <si>
    <t>Thodsam Shiva Shankar</t>
  </si>
  <si>
    <t>Rayala Nagendra Babu</t>
  </si>
  <si>
    <t>Jagati Sai Tarun</t>
  </si>
  <si>
    <t xml:space="preserve">Yerra Ram Sai </t>
  </si>
  <si>
    <t>GP-48</t>
  </si>
  <si>
    <t>Koyyada Ajay</t>
  </si>
  <si>
    <t>HYD-31</t>
  </si>
  <si>
    <t>Tallapelly Revanth Babu</t>
  </si>
  <si>
    <t>P Rambabu</t>
  </si>
  <si>
    <t>Veeravalli Tulasi Ram</t>
  </si>
  <si>
    <t>Galam Prasad Yadav</t>
  </si>
  <si>
    <t>Kemburu Chandrasekhar</t>
  </si>
  <si>
    <t>Shaik Nagulmeera</t>
  </si>
  <si>
    <t>Sourya Bhushan Patnaik.</t>
  </si>
  <si>
    <t>Incharge</t>
  </si>
  <si>
    <t>Akshat Srivastava</t>
  </si>
  <si>
    <t>Asst.Quantity Surveyor</t>
  </si>
  <si>
    <t>GUMPENA PURNA CHANDRA RAO</t>
  </si>
  <si>
    <t>MLV Prasad</t>
  </si>
  <si>
    <t>Garafe Incharge</t>
  </si>
  <si>
    <t>K. Gani Raju</t>
  </si>
  <si>
    <t>Ajjirapu Anil Kumar</t>
  </si>
  <si>
    <t>GP-34</t>
  </si>
  <si>
    <t>Senior Engineer-P&amp;M</t>
  </si>
  <si>
    <t>Balabhasktula Raju</t>
  </si>
  <si>
    <t>Alkendra Srivastava</t>
  </si>
  <si>
    <t>Avneesh Pandey</t>
  </si>
  <si>
    <t>PRR-89</t>
  </si>
  <si>
    <t>Store Jr Assistant</t>
  </si>
  <si>
    <t>Bobba Sri Chandra Nag</t>
  </si>
  <si>
    <t>GP-11</t>
  </si>
  <si>
    <t>Sr Store Exe</t>
  </si>
  <si>
    <t>Srinivas Dandu</t>
  </si>
  <si>
    <t>PRR-121</t>
  </si>
  <si>
    <t>Manager-Safety</t>
  </si>
  <si>
    <t>Vannet Garg </t>
  </si>
  <si>
    <t>PRR-123</t>
  </si>
  <si>
    <t>Sr.Safety Executive</t>
  </si>
  <si>
    <t>YASHWANT SINGH</t>
  </si>
  <si>
    <t>Safety  Executive</t>
  </si>
  <si>
    <t>Parwej Hayat</t>
  </si>
  <si>
    <t>Engineer - Safety</t>
  </si>
  <si>
    <t>Sanjay Erpachi</t>
  </si>
  <si>
    <t>Pulinanti Srinivasa Rao</t>
  </si>
  <si>
    <t>Sr Asst-Stores</t>
  </si>
  <si>
    <t>Devarajugattu ManiRthnam</t>
  </si>
  <si>
    <t>Pakki Varaprasad</t>
  </si>
  <si>
    <t>Stores Sr Executive</t>
  </si>
  <si>
    <t>K .Sudhakar Rao</t>
  </si>
  <si>
    <t>Manager-Stores &amp; Purchase</t>
  </si>
  <si>
    <t>Paramhansh Kumar</t>
  </si>
  <si>
    <t>Executive Stores</t>
  </si>
  <si>
    <t>Samarendra Puhan</t>
  </si>
  <si>
    <t>Store Asst</t>
  </si>
  <si>
    <t>Sai Teja Kolipaka</t>
  </si>
  <si>
    <t>HYD-23</t>
  </si>
  <si>
    <t>Sr Officer</t>
  </si>
  <si>
    <t>G.Sreeramulu</t>
  </si>
  <si>
    <t>Sr Executive-Stores</t>
  </si>
  <si>
    <t>Rajskekar Polinaidu</t>
  </si>
  <si>
    <t>Officer</t>
  </si>
  <si>
    <t>Setti Rambabu</t>
  </si>
  <si>
    <t>Store Officer</t>
  </si>
  <si>
    <t>Arun V</t>
  </si>
  <si>
    <t>Senior Electrical Engineer</t>
  </si>
  <si>
    <t>Naveen Kumar</t>
  </si>
  <si>
    <t>AM-09</t>
  </si>
  <si>
    <t>Electrical Engineer</t>
  </si>
  <si>
    <t>L. JAYAKUMAR</t>
  </si>
  <si>
    <t>MITHIL THOTA</t>
  </si>
  <si>
    <t>Ravi Kumar</t>
  </si>
  <si>
    <t>Monu Karanwal</t>
  </si>
  <si>
    <t>Sahid Raza</t>
  </si>
  <si>
    <t>Ram gopal Chaudhary</t>
  </si>
  <si>
    <t>TRIBHUWAN NATH PATHAK</t>
  </si>
  <si>
    <t>W3-61</t>
  </si>
  <si>
    <t>Arvind Singh</t>
  </si>
  <si>
    <t>Arjun</t>
  </si>
  <si>
    <t>CBCMP-31</t>
  </si>
  <si>
    <t>Ranjeet Verma</t>
  </si>
  <si>
    <t>Velaga Venkata Durga Ganapathi</t>
  </si>
  <si>
    <t>GP-21</t>
  </si>
  <si>
    <t>Seethalam Madhu Venkata Satyanarayana</t>
  </si>
  <si>
    <t>GP-20</t>
  </si>
  <si>
    <t>Raju Pulapakula</t>
  </si>
  <si>
    <t>HYD-46</t>
  </si>
  <si>
    <t>Senior Engineer (Survey department )</t>
  </si>
  <si>
    <t>Ganta Lakshmi Reddy</t>
  </si>
  <si>
    <t xml:space="preserve">Pipe line Engineer </t>
  </si>
  <si>
    <t>Manoj Appala</t>
  </si>
  <si>
    <t>GP-25</t>
  </si>
  <si>
    <t>Sr. Engineer - Civil Structures</t>
  </si>
  <si>
    <t>Pichakuntla Yadia</t>
  </si>
  <si>
    <t>Mohammad Karimoddin </t>
  </si>
  <si>
    <t>Mahesh Purohit</t>
  </si>
  <si>
    <t>Junior Engineer P&amp;M</t>
  </si>
  <si>
    <t>Saurabh Verma</t>
  </si>
  <si>
    <t>Engineer P&amp;M</t>
  </si>
  <si>
    <t>Deepak Kumar Pandey</t>
  </si>
  <si>
    <t>PRR-130</t>
  </si>
  <si>
    <t>Shrikanth Karande</t>
  </si>
  <si>
    <t>Prashant Jagota</t>
  </si>
  <si>
    <t>Rahul Kumar Rao </t>
  </si>
  <si>
    <t>C Ramakrishna Reddy</t>
  </si>
  <si>
    <t>DPM-Pipeline &amp; Civil Structures</t>
  </si>
  <si>
    <t>K. Somaraju</t>
  </si>
  <si>
    <t>Kotharupalli Kiran</t>
  </si>
  <si>
    <t>HYD-08</t>
  </si>
  <si>
    <t>Asst. Manager - HR</t>
  </si>
  <si>
    <t>Viswanath</t>
  </si>
  <si>
    <t>Sr.Manager - HR</t>
  </si>
  <si>
    <t>P. Suresh Kumar</t>
  </si>
  <si>
    <t>Manager - HR</t>
  </si>
  <si>
    <t>AS Bhaskar Rao</t>
  </si>
  <si>
    <t>GP-14</t>
  </si>
  <si>
    <t>Officer -HR -Admin</t>
  </si>
  <si>
    <t>PS Parameshwarappa</t>
  </si>
  <si>
    <t>Vipul Singh</t>
  </si>
  <si>
    <t>Kunal Kalidas Rao Joshi</t>
  </si>
  <si>
    <t>PRR-82</t>
  </si>
  <si>
    <t>Rohit Kumar Singh </t>
  </si>
  <si>
    <t>Lalu Kumar</t>
  </si>
  <si>
    <t>Store Associate</t>
  </si>
  <si>
    <t>Shahid Ali</t>
  </si>
  <si>
    <t>Raviteja Rekhala</t>
  </si>
  <si>
    <t>Bora Vasudev</t>
  </si>
  <si>
    <t>Rakesh Kumar Pradhan</t>
  </si>
  <si>
    <t>HYD-24</t>
  </si>
  <si>
    <t>Himanshu Kumar Singh</t>
  </si>
  <si>
    <t>Behara Ananth Lingaraju</t>
  </si>
  <si>
    <t>Sr. Executive Stores</t>
  </si>
  <si>
    <t>Saurav Kumar </t>
  </si>
  <si>
    <t>Site Engg - Structure</t>
  </si>
  <si>
    <t>Shivam </t>
  </si>
  <si>
    <t>Associate Engineer - structures</t>
  </si>
  <si>
    <t>Ajay Kumar Mishra </t>
  </si>
  <si>
    <t>Site Engineer (Structure)</t>
  </si>
  <si>
    <t>Arpit Pandey</t>
  </si>
  <si>
    <t>Chiditoti Prudhvi Raj</t>
  </si>
  <si>
    <t>Engineer (Earth work &amp; Structures)</t>
  </si>
  <si>
    <t>Sanjeeb Kumar Sahoo</t>
  </si>
  <si>
    <t>Sr.Engineer (Highways) </t>
  </si>
  <si>
    <t>Shaik Sadiq</t>
  </si>
  <si>
    <t>Jeevan Kumar</t>
  </si>
  <si>
    <t>Santhosh Vangara</t>
  </si>
  <si>
    <t>Shabban Khan</t>
  </si>
  <si>
    <t>Engineer- Highways </t>
  </si>
  <si>
    <t>Aslamur rahaman</t>
  </si>
  <si>
    <t>Lakshman Kumar </t>
  </si>
  <si>
    <t>Abhay Kumar Pandey</t>
  </si>
  <si>
    <t>Jr Engg Highways </t>
  </si>
  <si>
    <t>Manikant Tripathi</t>
  </si>
  <si>
    <t>PVT Rameshwar Reddy</t>
  </si>
  <si>
    <t>Dy. Engineer</t>
  </si>
  <si>
    <t>V. Dileep Kumar Reddy</t>
  </si>
  <si>
    <t>Y. Vinay Kumar</t>
  </si>
  <si>
    <t>Site Engineer </t>
  </si>
  <si>
    <t>SAIKAT SAMANTA</t>
  </si>
  <si>
    <t>HYD-20</t>
  </si>
  <si>
    <t>GET - Civil</t>
  </si>
  <si>
    <t>MD KAIS ALAM</t>
  </si>
  <si>
    <t>Arun Pandiyan</t>
  </si>
  <si>
    <t>Akhil P</t>
  </si>
  <si>
    <t>Ankith Kumar Pathak</t>
  </si>
  <si>
    <t>Ravindra Kumar Yadav</t>
  </si>
  <si>
    <t>Sangram Chaubey</t>
  </si>
  <si>
    <t>Ranjeet Kumar</t>
  </si>
  <si>
    <t>Rakesh Roshan</t>
  </si>
  <si>
    <t>Manjunath B Sindagi</t>
  </si>
  <si>
    <t>Rahul Tyagi</t>
  </si>
  <si>
    <t>Vishal Kumar</t>
  </si>
  <si>
    <t>Prashant Kumar Singh</t>
  </si>
  <si>
    <t>Ravi Prakash Tiwari</t>
  </si>
  <si>
    <t>Lalit Kumawat</t>
  </si>
  <si>
    <t>Zinnatul Hassan</t>
  </si>
  <si>
    <t>Narender Reddy T</t>
  </si>
  <si>
    <t>CBCMP-13</t>
  </si>
  <si>
    <t>Patil Avinash Pralhad</t>
  </si>
  <si>
    <t>Gopinath Varma Gokaraju</t>
  </si>
  <si>
    <t>Srinu Podagatla</t>
  </si>
  <si>
    <t>Ramkumar P</t>
  </si>
  <si>
    <t>Site Engr(Structures)</t>
  </si>
  <si>
    <t>Alexander</t>
  </si>
  <si>
    <t>Sr Engr(Structures)</t>
  </si>
  <si>
    <t>Deepak Rai</t>
  </si>
  <si>
    <t>Sidheshvar Nandkar</t>
  </si>
  <si>
    <t>Vamsi Surisetti</t>
  </si>
  <si>
    <t>GP-19</t>
  </si>
  <si>
    <t>QS &amp; Billing Engineer</t>
  </si>
  <si>
    <t>Katta Rajesh Kumar</t>
  </si>
  <si>
    <t>Chandra Charan Kumar Reddy</t>
  </si>
  <si>
    <t>Ajay Kumar Saginala</t>
  </si>
  <si>
    <t>Planning &amp; Billing Engineer</t>
  </si>
  <si>
    <t>Hari Prasad Reddy J</t>
  </si>
  <si>
    <t>RO-05</t>
  </si>
  <si>
    <t>DGM - Designs</t>
  </si>
  <si>
    <t>Jampana Suresh Raju</t>
  </si>
  <si>
    <t>RO-06</t>
  </si>
  <si>
    <t>Asst Manager Resource Mobilization</t>
  </si>
  <si>
    <t>Padam Yashwanth Dinakar</t>
  </si>
  <si>
    <t>QA QC Engineer</t>
  </si>
  <si>
    <t>Mr. Venkat Rao (Consultant)</t>
  </si>
  <si>
    <t>Gaddi Ashok</t>
  </si>
  <si>
    <t>Quality Controll Engineer</t>
  </si>
  <si>
    <t>M Srikanth</t>
  </si>
  <si>
    <t>QC Engg</t>
  </si>
  <si>
    <t>N Rajesh</t>
  </si>
  <si>
    <t>Lab Tech</t>
  </si>
  <si>
    <t>Krishnendu Panja</t>
  </si>
  <si>
    <t>Jr Engineer - QC</t>
  </si>
  <si>
    <t>S V M Subba Rao</t>
  </si>
  <si>
    <t>QC Material Engg</t>
  </si>
  <si>
    <t>Chandra Bhan</t>
  </si>
  <si>
    <t>Quality Engineer</t>
  </si>
  <si>
    <t>Kodali Sivaji</t>
  </si>
  <si>
    <t>Engineer-QC</t>
  </si>
  <si>
    <t>M. Vinay Kumar</t>
  </si>
  <si>
    <t>Rup Narayan Jha</t>
  </si>
  <si>
    <t>PRR-95</t>
  </si>
  <si>
    <t>Soumitra Baidya</t>
  </si>
  <si>
    <t>Pranay Sethy</t>
  </si>
  <si>
    <t>PRR-93</t>
  </si>
  <si>
    <t>Nitish Kumar</t>
  </si>
  <si>
    <t>Amrjeet kumar Das</t>
  </si>
  <si>
    <t>AKHIL TUMATI</t>
  </si>
  <si>
    <t>Engineer - Electrical </t>
  </si>
  <si>
    <t>SUBRATA BISWAS</t>
  </si>
  <si>
    <t>Arghadeep Singha</t>
  </si>
  <si>
    <t>RAHUL SRIVASTAVA</t>
  </si>
  <si>
    <t>Chandan Singh</t>
  </si>
  <si>
    <t>Liaison Executive</t>
  </si>
  <si>
    <t>ANKUR SHUKLA</t>
  </si>
  <si>
    <t>CBCMP-188</t>
  </si>
  <si>
    <t>Imran ahamad</t>
  </si>
  <si>
    <t>Atul Kumar Tiwari</t>
  </si>
  <si>
    <t>Rajesh Kumar Dwivedi</t>
  </si>
  <si>
    <t>Sintu Kheto</t>
  </si>
  <si>
    <t xml:space="preserve">Sr. Surveyor </t>
  </si>
  <si>
    <t>Joy Kumar Ray</t>
  </si>
  <si>
    <t>Sanjay Mishra</t>
  </si>
  <si>
    <t>Manish Pandey</t>
  </si>
  <si>
    <t>Soumen Ghosh</t>
  </si>
  <si>
    <t>Enamul Hussain</t>
  </si>
  <si>
    <t>Manish kumar Pal</t>
  </si>
  <si>
    <t>CBCMP-08</t>
  </si>
  <si>
    <t>JAGABANDHU BISWAL</t>
  </si>
  <si>
    <t>Nanaji Bagudu</t>
  </si>
  <si>
    <t>P Chitty Babu</t>
  </si>
  <si>
    <t>Yesupaka Saichand</t>
  </si>
  <si>
    <t>Shaik Ismail</t>
  </si>
  <si>
    <t>Parashurama S Barikara</t>
  </si>
  <si>
    <t>J Anandbabu</t>
  </si>
  <si>
    <t>Krishna Mahto</t>
  </si>
  <si>
    <t>Debasish Acharya</t>
  </si>
  <si>
    <t>Girish Chandra Behera</t>
  </si>
  <si>
    <t>Bagathi Bala Krishna</t>
  </si>
  <si>
    <t>YJNV Sankar</t>
  </si>
  <si>
    <t>Sanjeev Singh Kushwaha</t>
  </si>
  <si>
    <t>Reyyi Harikrishna</t>
  </si>
  <si>
    <t>Shailendra Rajak</t>
  </si>
  <si>
    <t>Aniket Kumar Singh</t>
  </si>
  <si>
    <t>Nuka Ganesh</t>
  </si>
  <si>
    <t>Shivam</t>
  </si>
  <si>
    <t>Kolletti Sarath Kumar</t>
  </si>
  <si>
    <t>PRR-79</t>
  </si>
  <si>
    <t>Ravi Ojha</t>
  </si>
  <si>
    <t>Vinod Babasaheb Pawar</t>
  </si>
  <si>
    <t>Amarjeet Yadav</t>
  </si>
  <si>
    <t>Assistant Stores </t>
  </si>
  <si>
    <t>Prashant Kumar Mishra</t>
  </si>
  <si>
    <t>Executive Stores </t>
  </si>
  <si>
    <t>Rahul Tiwari</t>
  </si>
  <si>
    <t>Shiv Bahadur Yadav</t>
  </si>
  <si>
    <t>Khiroj Chandra Gouda</t>
  </si>
  <si>
    <t>Kishor Kumar</t>
  </si>
  <si>
    <t>Kelothu Saidulu</t>
  </si>
  <si>
    <t>Senior Engineer - Mechanical</t>
  </si>
  <si>
    <t>K Venkata Surya Prakash</t>
  </si>
  <si>
    <t>Karnati Sainatha Reddy</t>
  </si>
  <si>
    <t>Civil Engineer </t>
  </si>
  <si>
    <t>Srihari Punati </t>
  </si>
  <si>
    <t>Associate Manager - Planning &amp; Billing</t>
  </si>
  <si>
    <t>V Hari Babu</t>
  </si>
  <si>
    <t>BMK Raja</t>
  </si>
  <si>
    <t>Senior Engineer - QC</t>
  </si>
  <si>
    <t>T Srinivasulu</t>
  </si>
  <si>
    <t>Senior Planning Engineer - QS</t>
  </si>
  <si>
    <t>Senior Engineer - Civil</t>
  </si>
  <si>
    <t>Boda Mahesh</t>
  </si>
  <si>
    <t>Assistant Manager - Civil</t>
  </si>
  <si>
    <t>M Sai Venkatesh</t>
  </si>
  <si>
    <t>Gavidi Rajendra Naidu</t>
  </si>
  <si>
    <t>Senior Engineer - Coordinator</t>
  </si>
  <si>
    <t>Marrapu Bhaskar Rao</t>
  </si>
  <si>
    <t>Engineer - Civil</t>
  </si>
  <si>
    <t>Prakash Kharabe</t>
  </si>
  <si>
    <t>Gollapalli Mohan Raju</t>
  </si>
  <si>
    <t>Project Engineer</t>
  </si>
  <si>
    <t>Bhagyadhaar Mallik</t>
  </si>
  <si>
    <t>Engineer - Pipeline</t>
  </si>
  <si>
    <t>R Veera Nagababu</t>
  </si>
  <si>
    <t>Engineer - Mechanical</t>
  </si>
  <si>
    <t>Andoju Uma Mahesh</t>
  </si>
  <si>
    <t>Kiran Naik KD</t>
  </si>
  <si>
    <t>HYD-40</t>
  </si>
  <si>
    <t>Engineer – QA&amp;QC</t>
  </si>
  <si>
    <t>Nakral Ramesh</t>
  </si>
  <si>
    <t>HYD-09</t>
  </si>
  <si>
    <t>Samir Kumar Sethi</t>
  </si>
  <si>
    <t>Kalla. Hari Krishna</t>
  </si>
  <si>
    <t>DGM-QS &amp; Billing</t>
  </si>
  <si>
    <t>P. Hussenaiah</t>
  </si>
  <si>
    <t>ADITYA PRASAD</t>
  </si>
  <si>
    <t>PRR-27</t>
  </si>
  <si>
    <t>RANIK SASMAL</t>
  </si>
  <si>
    <t>RASHID FARHAN</t>
  </si>
  <si>
    <t>CBCMP-124</t>
  </si>
  <si>
    <t>KOUSHIK MONDAL</t>
  </si>
  <si>
    <t>ARNAB DAS</t>
  </si>
  <si>
    <t>PRR-28</t>
  </si>
  <si>
    <t>SOUMEN MAHATO</t>
  </si>
  <si>
    <t>HARSHWARDHAN KUMAR</t>
  </si>
  <si>
    <t>CBCMP-123</t>
  </si>
  <si>
    <t>SUJAN ROY</t>
  </si>
  <si>
    <t>PRR-29</t>
  </si>
  <si>
    <t>MOHAMMAD JUNAID IQBAL</t>
  </si>
  <si>
    <t>TANVIR AHMAD</t>
  </si>
  <si>
    <t>SUBHRADIP BHATTACHARYYA</t>
  </si>
  <si>
    <t>Yash Sonawane</t>
  </si>
  <si>
    <t>PRR-102</t>
  </si>
  <si>
    <t>Shubham Singh</t>
  </si>
  <si>
    <t>Ganteda Sankar Rao</t>
  </si>
  <si>
    <t>Anvit Morey</t>
  </si>
  <si>
    <t>Rishwanth Barla</t>
  </si>
  <si>
    <t>Pratik Pandurang Dunde</t>
  </si>
  <si>
    <t>Piyush Kumar Jaiswal</t>
  </si>
  <si>
    <t>PRR-103</t>
  </si>
  <si>
    <t>Mohammed Zaid Padeknur</t>
  </si>
  <si>
    <t>Abhijeet Rajesh Joshi</t>
  </si>
  <si>
    <t>Deep Katre</t>
  </si>
  <si>
    <t>Deepak Babasaheb Harne</t>
  </si>
  <si>
    <t>Rupesh Badiya</t>
  </si>
  <si>
    <t>Puvvalla Venkata Ramana</t>
  </si>
  <si>
    <t>PRR-78</t>
  </si>
  <si>
    <t>Data Entry Operator</t>
  </si>
  <si>
    <t xml:space="preserve">Nagaruru Babu </t>
  </si>
  <si>
    <t>GP-09</t>
  </si>
  <si>
    <t>GET - Mechanical</t>
  </si>
  <si>
    <t xml:space="preserve">Karunakar Rao Vuyyuru </t>
  </si>
  <si>
    <t>Mogili Vidya Sagar</t>
  </si>
  <si>
    <t>VARANASI CHANDRA SEKHAR</t>
  </si>
  <si>
    <t>Samith</t>
  </si>
  <si>
    <t>Jerripothula Hemanth</t>
  </si>
  <si>
    <t>Ambati Teja Sai Abhiram</t>
  </si>
  <si>
    <t>vinay vadla</t>
  </si>
  <si>
    <t>GP-29</t>
  </si>
  <si>
    <t>Derangula Narendra</t>
  </si>
  <si>
    <t>Jr - Engineer P&amp;M</t>
  </si>
  <si>
    <t>Satyanarayana Pendyala</t>
  </si>
  <si>
    <t>Kuntrapaku SaiGanesh</t>
  </si>
  <si>
    <t>Bekkam Vinay Kumar</t>
  </si>
  <si>
    <t>Arijit Ray</t>
  </si>
  <si>
    <t>PRR-63</t>
  </si>
  <si>
    <t>Dipanjan Shit</t>
  </si>
  <si>
    <t>Johorul Islam</t>
  </si>
  <si>
    <t>Kaushal Raut</t>
  </si>
  <si>
    <t>Shivraj Lakde</t>
  </si>
  <si>
    <t>PRR-64</t>
  </si>
  <si>
    <t>Siddhant Sunil Somkuwar</t>
  </si>
  <si>
    <t>Sudipta Nath</t>
  </si>
  <si>
    <t>Sunil Jadhav</t>
  </si>
  <si>
    <t>Suroj Koley</t>
  </si>
  <si>
    <t>Suyogmurdio</t>
  </si>
  <si>
    <t>Swapnil Sanjay Umare</t>
  </si>
  <si>
    <t>Yash Chandrakant Sawant</t>
  </si>
  <si>
    <t xml:space="preserve">Chokkapu Sravana Kumar </t>
  </si>
  <si>
    <t>AM-10</t>
  </si>
  <si>
    <t>GET - Electrical</t>
  </si>
  <si>
    <t xml:space="preserve">Bone Siddeshwar </t>
  </si>
  <si>
    <t>AM-05</t>
  </si>
  <si>
    <t xml:space="preserve">GET - Civil </t>
  </si>
  <si>
    <t>K Hari Kiran</t>
  </si>
  <si>
    <t>Midde Mahendra</t>
  </si>
  <si>
    <t>Pradeep U</t>
  </si>
  <si>
    <t>S Shibashish Achary</t>
  </si>
  <si>
    <t>Kshijit Singh</t>
  </si>
  <si>
    <t>DET - P&amp;M</t>
  </si>
  <si>
    <t>Kumar Chandan Rapaka</t>
  </si>
  <si>
    <t>Assistant Quantity Surveyor</t>
  </si>
  <si>
    <t>Neeraj Prajapati</t>
  </si>
  <si>
    <t>Ritesh Kumar</t>
  </si>
  <si>
    <t>DET</t>
  </si>
  <si>
    <t>Roshan Chourey</t>
  </si>
  <si>
    <t>Sohit Mishra</t>
  </si>
  <si>
    <t>Paleru Chandra Sekhar</t>
  </si>
  <si>
    <t>Junior Engineer - P&amp;M</t>
  </si>
  <si>
    <t xml:space="preserve">Badithela Naga Durga </t>
  </si>
  <si>
    <t>Supervisors/GET - mechanical</t>
  </si>
  <si>
    <t>Phanindra Babu. V</t>
  </si>
  <si>
    <t xml:space="preserve">Supervisor Civil </t>
  </si>
  <si>
    <t>PALAPAALA SAIKUMAR B</t>
  </si>
  <si>
    <t>Abhijeet Manhas</t>
  </si>
  <si>
    <t>Lavudi Aravind</t>
  </si>
  <si>
    <t>ABHISHEK KUSHWAHA</t>
  </si>
  <si>
    <t xml:space="preserve">Ankush </t>
  </si>
  <si>
    <t>SUBBA REDDY CHITTY.</t>
  </si>
  <si>
    <t>JASWANTH REDDY VELURU</t>
  </si>
  <si>
    <t>MANIKANDAN S.</t>
  </si>
  <si>
    <t>Senior Site Engineer</t>
  </si>
  <si>
    <t>NM. Manikanta</t>
  </si>
  <si>
    <t>CHEPYALA SAI KUMAR</t>
  </si>
  <si>
    <t>Engineer Civil </t>
  </si>
  <si>
    <t>ERRAGUNTLA GOWTHAM PAUL</t>
  </si>
  <si>
    <t>P Karthick Raja </t>
  </si>
  <si>
    <t>Patola Raghuvardhan Reddy </t>
  </si>
  <si>
    <t>Supervisor Civil</t>
  </si>
  <si>
    <t>D Satyanarayana Reddy</t>
  </si>
  <si>
    <t>P&amp;M Manager</t>
  </si>
  <si>
    <t>Suryanarayana.J</t>
  </si>
  <si>
    <t>Mokshagundam Hari Krishna Sharma</t>
  </si>
  <si>
    <t>Senior Engineer (P&amp;M</t>
  </si>
  <si>
    <t>Bandi Muralidhar </t>
  </si>
  <si>
    <t>Dasari Chinna Yalamandra</t>
  </si>
  <si>
    <t>Dy.Manager  (P&amp;M)</t>
  </si>
  <si>
    <t>Kusuma Vamshidhar Reddy</t>
  </si>
  <si>
    <t>Associate Manager - P&amp;M</t>
  </si>
  <si>
    <t>A. Eswar Rao</t>
  </si>
  <si>
    <t>Chinnikrishna Syrigapu</t>
  </si>
  <si>
    <t>AGM - P&amp;M</t>
  </si>
  <si>
    <t>Rajeswara Rao Puli</t>
  </si>
  <si>
    <t>Manager - Mechanical</t>
  </si>
  <si>
    <t>A. Chinni Krishna</t>
  </si>
  <si>
    <t>Sr. Manager - Mechanical</t>
  </si>
  <si>
    <t>Sudheer. Vaddadhi</t>
  </si>
  <si>
    <t xml:space="preserve">Project Co-ordinator &amp; Sr.QS </t>
  </si>
  <si>
    <t>Prasad Boni</t>
  </si>
  <si>
    <t>Manager-QS</t>
  </si>
  <si>
    <t>Adigarla Nagendra </t>
  </si>
  <si>
    <t>Mohd Aneesh Khan</t>
  </si>
  <si>
    <t>Accountant</t>
  </si>
  <si>
    <t>PRR-80</t>
  </si>
  <si>
    <t>Kishore Kumar Gadda</t>
  </si>
  <si>
    <t>Project Director</t>
  </si>
  <si>
    <t>GM-Highways</t>
  </si>
  <si>
    <t>Mohd. Yousuf Pasha</t>
  </si>
  <si>
    <t>Sandeep Harishchandra Oza</t>
  </si>
  <si>
    <t>DGM-Highways</t>
  </si>
  <si>
    <t>YBBMV Vara Prasad</t>
  </si>
  <si>
    <t>Vinod Kumar Singh</t>
  </si>
  <si>
    <t>CGM-Highways</t>
  </si>
  <si>
    <t>Jayanta Kumar jena</t>
  </si>
  <si>
    <t>Ranjan Pandey</t>
  </si>
  <si>
    <t>GM-QS</t>
  </si>
  <si>
    <t>Manish Narayan Sandilya</t>
  </si>
  <si>
    <t>AVP-Projects</t>
  </si>
  <si>
    <t>AS Kumar Reddy</t>
  </si>
  <si>
    <t>Manager -QS</t>
  </si>
  <si>
    <t>Veera Siva Reddy</t>
  </si>
  <si>
    <t>HYD-26</t>
  </si>
  <si>
    <t>Ramesh Thokala</t>
  </si>
  <si>
    <t>Bhallu Pratap Kumar</t>
  </si>
  <si>
    <t>HYD-27</t>
  </si>
  <si>
    <t>Bandari Pullaiah</t>
  </si>
  <si>
    <t>Durga Rao</t>
  </si>
  <si>
    <t>HYD-28</t>
  </si>
  <si>
    <t>Assistant Accountant</t>
  </si>
  <si>
    <t>TirumulaRaju  Sai Baba Raju</t>
  </si>
  <si>
    <t>Margani Sireesha</t>
  </si>
  <si>
    <t>RO-09</t>
  </si>
  <si>
    <t>HR Executive</t>
  </si>
  <si>
    <t>Kummari Karthik </t>
  </si>
  <si>
    <t>RO-07</t>
  </si>
  <si>
    <t>Senior Engineer QS </t>
  </si>
  <si>
    <t>Mamidi Vinay Kumar</t>
  </si>
  <si>
    <t>HO-04</t>
  </si>
  <si>
    <t>T. Bala Krishna</t>
  </si>
  <si>
    <t>GP-58</t>
  </si>
  <si>
    <t>AE-Pipeline</t>
  </si>
  <si>
    <t>Mr. Vijay Simha Reddy</t>
  </si>
  <si>
    <t>Namala Nagendra Kumar Reddy</t>
  </si>
  <si>
    <t>Sr. Engineer-Pipe line</t>
  </si>
  <si>
    <t>Meernedhi Veerababu</t>
  </si>
  <si>
    <t>Engineer-Pipeline</t>
  </si>
  <si>
    <t>Imjeti Rajasekhar</t>
  </si>
  <si>
    <t>DGM-Airside &amp; Landside-Civil</t>
  </si>
  <si>
    <t>R. Srinivasu</t>
  </si>
  <si>
    <t>DGM-Flexible Pavemnet &amp; Structures</t>
  </si>
  <si>
    <t>Krishna Kiran Potru</t>
  </si>
  <si>
    <t>K.Suneel Kumar</t>
  </si>
  <si>
    <t>Site Engr(Roads)</t>
  </si>
  <si>
    <t>S Krishna Murthy</t>
  </si>
  <si>
    <t>Sr Surveyor</t>
  </si>
  <si>
    <t>Kaditham Devendra Kumar</t>
  </si>
  <si>
    <t>HYD-06</t>
  </si>
  <si>
    <t>Assistant Manager</t>
  </si>
  <si>
    <t>Maki Reddi Srinu</t>
  </si>
  <si>
    <t>Lalit Kumar Parida</t>
  </si>
  <si>
    <t>Vimal Kumar</t>
  </si>
  <si>
    <t>Md Nehal Ansari</t>
  </si>
  <si>
    <t xml:space="preserve">Pankaj    </t>
  </si>
  <si>
    <t>Praveen Kumar Goel</t>
  </si>
  <si>
    <t>Jr. Safety Officer</t>
  </si>
  <si>
    <t>Vinay Kumar Gupta</t>
  </si>
  <si>
    <t>Mustakeem Khan</t>
  </si>
  <si>
    <t>Hitesh Joshi</t>
  </si>
  <si>
    <t>Baljeet</t>
  </si>
  <si>
    <t>Gajula Venu Prathap</t>
  </si>
  <si>
    <t>HYD-30</t>
  </si>
  <si>
    <t>Mohan Gouda</t>
  </si>
  <si>
    <t>Chandan Kumar Das</t>
  </si>
  <si>
    <t>Raj Kumar</t>
  </si>
  <si>
    <t>HYD-22</t>
  </si>
  <si>
    <t>KALAGOTLA GURAVAIAH</t>
  </si>
  <si>
    <t>Keshav Kunal</t>
  </si>
  <si>
    <t>Bishal Chatterjee</t>
  </si>
  <si>
    <t>NETINTI DHANUNJAYA RAO</t>
  </si>
  <si>
    <t>RAJESH RAJA MAHANHI</t>
  </si>
  <si>
    <t>Malinder Kumar</t>
  </si>
  <si>
    <t>Jangbahadur Yadav</t>
  </si>
  <si>
    <t>Gore Anil</t>
  </si>
  <si>
    <t>HYD-39</t>
  </si>
  <si>
    <t>Suddala Raju</t>
  </si>
  <si>
    <t>RAVI KUMAR DHARYA</t>
  </si>
  <si>
    <t>Amol Butale</t>
  </si>
  <si>
    <t>Azad Kumar</t>
  </si>
  <si>
    <t>Beera Ravi Kiran</t>
  </si>
  <si>
    <t>Nakka Ravi</t>
  </si>
  <si>
    <t>Faiyaj Sheikh</t>
  </si>
  <si>
    <t>AMIYA KUMAR NATH</t>
  </si>
  <si>
    <t>Shakir ansari</t>
  </si>
  <si>
    <t>HYD-21</t>
  </si>
  <si>
    <t>Jitendra kumar</t>
  </si>
  <si>
    <t>MOHD ARIF</t>
  </si>
  <si>
    <t>Nithin Raj A</t>
  </si>
  <si>
    <t>T. Adinarayana</t>
  </si>
  <si>
    <t>Dadu Vanjeri</t>
  </si>
  <si>
    <t>Amal samanta</t>
  </si>
  <si>
    <t>HYD-34</t>
  </si>
  <si>
    <t>Binod pandey</t>
  </si>
  <si>
    <t>ADDANKI AMARNATH</t>
  </si>
  <si>
    <t>Syed Saifuddin Khadri</t>
  </si>
  <si>
    <t>Abhishek Raj Verma</t>
  </si>
  <si>
    <t>PAWAN VISHWAKARMA</t>
  </si>
  <si>
    <t>Panakj Kumar Pandey</t>
  </si>
  <si>
    <t>Amrutha Raju</t>
  </si>
  <si>
    <t>Amar Chavan</t>
  </si>
  <si>
    <t>Deputy Manager</t>
  </si>
  <si>
    <t>Sai Charan</t>
  </si>
  <si>
    <t>PLMC-06</t>
  </si>
  <si>
    <t>Danardhan Behera</t>
  </si>
  <si>
    <t>Assistant Project Manager</t>
  </si>
  <si>
    <t>Zahid Iqbal</t>
  </si>
  <si>
    <t>D Venkanna</t>
  </si>
  <si>
    <t>SK. Mastan Vali</t>
  </si>
  <si>
    <t>JAYDEEP SINGH NEGI</t>
  </si>
  <si>
    <t>PRR-139</t>
  </si>
  <si>
    <t>Foreman Tunnel </t>
  </si>
  <si>
    <t>SUKUMAR ROY</t>
  </si>
  <si>
    <t>BHANU PRATAP SINGH</t>
  </si>
  <si>
    <t>RAJESWARA RAO PONDRATI</t>
  </si>
  <si>
    <t>Kalash Kumar Thakur </t>
  </si>
  <si>
    <t>Yudhistir NAIK</t>
  </si>
  <si>
    <t>Prabin Kumar Senapati </t>
  </si>
  <si>
    <t>PRR-146</t>
  </si>
  <si>
    <t>Surveyor Tunnel</t>
  </si>
  <si>
    <t>Prem Chattery </t>
  </si>
  <si>
    <t>PRR-143</t>
  </si>
  <si>
    <t>Senior Surveyor Tunnel</t>
  </si>
  <si>
    <t>SUJAN MRIDHA</t>
  </si>
  <si>
    <t>KASHI NATH SINGH CHAUHAN</t>
  </si>
  <si>
    <t>Manager Surveyor </t>
  </si>
  <si>
    <t>MUDDSER HUSSAIN</t>
  </si>
  <si>
    <t>Aamir Aziz Khan</t>
  </si>
  <si>
    <t>MOHAMMAD AQIB MIR</t>
  </si>
  <si>
    <t>PRR-98</t>
  </si>
  <si>
    <t>APM Tunnel </t>
  </si>
  <si>
    <t>Civil </t>
  </si>
  <si>
    <t>SHASHANK KUMAR</t>
  </si>
  <si>
    <t>ANSHUMAN PANDA</t>
  </si>
  <si>
    <t>ShubhamSharma</t>
  </si>
  <si>
    <t>Ishfaq Rasool Itoo </t>
  </si>
  <si>
    <t>RAMESHWARSINGH</t>
  </si>
  <si>
    <t>Gandreti Giri</t>
  </si>
  <si>
    <t>LISMB-24</t>
  </si>
  <si>
    <t>Jr. Engineeer</t>
  </si>
  <si>
    <t>Masoom Ansari</t>
  </si>
  <si>
    <t>HYD-11</t>
  </si>
  <si>
    <t xml:space="preserve">Aditya    </t>
  </si>
  <si>
    <t>HYD-32</t>
  </si>
  <si>
    <t>Pothuraju Yedukondalu</t>
  </si>
  <si>
    <t>Ranjit Kumar Singh</t>
  </si>
  <si>
    <t>Santhosh Rekulapalli</t>
  </si>
  <si>
    <t>Sayan Kumar Kayal</t>
  </si>
  <si>
    <t>Shaik Rafi</t>
  </si>
  <si>
    <t>Shaik Salman</t>
  </si>
  <si>
    <t>Sazeez Basha</t>
  </si>
  <si>
    <t>HYD-25</t>
  </si>
  <si>
    <t>D Durga Sairam</t>
  </si>
  <si>
    <t>Uttam Giri</t>
  </si>
  <si>
    <t>Jr. Store Officer</t>
  </si>
  <si>
    <t>Anjan Kumar Nayak</t>
  </si>
  <si>
    <t>Associate Stores</t>
  </si>
  <si>
    <t>SK Bachhu Ahamad</t>
  </si>
  <si>
    <t>Dhananjay Singh</t>
  </si>
  <si>
    <t>Gundelli Mahesh</t>
  </si>
  <si>
    <t>Souvik Maity</t>
  </si>
  <si>
    <t>HO-09</t>
  </si>
  <si>
    <t>Sore Executive</t>
  </si>
  <si>
    <t>Shashi Kant Yadav</t>
  </si>
  <si>
    <t>Imtiyaz Ali</t>
  </si>
  <si>
    <t>Storekeeper</t>
  </si>
  <si>
    <t>Deepak Kumar Behera</t>
  </si>
  <si>
    <t>HYD-07</t>
  </si>
  <si>
    <t>Bikram Kansari</t>
  </si>
  <si>
    <t>K Venkateswara Rao</t>
  </si>
  <si>
    <t>Sabbana Dinesh</t>
  </si>
  <si>
    <t>GP-12</t>
  </si>
  <si>
    <t>M. Leela Krishna</t>
  </si>
  <si>
    <t>Kanukutla Ruthvik</t>
  </si>
  <si>
    <t>GP-41</t>
  </si>
  <si>
    <t>M. Anu Prasad</t>
  </si>
  <si>
    <t>GP-79</t>
  </si>
  <si>
    <t>Sr Executive- Stores</t>
  </si>
  <si>
    <t>K. Pavan Kumar</t>
  </si>
  <si>
    <t>Deepak Maharana</t>
  </si>
  <si>
    <t>Asst. Engineer-Highway Executio</t>
  </si>
  <si>
    <t>Dubba. Damodar Reddy</t>
  </si>
  <si>
    <t>Turaka Sivannarayana</t>
  </si>
  <si>
    <t>Thipparthi Venkatesh</t>
  </si>
  <si>
    <t>Ganesh Mahto</t>
  </si>
  <si>
    <t>Bhavireddy Sai Kumar</t>
  </si>
  <si>
    <t>Engineer - Structure</t>
  </si>
  <si>
    <t>BOLIGORLA SIDDAIAH</t>
  </si>
  <si>
    <t xml:space="preserve">
Ch. Hari Krishna</t>
  </si>
  <si>
    <t>Vinod Kumar Bandi</t>
  </si>
  <si>
    <t>QC Engineer</t>
  </si>
  <si>
    <t>Vidavaluri Prasad</t>
  </si>
  <si>
    <t>C. Chandra Kumar</t>
  </si>
  <si>
    <t>Suresh Kunireddy</t>
  </si>
  <si>
    <t>V.Venkata Ramana </t>
  </si>
  <si>
    <t>A. Srinivasula Reddy</t>
  </si>
  <si>
    <t>DPM-Structures</t>
  </si>
  <si>
    <t>Raghu Babu</t>
  </si>
  <si>
    <t>Tapan Kumar Sahu</t>
  </si>
  <si>
    <t>DPM(Highway)</t>
  </si>
  <si>
    <t>Antony Aswin</t>
  </si>
  <si>
    <t>Jr. QA QC Engineer</t>
  </si>
  <si>
    <t>Pradeep</t>
  </si>
  <si>
    <t>T. Praksh</t>
  </si>
  <si>
    <t>Material Engineer. ( QC – HOD)</t>
  </si>
  <si>
    <t>ANTONY BRAPIN WIZAR L</t>
  </si>
  <si>
    <t>Prudhvi Lakshmi Ganesh</t>
  </si>
  <si>
    <t>Jr. Engineer - QC</t>
  </si>
  <si>
    <t>Pravakar Dehuri</t>
  </si>
  <si>
    <t>P. Veerasingam</t>
  </si>
  <si>
    <t>Sr. Engineer-QC</t>
  </si>
  <si>
    <t>P.Madhav Kumar</t>
  </si>
  <si>
    <t>Parimireddyt Bapireddy</t>
  </si>
  <si>
    <t>P. Sreekanth</t>
  </si>
  <si>
    <t>Mr. Suresh</t>
  </si>
  <si>
    <t>Gottipilli Kalyan</t>
  </si>
  <si>
    <t>GP-45</t>
  </si>
  <si>
    <t>Junior Execuive Accounts </t>
  </si>
  <si>
    <t>Mr. Sunil</t>
  </si>
  <si>
    <t>Vijayshankar Sah</t>
  </si>
  <si>
    <t>CBCMP-18</t>
  </si>
  <si>
    <t>Maneesh Rajak</t>
  </si>
  <si>
    <t>Abhishek savita</t>
  </si>
  <si>
    <t>CBCMP-19</t>
  </si>
  <si>
    <t>Sanjay Singh</t>
  </si>
  <si>
    <t>CBCMP-56</t>
  </si>
  <si>
    <t>Pappu Kumar</t>
  </si>
  <si>
    <t>Atul Yadav</t>
  </si>
  <si>
    <t>Sahid Hossen</t>
  </si>
  <si>
    <t>Pushpendra Kumar</t>
  </si>
  <si>
    <t>CBCMP-05</t>
  </si>
  <si>
    <t>C Ranjith Reddy </t>
  </si>
  <si>
    <t>GP-15</t>
  </si>
  <si>
    <t>Nagaraju </t>
  </si>
  <si>
    <t>GP-44</t>
  </si>
  <si>
    <t>Rahul</t>
  </si>
  <si>
    <t>Ranjan Kumar</t>
  </si>
  <si>
    <t>Mohd Usman</t>
  </si>
  <si>
    <t>Soumitra Sil</t>
  </si>
  <si>
    <t>CBCMP-57</t>
  </si>
  <si>
    <t>Associate Survey</t>
  </si>
  <si>
    <t>Ajit Kumar Sahoo</t>
  </si>
  <si>
    <t>HYD-33</t>
  </si>
  <si>
    <t>Asst Manager Survey</t>
  </si>
  <si>
    <t>Suman Mondal</t>
  </si>
  <si>
    <t>Jr. Surveyor</t>
  </si>
  <si>
    <t>Amol Balasaheb Kharmate</t>
  </si>
  <si>
    <t>Anarul SK</t>
  </si>
  <si>
    <t>Sabul Middya</t>
  </si>
  <si>
    <t>Sandeep Tripathi</t>
  </si>
  <si>
    <t>Goodu Divakar</t>
  </si>
  <si>
    <t>TELLADHARLA SIVA KRISHNA</t>
  </si>
  <si>
    <t>Koppoli Vinay</t>
  </si>
  <si>
    <t>Chandra Sekhar</t>
  </si>
  <si>
    <t>HYD-36</t>
  </si>
  <si>
    <t>Rajat Sharma</t>
  </si>
  <si>
    <t>J Srinivasa Rao</t>
  </si>
  <si>
    <t>Assistant Manager - Stores</t>
  </si>
  <si>
    <t>Konduru Venkata Subbaraju</t>
  </si>
  <si>
    <t>Mahesh Velicherala</t>
  </si>
  <si>
    <t>Parnepalle Subbareddy</t>
  </si>
  <si>
    <t>HYD-47</t>
  </si>
  <si>
    <t>Naresh</t>
  </si>
  <si>
    <t>GP-33</t>
  </si>
  <si>
    <t>Ramakumar Reddy Y</t>
  </si>
  <si>
    <t>Ashish Jaiswal</t>
  </si>
  <si>
    <t>GP-37</t>
  </si>
  <si>
    <t>Civil Engineer</t>
  </si>
  <si>
    <t>D Sanyasi Raju </t>
  </si>
  <si>
    <t>RO-08</t>
  </si>
  <si>
    <t>Executive Accounts </t>
  </si>
  <si>
    <t>Mr. Ganesh G</t>
  </si>
  <si>
    <t>CH Prasad </t>
  </si>
  <si>
    <t>HO-03</t>
  </si>
  <si>
    <t>Assistant Purchase </t>
  </si>
  <si>
    <t>Mr. DV Rao</t>
  </si>
  <si>
    <t>DEBASIS RANA</t>
  </si>
  <si>
    <t>ADCL-39</t>
  </si>
  <si>
    <t>ASHUTOSH  DUTTA</t>
  </si>
  <si>
    <t>UMESH KUMAR SILAWAT</t>
  </si>
  <si>
    <t>SAMRAT KUMAR SINGH</t>
  </si>
  <si>
    <t>MUMTAZ AHMAD</t>
  </si>
  <si>
    <t>GOUTAM GOPE</t>
  </si>
  <si>
    <t xml:space="preserve">RUPAM KUMAR SAHA </t>
  </si>
  <si>
    <t>Rohit Kumar Singh</t>
  </si>
  <si>
    <t>A Naresh</t>
  </si>
  <si>
    <t>Assistant Manager-Structures</t>
  </si>
  <si>
    <t>Jagathpally Anand</t>
  </si>
  <si>
    <t>Engineer(Structures)</t>
  </si>
  <si>
    <t>Makkena Venkat Satish</t>
  </si>
  <si>
    <t>Makkena Venkata Siva Kumar</t>
  </si>
  <si>
    <t>Netru Chandu pratap</t>
  </si>
  <si>
    <t>Senior Structural Engineer</t>
  </si>
  <si>
    <t>G Vinod Yadav</t>
  </si>
  <si>
    <t>T Lingaraju</t>
  </si>
  <si>
    <t>Durga Prasad</t>
  </si>
  <si>
    <t>Sr Engineer(Structures)</t>
  </si>
  <si>
    <t>Ravi Kumar Reddy C</t>
  </si>
  <si>
    <t>Senior Engineer(Highway)</t>
  </si>
  <si>
    <t>Ravi Prakash</t>
  </si>
  <si>
    <t>Highway Surveyor</t>
  </si>
  <si>
    <t>Singidi Ganesh</t>
  </si>
  <si>
    <t>Sovan Jana</t>
  </si>
  <si>
    <t>Amit Mondal</t>
  </si>
  <si>
    <t>P Sudhir Reddy</t>
  </si>
  <si>
    <t>Sr.Engineer(Structures)</t>
  </si>
  <si>
    <t xml:space="preserve">T. Venkatesh </t>
  </si>
  <si>
    <t>Manager -Structires</t>
  </si>
  <si>
    <t>Harish Surapananei</t>
  </si>
  <si>
    <t>DPM -Structures</t>
  </si>
  <si>
    <t>Vemulapalli Vikas</t>
  </si>
  <si>
    <t>KRISHNA CHAITHANYA YELURI</t>
  </si>
  <si>
    <t>Narayana Reddy Ponugeti</t>
  </si>
  <si>
    <t>Material Engineer</t>
  </si>
  <si>
    <t>Gopi Kongara</t>
  </si>
  <si>
    <t>K. Ramesh</t>
  </si>
  <si>
    <t>Sr.Enginner-Highway</t>
  </si>
  <si>
    <t>NagaPrasad Kondapalli</t>
  </si>
  <si>
    <t>Surya Bhagavan</t>
  </si>
  <si>
    <t>Senior Executive - Safety</t>
  </si>
  <si>
    <t>Somnath Mallick</t>
  </si>
  <si>
    <t>LISMB-10</t>
  </si>
  <si>
    <t>Arupaka Siva Ramakrishna</t>
  </si>
  <si>
    <t>Senior Engineer - Pipeline</t>
  </si>
  <si>
    <t>GADI SUDHEER</t>
  </si>
  <si>
    <t>PRR-136</t>
  </si>
  <si>
    <t>PRR-135</t>
  </si>
  <si>
    <t>Mantena GnanendraRao</t>
  </si>
  <si>
    <t>Putluru Sainatha Reddy</t>
  </si>
  <si>
    <t>G Nageswara Rao</t>
  </si>
  <si>
    <t>Guganti Kiran Kumar</t>
  </si>
  <si>
    <t>GP-35</t>
  </si>
  <si>
    <t>Mechanical Engineer</t>
  </si>
  <si>
    <t>Indrapal Singh</t>
  </si>
  <si>
    <t>Senior Store Assistant</t>
  </si>
  <si>
    <t>Sujoy Mate</t>
  </si>
  <si>
    <t>Shivam Pandey</t>
  </si>
  <si>
    <t>CBCMP-62</t>
  </si>
  <si>
    <t>Veerla Someswar Rao</t>
  </si>
  <si>
    <t>M. DHANAMJAY</t>
  </si>
  <si>
    <t>Ch. Venkateswar Rao</t>
  </si>
  <si>
    <t>Superviosr</t>
  </si>
  <si>
    <t>Gudavvali Dinesh</t>
  </si>
  <si>
    <t>P. Harish</t>
  </si>
  <si>
    <t>Sonjit Kumar Thakur</t>
  </si>
  <si>
    <t>Kurmala Pavan Manikanta</t>
  </si>
  <si>
    <t>K. Devender Reddy</t>
  </si>
  <si>
    <t>Sr. Engineer -QC</t>
  </si>
  <si>
    <t>Ajit Kumar Pradhan</t>
  </si>
  <si>
    <t>Sr. Lab Technician (QA/QC)</t>
  </si>
  <si>
    <t>Ranjan Kumar Sahoo</t>
  </si>
  <si>
    <t>Engineer -QC</t>
  </si>
  <si>
    <t>Mutyalu Thota</t>
  </si>
  <si>
    <t>P NARASINGA RAO</t>
  </si>
  <si>
    <t>Darala Ravi</t>
  </si>
  <si>
    <t>A. Narasimha Rao</t>
  </si>
  <si>
    <t>PM - Structures</t>
  </si>
  <si>
    <t>C. Saravanan</t>
  </si>
  <si>
    <t>Venkateswara Rao Junjunuri</t>
  </si>
  <si>
    <t>Naga Raju Acahanta</t>
  </si>
  <si>
    <t>Prudhvi Reddy</t>
  </si>
  <si>
    <t>Engineer </t>
  </si>
  <si>
    <t>Vijay Kumar Tripathi</t>
  </si>
  <si>
    <t>SURENDRA PRASAD TIWARI</t>
  </si>
  <si>
    <t>Assitant Manager</t>
  </si>
  <si>
    <t>ABHAY CHATURVEDI</t>
  </si>
  <si>
    <t>Amit Sharma</t>
  </si>
  <si>
    <t>Kubireddy Satish</t>
  </si>
  <si>
    <t>GP-40</t>
  </si>
  <si>
    <t>G Chenna Reddy</t>
  </si>
  <si>
    <t>Venugopal Gokaraju</t>
  </si>
  <si>
    <t>Nasir Ahmed Khan</t>
  </si>
  <si>
    <t>Sivananda Reddy</t>
  </si>
  <si>
    <t>P Saravanan</t>
  </si>
  <si>
    <t>Somala Srihari Reddy</t>
  </si>
  <si>
    <t xml:space="preserve">C Raja Babu </t>
  </si>
  <si>
    <t xml:space="preserve"> Project Manager</t>
  </si>
  <si>
    <t>J Venkateswar Rao</t>
  </si>
  <si>
    <t>Manikanta</t>
  </si>
  <si>
    <t>Rajendra Pradhan</t>
  </si>
  <si>
    <t>Supervisor-QA&amp;QC</t>
  </si>
  <si>
    <t>Lokesh Naidu Bathina</t>
  </si>
  <si>
    <t>Badithabonu Srinu</t>
  </si>
  <si>
    <t>Vinod Yadav</t>
  </si>
  <si>
    <t>Supervisor </t>
  </si>
  <si>
    <t>Mr. Sarath Kumar</t>
  </si>
  <si>
    <t>Anjani Kumar Tiwari</t>
  </si>
  <si>
    <t>Atul Dwivedi</t>
  </si>
  <si>
    <t>Sr.Supervisor </t>
  </si>
  <si>
    <t>MD. Firoz</t>
  </si>
  <si>
    <t>Manish Singh</t>
  </si>
  <si>
    <t>Rajesh Lodhi</t>
  </si>
  <si>
    <t>Nirmal Girai</t>
  </si>
  <si>
    <t>Ramratan Kumar</t>
  </si>
  <si>
    <t>V Sumanth Naidu Gangisetty</t>
  </si>
  <si>
    <t>Sravan Dande</t>
  </si>
  <si>
    <t>Vakadi.V.Venkata Satyanarayana</t>
  </si>
  <si>
    <t>GP-30</t>
  </si>
  <si>
    <t>V Vamsi</t>
  </si>
  <si>
    <t>A. Venkateswar Rao</t>
  </si>
  <si>
    <t>Manager - Liaison</t>
  </si>
  <si>
    <t>Sridhar Naidu</t>
  </si>
  <si>
    <t>Manager - HR &amp; Admin</t>
  </si>
  <si>
    <t>Mr. S. Ravi Krishna</t>
  </si>
  <si>
    <t>Abdul Gaffar</t>
  </si>
  <si>
    <t>Soudip Reja</t>
  </si>
  <si>
    <t>SK RAJIBUDDIN</t>
  </si>
  <si>
    <t>Ramakant Singh</t>
  </si>
  <si>
    <t>Vivek Kumar Roy</t>
  </si>
  <si>
    <t>Md Asif Kamal</t>
  </si>
  <si>
    <t>MD Saddam Hussaian</t>
  </si>
  <si>
    <t>Prabhat Chandra Yadav</t>
  </si>
  <si>
    <t>CBCMP-60</t>
  </si>
  <si>
    <t>Dipendra bharti</t>
  </si>
  <si>
    <t>Amit kumar thakur</t>
  </si>
  <si>
    <t>SHIVAM MISHRA</t>
  </si>
  <si>
    <t>NASIRODDIN</t>
  </si>
  <si>
    <t>LISMB-22</t>
  </si>
  <si>
    <t>Rajneesh Tripathi</t>
  </si>
  <si>
    <t>Bikram Sahu</t>
  </si>
  <si>
    <t>Kadu Ram Sharma</t>
  </si>
  <si>
    <t>Sumit Srivastava</t>
  </si>
  <si>
    <t>Bablu Kumar</t>
  </si>
  <si>
    <t>RANJEET KUMAR</t>
  </si>
  <si>
    <t>Yuvraj Chauhan</t>
  </si>
  <si>
    <t>HYD-37</t>
  </si>
  <si>
    <t>Shahalam</t>
  </si>
  <si>
    <t>Subrata Maiti</t>
  </si>
  <si>
    <t>MILTON MONDAL</t>
  </si>
  <si>
    <t>Mohan Sabar</t>
  </si>
  <si>
    <t>Ankalaiah</t>
  </si>
  <si>
    <t>SIDDAROODA</t>
  </si>
  <si>
    <t>HYD-35</t>
  </si>
  <si>
    <t>Naresh valeti</t>
  </si>
  <si>
    <t>SUDHEERKUMAR APPA</t>
  </si>
  <si>
    <t>Venkatakrishna sidda</t>
  </si>
  <si>
    <t>T Vinod Kumar</t>
  </si>
  <si>
    <t>C. Ramesh Babu</t>
  </si>
  <si>
    <t>P Ranganayakulu</t>
  </si>
  <si>
    <t>S.SIDDAIAH</t>
  </si>
  <si>
    <t>N.VENUGOPAL</t>
  </si>
  <si>
    <t>Puthineedisuresh</t>
  </si>
  <si>
    <t>GP-46</t>
  </si>
  <si>
    <t>AE/Jr Engineer Quality</t>
  </si>
  <si>
    <t>Kranthi Kumar Vanga</t>
  </si>
  <si>
    <t>GP-16</t>
  </si>
  <si>
    <t>Senior Accounts </t>
  </si>
  <si>
    <t>Mr. Gangadhar</t>
  </si>
  <si>
    <t>Y Sai Kumar</t>
  </si>
  <si>
    <t>Thota Chandra Hemanth</t>
  </si>
  <si>
    <t>Dilleswararao S</t>
  </si>
  <si>
    <t>D Praveen Kumar</t>
  </si>
  <si>
    <t>Junior Engineer - Civil</t>
  </si>
  <si>
    <t>Kuruva Bodagattu Raghavendra</t>
  </si>
  <si>
    <t>G Sai Krishna</t>
  </si>
  <si>
    <t>Venu Mattani</t>
  </si>
  <si>
    <t>A. Obula Reddy</t>
  </si>
  <si>
    <t>S. Rama Rao</t>
  </si>
  <si>
    <t>AM-QC</t>
  </si>
  <si>
    <t>Popuri Anjaneeyulu</t>
  </si>
  <si>
    <t>Karthick Kagga</t>
  </si>
  <si>
    <t>Abhishek Rajbhar</t>
  </si>
  <si>
    <t>CBCMP-09</t>
  </si>
  <si>
    <t>HR Assistant</t>
  </si>
  <si>
    <t>Rajeev Kumar Dwivedi</t>
  </si>
  <si>
    <t>CBCMP-47</t>
  </si>
  <si>
    <t>Administartion  Executive</t>
  </si>
  <si>
    <t>Sandeep</t>
  </si>
  <si>
    <t>Dinesh</t>
  </si>
  <si>
    <t>Praveen Yadav</t>
  </si>
  <si>
    <t>Y P Raju</t>
  </si>
  <si>
    <t>Sr Engineer(Earthwork)</t>
  </si>
  <si>
    <t>S Purnachandrarao</t>
  </si>
  <si>
    <t>Technical Site Engineer</t>
  </si>
  <si>
    <t>N.SUDHAKARARAO</t>
  </si>
  <si>
    <t>Darla Mani Babu</t>
  </si>
  <si>
    <t>JuniorEngineer</t>
  </si>
  <si>
    <t>Pavan Kumar.Deyyala</t>
  </si>
  <si>
    <t>Karri Satyanarayan</t>
  </si>
  <si>
    <t>Kampara Vijay</t>
  </si>
  <si>
    <t>Senior Engineer - QS</t>
  </si>
  <si>
    <t>Kakani Sumanth Kumar</t>
  </si>
  <si>
    <t>GPLIS-01</t>
  </si>
  <si>
    <t>Samruddin Samar</t>
  </si>
  <si>
    <t>CBCMP-175</t>
  </si>
  <si>
    <t>UT Technician</t>
  </si>
  <si>
    <t>V Chandrakesava reddy</t>
  </si>
  <si>
    <t>Accoutant</t>
  </si>
  <si>
    <t>V Ramesh</t>
  </si>
  <si>
    <t>Sr. Accoutant</t>
  </si>
  <si>
    <t>Ellu Venkaiah</t>
  </si>
  <si>
    <t>N. RAJU</t>
  </si>
  <si>
    <t>DM</t>
  </si>
  <si>
    <t>P. Ravikumar</t>
  </si>
  <si>
    <t>N Prashanth Goud</t>
  </si>
  <si>
    <t>Nazeer Ahmed</t>
  </si>
  <si>
    <t>Akash Chowdary Nekkalapu</t>
  </si>
  <si>
    <t>Ranjaya Keshori Sahu</t>
  </si>
  <si>
    <t>Manager - Stores</t>
  </si>
  <si>
    <t>P Nagakoteswara Rao</t>
  </si>
  <si>
    <t>Senior Store Officer</t>
  </si>
  <si>
    <t>V Raja Kumar</t>
  </si>
  <si>
    <t>Y Prasada Rao</t>
  </si>
  <si>
    <t>Uppalapu Veera Pratap Swamy</t>
  </si>
  <si>
    <t>Kurra Ravi Teja</t>
  </si>
  <si>
    <t>Prem Kumar Nanaji</t>
  </si>
  <si>
    <t>MV Subba Reddy</t>
  </si>
  <si>
    <t>Sr. Executive-Stores</t>
  </si>
  <si>
    <t>Guduri Rajesh</t>
  </si>
  <si>
    <t>Assistant Safety Manager</t>
  </si>
  <si>
    <t>Gorla Aswini Kumar</t>
  </si>
  <si>
    <t>Balakrihsna Reddy Vema</t>
  </si>
  <si>
    <t>Senior Engineer - Highways </t>
  </si>
  <si>
    <t>Smaba Shiva G </t>
  </si>
  <si>
    <t>Gurpreet Singh</t>
  </si>
  <si>
    <t>Mohd Numan</t>
  </si>
  <si>
    <t>Dharmavarapu Koteswara Rao</t>
  </si>
  <si>
    <t>P Srinivasa Rao</t>
  </si>
  <si>
    <t>U Sattiababu</t>
  </si>
  <si>
    <t>Anupam Pramanik</t>
  </si>
  <si>
    <t>Ch Praveen</t>
  </si>
  <si>
    <t>Structures Inspector</t>
  </si>
  <si>
    <t>Mallikarjuna Rao</t>
  </si>
  <si>
    <t>Deputy Project Manager - Highways </t>
  </si>
  <si>
    <t>Maka Prasad</t>
  </si>
  <si>
    <t>Rajana Ramana</t>
  </si>
  <si>
    <t>Rayasam Nagaraju</t>
  </si>
  <si>
    <t>Vinjamuri Shekar</t>
  </si>
  <si>
    <t>K. Chandra Babu</t>
  </si>
  <si>
    <t>Manager - QC</t>
  </si>
  <si>
    <t>S vijay Kumar </t>
  </si>
  <si>
    <t>Sr Manager QAQC</t>
  </si>
  <si>
    <t>Krishna Kumar MG</t>
  </si>
  <si>
    <t>Manager - QA </t>
  </si>
  <si>
    <t>Maheshpuri Goswami</t>
  </si>
  <si>
    <t>manager QC</t>
  </si>
  <si>
    <t>Kamineni Lakshmi Venkata Subrahmanyam</t>
  </si>
  <si>
    <t>Deputy Manager.(Material Engineer)(QA&amp;QC)</t>
  </si>
  <si>
    <t>Somu Krishna Reddy</t>
  </si>
  <si>
    <t>Quality Material Engineer</t>
  </si>
  <si>
    <t>G. Venkata rao</t>
  </si>
  <si>
    <t>M. Naveen Kumar</t>
  </si>
  <si>
    <t>S. Balaram</t>
  </si>
  <si>
    <t>Sr. Officer</t>
  </si>
  <si>
    <t>Mr. Gangadhar/ Krishna</t>
  </si>
  <si>
    <t>P. Rambabu</t>
  </si>
  <si>
    <t>Aniruddha Roy Chowdhury</t>
  </si>
  <si>
    <t> </t>
  </si>
  <si>
    <t>Abhishek Ranjan </t>
  </si>
  <si>
    <t>Yogesh Chodary</t>
  </si>
  <si>
    <t>Mada Sivakumar</t>
  </si>
  <si>
    <t>SHRI NIVAS PANDEY</t>
  </si>
  <si>
    <t>PRR-140</t>
  </si>
  <si>
    <t>MUNESWARKUMAR</t>
  </si>
  <si>
    <t>Gurmukh Singh </t>
  </si>
  <si>
    <t>MONOJIT ROY</t>
  </si>
  <si>
    <t>Adiyta Kaushik</t>
  </si>
  <si>
    <t>Priyatosh Jena </t>
  </si>
  <si>
    <t>PRR-145</t>
  </si>
  <si>
    <t>SIVA KRISHNA CHINTHA</t>
  </si>
  <si>
    <t>PRITAM MANNA</t>
  </si>
  <si>
    <t>Ashwani Pandey</t>
  </si>
  <si>
    <t>RUPAN BARMAN</t>
  </si>
  <si>
    <t>Sudip Samanta</t>
  </si>
  <si>
    <t>PRR-144</t>
  </si>
  <si>
    <t>Danish Mushtaq</t>
  </si>
  <si>
    <t>PRR-137</t>
  </si>
  <si>
    <t> P Rahul Sai </t>
  </si>
  <si>
    <t>Ayaz Ahmed </t>
  </si>
  <si>
    <t>Sourav Jena</t>
  </si>
  <si>
    <t>ANKUR KUMAR GUPTA</t>
  </si>
  <si>
    <t>IMTIYAZ AHSAN</t>
  </si>
  <si>
    <t>Midathapati Uday</t>
  </si>
  <si>
    <t>HYD-43</t>
  </si>
  <si>
    <t xml:space="preserve">MUPPASANI OBULANNA </t>
  </si>
  <si>
    <t>KAMANURU JAGADEESH</t>
  </si>
  <si>
    <t>Sourav Sen</t>
  </si>
  <si>
    <t>Somir Ghosh</t>
  </si>
  <si>
    <t>Kamal lochan Dalabehera</t>
  </si>
  <si>
    <t>HYD-42</t>
  </si>
  <si>
    <t>Narayanaswamy</t>
  </si>
  <si>
    <t>Kumar Abhinav</t>
  </si>
  <si>
    <t>PRR-90</t>
  </si>
  <si>
    <t>Pralay Godeshwar</t>
  </si>
  <si>
    <t>RAJENDRA RANKAWAT</t>
  </si>
  <si>
    <t>PRR-91</t>
  </si>
  <si>
    <t>R. Bhaskar</t>
  </si>
  <si>
    <t>P. Vamsi Krishna</t>
  </si>
  <si>
    <t>Rayababu Swayam Prakash</t>
  </si>
  <si>
    <t>Vechalapu Rajibabu (Rajesh)</t>
  </si>
  <si>
    <t>Foreman(Structures)</t>
  </si>
  <si>
    <t>Shaik Aga</t>
  </si>
  <si>
    <t>O. Kiran Kumar</t>
  </si>
  <si>
    <t>Puvvula Rambabu</t>
  </si>
  <si>
    <t>V. Chandrasekhar</t>
  </si>
  <si>
    <t>Sashidhar Reddy Kotta</t>
  </si>
  <si>
    <t>R Venkateswar Rao</t>
  </si>
  <si>
    <t>Jami Harshavardhan</t>
  </si>
  <si>
    <t>Vadde Sravan Kumar</t>
  </si>
  <si>
    <t>MUPPIDI SATYA RAJESH</t>
  </si>
  <si>
    <t>B. Nagarjuna</t>
  </si>
  <si>
    <t>AMBATI APPI REDDY</t>
  </si>
  <si>
    <t>Mohit nimore</t>
  </si>
  <si>
    <t>CBCMP-55</t>
  </si>
  <si>
    <t>Devi Prasad Mishra</t>
  </si>
  <si>
    <t>Deepak Sharma</t>
  </si>
  <si>
    <t>Rohit Prajapati</t>
  </si>
  <si>
    <t>Shubham Mishra</t>
  </si>
  <si>
    <t>T.V. Dhanaraju</t>
  </si>
  <si>
    <t>Asst.Quality cum Material Engineer</t>
  </si>
  <si>
    <t>G.Venkateswarlu</t>
  </si>
  <si>
    <t>Anoop Kumar Tiwari</t>
  </si>
  <si>
    <t>Supervisor - Liaison</t>
  </si>
  <si>
    <t>GANDHAM SANDEEP</t>
  </si>
  <si>
    <t>NIRATI SAI KUMAR</t>
  </si>
  <si>
    <t>BANOTH NITHIN</t>
  </si>
  <si>
    <t>KOLAGANI VIGNESH</t>
  </si>
  <si>
    <t>MADDI VENKATESH</t>
  </si>
  <si>
    <t>CHOPPARI SANDEEP</t>
  </si>
  <si>
    <t>NEDURU ANIL</t>
  </si>
  <si>
    <t>MUDDAM Vamshi</t>
  </si>
  <si>
    <t>DYAGATI VINOD</t>
  </si>
  <si>
    <t>GAJJELA OMSAI RAM</t>
  </si>
  <si>
    <t>KOREPU RAHUL KUMAR</t>
  </si>
  <si>
    <t>VEMULA SANDEEP</t>
  </si>
  <si>
    <t>GUDEPU ANJAN</t>
  </si>
  <si>
    <t>MULKALLA CHANDU</t>
  </si>
  <si>
    <t>VEMULA BHANUTEJA</t>
  </si>
  <si>
    <t>MAIDAM SAI KUMAR</t>
  </si>
  <si>
    <t>SINGAM AKSHAY</t>
  </si>
  <si>
    <t>KATLA SWARAJ</t>
  </si>
  <si>
    <t>SHAIK RAHMAN</t>
  </si>
  <si>
    <t>GANTHULA SANJEEV</t>
  </si>
  <si>
    <t>KALLEPELLI CHANDU</t>
  </si>
  <si>
    <t>NALLA VAISHNAV</t>
  </si>
  <si>
    <t>Ramana Reddy</t>
  </si>
  <si>
    <t>Satish Sanga</t>
  </si>
  <si>
    <t>A. Kiran Kumar swamy</t>
  </si>
  <si>
    <t>P. Mohan krishna</t>
  </si>
  <si>
    <t>PRABHAKARAN.K</t>
  </si>
  <si>
    <t>J Prasad</t>
  </si>
  <si>
    <t>Selvapandi</t>
  </si>
  <si>
    <t>KALIGI RAMU</t>
  </si>
  <si>
    <t>SANDEEPA C R</t>
  </si>
  <si>
    <t>Sr. Surveryor</t>
  </si>
  <si>
    <t>K Harish</t>
  </si>
  <si>
    <t>Jr Site Engineer(Structures)</t>
  </si>
  <si>
    <t>Yashwanth Karlapudi</t>
  </si>
  <si>
    <t>Site Engineer(Structures)</t>
  </si>
  <si>
    <t>Rambabu.M</t>
  </si>
  <si>
    <t>K.Vinay Babu</t>
  </si>
  <si>
    <t>V H Revanth</t>
  </si>
  <si>
    <t> Jr. Engineer</t>
  </si>
  <si>
    <t>Bapi Bagdi</t>
  </si>
  <si>
    <t>Rajesh Daliparthi</t>
  </si>
  <si>
    <t>M Venata Dinesh</t>
  </si>
  <si>
    <t>Y Udaya Sai Kumar</t>
  </si>
  <si>
    <t>Aneel</t>
  </si>
  <si>
    <t>Executive - HR</t>
  </si>
  <si>
    <t>BRAMMIDALA SURENDRA BABU</t>
  </si>
  <si>
    <t>M r. K. Kutumba Rao</t>
  </si>
  <si>
    <t>P. Raghuram</t>
  </si>
  <si>
    <t>Sr. Engineer -Highway</t>
  </si>
  <si>
    <t>P. Srinivas</t>
  </si>
  <si>
    <t>Gopi Vankayalapati</t>
  </si>
  <si>
    <t>P. Venkata Raju</t>
  </si>
  <si>
    <t>Karri Rajesh</t>
  </si>
  <si>
    <t>Executive -HR</t>
  </si>
  <si>
    <t>Suresh Krishna</t>
  </si>
  <si>
    <t>DPM-Structure</t>
  </si>
  <si>
    <t>Krishna Prasad Chanumolu</t>
  </si>
  <si>
    <t>ADCL-64</t>
  </si>
  <si>
    <t>Purna Kumar Imadabathni</t>
  </si>
  <si>
    <t>Asst project Manager</t>
  </si>
  <si>
    <t>Boppana Srinivasa Rao</t>
  </si>
  <si>
    <t>ADCL-51</t>
  </si>
  <si>
    <t>Sr. PM-Structures</t>
  </si>
  <si>
    <t>D. Satyanarayana</t>
  </si>
  <si>
    <t>Sr. Project Manager-Highways</t>
  </si>
  <si>
    <t>Mohan Babu Nare</t>
  </si>
  <si>
    <t>Suresh Kumar Veeravalli</t>
  </si>
  <si>
    <t>Construction Manager(Structures)</t>
  </si>
  <si>
    <t>T Srinivasa Rao</t>
  </si>
  <si>
    <t>B. Srihari Rao</t>
  </si>
  <si>
    <t>Deputy Manager-Projects</t>
  </si>
  <si>
    <t>Gunduboina Rushendra</t>
  </si>
  <si>
    <t>Ginkala Vishal</t>
  </si>
  <si>
    <t>Engineer - QS &amp; Planning</t>
  </si>
  <si>
    <t>Pankaj Maiti</t>
  </si>
  <si>
    <t>Chiranjeet Ray</t>
  </si>
  <si>
    <t>U. Siva Rama Krishna</t>
  </si>
  <si>
    <t>Rakesh M A</t>
  </si>
  <si>
    <t>Sr Engineer Highway</t>
  </si>
  <si>
    <t>Vamsi Krishna Gurram</t>
  </si>
  <si>
    <t>Engineer ( HIGHWAYS)</t>
  </si>
  <si>
    <t>Loknath Behera</t>
  </si>
  <si>
    <t>Sr Engg - Structures</t>
  </si>
  <si>
    <t>E Subramanyam</t>
  </si>
  <si>
    <t>Engineer - Strcutures</t>
  </si>
  <si>
    <t>Durga Prasad.Korukonda</t>
  </si>
  <si>
    <t>Sr.Excutive (Stores)</t>
  </si>
  <si>
    <t>Dinesh Reddy</t>
  </si>
  <si>
    <t>Sr. Executive Stores.</t>
  </si>
  <si>
    <t>Surampudi Srinivasu</t>
  </si>
  <si>
    <t>ADCL-135</t>
  </si>
  <si>
    <t>Accountant and Cashier &amp; Store Executive</t>
  </si>
  <si>
    <t>Paul Wilson Pothuraju</t>
  </si>
  <si>
    <t>Ch. Koteswar Rao</t>
  </si>
  <si>
    <t>HO-08</t>
  </si>
  <si>
    <t>Pamarthi Devi Prabakar</t>
  </si>
  <si>
    <t>M .Sankar Rao</t>
  </si>
  <si>
    <t>GET-AMG</t>
  </si>
  <si>
    <t>P&amp;M Team</t>
  </si>
  <si>
    <t>Vegi Jitendra satya surya kiran</t>
  </si>
  <si>
    <t>Prashant Koppulu</t>
  </si>
  <si>
    <t>Highway Engg</t>
  </si>
  <si>
    <t>Syed Babu</t>
  </si>
  <si>
    <t>Jadapalli Venkateshwarulu</t>
  </si>
  <si>
    <t>Meesala Manoj </t>
  </si>
  <si>
    <t>Nanna Shaik</t>
  </si>
  <si>
    <t>Ravi Kiran</t>
  </si>
  <si>
    <t>Asst. Manager</t>
  </si>
  <si>
    <t>Indhurthi Vigneswara Rao</t>
  </si>
  <si>
    <t>P Venkateswara rao</t>
  </si>
  <si>
    <t>Assistan Manager</t>
  </si>
  <si>
    <t>Sourav midde</t>
  </si>
  <si>
    <t>Sr,. Surevyor</t>
  </si>
  <si>
    <t>Ravi Kumar Koram</t>
  </si>
  <si>
    <t>Sr. Survey Engineer</t>
  </si>
  <si>
    <t>Soumen Bera</t>
  </si>
  <si>
    <t>Kushanna Rathod</t>
  </si>
  <si>
    <t>Darsi Mani Kumar</t>
  </si>
  <si>
    <t>Chittaranjan Behera</t>
  </si>
  <si>
    <t>Ramu Sanapathi</t>
  </si>
  <si>
    <t>N Dileep Kumar</t>
  </si>
  <si>
    <t>Kurra Srinivasulu</t>
  </si>
  <si>
    <t>Project Manager - Pipeline</t>
  </si>
  <si>
    <t>Mallikarjuna</t>
  </si>
  <si>
    <t>Bala Subramanyam</t>
  </si>
  <si>
    <t>PRR-131</t>
  </si>
  <si>
    <t>Arajith Tripathy</t>
  </si>
  <si>
    <t>HYD-41</t>
  </si>
  <si>
    <t>Lab Technician (QA/QC)</t>
  </si>
  <si>
    <t>Preetam Sing Guar</t>
  </si>
  <si>
    <t xml:space="preserve">Lab Technician </t>
  </si>
  <si>
    <t>Akash Yadav</t>
  </si>
  <si>
    <t>Faizan Khan</t>
  </si>
  <si>
    <t>Parvendra Singh parmar</t>
  </si>
  <si>
    <t>Vikas Singh</t>
  </si>
  <si>
    <t>Manoj Yadav</t>
  </si>
  <si>
    <t>Jr. Engineer QA/QC</t>
  </si>
  <si>
    <t>MD Shahjad Ansari</t>
  </si>
  <si>
    <t>Jr. Engineer (QC)</t>
  </si>
  <si>
    <t>SHASHI KANT VISHWAKARMA</t>
  </si>
  <si>
    <t>PRR-110</t>
  </si>
  <si>
    <t>MD PARVEZ ALAM</t>
  </si>
  <si>
    <t>Pankaj Thakur</t>
  </si>
  <si>
    <t>ABDUL.SUBHAN</t>
  </si>
  <si>
    <t>CBCMP-58</t>
  </si>
  <si>
    <t>Siva Ramakrishna Prasad Bannaravuri</t>
  </si>
  <si>
    <t>BVBP Ramayya</t>
  </si>
  <si>
    <t>Asst VP- Projects</t>
  </si>
  <si>
    <t>Srinivas Nutalapati</t>
  </si>
  <si>
    <t>G M -Projects</t>
  </si>
  <si>
    <t>DMS Suryanarayana Raju</t>
  </si>
  <si>
    <t>Sr. Manager - Mechnaical</t>
  </si>
  <si>
    <t>Neeli Rambabu</t>
  </si>
  <si>
    <t>Site HR &amp; Admin</t>
  </si>
  <si>
    <t>Anjaneya Reddy K</t>
  </si>
  <si>
    <t>HR Mgr</t>
  </si>
  <si>
    <t>J. Rajasekhar Reddy</t>
  </si>
  <si>
    <t>Yalla Prashanth</t>
  </si>
  <si>
    <t>Engineer QC</t>
  </si>
  <si>
    <t>Vankayala  Sudheer</t>
  </si>
  <si>
    <t>Deputy Engineer Quality Control.</t>
  </si>
  <si>
    <t>B. Veera venkata Rao</t>
  </si>
  <si>
    <t>Dharavath Mahendar</t>
  </si>
  <si>
    <t>Syed Khaja Moinuddin</t>
  </si>
  <si>
    <t>P Saitej</t>
  </si>
  <si>
    <t>Vankudothu Om SAI</t>
  </si>
  <si>
    <t>Nimmathi Rajkumar</t>
  </si>
  <si>
    <t>Avugani Manoj</t>
  </si>
  <si>
    <t>Arvind Kumar Yadav</t>
  </si>
  <si>
    <t>Vijaya Chnadra Raju</t>
  </si>
  <si>
    <t>Sidagam Ravi Teja</t>
  </si>
  <si>
    <t>Bheemuni Pullaiah</t>
  </si>
  <si>
    <t>Sr. Engineer - QA/QC</t>
  </si>
  <si>
    <t>Sambhunath Nayak</t>
  </si>
  <si>
    <t>V Surendra</t>
  </si>
  <si>
    <t>Himanshu Patel</t>
  </si>
  <si>
    <t>Sourav Roy</t>
  </si>
  <si>
    <t>Junior Engineer QA/QC</t>
  </si>
  <si>
    <t>Rajesh Kumar Singh</t>
  </si>
  <si>
    <t>Dipanjan Mahato</t>
  </si>
  <si>
    <t>JAY SHANKAR MISHRA</t>
  </si>
  <si>
    <t>JANMEJAY KUMAR</t>
  </si>
  <si>
    <t>Akash Singh</t>
  </si>
  <si>
    <t>Vivek Kumar Maurya</t>
  </si>
  <si>
    <t>Devendra Pratap Singh</t>
  </si>
  <si>
    <t>Gajanand yadav</t>
  </si>
  <si>
    <t>CBCMP-158</t>
  </si>
  <si>
    <t>M.ASHOKKUMAR</t>
  </si>
  <si>
    <t>A. Ramakrishna Rao</t>
  </si>
  <si>
    <t>G. Veeranjaneyulu</t>
  </si>
  <si>
    <t>U. Ramakrishna Rao</t>
  </si>
  <si>
    <t>Sr. Manager </t>
  </si>
  <si>
    <t>Suresh Tadanki</t>
  </si>
  <si>
    <t>Suresh Kumar Mohanty</t>
  </si>
  <si>
    <t>Suraj Prasad</t>
  </si>
  <si>
    <t>Suresh Dolui</t>
  </si>
  <si>
    <t>Sunanda Goswami</t>
  </si>
  <si>
    <t>Gaurav Vijay Patil</t>
  </si>
  <si>
    <t>Sudhir Pradeep Jaiswal</t>
  </si>
  <si>
    <t>Balmiki Kumar</t>
  </si>
  <si>
    <t>Sonu Kumar Yati</t>
  </si>
  <si>
    <t>Surya Pratap Pandey</t>
  </si>
  <si>
    <t>Dhananjay Prajapathi</t>
  </si>
  <si>
    <t>Badri Gangurde</t>
  </si>
  <si>
    <t>Prabhunath Mishra</t>
  </si>
  <si>
    <t>Nitin katiyar</t>
  </si>
  <si>
    <t>Rohit Tiwari</t>
  </si>
  <si>
    <t>Bipul Kumar</t>
  </si>
  <si>
    <t>Bolagani Teja Nagaraju</t>
  </si>
  <si>
    <t>Abhishek Shukla</t>
  </si>
  <si>
    <t>Kadari Shiva Kumar</t>
  </si>
  <si>
    <t>Maruti Adawyappa Kotyagol</t>
  </si>
  <si>
    <t>Sachin Nayak</t>
  </si>
  <si>
    <t>Md Arbaaz Alam</t>
  </si>
  <si>
    <t>Sangala Rakesh Reddy</t>
  </si>
  <si>
    <t>Mnaoj Mondal</t>
  </si>
  <si>
    <t>Santanu Koley </t>
  </si>
  <si>
    <t>Srinivasrao Devarampati </t>
  </si>
  <si>
    <t>Vemulamada Nagaraju </t>
  </si>
  <si>
    <t>VLS Mahesh Kumar</t>
  </si>
  <si>
    <t>CGM-Roads</t>
  </si>
  <si>
    <t>Subham Chakraborthy</t>
  </si>
  <si>
    <t>Kapil Dev Singh</t>
  </si>
  <si>
    <t>Bikas Patra</t>
  </si>
  <si>
    <t>Vinayaka Ankushrao Pitle</t>
  </si>
  <si>
    <t>Kousik Pakhire</t>
  </si>
  <si>
    <t>Manikanta K</t>
  </si>
  <si>
    <t>Raj Kumar Pandey</t>
  </si>
  <si>
    <t>Ved Prakash</t>
  </si>
  <si>
    <t>Sanjit Pal</t>
  </si>
  <si>
    <t>Dipak Podder</t>
  </si>
  <si>
    <t>Suneel Yadav</t>
  </si>
  <si>
    <t>Prasad Reddy Bijam</t>
  </si>
  <si>
    <t>YESUPOGU KOTESWARA RAO</t>
  </si>
  <si>
    <t>Sudarshan Maity</t>
  </si>
  <si>
    <t>Pulla Sai Kumar</t>
  </si>
  <si>
    <t>V. Vinod</t>
  </si>
  <si>
    <t>Ashok Kumar</t>
  </si>
  <si>
    <t>Senior Surveyor</t>
  </si>
  <si>
    <t>Muli Mastanaiah</t>
  </si>
  <si>
    <t>Senior Accountant</t>
  </si>
  <si>
    <t> G. Ramesh Kumar</t>
  </si>
  <si>
    <t>M. Jagadish</t>
  </si>
  <si>
    <t>Kavireddy Pulikonda</t>
  </si>
  <si>
    <t>AME (QA/QC)</t>
  </si>
  <si>
    <t>S. Sateesh Kumar</t>
  </si>
  <si>
    <t>Y. Durga Mahesh</t>
  </si>
  <si>
    <t>V Vykunta Rao</t>
  </si>
  <si>
    <t>Asst Material Engg (QA/QC)</t>
  </si>
  <si>
    <t>R Mahesh Mano</t>
  </si>
  <si>
    <t>Badveeti Tirumala Guru Prasanth</t>
  </si>
  <si>
    <t>Molli Mallikarjuna Reddy</t>
  </si>
  <si>
    <t>HNSS-T06</t>
  </si>
  <si>
    <t>Alok Bisoi</t>
  </si>
  <si>
    <t>Senior Assistant Stores</t>
  </si>
  <si>
    <t>Telu Appala Raju</t>
  </si>
  <si>
    <t>Senior Executive Stores</t>
  </si>
  <si>
    <t>Gaddikoppula Ganesh Reddy</t>
  </si>
  <si>
    <t>Bandaru Jashuva</t>
  </si>
  <si>
    <t>Store Supervisior</t>
  </si>
  <si>
    <t>Vasa Venkat Rao</t>
  </si>
  <si>
    <t>Ch Lakshman Rao</t>
  </si>
  <si>
    <t>Aditya Yadav</t>
  </si>
  <si>
    <t>Arpit Kashyap</t>
  </si>
  <si>
    <t>Rajat Kumar</t>
  </si>
  <si>
    <t>Sandip Mondal</t>
  </si>
  <si>
    <t>Aman Singh</t>
  </si>
  <si>
    <t>Sartaj Alam</t>
  </si>
  <si>
    <t>Shivam Yadav</t>
  </si>
  <si>
    <t>Ritwik Shivam</t>
  </si>
  <si>
    <t>Kumar Sangam</t>
  </si>
  <si>
    <t>Prabhat Singh</t>
  </si>
  <si>
    <t>Debdas Mondal</t>
  </si>
  <si>
    <t>Balaji Bakka</t>
  </si>
  <si>
    <t>Ankit Kumar Pal</t>
  </si>
  <si>
    <t>TV Sudhir</t>
  </si>
  <si>
    <t>Jr Engineer-Highway</t>
  </si>
  <si>
    <t>R. Revanth</t>
  </si>
  <si>
    <t>Sai Kiran Guntamadugu</t>
  </si>
  <si>
    <t>Sr Associate WRM - HR</t>
  </si>
  <si>
    <t>Akhilesh Chandra</t>
  </si>
  <si>
    <t>Nagabhushana Telu</t>
  </si>
  <si>
    <t>Sankar Rao Regu</t>
  </si>
  <si>
    <t>Kakarla Kalaikar</t>
  </si>
  <si>
    <t>G Vinod Kumar</t>
  </si>
  <si>
    <t>Asst Engineer-Highway</t>
  </si>
  <si>
    <t>Shafqat Hussain</t>
  </si>
  <si>
    <t>TARIQ AHMED</t>
  </si>
  <si>
    <t>Mohd Aslam </t>
  </si>
  <si>
    <t>Gul Mehsoob</t>
  </si>
  <si>
    <t>KAMLESH R. SHENDE</t>
  </si>
  <si>
    <t>Surveyor Tunnel </t>
  </si>
  <si>
    <t>AMIT SAMANTA</t>
  </si>
  <si>
    <t>DILKHUSH KUMAR</t>
  </si>
  <si>
    <t>SWAPAN ROY</t>
  </si>
  <si>
    <t>Senior Surveyor Tunnel </t>
  </si>
  <si>
    <t>Mohd Inklab Khan </t>
  </si>
  <si>
    <t>Engineer Tunnel</t>
  </si>
  <si>
    <t>Ajaz Ahmed </t>
  </si>
  <si>
    <t>Azim Sayyad</t>
  </si>
  <si>
    <t>Kuldeep Pandey</t>
  </si>
  <si>
    <t>Gantla Mahesh</t>
  </si>
  <si>
    <t>Amarnath</t>
  </si>
  <si>
    <t>M Ram Babu</t>
  </si>
  <si>
    <t>Tatineni Pavan Krishna</t>
  </si>
  <si>
    <t>Inventory Stock- Supervisior</t>
  </si>
  <si>
    <t>Nirmal Dey</t>
  </si>
  <si>
    <t>PRR-141</t>
  </si>
  <si>
    <t>Assistant Safety Engineer</t>
  </si>
  <si>
    <t>PRR-142</t>
  </si>
  <si>
    <t>Safety Supervisor </t>
  </si>
  <si>
    <t>Bajrang Lal</t>
  </si>
  <si>
    <t>Safety Officer</t>
  </si>
  <si>
    <t>Lucky Khan</t>
  </si>
  <si>
    <t>Safety Supervisor cum Safety Incharge</t>
  </si>
  <si>
    <t>Mukesh Khushwaha</t>
  </si>
  <si>
    <t>Safety Engineer</t>
  </si>
  <si>
    <t>Safety Supervisor</t>
  </si>
  <si>
    <t>Rishikant Prasad</t>
  </si>
  <si>
    <t>Samala Prashanth</t>
  </si>
  <si>
    <t>Asst Quality Material Engineer</t>
  </si>
  <si>
    <t>M. Venkateswarlu</t>
  </si>
  <si>
    <t>Vineeth Bodapati</t>
  </si>
  <si>
    <t>JE-QC</t>
  </si>
  <si>
    <t>Debasish Sarkar</t>
  </si>
  <si>
    <t>Sujeet Kumar Pandey</t>
  </si>
  <si>
    <t xml:space="preserve">Satish Kumar    </t>
  </si>
  <si>
    <t>Mohammad Abdul Mosadique</t>
  </si>
  <si>
    <t>Vivek Kumar Vishwakarma</t>
  </si>
  <si>
    <t>Rajavardhan Tenali</t>
  </si>
  <si>
    <t>Srikanta Kumar Pradhan</t>
  </si>
  <si>
    <t>Venkata Mutyalu</t>
  </si>
  <si>
    <t>Sudhir Kumar</t>
  </si>
  <si>
    <t>Satish Perabathula</t>
  </si>
  <si>
    <t>Abhishek Kumar Yadav</t>
  </si>
  <si>
    <t>Sunil Mohanty</t>
  </si>
  <si>
    <t>Sudishth Kumar</t>
  </si>
  <si>
    <t>Masthan Anandula</t>
  </si>
  <si>
    <t>Tanoy Das</t>
  </si>
  <si>
    <t>Prashant Gautam</t>
  </si>
  <si>
    <t>Balaji Gogineni</t>
  </si>
  <si>
    <t>Balaraju Peetha</t>
  </si>
  <si>
    <t>Tamatam Venkatesh</t>
  </si>
  <si>
    <t>Joydwip Debnath</t>
  </si>
  <si>
    <t>Kunal Kunti</t>
  </si>
  <si>
    <t>Ayan Gupta</t>
  </si>
  <si>
    <t>Konatham Suresh Reddy</t>
  </si>
  <si>
    <t>Rohit Matela</t>
  </si>
  <si>
    <t>Debasis Bhaumik</t>
  </si>
  <si>
    <t>Alok Kumar Rai</t>
  </si>
  <si>
    <t>V. Sivakrishna</t>
  </si>
  <si>
    <t>Rampatni Ramesh</t>
  </si>
  <si>
    <t>P. Sankar Rao</t>
  </si>
  <si>
    <t>Mr. Mallapuram Babu</t>
  </si>
  <si>
    <t>AS Reddy</t>
  </si>
  <si>
    <t>Suresh Bankuru</t>
  </si>
  <si>
    <t>B. Ramesh Babu</t>
  </si>
  <si>
    <t>Janaki Prudhvi shankar</t>
  </si>
  <si>
    <t>Jr. Engineer (Highway )</t>
  </si>
  <si>
    <t>KOTHAPALLI JYOTHI KUMAR</t>
  </si>
  <si>
    <t>Supervisor-Structures</t>
  </si>
  <si>
    <t>J. Prasada Rao</t>
  </si>
  <si>
    <t>ABISHAI GOSALA</t>
  </si>
  <si>
    <t>Junior Highway Engineer</t>
  </si>
  <si>
    <t>SAHBAJ ALAM</t>
  </si>
  <si>
    <t>Malli Obulesh</t>
  </si>
  <si>
    <t>Sr. Site supervisior</t>
  </si>
  <si>
    <t>Baggu Vikash</t>
  </si>
  <si>
    <t>senior techincal supervisior</t>
  </si>
  <si>
    <t>Raju Beera</t>
  </si>
  <si>
    <t>Vijaya Simha Reddy</t>
  </si>
  <si>
    <t>RO-02</t>
  </si>
  <si>
    <t>VP-Projects</t>
  </si>
  <si>
    <t>M.Thulasiram Reddy</t>
  </si>
  <si>
    <t>Asst Bridge Engineer</t>
  </si>
  <si>
    <t>Venkatesh Peddireddy</t>
  </si>
  <si>
    <t>APM-Structures</t>
  </si>
  <si>
    <t>Maheswara Reddy. A,</t>
  </si>
  <si>
    <t>Swamy Pasala</t>
  </si>
  <si>
    <t>Manager - Structure</t>
  </si>
  <si>
    <t>Ch. Ratnasekhar Reddy</t>
  </si>
  <si>
    <t>Dy. Manager-QA&amp;QC</t>
  </si>
  <si>
    <t>Yanadri Rao Peraka</t>
  </si>
  <si>
    <t>Asst Manager - Structures</t>
  </si>
  <si>
    <t>Raikindi Mangaiah</t>
  </si>
  <si>
    <t>Ram Nivas Kumar</t>
  </si>
  <si>
    <t>Bharat Sen</t>
  </si>
  <si>
    <t>Sahik Karimulla</t>
  </si>
  <si>
    <t>Jasonbanta Behera</t>
  </si>
  <si>
    <t>AppiReddy</t>
  </si>
  <si>
    <t>Supervisor - Mech </t>
  </si>
  <si>
    <t>C Chandramouli</t>
  </si>
  <si>
    <t>Site Mechanical Supervisor</t>
  </si>
  <si>
    <t>Jeevesh Pandey</t>
  </si>
  <si>
    <t>A Hanumanthu</t>
  </si>
  <si>
    <t>Abbidy Venkat Reddy</t>
  </si>
  <si>
    <t>Sr Engineer</t>
  </si>
  <si>
    <t>D Nagasai Manikanta</t>
  </si>
  <si>
    <t>Hyd-05</t>
  </si>
  <si>
    <t>Engineer -structures</t>
  </si>
  <si>
    <t>Soumen Das</t>
  </si>
  <si>
    <t>N Bhaskar</t>
  </si>
  <si>
    <t>Sheetala Prasad Mishra</t>
  </si>
  <si>
    <t>Pankaj Yadav</t>
  </si>
  <si>
    <t>Sujit Kumar</t>
  </si>
  <si>
    <t>Tanmay Chakraborty</t>
  </si>
  <si>
    <t>Tarekul Islam</t>
  </si>
  <si>
    <t>Tukeshwar Prasad</t>
  </si>
  <si>
    <t>Naresh Gurjar</t>
  </si>
  <si>
    <t>Ravi Kumar Nagam</t>
  </si>
  <si>
    <t>Ajit Kumar</t>
  </si>
  <si>
    <t>Biswajit Das</t>
  </si>
  <si>
    <t>Shyam Sundar Tyagi</t>
  </si>
  <si>
    <t>Akhilesh Yadav</t>
  </si>
  <si>
    <t>GV Naresh</t>
  </si>
  <si>
    <t>M. Sivaji</t>
  </si>
  <si>
    <t>Devesh Kumar</t>
  </si>
  <si>
    <t>Sandeep Kumar Gupta</t>
  </si>
  <si>
    <t>Nilanchal Sahoo</t>
  </si>
  <si>
    <t>Lab Asst</t>
  </si>
  <si>
    <t>M. Praveen Kumar</t>
  </si>
  <si>
    <t>Thotti  Pavan Kumar</t>
  </si>
  <si>
    <t>Asst Survey </t>
  </si>
  <si>
    <t>Mr. Ganapathi</t>
  </si>
  <si>
    <t>V.L. Narasimha Swamy</t>
  </si>
  <si>
    <t>Mukul Kumar</t>
  </si>
  <si>
    <t>Senior Engineer - Highways</t>
  </si>
  <si>
    <t>Samir Kaul</t>
  </si>
  <si>
    <t>Engineer - Civil (Pumphouse)</t>
  </si>
  <si>
    <t>Hamidur Rahman</t>
  </si>
  <si>
    <t>Jr. Foreman</t>
  </si>
  <si>
    <t>Saurabh Upadhyay</t>
  </si>
  <si>
    <t>Devki Nandan Rajput</t>
  </si>
  <si>
    <t>Rajendra Singh Parmar</t>
  </si>
  <si>
    <t>Mangal Singh</t>
  </si>
  <si>
    <t>Sukh Sagar Singh</t>
  </si>
  <si>
    <t>Vinay Tiwari</t>
  </si>
  <si>
    <t xml:space="preserve">Rajendra Singh   </t>
  </si>
  <si>
    <t>Madhvesh Pratap Singh</t>
  </si>
  <si>
    <t>Naresh Singh</t>
  </si>
  <si>
    <t xml:space="preserve">Shashank   </t>
  </si>
  <si>
    <t>Sanny Pandey</t>
  </si>
  <si>
    <t>Chandrashekhar Sharma</t>
  </si>
  <si>
    <t>Badal Jurail</t>
  </si>
  <si>
    <t>Jatin Kumar Prusty</t>
  </si>
  <si>
    <t>K Ravi Kumar</t>
  </si>
  <si>
    <t>Badre Alam</t>
  </si>
  <si>
    <t>Nandlal Kumar Sah</t>
  </si>
  <si>
    <t>Pintu Kumar</t>
  </si>
  <si>
    <t>Sr.Supervisor</t>
  </si>
  <si>
    <t>Budhiram Sahni</t>
  </si>
  <si>
    <t>Shobhit Sharma</t>
  </si>
  <si>
    <t>Vipin Singh</t>
  </si>
  <si>
    <t>Yogendra Prasad</t>
  </si>
  <si>
    <t>Alok  Kumar</t>
  </si>
  <si>
    <t>Sahil Chaurasiya</t>
  </si>
  <si>
    <t>Saiyad Hussain</t>
  </si>
  <si>
    <t>Sri Krushna Rane</t>
  </si>
  <si>
    <t>Pudari Mahesh</t>
  </si>
  <si>
    <t>HO-05</t>
  </si>
  <si>
    <t>Purchase Engineer</t>
  </si>
  <si>
    <t>Raviteja Nemalikanti</t>
  </si>
  <si>
    <t>HO-07</t>
  </si>
  <si>
    <t>Purchase Executive</t>
  </si>
  <si>
    <t>Ravilla Venk Ramana</t>
  </si>
  <si>
    <t>Mgr  HR</t>
  </si>
  <si>
    <t>Ganesh Ganga</t>
  </si>
  <si>
    <t>Execuitve - HR &amp; Admin</t>
  </si>
  <si>
    <t>Ramakrishna B</t>
  </si>
  <si>
    <t>Sr Admin &amp; HR - Executive</t>
  </si>
  <si>
    <t>Venkateswara Rao M</t>
  </si>
  <si>
    <t xml:space="preserve">Dy Mgr </t>
  </si>
  <si>
    <t>P N S Rohit</t>
  </si>
  <si>
    <t>Procurement Engg</t>
  </si>
  <si>
    <t>S. Nagendra Prasad</t>
  </si>
  <si>
    <t>Assistant Manager Civil</t>
  </si>
  <si>
    <t>Mr. Anunai Rayapuraju</t>
  </si>
  <si>
    <t>J. Narendra</t>
  </si>
  <si>
    <t>Sr. Engineer - Highway</t>
  </si>
  <si>
    <t>M. Siva Krishna</t>
  </si>
  <si>
    <t>sr. Engineer -structures</t>
  </si>
  <si>
    <t>Jitender Kumar</t>
  </si>
  <si>
    <t>Sr. Engineer-Structures</t>
  </si>
  <si>
    <t>A. Raja Reddy</t>
  </si>
  <si>
    <t>C Shankar</t>
  </si>
  <si>
    <t>Senior Highway Engineer</t>
  </si>
  <si>
    <t>Upendra Banka</t>
  </si>
  <si>
    <t>Mareedu Naresh</t>
  </si>
  <si>
    <t>Shaik Nayabrasool</t>
  </si>
  <si>
    <t>Sandeep Kumar Tiwari</t>
  </si>
  <si>
    <t>Gobinda Barman </t>
  </si>
  <si>
    <t>Mr. Prasenjit Panja</t>
  </si>
  <si>
    <t>Raja Rao Thelagathoti</t>
  </si>
  <si>
    <t>Dontha Srinivasa Rao</t>
  </si>
  <si>
    <t>Gopinath Naidu</t>
  </si>
  <si>
    <t>Tanwir Ahmed</t>
  </si>
  <si>
    <t>Rajesh Kumar Ray</t>
  </si>
  <si>
    <t>Rajnish Singh</t>
  </si>
  <si>
    <t>Purushottam Sharma</t>
  </si>
  <si>
    <t>Yogendar Tiwari</t>
  </si>
  <si>
    <t>Nawal paswan</t>
  </si>
  <si>
    <t>Niraj Kumar Singh</t>
  </si>
  <si>
    <t>Satish Kumar TRIPATI</t>
  </si>
  <si>
    <t>Gedela Anji</t>
  </si>
  <si>
    <t>SANDEEP KUMAR UPADHYAY</t>
  </si>
  <si>
    <t>Mohan</t>
  </si>
  <si>
    <t>Sateesh Kumar Namdev</t>
  </si>
  <si>
    <t>Katepogu Anand</t>
  </si>
  <si>
    <t>D Hareesh</t>
  </si>
  <si>
    <t>Suresh Kumar Yalamanchi</t>
  </si>
  <si>
    <t>Prashanth Vasimalla</t>
  </si>
  <si>
    <t>G John Paul</t>
  </si>
  <si>
    <t>Suraj Kumar </t>
  </si>
  <si>
    <t>BARLA BALA ANIL KUMAR</t>
  </si>
  <si>
    <t>Rameshwar Kumar</t>
  </si>
  <si>
    <t>Engineer -Highway</t>
  </si>
  <si>
    <t>Pritam Majumdar</t>
  </si>
  <si>
    <t>Sumon Datta</t>
  </si>
  <si>
    <t>Senior Engineer (F&amp;L Survey).</t>
  </si>
  <si>
    <t>Swaroop Manna</t>
  </si>
  <si>
    <t>DHERMENDRA SINGH</t>
  </si>
  <si>
    <t>Senior Surveyor </t>
  </si>
  <si>
    <t>SUNIL KUMAR GUPTA</t>
  </si>
  <si>
    <t>SUVRANGSU MISHRA</t>
  </si>
  <si>
    <t>BAPPA KAYALDAR</t>
  </si>
  <si>
    <t>RAJ KUMAR YADAV</t>
  </si>
  <si>
    <t>RADHAGOBINDA MISHRA</t>
  </si>
  <si>
    <t>Sanjiv Singh,</t>
  </si>
  <si>
    <t>VIVEK SINGH</t>
  </si>
  <si>
    <t>KULDEEP CHAUHAN</t>
  </si>
  <si>
    <t>SANDEEP KUMAR SHARMA</t>
  </si>
  <si>
    <t>PRR-138</t>
  </si>
  <si>
    <t>DEEPAK SINGH</t>
  </si>
  <si>
    <t>Ramraj Meena</t>
  </si>
  <si>
    <t>Amol Ashokrao Barbuddhe</t>
  </si>
  <si>
    <t>Suhel Ahmed</t>
  </si>
  <si>
    <t>CBCMP-186</t>
  </si>
  <si>
    <t>Bhagwat Prasad</t>
  </si>
  <si>
    <t>Dilip Kumar Mishra</t>
  </si>
  <si>
    <t>Satyaveer Singh</t>
  </si>
  <si>
    <t>Md Sharafat Hussain</t>
  </si>
  <si>
    <t>Sandeep Dwivedi</t>
  </si>
  <si>
    <t>Pramod Kumar Pandey</t>
  </si>
  <si>
    <t>Shaikendra Kaurav</t>
  </si>
  <si>
    <t>Jay Anilrao Mehare</t>
  </si>
  <si>
    <t>CBCMP-53</t>
  </si>
  <si>
    <t>Prakhar Chourishi</t>
  </si>
  <si>
    <t>Rajmani Singh</t>
  </si>
  <si>
    <t>ADCL-41</t>
  </si>
  <si>
    <t>Mr. P. PURNA KUMAR</t>
  </si>
  <si>
    <t>Narasimha Rao</t>
  </si>
  <si>
    <t>Execuitive - HR &amp; IR</t>
  </si>
  <si>
    <t>Nagendra Babu A</t>
  </si>
  <si>
    <t>Sr Executvie = HR &amp; IR</t>
  </si>
  <si>
    <t>D S S V Prasad</t>
  </si>
  <si>
    <t>Asst Mgr - R &amp; Admin</t>
  </si>
  <si>
    <t>S Rambabu</t>
  </si>
  <si>
    <t>Saurabh Rai</t>
  </si>
  <si>
    <t>Karthik mandal</t>
  </si>
  <si>
    <t>Souvik Mandal</t>
  </si>
  <si>
    <t xml:space="preserve"> Kuntal Mal</t>
  </si>
  <si>
    <t>ARASAVALLI SURYARAO</t>
  </si>
  <si>
    <t>W3-73</t>
  </si>
  <si>
    <t>Suneel Kumar</t>
  </si>
  <si>
    <t>Abhradip</t>
  </si>
  <si>
    <t>Mitesh Bhaktaraj Bariye</t>
  </si>
  <si>
    <t>Satyanarayan Acharya</t>
  </si>
  <si>
    <t>Palguna Rao</t>
  </si>
  <si>
    <t>Construction manager</t>
  </si>
  <si>
    <t>Maheswar</t>
  </si>
  <si>
    <t>Chukkala Trinadharao</t>
  </si>
  <si>
    <t>Sr. Engineer Civil</t>
  </si>
  <si>
    <t>Challa Tirumala Rao</t>
  </si>
  <si>
    <t>Hemantha Kumar  mallik</t>
  </si>
  <si>
    <t>Prasanth Kumar  Kadigitala</t>
  </si>
  <si>
    <t>AM-25</t>
  </si>
  <si>
    <t>Project Manager-Civil</t>
  </si>
  <si>
    <t>Prema Achuth Mohan Kumar</t>
  </si>
  <si>
    <t>Sr.Engineer - QS</t>
  </si>
  <si>
    <t>K SaiKumar</t>
  </si>
  <si>
    <t>ADCL-188</t>
  </si>
  <si>
    <t>Attada Ramakrishna</t>
  </si>
  <si>
    <t>Junior Engr(QC)</t>
  </si>
  <si>
    <t>Turala Deenabandhu</t>
  </si>
  <si>
    <t>T.Chinna Prasanna</t>
  </si>
  <si>
    <t>QC Lab Technician(Previous)</t>
  </si>
  <si>
    <t>Manjula Anjaneyulu</t>
  </si>
  <si>
    <t>QC Lab Technician</t>
  </si>
  <si>
    <t>SANTOSH</t>
  </si>
  <si>
    <t>Electricians</t>
  </si>
  <si>
    <t>ARVIND KUMAR</t>
  </si>
  <si>
    <t>CHANDAN KUMAR</t>
  </si>
  <si>
    <t>Zuber Akhtar</t>
  </si>
  <si>
    <t>R Lakshman</t>
  </si>
  <si>
    <t>Senior Executive - HR &amp; Admin</t>
  </si>
  <si>
    <t>Kurmapu Lakshmana Rao</t>
  </si>
  <si>
    <t>K. Subba Reddy</t>
  </si>
  <si>
    <t>S. Sankar Rao</t>
  </si>
  <si>
    <t>Naveen Kumar K.</t>
  </si>
  <si>
    <t>Sr. Engineer-QA &amp; QC</t>
  </si>
  <si>
    <t>S. Ramakrishna </t>
  </si>
  <si>
    <t>Ramesh Naidu</t>
  </si>
  <si>
    <t>Emadabathina Nagaraju</t>
  </si>
  <si>
    <t>Appanapalli Srinivas</t>
  </si>
  <si>
    <t>K. Pratap Reddy</t>
  </si>
  <si>
    <t>R. Krishna Rao</t>
  </si>
  <si>
    <t>Engineer - QC</t>
  </si>
  <si>
    <t>Modugu Ravu</t>
  </si>
  <si>
    <t>Nilay Kumar Mandal</t>
  </si>
  <si>
    <t>V Suresh Kumar</t>
  </si>
  <si>
    <t>Mukesh Pareek</t>
  </si>
  <si>
    <t>ASST.Accountant</t>
  </si>
  <si>
    <t>Mukesh Kumar Saw</t>
  </si>
  <si>
    <t>Birender Toppo</t>
  </si>
  <si>
    <t>Panduri Ravi Teja</t>
  </si>
  <si>
    <t>Azad Ansari</t>
  </si>
  <si>
    <t>Sr Safety Officer</t>
  </si>
  <si>
    <t>Lekharaj patle</t>
  </si>
  <si>
    <t>Mritynjaytripathi</t>
  </si>
  <si>
    <t>Muhammad Saddam Hussain</t>
  </si>
  <si>
    <t>Trilok Chandra Sharma</t>
  </si>
  <si>
    <t>Sanjay Kumar Sharma</t>
  </si>
  <si>
    <t>Santosh Kumar</t>
  </si>
  <si>
    <t>SK Mitap Ali</t>
  </si>
  <si>
    <t>T Vinay Kumar</t>
  </si>
  <si>
    <t>Sr Mgr - Planning</t>
  </si>
  <si>
    <t>Kanka Raju G</t>
  </si>
  <si>
    <t>DGM - PMC</t>
  </si>
  <si>
    <t>Raju Butti</t>
  </si>
  <si>
    <t>Dy Mgr - Contracts </t>
  </si>
  <si>
    <t>HNSS-T02</t>
  </si>
  <si>
    <t>Senior Engineer Tunnel</t>
  </si>
  <si>
    <t>SAJID AHMAD SHAH</t>
  </si>
  <si>
    <t>HNSS-T01</t>
  </si>
  <si>
    <t>Mayouk Kar</t>
  </si>
  <si>
    <t>ASIF AHMED MIR</t>
  </si>
  <si>
    <t>HNSS-T03</t>
  </si>
  <si>
    <t>Engineer Tunnel </t>
  </si>
  <si>
    <t>Vijay Kumar Geesala</t>
  </si>
  <si>
    <t>Deepak Kumar</t>
  </si>
  <si>
    <t>Ashutosh Kumar</t>
  </si>
  <si>
    <t>HNSS-T04</t>
  </si>
  <si>
    <t>NIDHIN K</t>
  </si>
  <si>
    <t>SIBA SANKAR NAHAK</t>
  </si>
  <si>
    <t>CHANDAN CHAKRABARTTY</t>
  </si>
  <si>
    <t>HNSS-T07</t>
  </si>
  <si>
    <t>Rakesh Samanta</t>
  </si>
  <si>
    <t>P.VENU</t>
  </si>
  <si>
    <t>MAHESH MUJJE</t>
  </si>
  <si>
    <t>DEBANJAN GHOSH</t>
  </si>
  <si>
    <t>Swapnil Suresh Kakakne </t>
  </si>
  <si>
    <t>V Koteswara Rao </t>
  </si>
  <si>
    <t>Assistant Manager Stores</t>
  </si>
  <si>
    <t>Pitta Sai Ram</t>
  </si>
  <si>
    <t>Junior Assistant Stores</t>
  </si>
  <si>
    <t>Putta Srinivasulu</t>
  </si>
  <si>
    <t>P.Rambabu</t>
  </si>
  <si>
    <t>Lakshman Raju</t>
  </si>
  <si>
    <t>Busaman Gopi</t>
  </si>
  <si>
    <t>Supervisor(Ex)</t>
  </si>
  <si>
    <t> R. Appanna  </t>
  </si>
  <si>
    <t>Talluri  Satish</t>
  </si>
  <si>
    <t>Lakshman sai siva ram Lokam</t>
  </si>
  <si>
    <t>Seerla Sateesh</t>
  </si>
  <si>
    <t>Jr. Engineer- Highway</t>
  </si>
  <si>
    <t>NAGESWARA RAO KURAPATI</t>
  </si>
  <si>
    <t>M. Leela Bhaskara Rao</t>
  </si>
  <si>
    <t>Sr. Material Engineer</t>
  </si>
  <si>
    <t>Pratap Chandra Das</t>
  </si>
  <si>
    <t>Guntakani  Raja</t>
  </si>
  <si>
    <t>QC Engineer.</t>
  </si>
  <si>
    <t>Syed Shafi</t>
  </si>
  <si>
    <t>Bhanupratap Kola</t>
  </si>
  <si>
    <t>QA-Qc engineer</t>
  </si>
  <si>
    <t>Manjula Ravi</t>
  </si>
  <si>
    <t>QC LAB Technician </t>
  </si>
  <si>
    <t>A.Chinna Narashimulu</t>
  </si>
  <si>
    <t>A Nagaraju</t>
  </si>
  <si>
    <t>Dig Vijay Singh</t>
  </si>
  <si>
    <t>Siyaram Yadav</t>
  </si>
  <si>
    <t>Shaik Sharief</t>
  </si>
  <si>
    <t>Mechanical Forman</t>
  </si>
  <si>
    <t>Prabhat Kumar Roy</t>
  </si>
  <si>
    <t>Supervisor (Highway)</t>
  </si>
  <si>
    <t>Chandra Bhushan Roy</t>
  </si>
  <si>
    <t>Asst. Quantity Surveyor</t>
  </si>
  <si>
    <t>Katta Bhavani Shankar</t>
  </si>
  <si>
    <t>Engineer - Civil (Structures)</t>
  </si>
  <si>
    <t>Bala Sai </t>
  </si>
  <si>
    <t>Vishal Singh</t>
  </si>
  <si>
    <t>Pandranki dasu</t>
  </si>
  <si>
    <t>Bechu Kumar Sahani</t>
  </si>
  <si>
    <t>Chokkakula Rakesh</t>
  </si>
  <si>
    <t>B Pradeep </t>
  </si>
  <si>
    <t>Mr. Maheswara Rao</t>
  </si>
  <si>
    <t>Himanshu Gautam</t>
  </si>
  <si>
    <t>Chandan Kumar</t>
  </si>
  <si>
    <t>Mr. Vimal Kumar</t>
  </si>
  <si>
    <t>Ram Anuj Verma </t>
  </si>
  <si>
    <t>PRR-147</t>
  </si>
  <si>
    <t>Medical Officer </t>
  </si>
  <si>
    <t>Aftab Khan</t>
  </si>
  <si>
    <t>Mr Dhanu Kumar Kushwaha</t>
  </si>
  <si>
    <t>Kodityala Satyam Raju</t>
  </si>
  <si>
    <t>Omkar</t>
  </si>
  <si>
    <t>Sattivel S</t>
  </si>
  <si>
    <t>Pipeline - Engineer</t>
  </si>
  <si>
    <t>Chaitanya Pusuluri</t>
  </si>
  <si>
    <t>J Venkata Narendra</t>
  </si>
  <si>
    <t>Akshay Sai Manda</t>
  </si>
  <si>
    <t> P Pavan Kalyan</t>
  </si>
  <si>
    <t>Executive Engineer</t>
  </si>
  <si>
    <t>Arokiyaraj S</t>
  </si>
  <si>
    <t>N. Harish Goud</t>
  </si>
  <si>
    <t>Jr. Engineer - Structures</t>
  </si>
  <si>
    <t>M. Krishna</t>
  </si>
  <si>
    <t>T.Adinarayna Rao</t>
  </si>
  <si>
    <t>Sr. Engineer - QC</t>
  </si>
  <si>
    <t>Sr Engineer QA/QC</t>
  </si>
  <si>
    <t>Yadla Raghu</t>
  </si>
  <si>
    <t>Sr Engineer Quality</t>
  </si>
  <si>
    <t>Nagendra Rajbhar</t>
  </si>
  <si>
    <t>Pathro Tirupathi rao</t>
  </si>
  <si>
    <t>Assistant Engineer (QA&amp;QC)</t>
  </si>
  <si>
    <t>Mohd Sami</t>
  </si>
  <si>
    <t>Sr Engineer(QA QC)</t>
  </si>
  <si>
    <t>Vinjamuri Venu</t>
  </si>
  <si>
    <t>Deepak Kumar Naik</t>
  </si>
  <si>
    <t>Pradeep Surapuneni</t>
  </si>
  <si>
    <t>Ravikumar</t>
  </si>
  <si>
    <t>LISMB-11</t>
  </si>
  <si>
    <t>G. Lokesh</t>
  </si>
  <si>
    <t>AM-Highways</t>
  </si>
  <si>
    <t>Ramesh babu Kaliseeti </t>
  </si>
  <si>
    <t>SHEIK MOINUDDIN</t>
  </si>
  <si>
    <t>Dy. Manager-Structures</t>
  </si>
  <si>
    <t>Sr. Pavement Specialist</t>
  </si>
  <si>
    <t>Bheesetti Bangaru Naidu</t>
  </si>
  <si>
    <t>Abhishek Kumar </t>
  </si>
  <si>
    <t>V. Chenna Reddy </t>
  </si>
  <si>
    <t>Sattibabu V</t>
  </si>
  <si>
    <t>Foreman (Electrical)</t>
  </si>
  <si>
    <t>P. Anand Kumar</t>
  </si>
  <si>
    <t>V. Mohan Reddy</t>
  </si>
  <si>
    <t>K. Madhu Babu</t>
  </si>
  <si>
    <t>A. Tata Babu</t>
  </si>
  <si>
    <t>Veera Bhadra Rao</t>
  </si>
  <si>
    <t>B. Mahesh</t>
  </si>
  <si>
    <t>Lab Technicaian</t>
  </si>
  <si>
    <t>Durgesh Sharma</t>
  </si>
  <si>
    <t>Thota Krishna Reddy</t>
  </si>
  <si>
    <t>QA/QC Engineer </t>
  </si>
  <si>
    <t>Yallanauru Dinesh</t>
  </si>
  <si>
    <t>Gopi P</t>
  </si>
  <si>
    <t>Junior Engr(Structures)</t>
  </si>
  <si>
    <t>K Suneel</t>
  </si>
  <si>
    <t>Manish Yadav</t>
  </si>
  <si>
    <t>Gandikota Sai Mahesh</t>
  </si>
  <si>
    <t>Shaik Abdul Parvez</t>
  </si>
  <si>
    <t>Poluparthi Rajesh</t>
  </si>
  <si>
    <t>Shyam Sundar</t>
  </si>
  <si>
    <t>Samudrala Rakesh</t>
  </si>
  <si>
    <t>Manideep</t>
  </si>
  <si>
    <t>Quality Control Senior Engineer (QA/QC ).</t>
  </si>
  <si>
    <t>Nakka Naga Phanindra</t>
  </si>
  <si>
    <t>Janaki Kannababu</t>
  </si>
  <si>
    <t>DM - Strcutures</t>
  </si>
  <si>
    <t>Ajay Babu</t>
  </si>
  <si>
    <t>K.V.Muralidhar Reddy</t>
  </si>
  <si>
    <t>Sr. Manager -Planning &amp; QS</t>
  </si>
  <si>
    <t>Lankapalli Bala srinivasa Rao</t>
  </si>
  <si>
    <t>NARESHCH.BARMAN</t>
  </si>
  <si>
    <t>P. Venkata Ramana</t>
  </si>
  <si>
    <t>Sr. Engineer (Highways)</t>
  </si>
  <si>
    <t>Y. Penchala Prasad</t>
  </si>
  <si>
    <t>Samir Kumar Sahoo</t>
  </si>
  <si>
    <t>Dakuru Dinesh Kumar</t>
  </si>
  <si>
    <t>Sri Radha Krishna Kankipati</t>
  </si>
  <si>
    <t>Structural Engineer and QS (Civil)</t>
  </si>
  <si>
    <t>Battula Nageswara Rao</t>
  </si>
  <si>
    <t>Senior Lab Technician (QA&amp;QC)</t>
  </si>
  <si>
    <t>Kancharla Lokesh Prathap</t>
  </si>
  <si>
    <t>Quality Control Sr. Lab Technician</t>
  </si>
  <si>
    <t>Nutalapati Ravi</t>
  </si>
  <si>
    <t>Quality Control Engineer</t>
  </si>
  <si>
    <t>QC Engineer(Junior)</t>
  </si>
  <si>
    <t>Polimetla Naveendra Babu</t>
  </si>
  <si>
    <t>Vipparla Venkata Ramaiah</t>
  </si>
  <si>
    <t>U. Venkat</t>
  </si>
  <si>
    <t>Sr. Manager - Structures</t>
  </si>
  <si>
    <t>VB. Rajasekhar Reddy</t>
  </si>
  <si>
    <t>AM - Highway Execution</t>
  </si>
  <si>
    <t>Ippili Murari</t>
  </si>
  <si>
    <t>Asst. Manager - QS&amp;Plannimng</t>
  </si>
  <si>
    <t>G. Vinod Kumar</t>
  </si>
  <si>
    <t>Sr. Surveyors</t>
  </si>
  <si>
    <t>Balram Singh Umadh</t>
  </si>
  <si>
    <t>Shaik Mastan Vali</t>
  </si>
  <si>
    <t>M Pawan Kumar</t>
  </si>
  <si>
    <t>V Srinivasa Rao</t>
  </si>
  <si>
    <t>Ratnakaram Venkata Swamy</t>
  </si>
  <si>
    <t>Sanjay Kumar Mishra</t>
  </si>
  <si>
    <t>Tej Singh</t>
  </si>
  <si>
    <t>D. Nageswara ra Rao</t>
  </si>
  <si>
    <t>ADCL-42</t>
  </si>
  <si>
    <t>Foreman (head)</t>
  </si>
  <si>
    <t> Tangeti Venkatesh</t>
  </si>
  <si>
    <t>Sanampudi Mastan Rao</t>
  </si>
  <si>
    <t>M Jagadish Kumar Dora</t>
  </si>
  <si>
    <t>Site Manager</t>
  </si>
  <si>
    <t>Sudarshan Kumar</t>
  </si>
  <si>
    <t>Ajay Kumar Gupta</t>
  </si>
  <si>
    <t>Ajay Singh Negi</t>
  </si>
  <si>
    <t>Surinder Singh</t>
  </si>
  <si>
    <t>Nihal Sharma</t>
  </si>
  <si>
    <t>HEMRAJ</t>
  </si>
  <si>
    <t>PRR-134</t>
  </si>
  <si>
    <t>KOUSIK SINGHA</t>
  </si>
  <si>
    <t>Pardeep Kumar</t>
  </si>
  <si>
    <t>PAWAN KUMAR</t>
  </si>
  <si>
    <t>Prem Kumar</t>
  </si>
  <si>
    <t>Vivek Kumar Rai</t>
  </si>
  <si>
    <t>Ratnesh Kumar Singh</t>
  </si>
  <si>
    <t>Barun Roy</t>
  </si>
  <si>
    <t>Surajit Ghosh</t>
  </si>
  <si>
    <t>Rahul Selukar</t>
  </si>
  <si>
    <t>Sumit Khan</t>
  </si>
  <si>
    <t>HYD-12</t>
  </si>
  <si>
    <t>W3-39</t>
  </si>
  <si>
    <t>Vamaravilli Srinu</t>
  </si>
  <si>
    <t>Highway Supervisor</t>
  </si>
  <si>
    <t>L. Venkateshwarlu</t>
  </si>
  <si>
    <t>Chattu  Harikrishna</t>
  </si>
  <si>
    <t>Tatikonda Koteswara Rao</t>
  </si>
  <si>
    <t>K. Suresh Babu</t>
  </si>
  <si>
    <t>HYD-38</t>
  </si>
  <si>
    <t>SHAILESH KUMAR MAURYA</t>
  </si>
  <si>
    <t>Zahid Ansari</t>
  </si>
  <si>
    <t>Veerapaneni Venkata Naresh</t>
  </si>
  <si>
    <t>Assistant Manage Stores</t>
  </si>
  <si>
    <t>Kala Veera Venkata Satyanarayana</t>
  </si>
  <si>
    <t>Deputy General Manager</t>
  </si>
  <si>
    <t>Ayaz Khan</t>
  </si>
  <si>
    <t xml:space="preserve">Accountant </t>
  </si>
  <si>
    <t>Konde Harish Kumar</t>
  </si>
  <si>
    <t>Executive - Accounts</t>
  </si>
  <si>
    <t>Lakshmaiah Naragam</t>
  </si>
  <si>
    <t>Muppuri Mahendra</t>
  </si>
  <si>
    <t>Rajesh Tiragati</t>
  </si>
  <si>
    <t>Jr. Executive-Accounts</t>
  </si>
  <si>
    <t>Ramesh pulakala</t>
  </si>
  <si>
    <t>Jr.Accountant</t>
  </si>
  <si>
    <t>Jami Saikumar</t>
  </si>
  <si>
    <t>Assistant Accounts</t>
  </si>
  <si>
    <t>Sunil Kumar Sona</t>
  </si>
  <si>
    <t>Duppalapudi Ram Prasad</t>
  </si>
  <si>
    <t>Vikas Shrivas</t>
  </si>
  <si>
    <t>Devansh Dwivedi</t>
  </si>
  <si>
    <t>Nihar Ranjan Pahari</t>
  </si>
  <si>
    <t>Sahadev Budde</t>
  </si>
  <si>
    <t>Senior Supervisor - Structures</t>
  </si>
  <si>
    <t>OmPrakash Singh</t>
  </si>
  <si>
    <t>Hemanth Kumar Tiwari</t>
  </si>
  <si>
    <t>Prashant Kumar</t>
  </si>
  <si>
    <t>Rohit Jha</t>
  </si>
  <si>
    <t>Senior Supervisor - Highway</t>
  </si>
  <si>
    <t>Ghanshyam Damahe</t>
  </si>
  <si>
    <t>Srikanth Singh</t>
  </si>
  <si>
    <t>Senior Foreman</t>
  </si>
  <si>
    <t>Sunil N Bodi</t>
  </si>
  <si>
    <t>Sunil Kumar Patel</t>
  </si>
  <si>
    <t>Dipak Kumar </t>
  </si>
  <si>
    <t>Supervisor - Mechanical / Highways</t>
  </si>
  <si>
    <t>Aditya Kumar</t>
  </si>
  <si>
    <t>Amit Das</t>
  </si>
  <si>
    <t>Deepak Gupta</t>
  </si>
  <si>
    <t>Junior Engineer - Structures</t>
  </si>
  <si>
    <t>Jyoti Kumar Singh</t>
  </si>
  <si>
    <t>Pavan Kalyan</t>
  </si>
  <si>
    <t>Cheekati Akhil</t>
  </si>
  <si>
    <t>Srijan Singh</t>
  </si>
  <si>
    <t>Prashob mk</t>
  </si>
  <si>
    <t>Senior Safety Executive</t>
  </si>
  <si>
    <t>PRADEEP KUMAR PALEI</t>
  </si>
  <si>
    <t>Sr Supervisor</t>
  </si>
  <si>
    <t>Deepak Singh Rajput</t>
  </si>
  <si>
    <t>Surendra Kumar</t>
  </si>
  <si>
    <t>D Anka Rao</t>
  </si>
  <si>
    <t>V.Vijay Kumar</t>
  </si>
  <si>
    <t>Project  Manager</t>
  </si>
  <si>
    <t>Siva Sankar Ovugani</t>
  </si>
  <si>
    <t>DPM-Highways</t>
  </si>
  <si>
    <t>K Kiran Kumar</t>
  </si>
  <si>
    <t>Mgr - Planning &amp; Monitoring</t>
  </si>
  <si>
    <t>Shiva L K L</t>
  </si>
  <si>
    <t>ADCL-54</t>
  </si>
  <si>
    <t>Mgr - Planning &amp; QS</t>
  </si>
  <si>
    <t>Ramaprasad Meda</t>
  </si>
  <si>
    <t>DGM - Planning</t>
  </si>
  <si>
    <t>Raghu Varma BB</t>
  </si>
  <si>
    <t>AGM - Planning</t>
  </si>
  <si>
    <t>Mani Kumar Mahesh Guddati</t>
  </si>
  <si>
    <t>Satish Upadhyay</t>
  </si>
  <si>
    <t>D Vasu Murthy</t>
  </si>
  <si>
    <t>Associate Manager-Structures</t>
  </si>
  <si>
    <t>Shaik Jani</t>
  </si>
  <si>
    <t>Associate Manager (Highway)</t>
  </si>
  <si>
    <t>Dasaradha Rao Bammidi</t>
  </si>
  <si>
    <t>DPM - Highway</t>
  </si>
  <si>
    <t>Srinivasa Murthy</t>
  </si>
  <si>
    <t>HariBabu  Sanku</t>
  </si>
  <si>
    <t>Manager structures</t>
  </si>
  <si>
    <t>Y Subbarao</t>
  </si>
  <si>
    <t>Digumarthy Manoj Kumar</t>
  </si>
  <si>
    <t>Tangella Rakesh</t>
  </si>
  <si>
    <t>Jogandra Kumar</t>
  </si>
  <si>
    <t>Tandasa Satish Kumar</t>
  </si>
  <si>
    <t>Venugopal Rao Nandam</t>
  </si>
  <si>
    <t>Junior Engineer QA/QC.</t>
  </si>
  <si>
    <t>Alok Yadav</t>
  </si>
  <si>
    <t>Asst. QC Engineer</t>
  </si>
  <si>
    <t>Kondeti Madhu</t>
  </si>
  <si>
    <t>LabTechnician</t>
  </si>
  <si>
    <t>Patala Ramu</t>
  </si>
  <si>
    <t>Lab Techniocian</t>
  </si>
  <si>
    <t>Pravakar Porel</t>
  </si>
  <si>
    <t>Chilaka Ajay Babu</t>
  </si>
  <si>
    <t>Junior Surveyor</t>
  </si>
  <si>
    <t>E.Dastagiri</t>
  </si>
  <si>
    <t>Palash Bhaumik</t>
  </si>
  <si>
    <t>Asst Manager-Surveyor</t>
  </si>
  <si>
    <t>Pediredla Ravi</t>
  </si>
  <si>
    <t>Site Supervisor</t>
  </si>
  <si>
    <t>M Narasimhudu</t>
  </si>
  <si>
    <t>Sr Lab Technician</t>
  </si>
  <si>
    <t>Krishna Prasad</t>
  </si>
  <si>
    <t>Engineer-QA QC</t>
  </si>
  <si>
    <t>Gowreddi Srinu</t>
  </si>
  <si>
    <t>Sr QC Engr</t>
  </si>
  <si>
    <t>Uriti Venkatesh</t>
  </si>
  <si>
    <t>Rajan Yadav</t>
  </si>
  <si>
    <t>Deepak Kumar Yadav</t>
  </si>
  <si>
    <t>Jay Prakash Singh</t>
  </si>
  <si>
    <t>Dilip Kumar Singh</t>
  </si>
  <si>
    <t>Umesh Kumar</t>
  </si>
  <si>
    <t>Anil Kushwaha</t>
  </si>
  <si>
    <t>Surender Kumar</t>
  </si>
  <si>
    <t>Rajesh Kumar Sharma</t>
  </si>
  <si>
    <t>MD RAMJAN ANSARI</t>
  </si>
  <si>
    <t>K Gandhi</t>
  </si>
  <si>
    <t>AGM- Project Mgmt</t>
  </si>
  <si>
    <t>Gottapu Jagadeeswara rao</t>
  </si>
  <si>
    <t>Siddayya Hallimath</t>
  </si>
  <si>
    <t>Keshava L</t>
  </si>
  <si>
    <t>UPPARI RAGHUNATH</t>
  </si>
  <si>
    <t>Sarath Babu</t>
  </si>
  <si>
    <t>Prasanth. A</t>
  </si>
  <si>
    <t>Brij Kishore Singh</t>
  </si>
  <si>
    <t>Highway Sr. Foreman</t>
  </si>
  <si>
    <t>Dharambeer Prasad</t>
  </si>
  <si>
    <t>Highway foreman</t>
  </si>
  <si>
    <t>SUJIT KUMAR TIWARI</t>
  </si>
  <si>
    <t>CBCMP-87</t>
  </si>
  <si>
    <t>Mohsin Hussain</t>
  </si>
  <si>
    <t>BALARAM SWAIN</t>
  </si>
  <si>
    <t>Onkar Kulkarni</t>
  </si>
  <si>
    <t>Navin Kumar Sharma</t>
  </si>
  <si>
    <t>JAYPAL SISODIA</t>
  </si>
  <si>
    <t>Brijesh Tripathi</t>
  </si>
  <si>
    <t>Vignesh shetty</t>
  </si>
  <si>
    <t>Ranjeet</t>
  </si>
  <si>
    <t>Jayesh Patel</t>
  </si>
  <si>
    <t>Tukaram Kawale</t>
  </si>
  <si>
    <t>Niladri Ghosh</t>
  </si>
  <si>
    <t>Harshad M Kadam</t>
  </si>
  <si>
    <t>Anish Ghosh</t>
  </si>
  <si>
    <t>Abhijit Manna</t>
  </si>
  <si>
    <t>Kanhaiya Sharma</t>
  </si>
  <si>
    <t>AKHTAR HUSEN</t>
  </si>
  <si>
    <t>Rintu Das</t>
  </si>
  <si>
    <t>Abid Ahmad Zargar</t>
  </si>
  <si>
    <t>Duvuru Rupesh</t>
  </si>
  <si>
    <t>Rajasekhar Redy</t>
  </si>
  <si>
    <t>Engineer-QS&amp; Planning</t>
  </si>
  <si>
    <t>P. Manoj Kumar</t>
  </si>
  <si>
    <t>Engineer-Quantity Survey and Planning</t>
  </si>
  <si>
    <t>Vangalla Srinivasa Rao</t>
  </si>
  <si>
    <t>Sr. Enginner - QS</t>
  </si>
  <si>
    <t>G. Srinivas</t>
  </si>
  <si>
    <t>Asst. Quantity Surveyor &amp; Planning</t>
  </si>
  <si>
    <t>Y. Narasimha Reddy</t>
  </si>
  <si>
    <t>Pasupalati  Leela Prasanth</t>
  </si>
  <si>
    <t>SR.Engineer (Technical Audit.)</t>
  </si>
  <si>
    <t>Iqbal Aakhtar</t>
  </si>
  <si>
    <t>Bharath Kumar </t>
  </si>
  <si>
    <t>PRR-149</t>
  </si>
  <si>
    <t>Senior Engineer Electrical</t>
  </si>
  <si>
    <t>Anand Singh </t>
  </si>
  <si>
    <t>PRR-148</t>
  </si>
  <si>
    <t>Blaster </t>
  </si>
  <si>
    <t>Mr. Rakesh Kumar</t>
  </si>
  <si>
    <t>Suresh Kumar</t>
  </si>
  <si>
    <t>Biswajit Nath</t>
  </si>
  <si>
    <t>ADCL-44</t>
  </si>
  <si>
    <t>Social Officer</t>
  </si>
  <si>
    <t>Madhu Yelavethy</t>
  </si>
  <si>
    <t>Kadas Deepak</t>
  </si>
  <si>
    <t>ML Chaitanya Kumar</t>
  </si>
  <si>
    <t>PRASENJIT BARI</t>
  </si>
  <si>
    <t>Ram Lakhan Singh</t>
  </si>
  <si>
    <t>Chiatanya Kumar</t>
  </si>
  <si>
    <t>Katari Venkataramana</t>
  </si>
  <si>
    <t>Kalamata Bharat Kumar</t>
  </si>
  <si>
    <t>HO-10</t>
  </si>
  <si>
    <t>Senior Engineer - Electrical</t>
  </si>
  <si>
    <t>Sandeep Singh</t>
  </si>
  <si>
    <t>K. Subrahmanya sarma</t>
  </si>
  <si>
    <t>Marada Balaram</t>
  </si>
  <si>
    <t>Naga Raju Adicharla</t>
  </si>
  <si>
    <t>P Chandrasekhar Rao</t>
  </si>
  <si>
    <t>Assistant Material Engineer</t>
  </si>
  <si>
    <t>Bandaru Sunil</t>
  </si>
  <si>
    <t>QA/QC Engineer (Quality control)</t>
  </si>
  <si>
    <t>Penmetsa Hemant</t>
  </si>
  <si>
    <t>K. Sai Surya Phaneendra</t>
  </si>
  <si>
    <t>SB-02</t>
  </si>
  <si>
    <t>Mr. A.Praveen</t>
  </si>
  <si>
    <t>Praveen T</t>
  </si>
  <si>
    <t>SB-04</t>
  </si>
  <si>
    <t>Sr Electrician</t>
  </si>
  <si>
    <t>Mr. MS Reddy</t>
  </si>
  <si>
    <t>Jitesh Kumar Mishra</t>
  </si>
  <si>
    <t>SB-03</t>
  </si>
  <si>
    <t>Mr. K.Prashant</t>
  </si>
  <si>
    <t>Sahil</t>
  </si>
  <si>
    <t>B. Ravi Kumar</t>
  </si>
  <si>
    <t>Vengatesan G</t>
  </si>
  <si>
    <t>SK Khaja Mohiddin</t>
  </si>
  <si>
    <t>Aravindhan</t>
  </si>
  <si>
    <t>Addanki Adi Sashu</t>
  </si>
  <si>
    <t>Todeti Pavan Kumar</t>
  </si>
  <si>
    <t>Gulshan Kushwaha</t>
  </si>
  <si>
    <t>Kota Jogarao</t>
  </si>
  <si>
    <t>Sumanth K</t>
  </si>
  <si>
    <t>Madhusai Thati</t>
  </si>
  <si>
    <t>Jr. Executive  Safety</t>
  </si>
  <si>
    <t>Balasadi Dhanababu</t>
  </si>
  <si>
    <t>Gali.Venkateswara Reddy</t>
  </si>
  <si>
    <t>Teja Boddu</t>
  </si>
  <si>
    <t>QA/QC Engineer</t>
  </si>
  <si>
    <t>M Naresh</t>
  </si>
  <si>
    <t>Senior Engineer (Quality Control)</t>
  </si>
  <si>
    <t>K N V M Raju</t>
  </si>
  <si>
    <t>R Bhushana Rao</t>
  </si>
  <si>
    <t>S Narasimha Babu</t>
  </si>
  <si>
    <t>A Ravi Kumar</t>
  </si>
  <si>
    <t>Lingineni Gopichand</t>
  </si>
  <si>
    <t>Santhosh Kumar Dhusia</t>
  </si>
  <si>
    <t>Sheshnath Sharma</t>
  </si>
  <si>
    <t>Sajan Kumar</t>
  </si>
  <si>
    <t>SANTOSH VISHWAKARMA</t>
  </si>
  <si>
    <t>Akash Kumar</t>
  </si>
  <si>
    <t>Rakesh Jana</t>
  </si>
  <si>
    <t>Mustaque Ahmed Barbhuiya</t>
  </si>
  <si>
    <t>Iftekhar alam</t>
  </si>
  <si>
    <t>Gandib Roy</t>
  </si>
  <si>
    <t>Siva Kumar K</t>
  </si>
  <si>
    <t>Velchuri Venkatesh</t>
  </si>
  <si>
    <t>Jr. Engineer QS</t>
  </si>
  <si>
    <t>O P Mukesh</t>
  </si>
  <si>
    <t>Asst Engineer QS</t>
  </si>
  <si>
    <t>Praveen Singh Bisht</t>
  </si>
  <si>
    <t>vaisakh S Nair</t>
  </si>
  <si>
    <t>Sr. Engineer QS</t>
  </si>
  <si>
    <t>Salapu Durga Prasad</t>
  </si>
  <si>
    <t>Amalapurapu Rajesh</t>
  </si>
  <si>
    <t>Govindraj Kolkarni</t>
  </si>
  <si>
    <t>Modduru Vineeth Kumar</t>
  </si>
  <si>
    <t>Bitra Rajesh </t>
  </si>
  <si>
    <t>Asst Engineer -QS</t>
  </si>
  <si>
    <t>Bharat Bisht </t>
  </si>
  <si>
    <t>PRR-133</t>
  </si>
  <si>
    <t>DPM Tunnel </t>
  </si>
  <si>
    <t>CH Sai Kumar</t>
  </si>
  <si>
    <t>Sunil Kumar  </t>
  </si>
  <si>
    <t>Pankaj Gupta</t>
  </si>
  <si>
    <t>Mukesh Kumar Gupta </t>
  </si>
  <si>
    <t>Tapas Kumar Das</t>
  </si>
  <si>
    <t>NG-02</t>
  </si>
  <si>
    <t>Shift Engineer Electrical </t>
  </si>
  <si>
    <t>Mr. Prabhakar</t>
  </si>
  <si>
    <t>Rakesh Kumar Uikey</t>
  </si>
  <si>
    <t>Anubhav Kumar Goswami</t>
  </si>
  <si>
    <t>Sagar Dhar Dubey</t>
  </si>
  <si>
    <t>Pratik Eknath Kadu</t>
  </si>
  <si>
    <t>Vibhor Bhiwagade</t>
  </si>
  <si>
    <t>Anil Kumar Kushwaha</t>
  </si>
  <si>
    <t>Jitendra Kumar Shah</t>
  </si>
  <si>
    <t>Suraj Singh Patel</t>
  </si>
  <si>
    <t>Tanweer Alam</t>
  </si>
  <si>
    <t>Manikanta Reddy</t>
  </si>
  <si>
    <t>Mukul Bari</t>
  </si>
  <si>
    <t>Siva kanta</t>
  </si>
  <si>
    <t>Rohan Yadav</t>
  </si>
  <si>
    <t>Tilakraj Chauhre</t>
  </si>
  <si>
    <t>NG-01</t>
  </si>
  <si>
    <t>Shift Engineer Mechanical </t>
  </si>
  <si>
    <t>Kottali Satish</t>
  </si>
  <si>
    <t>Arun Sharma</t>
  </si>
  <si>
    <t>Venkateswara Rao</t>
  </si>
  <si>
    <t>Mamidi Shiva</t>
  </si>
  <si>
    <t>Foreman - Tunnel</t>
  </si>
  <si>
    <t>Lalbahadur</t>
  </si>
  <si>
    <t>N. Srinivasula Reddy</t>
  </si>
  <si>
    <t>Utal Mahesh</t>
  </si>
  <si>
    <t>Dharmraj Maurya</t>
  </si>
  <si>
    <t>Chedurla Ranganayakulu</t>
  </si>
  <si>
    <t>Prashanth Kumar Triwedi</t>
  </si>
  <si>
    <t>Om Prakash</t>
  </si>
  <si>
    <t>Manindra Mohan</t>
  </si>
  <si>
    <t>Reddy Anil Kumar</t>
  </si>
  <si>
    <t>Asst Engineer - Structures</t>
  </si>
  <si>
    <t>S. Srinivas Reddy</t>
  </si>
  <si>
    <t>Sisir Kanta Nayak</t>
  </si>
  <si>
    <t>Jonnala Ravinder</t>
  </si>
  <si>
    <t>G Saravanan</t>
  </si>
  <si>
    <t>Senthil Nathan V</t>
  </si>
  <si>
    <t>Suvakanta Panda</t>
  </si>
  <si>
    <t>Avinash Sharma</t>
  </si>
  <si>
    <t>Muneer Ahmad Khawaja</t>
  </si>
  <si>
    <t>Rajesh Marturi</t>
  </si>
  <si>
    <t>Jaikaran Prasad</t>
  </si>
  <si>
    <t>Jayanta Sadhukhan</t>
  </si>
  <si>
    <t>Mr, Ravi Kumar Kokkirala</t>
  </si>
  <si>
    <t>AVP- Operations</t>
  </si>
  <si>
    <t>Monoj Mandal</t>
  </si>
  <si>
    <t>Om Prakash Kumar</t>
  </si>
  <si>
    <t>SHAOIB MOHD MUSHTAQ</t>
  </si>
  <si>
    <t>SRIMANTA BHUNIA</t>
  </si>
  <si>
    <t>Rahull Kumar Singh</t>
  </si>
  <si>
    <t>Rishi Sharma</t>
  </si>
  <si>
    <t>Himanshu Tomar</t>
  </si>
  <si>
    <t>Apurba Hazra</t>
  </si>
  <si>
    <t>D Venugopal</t>
  </si>
  <si>
    <t>M. Prabhakar</t>
  </si>
  <si>
    <t>P. Harikrishna</t>
  </si>
  <si>
    <t>Karkhana Areef</t>
  </si>
  <si>
    <t>Raghu Dasari</t>
  </si>
  <si>
    <t>Dharmendra Kumar Singh</t>
  </si>
  <si>
    <t>Lav kumar</t>
  </si>
  <si>
    <t>Raudas Kumar</t>
  </si>
  <si>
    <t>Sisir Pradhan</t>
  </si>
  <si>
    <t>Surajsah</t>
  </si>
  <si>
    <t>Pothula Sivayya</t>
  </si>
  <si>
    <t>Engineer QA/QC</t>
  </si>
  <si>
    <t>Rohit Mondal</t>
  </si>
  <si>
    <t>Asst Lab Technician</t>
  </si>
  <si>
    <t>Isaac Neredmalli</t>
  </si>
  <si>
    <t>Suman Nayak</t>
  </si>
  <si>
    <t>P Siva Venkata Prasad</t>
  </si>
  <si>
    <t xml:space="preserve">Guru Murthy Gudavalli    </t>
  </si>
  <si>
    <t>SB-08</t>
  </si>
  <si>
    <t>Asst Engineer(Structures)</t>
  </si>
  <si>
    <t>Eswara Rao Andavarapu</t>
  </si>
  <si>
    <t>SB-10</t>
  </si>
  <si>
    <t>Senior Engineer(Structures)</t>
  </si>
  <si>
    <t>Katta Ramanjaneyulu</t>
  </si>
  <si>
    <t>SB-07</t>
  </si>
  <si>
    <t>Engineer(Structures&amp;Finishing)</t>
  </si>
  <si>
    <t>Sagar Patra</t>
  </si>
  <si>
    <t>Kosara Lakshmana Rao</t>
  </si>
  <si>
    <t>SB-05</t>
  </si>
  <si>
    <t>Kurra Rama Gopala Krishna</t>
  </si>
  <si>
    <t>Alam Ansari</t>
  </si>
  <si>
    <t>Devi Venkata Prasad</t>
  </si>
  <si>
    <t>Hari Krishna Challagundla</t>
  </si>
  <si>
    <t>Manikanta Swamy</t>
  </si>
  <si>
    <t>SB-11</t>
  </si>
  <si>
    <t>MEP Engineer</t>
  </si>
  <si>
    <t>Mr. Shekar Raj</t>
  </si>
  <si>
    <t>Gati Krushna</t>
  </si>
  <si>
    <t>Abhishek Singha</t>
  </si>
  <si>
    <t>Janga Peda Papaiah</t>
  </si>
  <si>
    <t>Sai Sarannna Veenkalepu</t>
  </si>
  <si>
    <t>AQME</t>
  </si>
  <si>
    <t>P. Nagendra Babu</t>
  </si>
  <si>
    <t>Nagendrudu Pikkili</t>
  </si>
  <si>
    <t>BBNG Ranga Sai</t>
  </si>
  <si>
    <t>U. Prabhu</t>
  </si>
  <si>
    <t>Ashok Reddy Chinnapu Reddy</t>
  </si>
  <si>
    <t>ADCL-120</t>
  </si>
  <si>
    <t>Thota Ramesh Babu</t>
  </si>
  <si>
    <t>HO-11</t>
  </si>
  <si>
    <t>Deputy Manager - E&amp;M</t>
  </si>
  <si>
    <t>Ashu Pandey </t>
  </si>
  <si>
    <t>PRL-01</t>
  </si>
  <si>
    <t>Mr. P Rajeev</t>
  </si>
  <si>
    <t>Aswar Aksay Rao Saheb</t>
  </si>
  <si>
    <t>PRR-151</t>
  </si>
  <si>
    <t>Typist </t>
  </si>
  <si>
    <t>Om Vir Singh </t>
  </si>
  <si>
    <t>Sourav Moi </t>
  </si>
  <si>
    <t>Shift Engineer Electrical O&amp;M</t>
  </si>
  <si>
    <t>Mr. Dinesh</t>
  </si>
  <si>
    <t>Swapnil Vitthal Mesharam </t>
  </si>
  <si>
    <t>Karri Poorna Venkatesh</t>
  </si>
  <si>
    <t>HR &amp;Fuel Controller(Previous)</t>
  </si>
  <si>
    <t>Katari Ram Charan</t>
  </si>
  <si>
    <t>Sr.Executive HR</t>
  </si>
  <si>
    <t>Shubham Raydhan</t>
  </si>
  <si>
    <t>Vinay Kumar</t>
  </si>
  <si>
    <t>MD Nazim</t>
  </si>
  <si>
    <t>Ranjan Kumar Nayak</t>
  </si>
  <si>
    <t>Srinivas Alladi</t>
  </si>
  <si>
    <t>Patil Vinay Vijay</t>
  </si>
  <si>
    <t>PRR-150</t>
  </si>
  <si>
    <t>Computer Operator</t>
  </si>
  <si>
    <t>G. Sridhar</t>
  </si>
  <si>
    <t>Narayan Biswas</t>
  </si>
  <si>
    <t>Appi Reddy Ambati</t>
  </si>
  <si>
    <t>HR &amp; Admin Exective</t>
  </si>
  <si>
    <t>Ch.Sambasiva Rao</t>
  </si>
  <si>
    <t>SINGAVARAPU SARATH KUMAR</t>
  </si>
  <si>
    <t>HYD-10</t>
  </si>
  <si>
    <t>N. Thippa Reddy</t>
  </si>
  <si>
    <t>MAHESWAR REDDY</t>
  </si>
  <si>
    <t>Bellam Kiran Kumar</t>
  </si>
  <si>
    <t xml:space="preserve">Assistant Project Manager </t>
  </si>
  <si>
    <t>N. Srinivasa Rao</t>
  </si>
  <si>
    <t xml:space="preserve">Deputy Manager </t>
  </si>
  <si>
    <t>T.YASWANTH KUMAR</t>
  </si>
  <si>
    <t>Rohit Sharma</t>
  </si>
  <si>
    <t>KV Samba Siva Rao</t>
  </si>
  <si>
    <t>W3-77</t>
  </si>
  <si>
    <t>Mr.Basavaraj Hatti</t>
  </si>
  <si>
    <t>ADCL-43</t>
  </si>
  <si>
    <t>Environment Engg</t>
  </si>
  <si>
    <t>Jagan Mohan Rao</t>
  </si>
  <si>
    <t>RO-10</t>
  </si>
  <si>
    <t>Assistant General Manager</t>
  </si>
  <si>
    <t>Vaka Kiran Kumar</t>
  </si>
  <si>
    <t>PRR-65</t>
  </si>
  <si>
    <t>Raju Kumar Mahato</t>
  </si>
  <si>
    <t>CBCMP-176</t>
  </si>
  <si>
    <t>Chikkala kalyan Kumar</t>
  </si>
  <si>
    <t>S Ramesh Babu</t>
  </si>
  <si>
    <t>A R Rahasekhar</t>
  </si>
  <si>
    <t>Project Mgr</t>
  </si>
  <si>
    <t>SHAMSHAD ALAM</t>
  </si>
  <si>
    <t>B.ANJANEYULU</t>
  </si>
  <si>
    <t>P V Krishna Reddy</t>
  </si>
  <si>
    <t>Edula Daragaiah</t>
  </si>
  <si>
    <t>MVV Ratnam</t>
  </si>
  <si>
    <t>K Yogananda Reddy</t>
  </si>
  <si>
    <t>Sr P M ( DGM)</t>
  </si>
  <si>
    <t>Tankala Rambabu</t>
  </si>
  <si>
    <t>Mr. Sunil / Mr. Ganesh</t>
  </si>
  <si>
    <t>E Anil</t>
  </si>
  <si>
    <t>Assistant Manager - Accounts</t>
  </si>
  <si>
    <t>Sunku Naga Venkatesh</t>
  </si>
  <si>
    <t>HO-12</t>
  </si>
  <si>
    <t>Vikram Pamula</t>
  </si>
  <si>
    <t>Goli Ganesh</t>
  </si>
  <si>
    <t>Senior Accounts Executive</t>
  </si>
  <si>
    <t>Mandati Raj Kumar</t>
  </si>
  <si>
    <t>Veera Venkata Anjaneya</t>
  </si>
  <si>
    <t>Site Accountant Cum Supervisor</t>
  </si>
  <si>
    <t>ABC Mouli</t>
  </si>
  <si>
    <t>Senior Account Executive</t>
  </si>
  <si>
    <t>Banti Saini</t>
  </si>
  <si>
    <t>Akash Chowdhury</t>
  </si>
  <si>
    <t>Ansurkar Vinayak Sunil</t>
  </si>
  <si>
    <t>Gourav Bhagat</t>
  </si>
  <si>
    <t>Devinder Kumar</t>
  </si>
  <si>
    <t>Tula Ram</t>
  </si>
  <si>
    <t>Narayan Kumar Pandey</t>
  </si>
  <si>
    <t>NIKHIL RANJAN</t>
  </si>
  <si>
    <t>DEEPAK KUMAR SHARMA</t>
  </si>
  <si>
    <t>Kanchan Prasad</t>
  </si>
  <si>
    <t>MOHD SAMEER</t>
  </si>
  <si>
    <t>Rameshwar Chaurasiya</t>
  </si>
  <si>
    <t>HNSS-T05</t>
  </si>
  <si>
    <t>Devendra Naidu Ponnada</t>
  </si>
  <si>
    <t>ADCL-40</t>
  </si>
  <si>
    <t>Durgaprasad Setti</t>
  </si>
  <si>
    <t>Engineer - PMX (Planning &amp; Billing)</t>
  </si>
  <si>
    <t>G V Ramarao</t>
  </si>
  <si>
    <t>Senior Safety Officer</t>
  </si>
  <si>
    <t>Chand Khan</t>
  </si>
  <si>
    <t>Bonthu Subba Reddy</t>
  </si>
  <si>
    <t>LISMB-03</t>
  </si>
  <si>
    <t>SAIKUMAR GAJIREDDY</t>
  </si>
  <si>
    <t>Ghantasala Durga Rao</t>
  </si>
  <si>
    <t>Engineer (Structures&amp;Finishing)</t>
  </si>
  <si>
    <t>J Lokesh</t>
  </si>
  <si>
    <t>SB-09</t>
  </si>
  <si>
    <t>Junior Engineer(Finishing)</t>
  </si>
  <si>
    <t>Abdul Karimulla Shaik</t>
  </si>
  <si>
    <t>Asst  Engineer(Finishing)</t>
  </si>
  <si>
    <t>Venkatareddy Gade</t>
  </si>
  <si>
    <t>Asst Engineer (Structure)</t>
  </si>
  <si>
    <t>Jagadeeswara Rao</t>
  </si>
  <si>
    <t>Junior Engineer(Structure)</t>
  </si>
  <si>
    <t xml:space="preserve">Boya Praveen </t>
  </si>
  <si>
    <t>Chinthala Chiranjeevulu</t>
  </si>
  <si>
    <t>Resident - Highway Engg</t>
  </si>
  <si>
    <t>Sreekanth Reddy Arugunta</t>
  </si>
  <si>
    <t>Narasimha Swamy Kareti</t>
  </si>
  <si>
    <t>Sahil saini</t>
  </si>
  <si>
    <t>MUKESH DAHAKE</t>
  </si>
  <si>
    <t>Riajul Tarafdar</t>
  </si>
  <si>
    <t>Kripasindhu Bhattacharjee</t>
  </si>
  <si>
    <t>G.Ajay</t>
  </si>
  <si>
    <t>SB-12</t>
  </si>
  <si>
    <t>Engineer (Fabrication &amp; Eraction)</t>
  </si>
  <si>
    <t>Ravi Shankar Kumar</t>
  </si>
  <si>
    <t>G Rohit Reddy</t>
  </si>
  <si>
    <t>Angad Kumar</t>
  </si>
  <si>
    <t>Supervisor - Pipelaying</t>
  </si>
  <si>
    <t>Puttapally Nagesh</t>
  </si>
  <si>
    <t>Vamsi K</t>
  </si>
  <si>
    <t xml:space="preserve">Sanjay Balot </t>
  </si>
  <si>
    <t xml:space="preserve"> Engineer</t>
  </si>
  <si>
    <t>Anurag Singh</t>
  </si>
  <si>
    <t>ROHIT KUMAR SAHOO</t>
  </si>
  <si>
    <t>Azam Husain</t>
  </si>
  <si>
    <t>ABHISHEK SINGH PARIHAR</t>
  </si>
  <si>
    <t>BIKRANTA KUMAR PRADHAN</t>
  </si>
  <si>
    <t>RAMALINGESWARA PRADEEP PATANENI</t>
  </si>
  <si>
    <t>SRIKRISHNA MADUGULA</t>
  </si>
  <si>
    <t>Construction Manager </t>
  </si>
  <si>
    <t>SHAFQAT HUSSAIN</t>
  </si>
  <si>
    <t>A. Satish Kumar</t>
  </si>
  <si>
    <t>Srinivas Chaitanya Samudrala</t>
  </si>
  <si>
    <t>Dy Project Manager</t>
  </si>
  <si>
    <t>Shamdeep Surya devara</t>
  </si>
  <si>
    <t>M. Sudheer Kumar</t>
  </si>
  <si>
    <t>T. Ramesh</t>
  </si>
  <si>
    <t>Soumyadip Chakrabarty</t>
  </si>
  <si>
    <t>SAMPAD NARAYAN SEN</t>
  </si>
  <si>
    <t>DILIPKUMAR SHIWLAL YELE</t>
  </si>
  <si>
    <t>Satish Kumar </t>
  </si>
  <si>
    <t>Manager Safety </t>
  </si>
  <si>
    <t>Prince Kumar Singh </t>
  </si>
  <si>
    <t>Mr. T Sandeep</t>
  </si>
  <si>
    <t>SAP MM&amp; ERP Engineer</t>
  </si>
  <si>
    <t>Mahanthi Kannayya</t>
  </si>
  <si>
    <t>Junior Engineer(Structures)</t>
  </si>
  <si>
    <t>Nandan Singh</t>
  </si>
  <si>
    <t>Asst Engineer(Structures&amp;Finishing)</t>
  </si>
  <si>
    <t>Naveen Madaboyina</t>
  </si>
  <si>
    <t>Junior Engineer(Structures&amp;Finishing)</t>
  </si>
  <si>
    <t>AdigopalYara</t>
  </si>
  <si>
    <t>Singuluri Devi Venkata Prasad</t>
  </si>
  <si>
    <t>Phaneendra</t>
  </si>
  <si>
    <t>Jitendra Kumar B</t>
  </si>
  <si>
    <t>Sr Supervisor(Finishing)</t>
  </si>
  <si>
    <t>Arindam Banik</t>
  </si>
  <si>
    <t>Foremen(Structures)</t>
  </si>
  <si>
    <t>Hari Narayana</t>
  </si>
  <si>
    <t>Sr Supervisor(Structures&amp;Finishing)</t>
  </si>
  <si>
    <t>T Appanna</t>
  </si>
  <si>
    <t>Supervisor(Finishing)</t>
  </si>
  <si>
    <t>B Rvai Kumar</t>
  </si>
  <si>
    <t>CH Pavan Kumar</t>
  </si>
  <si>
    <t>Manik Singh </t>
  </si>
  <si>
    <t>Foreman Tunnel</t>
  </si>
  <si>
    <t>Radheshyam Pathe</t>
  </si>
  <si>
    <t>Vijayendra Babu</t>
  </si>
  <si>
    <t>G Gopi</t>
  </si>
  <si>
    <t>Chinta Govindha Rajulu</t>
  </si>
  <si>
    <t>Aditya Prasad</t>
  </si>
  <si>
    <t>Subhradip Bhattacharya</t>
  </si>
  <si>
    <t>Hrithik Prajapati</t>
  </si>
  <si>
    <t>Santosh Mandal</t>
  </si>
  <si>
    <t>Debadarshan Sahoo</t>
  </si>
  <si>
    <t>Reddi Raghu</t>
  </si>
  <si>
    <t>Talluri Siva Raju</t>
  </si>
  <si>
    <t>Engineer - Quantity Surveyor &amp; Planning </t>
  </si>
  <si>
    <t>Sai Teja Sure</t>
  </si>
  <si>
    <t>L. venu Gopal Reddy</t>
  </si>
  <si>
    <t>Mr. Sudheer</t>
  </si>
  <si>
    <t>M. Rakesh Kumar</t>
  </si>
  <si>
    <t>Bongu Jeje Rao</t>
  </si>
  <si>
    <t>Sr Mgr - HR &amp; Admin</t>
  </si>
  <si>
    <t>Sonthosh Ramagiri</t>
  </si>
  <si>
    <t>Associate Mgr - HR</t>
  </si>
  <si>
    <t>Neti Rama Krishna</t>
  </si>
  <si>
    <t>Admin Mgr</t>
  </si>
  <si>
    <t>Srinivasa Reddy Chowdary</t>
  </si>
  <si>
    <t>Asst Manager (Planning &amp; QS)</t>
  </si>
  <si>
    <t>P. Narasimhulu</t>
  </si>
  <si>
    <t>Sr. Manager - Planning &amp; QS</t>
  </si>
  <si>
    <t>N. Subrahmanyam</t>
  </si>
  <si>
    <t>S. Bal Krishna</t>
  </si>
  <si>
    <t>Sr. Engineer (QA/QC)</t>
  </si>
  <si>
    <t>M. Ravi Teja</t>
  </si>
  <si>
    <t>Manchikalapudi Teja</t>
  </si>
  <si>
    <t>Jr. Engineer- QC</t>
  </si>
  <si>
    <t>Vinod Guggulothu</t>
  </si>
  <si>
    <t>Santosh Sadashiv Chandanshive.</t>
  </si>
  <si>
    <t>MD Kaish</t>
  </si>
  <si>
    <t>Suresh Kumar Das</t>
  </si>
  <si>
    <t>Md Mobarak Khan</t>
  </si>
  <si>
    <t>Gopi Chand</t>
  </si>
  <si>
    <t>PRAFUL KUNDALIKRAO KAWALE</t>
  </si>
  <si>
    <t>YOGENDER SINGH</t>
  </si>
  <si>
    <t>Bajirao Vankar Jadhav</t>
  </si>
  <si>
    <t>Mithilesh Kumar</t>
  </si>
  <si>
    <t>DINESH CHANDRA MAHATO</t>
  </si>
  <si>
    <t>SAURABH SHUKLA</t>
  </si>
  <si>
    <t>SUBRAHMANYAM</t>
  </si>
  <si>
    <t>Nishant Jha</t>
  </si>
  <si>
    <t>MADDALA SAIRAJ KUMAR</t>
  </si>
  <si>
    <t xml:space="preserve">Rakesh Nayek </t>
  </si>
  <si>
    <t>A.Arivazhagan</t>
  </si>
  <si>
    <t>AHAMMOD ALI Khandakar</t>
  </si>
  <si>
    <t>Soumen Guchhait</t>
  </si>
  <si>
    <t>Zalim Singh</t>
  </si>
  <si>
    <t>LAXMIDHAR BEHERA</t>
  </si>
  <si>
    <t>Thirunavukkarasu</t>
  </si>
  <si>
    <t>Energy Assessment Engineer</t>
  </si>
  <si>
    <t>Milan Kapat</t>
  </si>
  <si>
    <t>Akshay Kurekar</t>
  </si>
  <si>
    <t>Maintenance Supervisor</t>
  </si>
  <si>
    <t>Nishant Kumar</t>
  </si>
  <si>
    <t>Subham Sunil Rokade</t>
  </si>
  <si>
    <t>Senior Engineer - O&amp;M</t>
  </si>
  <si>
    <t>Yogesh Kumar Bairwa </t>
  </si>
  <si>
    <t>MAHIPALSINH MAKWANA</t>
  </si>
  <si>
    <t>SK Ahmed Ali</t>
  </si>
  <si>
    <t>Sourav Gosh</t>
  </si>
  <si>
    <t>Shiv Singh</t>
  </si>
  <si>
    <t>Srinivasa Rao Challa</t>
  </si>
  <si>
    <t>Tribal Development Expert</t>
  </si>
  <si>
    <t>Ravi Kumar Vishwakarma</t>
  </si>
  <si>
    <t>KS-01</t>
  </si>
  <si>
    <t>Mr. Varun</t>
  </si>
  <si>
    <t>Kundan Kumar Prajapati</t>
  </si>
  <si>
    <t>Site Engineer - Mechanical</t>
  </si>
  <si>
    <t>Sudhanshu Deo</t>
  </si>
  <si>
    <t>Commissioning Engineer</t>
  </si>
  <si>
    <t>Amit Kumar Maity</t>
  </si>
  <si>
    <t>Rajat Kumar Pradhan</t>
  </si>
  <si>
    <t>CHP Engineer</t>
  </si>
  <si>
    <t>Ella Prasanth kumar</t>
  </si>
  <si>
    <t>Arif Ahmed</t>
  </si>
  <si>
    <t>Jawed Alam</t>
  </si>
  <si>
    <t>Vivek yadav</t>
  </si>
  <si>
    <t>Dipak Kumar</t>
  </si>
  <si>
    <t>Vinay Kumar Singh</t>
  </si>
  <si>
    <t>Sandeep Kumar</t>
  </si>
  <si>
    <t>Bharat Lal verma</t>
  </si>
  <si>
    <t>Shaik  Khalesha</t>
  </si>
  <si>
    <t>J. Davendra Srinu</t>
  </si>
  <si>
    <t>Sr. Quantity Surveyor</t>
  </si>
  <si>
    <t>Srinivasa Rao.CH</t>
  </si>
  <si>
    <t>Billing &amp; Planning Engineer</t>
  </si>
  <si>
    <t>Mahammad Siraj</t>
  </si>
  <si>
    <t>SB-13</t>
  </si>
  <si>
    <t>Plumber</t>
  </si>
  <si>
    <t>Murali Krishna</t>
  </si>
  <si>
    <t>Ravi kumar</t>
  </si>
  <si>
    <t xml:space="preserve"> Sr supervisor-Plumbing</t>
  </si>
  <si>
    <t>Venugopal</t>
  </si>
  <si>
    <t>Ravi Kanth</t>
  </si>
  <si>
    <t>Satyendra Kumar Yadav</t>
  </si>
  <si>
    <t>Electrical Instrument</t>
  </si>
  <si>
    <t>Saurabh Soni</t>
  </si>
  <si>
    <t>Sumit Kumar Nishad</t>
  </si>
  <si>
    <t>Lead Electrical</t>
  </si>
  <si>
    <t>Dhanajaya Rout</t>
  </si>
  <si>
    <t>Associate Engineer</t>
  </si>
  <si>
    <t> Manish Saini</t>
  </si>
  <si>
    <t>Engineer - Electrical</t>
  </si>
  <si>
    <t>Alekha Kumar</t>
  </si>
  <si>
    <t>Manglesh Malakar</t>
  </si>
  <si>
    <t>Assistant Engineer with</t>
  </si>
  <si>
    <t>Mukesh Kumar Dubey</t>
  </si>
  <si>
    <t>Parshuram Chauhan</t>
  </si>
  <si>
    <t>Raju Kumar</t>
  </si>
  <si>
    <t>Operation Engineer</t>
  </si>
  <si>
    <t>Onam Kumar</t>
  </si>
  <si>
    <t>Shift Incharge</t>
  </si>
  <si>
    <t>Singarapu Ramesh</t>
  </si>
  <si>
    <t>Kuladeep Patel</t>
  </si>
  <si>
    <t>Abhishek Anand</t>
  </si>
  <si>
    <t>Indrajit Kumar  Bharati</t>
  </si>
  <si>
    <t>Pandava Himakar</t>
  </si>
  <si>
    <t>Aslam Khan</t>
  </si>
  <si>
    <t>Jadeesha Patra</t>
  </si>
  <si>
    <t>Amar Guru</t>
  </si>
  <si>
    <t>Safety officer </t>
  </si>
  <si>
    <t>K Sudhakar Raju</t>
  </si>
  <si>
    <t>Ch.Trinadha Rao</t>
  </si>
  <si>
    <t>Sr.Engineer Civil</t>
  </si>
  <si>
    <t>Rasik Lal Mandal</t>
  </si>
  <si>
    <t>Maheswar Swain</t>
  </si>
  <si>
    <t>Supervisor-Civil</t>
  </si>
  <si>
    <t>Ch.Tirumala rao</t>
  </si>
  <si>
    <t>AM-19</t>
  </si>
  <si>
    <t>Junior Engineer </t>
  </si>
  <si>
    <t>Mr. Shekar Raj/Mr. Maheshwar Rao</t>
  </si>
  <si>
    <t>Rohitkumar Anjaiah Kalwal</t>
  </si>
  <si>
    <t>Abhilash Jaiswal</t>
  </si>
  <si>
    <t>Junior Civil Engineer</t>
  </si>
  <si>
    <t>Sunnapu Siva Kumar</t>
  </si>
  <si>
    <t>Sagar Chennuri</t>
  </si>
  <si>
    <t>Mandala Venkatesh</t>
  </si>
  <si>
    <t>Nagaraju Odela</t>
  </si>
  <si>
    <t>Finance Executive</t>
  </si>
  <si>
    <t>Mahesh</t>
  </si>
  <si>
    <t>Kasi Venkat Subbaiah</t>
  </si>
  <si>
    <t>Sajja Sivasankara Rao</t>
  </si>
  <si>
    <t>Billing Engineer (Planning).</t>
  </si>
  <si>
    <t>Santosh Kumar S</t>
  </si>
  <si>
    <t>Engineer - Quantity Survey &amp; Billing</t>
  </si>
  <si>
    <t>Chelley Mohan Shiva Kumar</t>
  </si>
  <si>
    <t>GET(PLANNING AND QS)</t>
  </si>
  <si>
    <t>Abhiramana Penke</t>
  </si>
  <si>
    <t>Senior Engineer - PMC</t>
  </si>
  <si>
    <t>Moyyi Srinivasa Rao</t>
  </si>
  <si>
    <t>Omprakash Giri</t>
  </si>
  <si>
    <t>Coal Yard Incharge</t>
  </si>
  <si>
    <t>Tharun V</t>
  </si>
  <si>
    <t>Survey Assistant</t>
  </si>
  <si>
    <t>Trimurthulu Vittanala</t>
  </si>
  <si>
    <t>Planning &amp; QS Engineer</t>
  </si>
  <si>
    <t>S. Suresh Reddy</t>
  </si>
  <si>
    <t>Sr. Quantity Surveyor(Planning &amp; QS)</t>
  </si>
  <si>
    <t>Gaddam Mahesh</t>
  </si>
  <si>
    <t>Measurement Engineer(Planning &amp; QS)</t>
  </si>
  <si>
    <t>Adikanda Swain</t>
  </si>
  <si>
    <t xml:space="preserve">Junior Safety Executive </t>
  </si>
  <si>
    <t>Krishan Kumar</t>
  </si>
  <si>
    <t>Amit Shukla</t>
  </si>
  <si>
    <t>Rohit Kumar Yadav</t>
  </si>
  <si>
    <t>Ritik Kumar</t>
  </si>
  <si>
    <t>Ashok Jena</t>
  </si>
  <si>
    <t>Vikas Kumar Mishra</t>
  </si>
  <si>
    <t>Santosh Kumar M</t>
  </si>
  <si>
    <t>Bikram Samantha</t>
  </si>
  <si>
    <t>Chava Kodandaram</t>
  </si>
  <si>
    <t>Sr. Engineering - QS &amp; Planning</t>
  </si>
  <si>
    <t>Vatala Nagaraju</t>
  </si>
  <si>
    <t>Rakesh  Nakkala</t>
  </si>
  <si>
    <t>QS and Billing</t>
  </si>
  <si>
    <t>Ashim Mandal</t>
  </si>
  <si>
    <t>Assistant Quantity Surveyor- Billing &amp; Planning Dept.</t>
  </si>
  <si>
    <t>M.Durga Prasad</t>
  </si>
  <si>
    <t>Engineer (QS)</t>
  </si>
  <si>
    <t>Kuncham Giridhar</t>
  </si>
  <si>
    <t>Engineer (Quantity Survey)</t>
  </si>
  <si>
    <t>Anurag Shukla</t>
  </si>
  <si>
    <t>Engineer- Planning &amp; QS</t>
  </si>
  <si>
    <t>Kosuru Srikanth</t>
  </si>
  <si>
    <t>Punuri Ayyappa Reddy</t>
  </si>
  <si>
    <t>Mohd Rahim</t>
  </si>
  <si>
    <t>KVVS Subbarao</t>
  </si>
  <si>
    <t>Sukhendu Chowdarhy</t>
  </si>
  <si>
    <t>Mulagalapalli Phanendra</t>
  </si>
  <si>
    <t>Senior Engineer (QS &amp; Billing)</t>
  </si>
  <si>
    <t>Nageswara Rao. K</t>
  </si>
  <si>
    <t>Asst. Manager (QS)</t>
  </si>
  <si>
    <t>Tejeswara Rao Ratnala</t>
  </si>
  <si>
    <t>BETHA VASU</t>
  </si>
  <si>
    <t>Prafulla Kumar Dey</t>
  </si>
  <si>
    <t>Site Incharge </t>
  </si>
  <si>
    <t>Shubham Kumar Vishwakarma</t>
  </si>
  <si>
    <t>Shift Engineer</t>
  </si>
  <si>
    <t>Anurag Das Mahant</t>
  </si>
  <si>
    <t>Shift Inchrage - O&amp;M</t>
  </si>
  <si>
    <t>G.Murali Raj</t>
  </si>
  <si>
    <t>ADCL-38</t>
  </si>
  <si>
    <t>Foreman Structures</t>
  </si>
  <si>
    <t>Mr. Boppana Sreenivasa Rao</t>
  </si>
  <si>
    <t>Pavan Kumar G</t>
  </si>
  <si>
    <t>Sukhamanchi Bhanu Kiran</t>
  </si>
  <si>
    <t>Rambabu Patel</t>
  </si>
  <si>
    <t>Santu Mondal</t>
  </si>
  <si>
    <t>Satyam Singh</t>
  </si>
  <si>
    <t>Surajit Samanta</t>
  </si>
  <si>
    <t>Jr.Highway Engineer &amp; Asst. QS Billing Engineer</t>
  </si>
  <si>
    <t>Veerabathina Thambi Sagar Babu</t>
  </si>
  <si>
    <t>JE &amp; QS Asst Planning</t>
  </si>
  <si>
    <t>Nishant Kumar Patel</t>
  </si>
  <si>
    <t>Billing &amp; Cad Engineer</t>
  </si>
  <si>
    <t>Yanninti Madhu Sudhan</t>
  </si>
  <si>
    <t>Datalake Operator.(Previous 6 years experience in QS(Billing)</t>
  </si>
  <si>
    <t>A V S Ravi Teja</t>
  </si>
  <si>
    <t>Procurement Executive</t>
  </si>
  <si>
    <t>Ajameera C Kavaluru</t>
  </si>
  <si>
    <t>Deputy manager</t>
  </si>
  <si>
    <t>Avinash Kumar Singh</t>
  </si>
  <si>
    <t>HYD-44</t>
  </si>
  <si>
    <t>Kuna Pradhan</t>
  </si>
  <si>
    <t>HYD-45</t>
  </si>
  <si>
    <t>Tara Santosh</t>
  </si>
  <si>
    <t>Assistant Stores</t>
  </si>
  <si>
    <t>B Suresh Babu  </t>
  </si>
  <si>
    <t>GP-10</t>
  </si>
  <si>
    <t>Yashpal Singh</t>
  </si>
  <si>
    <t>Kush Kumar Sharma</t>
  </si>
  <si>
    <t>KS-02</t>
  </si>
  <si>
    <t>Engineer Safety</t>
  </si>
  <si>
    <t>Nakkapalli Srinivasa Vara Prasad</t>
  </si>
  <si>
    <t>Deputy Manager - Electrical</t>
  </si>
  <si>
    <t xml:space="preserve">Nadimpalli Mahendra Varma   </t>
  </si>
  <si>
    <t>HO-06</t>
  </si>
  <si>
    <t>Assistant Manager - Purchase</t>
  </si>
  <si>
    <t>M Venkat</t>
  </si>
  <si>
    <t>HO-14</t>
  </si>
  <si>
    <t>Engineer- P&amp;M</t>
  </si>
  <si>
    <t>Suri Bhanogi Rao</t>
  </si>
  <si>
    <t>Junior Engineer- P&amp;M</t>
  </si>
  <si>
    <t>Varre Venkata Ramana</t>
  </si>
  <si>
    <t>ADCL-50</t>
  </si>
  <si>
    <t>Deputy General Manager - Civil</t>
  </si>
  <si>
    <t>Nageswara Rao Kandula</t>
  </si>
  <si>
    <t>ADCL-52</t>
  </si>
  <si>
    <t>Sai Krishna Nandigam</t>
  </si>
  <si>
    <t xml:space="preserve">SUBHADARSI SUBRAT PAIKARAY </t>
  </si>
  <si>
    <t>N.RAMANA REDDY</t>
  </si>
  <si>
    <t xml:space="preserve"> Matta Rajesh </t>
  </si>
  <si>
    <t>HYD-50</t>
  </si>
  <si>
    <t>Satendra Kumar</t>
  </si>
  <si>
    <t>Kishore Singh</t>
  </si>
  <si>
    <t>Senior Manager</t>
  </si>
  <si>
    <t>Ajaz Sher</t>
  </si>
  <si>
    <t>V. Janardhan</t>
  </si>
  <si>
    <t>Sr.Manager -Projects</t>
  </si>
  <si>
    <t>P. Anil Kumar Reddy</t>
  </si>
  <si>
    <t>a Senior Billing and Planning Engineer</t>
  </si>
  <si>
    <t>Sampath Kumar.Ch</t>
  </si>
  <si>
    <t>D.Srinivas Reddy</t>
  </si>
  <si>
    <t>Sr. Manager (Quantity Surveying &amp;amp; Contracts)</t>
  </si>
  <si>
    <t>Ambati Pratap Reddy</t>
  </si>
  <si>
    <t>Nelli Atchutarao</t>
  </si>
  <si>
    <t>Ram Mohan Reddy</t>
  </si>
  <si>
    <t>VIVEK KANTILAL RAGHAVANI</t>
  </si>
  <si>
    <t>PRR-108</t>
  </si>
  <si>
    <t>Manager QS</t>
  </si>
  <si>
    <t>Krishana Singh Negi</t>
  </si>
  <si>
    <t>PRR-154</t>
  </si>
  <si>
    <t>Sankar Narayan Moharty</t>
  </si>
  <si>
    <t>Vikash Kumar Singh</t>
  </si>
  <si>
    <t>Chandan Sarkar</t>
  </si>
  <si>
    <t>Vakeel Chandra Mourya</t>
  </si>
  <si>
    <t>Ravva Siva</t>
  </si>
  <si>
    <t>HYD-49</t>
  </si>
  <si>
    <t>Perumallu Srinu</t>
  </si>
  <si>
    <t>E Kiran Kumar</t>
  </si>
  <si>
    <t>Anil Kumar Miriyala</t>
  </si>
  <si>
    <t>Associate Manager (QS) |</t>
  </si>
  <si>
    <t>Bathula Sateesh Kumar</t>
  </si>
  <si>
    <t>Venkatrao Nagati</t>
  </si>
  <si>
    <t>Electrical Supervisor</t>
  </si>
  <si>
    <t>Mr. K Srinivas</t>
  </si>
  <si>
    <t>Netrapal Singh</t>
  </si>
  <si>
    <t>Satyanarayan Solanki</t>
  </si>
  <si>
    <t>SATHYANARAYANA  ADIMALLA</t>
  </si>
  <si>
    <t xml:space="preserve">Foreman/Supervisor </t>
  </si>
  <si>
    <t>Praveen</t>
  </si>
  <si>
    <t>NERADABILLI MOHANARAO</t>
  </si>
  <si>
    <t>HYD-60</t>
  </si>
  <si>
    <t>Sunil Kumar</t>
  </si>
  <si>
    <t>Tejeswara Rao</t>
  </si>
  <si>
    <t>Lingammiah</t>
  </si>
  <si>
    <t>Murali</t>
  </si>
  <si>
    <t>Swamy</t>
  </si>
  <si>
    <t>N. Venkat Reddy</t>
  </si>
  <si>
    <t>P. Venkata Ravi Chandra Babu</t>
  </si>
  <si>
    <t>Rambabu N</t>
  </si>
  <si>
    <t>J Rama Krishna</t>
  </si>
  <si>
    <t>K Vijaya Ratnam</t>
  </si>
  <si>
    <t>M Prathap Kumar</t>
  </si>
  <si>
    <t>Naveen Vinukonda</t>
  </si>
  <si>
    <t>Venkata Sai Komatiguntla</t>
  </si>
  <si>
    <t>Shaik Arifulla</t>
  </si>
  <si>
    <t>Anurag Vijay Khond</t>
  </si>
  <si>
    <t>Jaipraksh Kumar Singh </t>
  </si>
  <si>
    <t>Ranjit Kumar Mishra </t>
  </si>
  <si>
    <t>Sayyed Imran Ahammad</t>
  </si>
  <si>
    <t>P V Narasimha Rao</t>
  </si>
  <si>
    <t>Kanhu Charan Pradhan</t>
  </si>
  <si>
    <t>ADCL-53</t>
  </si>
  <si>
    <t>Chakali Kishore</t>
  </si>
  <si>
    <t>Engineer  </t>
  </si>
  <si>
    <t>Md Samar Rais</t>
  </si>
  <si>
    <t>Machana Ramakrishna Vara Prasad</t>
  </si>
  <si>
    <t>Ramakrishna Rao Allamsetty</t>
  </si>
  <si>
    <t>E Suresh Babu</t>
  </si>
  <si>
    <t>B Satya Pramoda</t>
  </si>
  <si>
    <t>A Praveen Kumar</t>
  </si>
  <si>
    <t>RO-12</t>
  </si>
  <si>
    <t>Asst Mgr - Accts</t>
  </si>
  <si>
    <t>Eshwar Annabathula</t>
  </si>
  <si>
    <t>Accts - Executive</t>
  </si>
  <si>
    <t>P Anand Kumar</t>
  </si>
  <si>
    <t>Sr Exe - F&amp;A</t>
  </si>
  <si>
    <t>Md Jakir</t>
  </si>
  <si>
    <t>Senior Lab Technician - QA/QC</t>
  </si>
  <si>
    <t>Ravendra Kumar Patel </t>
  </si>
  <si>
    <t>KS-03</t>
  </si>
  <si>
    <t>Senior Engineer Electrical (O&amp;M)</t>
  </si>
  <si>
    <t>Mr. Kamalakant</t>
  </si>
  <si>
    <t>Manoj Kumar Sen </t>
  </si>
  <si>
    <t>Senior Engineer Mechanical (O&amp;M)</t>
  </si>
  <si>
    <t>Rudra Pratap Singh</t>
  </si>
  <si>
    <t>Engineer Mechanical O&amp;M</t>
  </si>
  <si>
    <t>Nitin Kumar </t>
  </si>
  <si>
    <t>Kuldeerp Raj Singh</t>
  </si>
  <si>
    <t>PRR-96</t>
  </si>
  <si>
    <t>Movva Balaji  </t>
  </si>
  <si>
    <t>Ranjan Kumar </t>
  </si>
  <si>
    <t>Virender Dogra </t>
  </si>
  <si>
    <t>Saranath</t>
  </si>
  <si>
    <t>HYD-48</t>
  </si>
  <si>
    <t>Pyla Naidu</t>
  </si>
  <si>
    <t>HO-13</t>
  </si>
  <si>
    <t>Asst Mgr - P &amp; M</t>
  </si>
  <si>
    <t>Marla Siva Prasad</t>
  </si>
  <si>
    <t>Sr Engg </t>
  </si>
  <si>
    <t>Telugu Adinarayana</t>
  </si>
  <si>
    <t>Site Engg (Mech)</t>
  </si>
  <si>
    <t>Chitikina Chandu</t>
  </si>
  <si>
    <t>Praveen Kumar</t>
  </si>
  <si>
    <t>K Bhanu Prakash</t>
  </si>
  <si>
    <t>Civil Site Engineer</t>
  </si>
  <si>
    <t>Thota Hemanth Kumar</t>
  </si>
  <si>
    <t>T-01</t>
  </si>
  <si>
    <t>Chandradeep Singh</t>
  </si>
  <si>
    <t>S S Subrahmanyam</t>
  </si>
  <si>
    <t>Saurabh Kumar Singh</t>
  </si>
  <si>
    <t>K Prasad</t>
  </si>
  <si>
    <t>Kousik Debnath</t>
  </si>
  <si>
    <t>Krutibash Maharana</t>
  </si>
  <si>
    <t>Srikanth Rachabathini</t>
  </si>
  <si>
    <t>Kotini Syamala Rao</t>
  </si>
  <si>
    <t>Engineer (P&amp;M)</t>
  </si>
  <si>
    <t>Gopi Raju K</t>
  </si>
  <si>
    <t>HO-15</t>
  </si>
  <si>
    <t>Sr Engg</t>
  </si>
  <si>
    <t>Love Rawal</t>
  </si>
  <si>
    <t>Asst. Quantity Surveyor (Billing &amp; Planning Dept.)</t>
  </si>
  <si>
    <t>Yalapalli Ermiya</t>
  </si>
  <si>
    <t>Asst.QS Engineer</t>
  </si>
  <si>
    <t>M.siva kishore</t>
  </si>
  <si>
    <t>DEO</t>
  </si>
  <si>
    <t>Ch. Madhukar</t>
  </si>
  <si>
    <t>Addepalli Lokesh Varma</t>
  </si>
  <si>
    <t>Sr. Environmental Officer</t>
  </si>
  <si>
    <t>Kasireddy Praveen Kumar Reddy</t>
  </si>
  <si>
    <t>P Nagaganesh</t>
  </si>
  <si>
    <t>Ponnada Vvmmsssn Swamy</t>
  </si>
  <si>
    <t>Road Safety Officer</t>
  </si>
  <si>
    <t>NV Sesha Reddy</t>
  </si>
  <si>
    <t>Lakshmikanthan S</t>
  </si>
  <si>
    <t>T Durga Prasad</t>
  </si>
  <si>
    <t>Santosh Kumar Patnaik</t>
  </si>
  <si>
    <t>Sr Executive-HR</t>
  </si>
  <si>
    <t>N Mohan</t>
  </si>
  <si>
    <t>Executive-HR&amp;IR</t>
  </si>
  <si>
    <t>Deepak Kumar Chandra</t>
  </si>
  <si>
    <t>Shift Engineer Electrical (O&amp;M)</t>
  </si>
  <si>
    <t>SIDDHARTH SOLANKI</t>
  </si>
  <si>
    <t>Anup Sharma</t>
  </si>
  <si>
    <t>Madhuresh Kumar Singh</t>
  </si>
  <si>
    <t>PRR-153</t>
  </si>
  <si>
    <t>Senior Engineer Electrical </t>
  </si>
  <si>
    <t>Akhilesh Chamoli</t>
  </si>
  <si>
    <t>PRR-152</t>
  </si>
  <si>
    <t>Engineer Electrical </t>
  </si>
  <si>
    <t>Lalam Ramana</t>
  </si>
  <si>
    <t>Duvvasula Manikanta</t>
  </si>
  <si>
    <t>AM-26</t>
  </si>
  <si>
    <t>Junior Engineer Civil </t>
  </si>
  <si>
    <t>Pagadala Raja gopi</t>
  </si>
  <si>
    <t>John Hyde Tantepudi</t>
  </si>
  <si>
    <t>Amit Mishra</t>
  </si>
  <si>
    <t>Polepalle Venkata naveen kumar</t>
  </si>
  <si>
    <t>HO-17</t>
  </si>
  <si>
    <t>P&amp;M Engineer</t>
  </si>
  <si>
    <t>Bhisetty Sai Kumar</t>
  </si>
  <si>
    <t>M. Lova Kalyan Reddy</t>
  </si>
  <si>
    <t>Kota Sai Krishna</t>
  </si>
  <si>
    <t>QS Engineer</t>
  </si>
  <si>
    <t>Dunna Ganesh</t>
  </si>
  <si>
    <t>Associate Execututive (HR &amp; Admin)</t>
  </si>
  <si>
    <t>Kadagala Phalguna Rao</t>
  </si>
  <si>
    <t>Hr/ Admin Executive</t>
  </si>
  <si>
    <t>B.Prabhakar</t>
  </si>
  <si>
    <t>Officer – HR &amp; Administration</t>
  </si>
  <si>
    <t>S Raghavendra</t>
  </si>
  <si>
    <t>ADCL-45</t>
  </si>
  <si>
    <t>Sr.Executive Officer</t>
  </si>
  <si>
    <t>P Ranga Babu</t>
  </si>
  <si>
    <t>Executive in Admin</t>
  </si>
  <si>
    <t>Pradeep Kumar Jampa</t>
  </si>
  <si>
    <t>M.Narendra Babu</t>
  </si>
  <si>
    <t>Project Manager-Structures</t>
  </si>
  <si>
    <t>Vishvdeepak Upadhyay</t>
  </si>
  <si>
    <t>Shaik Khasim Shahid</t>
  </si>
  <si>
    <t>Jitendra Kumar Upadhyaya</t>
  </si>
  <si>
    <t>Asst Mgr - Purchase</t>
  </si>
  <si>
    <t>SIDDANA KRISHNA RAO</t>
  </si>
  <si>
    <t>ADCL-47</t>
  </si>
  <si>
    <t>Asst Mgr</t>
  </si>
  <si>
    <t>Santosh Rathod</t>
  </si>
  <si>
    <t>Krishnendu Ghosh</t>
  </si>
  <si>
    <t>Syam Babu Nalathoti</t>
  </si>
  <si>
    <t>Pranab KR Mondal</t>
  </si>
  <si>
    <t>AM-36</t>
  </si>
  <si>
    <t>Purendra Verma</t>
  </si>
  <si>
    <t>Aligeti Manoj Kumar</t>
  </si>
  <si>
    <t>Sunil Yadav</t>
  </si>
  <si>
    <t>Site Incharge</t>
  </si>
  <si>
    <t>Akash Tiwari</t>
  </si>
  <si>
    <t>Shiv</t>
  </si>
  <si>
    <t>Sachin Kumar Gautam</t>
  </si>
  <si>
    <t>BURI NAVEEN KUMAR</t>
  </si>
  <si>
    <t>Asst Mgr </t>
  </si>
  <si>
    <t>Nagaraju Nayak</t>
  </si>
  <si>
    <t>Vempati Rohith</t>
  </si>
  <si>
    <t>Gangireddy Madhu Sudhan Reddy</t>
  </si>
  <si>
    <t>GP-28</t>
  </si>
  <si>
    <t>Graduate Engineer Trainee - Civil </t>
  </si>
  <si>
    <t>Bipin Chapre </t>
  </si>
  <si>
    <t>Engineer Electrical (O&amp;M)</t>
  </si>
  <si>
    <t>KRISHNA PARAMANIK</t>
  </si>
  <si>
    <t>Rajkapoor Pandit</t>
  </si>
  <si>
    <t>BISWAJIT BHUNIA</t>
  </si>
  <si>
    <t>RISHIKANT TYAGI</t>
  </si>
  <si>
    <t>W3-40</t>
  </si>
  <si>
    <t>ANIMESH PRADHAN</t>
  </si>
  <si>
    <t>GUNILAL THAKUR</t>
  </si>
  <si>
    <t>VIKASH AGRAHARI</t>
  </si>
  <si>
    <t>CHINTHAM REDDY SIVA NAGI REDDY</t>
  </si>
  <si>
    <t>Dhananjay THAKUR</t>
  </si>
  <si>
    <t>Manish Devrani</t>
  </si>
  <si>
    <t>Chandra Kiran Mehta</t>
  </si>
  <si>
    <t>SASHI BHUSAN SAHU</t>
  </si>
  <si>
    <t>Shift Engineer Mechanical  </t>
  </si>
  <si>
    <t>G.A.S.Lokanathan</t>
  </si>
  <si>
    <t>Shaik Kareem Rahmat Hussain</t>
  </si>
  <si>
    <t>ADCL-63</t>
  </si>
  <si>
    <t>Yandrapu Hari Kalyan</t>
  </si>
  <si>
    <t>E.Veeri Naidu</t>
  </si>
  <si>
    <t xml:space="preserve">B J V Prasad Rao	</t>
  </si>
  <si>
    <t>MD Sarwej Alam</t>
  </si>
  <si>
    <t>Sanjay Kumar Jena</t>
  </si>
  <si>
    <t>Komitapalli Sreekanth</t>
  </si>
  <si>
    <t>Sanjeev Sharma</t>
  </si>
  <si>
    <t>Ayush Nishad</t>
  </si>
  <si>
    <t>John Subhakar Nandru</t>
  </si>
  <si>
    <t>Nawab Ahmed</t>
  </si>
  <si>
    <t>Netai Hait</t>
  </si>
  <si>
    <t>B Ravi Kumar</t>
  </si>
  <si>
    <t>Mynam Sai Ganesh</t>
  </si>
  <si>
    <t xml:space="preserve">Assistant Manager </t>
  </si>
  <si>
    <t>Ravikumar Yallamati</t>
  </si>
  <si>
    <t>Talluri Ashok Chakravarthy</t>
  </si>
  <si>
    <t>HYD-51</t>
  </si>
  <si>
    <t>Hariom Mishra</t>
  </si>
  <si>
    <t>Junior Engineer - Pipelayig</t>
  </si>
  <si>
    <t>Vijaya Varma Penmasta</t>
  </si>
  <si>
    <t>Senior Engineer(QS)</t>
  </si>
  <si>
    <t>D Srinivasa Rao</t>
  </si>
  <si>
    <t>Mahmed Abdul</t>
  </si>
  <si>
    <t>T Kishore babu</t>
  </si>
  <si>
    <t>K Nagesh</t>
  </si>
  <si>
    <t>Ramani Muthaiah</t>
  </si>
  <si>
    <t>R Silambarasan</t>
  </si>
  <si>
    <t>Supervisor Civil </t>
  </si>
  <si>
    <t>Manoj Kumar Tirumalasetti</t>
  </si>
  <si>
    <t>Baji Mandapati</t>
  </si>
  <si>
    <t>Corporate Office as a Project Coordinator DM</t>
  </si>
  <si>
    <t>P. HariKrishna</t>
  </si>
  <si>
    <t>Assistant Manager Planning &amp; QS</t>
  </si>
  <si>
    <t>Pintu Gayen</t>
  </si>
  <si>
    <t>ANUJ KUMAR MISHRA</t>
  </si>
  <si>
    <t>Ravi Yadav</t>
  </si>
  <si>
    <t>DEEPAK TIWARI</t>
  </si>
  <si>
    <t xml:space="preserve"> Snior Liaison Executive</t>
  </si>
  <si>
    <t>SIDDHANT SINGH THAKUR</t>
  </si>
  <si>
    <t>Prabhakar Dwivedi</t>
  </si>
  <si>
    <t>Tejpal Singh</t>
  </si>
  <si>
    <t>HARVEER SINGH</t>
  </si>
  <si>
    <t>Junior Liaison Officer</t>
  </si>
  <si>
    <t>V Phanindra Kumar</t>
  </si>
  <si>
    <t>PRR-155</t>
  </si>
  <si>
    <t>Mechanical Engineer - P&amp;M</t>
  </si>
  <si>
    <t>Sridhar Reddy</t>
  </si>
  <si>
    <t>Sr.Engineer - Planning &amp; Billing</t>
  </si>
  <si>
    <t>RUPESH KUMAR</t>
  </si>
  <si>
    <t>Rishnu Bharti </t>
  </si>
  <si>
    <t>Anshuman Kumar Pandey</t>
  </si>
  <si>
    <t>Sudhakar Chagantipati</t>
  </si>
  <si>
    <t>Purchase officer</t>
  </si>
  <si>
    <t>Simhadri Gopal Krishna</t>
  </si>
  <si>
    <t>Bairi Ramu</t>
  </si>
  <si>
    <t>Pola Dileep</t>
  </si>
  <si>
    <t>NEMMADI KIRAN KUMAR</t>
  </si>
  <si>
    <t>Engineer Electrical</t>
  </si>
  <si>
    <t>HARICHNDRA PRADHAN</t>
  </si>
  <si>
    <t>SHYAM PRASAD SHARMA</t>
  </si>
  <si>
    <t>Naveen</t>
  </si>
  <si>
    <t>Executive Store</t>
  </si>
  <si>
    <t>NARENDRA KUMAR GAUR</t>
  </si>
  <si>
    <t>SAURABH KUMAR</t>
  </si>
  <si>
    <t>Dhiraj Kumar Sinha</t>
  </si>
  <si>
    <t>Chekka Kiran</t>
  </si>
  <si>
    <t>Sisir Samdhar</t>
  </si>
  <si>
    <t>Mehboob Alam</t>
  </si>
  <si>
    <t>Desineedi JayaSatya Ramesh</t>
  </si>
  <si>
    <t>Team Leader cum Senior Highway Engineer</t>
  </si>
  <si>
    <t>S.SilamBarasan</t>
  </si>
  <si>
    <t>M Krishna</t>
  </si>
  <si>
    <t>Duddu Jagadheeswara</t>
  </si>
  <si>
    <t>Pradeep Kumar Nayak</t>
  </si>
  <si>
    <t>Senior Engineer Electrical o&amp;m</t>
  </si>
  <si>
    <t>Vadiyara Kesavarao</t>
  </si>
  <si>
    <t>Senior Executive - HR(Social &amp; Labour Management)</t>
  </si>
  <si>
    <t>Mallavolu Satyanarayana</t>
  </si>
  <si>
    <t>Vishwas Ramdas Jadhav</t>
  </si>
  <si>
    <t>Senior Engineer - Structures</t>
  </si>
  <si>
    <t>Srinivas Yadav</t>
  </si>
  <si>
    <t>RO-13</t>
  </si>
  <si>
    <t>Jr. BIM Modular</t>
  </si>
  <si>
    <t>Mr JK Singh</t>
  </si>
  <si>
    <t>Pradeep Kumar </t>
  </si>
  <si>
    <t>V Sasank</t>
  </si>
  <si>
    <t>PRR-156</t>
  </si>
  <si>
    <t>Tendulkar J </t>
  </si>
  <si>
    <t>Senior Engineer Civil </t>
  </si>
  <si>
    <t>Mudunuri Satyanarayana Raju</t>
  </si>
  <si>
    <t>Sr Executive</t>
  </si>
  <si>
    <t>CH.Simhachalam</t>
  </si>
  <si>
    <t>Sr Project Manager</t>
  </si>
  <si>
    <t>Ronda Srinivasulu</t>
  </si>
  <si>
    <t>Mr. Surya Narayana raju</t>
  </si>
  <si>
    <t>Patharapalli Siva</t>
  </si>
  <si>
    <t>P Manikanta</t>
  </si>
  <si>
    <t>Ginni Karthika Reddy</t>
  </si>
  <si>
    <t>HYD-52</t>
  </si>
  <si>
    <t>Mr. S.Siva</t>
  </si>
  <si>
    <t>Kella Pavan Kalyan</t>
  </si>
  <si>
    <t>Majji  Renu Madhav</t>
  </si>
  <si>
    <t>Manga Rao Velchuri</t>
  </si>
  <si>
    <t>Sr. Engineer in Billing.</t>
  </si>
  <si>
    <t>Meda Bhimesh Kumar</t>
  </si>
  <si>
    <t>Engineer - Pipelaying</t>
  </si>
  <si>
    <t>MAHENDRA DHAKAD</t>
  </si>
  <si>
    <t>Pawan Gawhade</t>
  </si>
  <si>
    <t>SRIDHAR BIDHAR</t>
  </si>
  <si>
    <t>Nagavarapu Prashant</t>
  </si>
  <si>
    <t>Raj Kumar Singh</t>
  </si>
  <si>
    <t>Structural BIM Modeller</t>
  </si>
  <si>
    <t>Vaibhav Patil</t>
  </si>
  <si>
    <t>BIM Modeller L3</t>
  </si>
  <si>
    <t>Hariom Choure</t>
  </si>
  <si>
    <t>Maintenance Engineer</t>
  </si>
  <si>
    <t>Jagadish Das</t>
  </si>
  <si>
    <t>Engineer - O&amp;M</t>
  </si>
  <si>
    <t>Rashtrapal Hanuman Kedare</t>
  </si>
  <si>
    <t>Sudipta Pradhan</t>
  </si>
  <si>
    <t>Operation Shift Incharge</t>
  </si>
  <si>
    <t>Yashwanth Singh Thakur </t>
  </si>
  <si>
    <t>Lavanya Kumari Gadi</t>
  </si>
  <si>
    <t>Harshit Gupta</t>
  </si>
  <si>
    <t> BIM Modeller</t>
  </si>
  <si>
    <t>Himanshu Tiwari</t>
  </si>
  <si>
    <t>BIM Engineer Modeller</t>
  </si>
  <si>
    <t>Shah Jad Munir</t>
  </si>
  <si>
    <t>Srikanta Kumar</t>
  </si>
  <si>
    <t>Jayprakash Mishra</t>
  </si>
  <si>
    <t>Kaushal Mishra</t>
  </si>
  <si>
    <t>Meeti Leela</t>
  </si>
  <si>
    <t xml:space="preserve">Ram Bahadur Singh </t>
  </si>
  <si>
    <t>Annu Sahu</t>
  </si>
  <si>
    <t>Amar Pal</t>
  </si>
  <si>
    <t>MD Azad</t>
  </si>
  <si>
    <t>Shadab Ali</t>
  </si>
  <si>
    <t>Chetan Singh</t>
  </si>
  <si>
    <t>D.Jagadesh</t>
  </si>
  <si>
    <t>Asst. QS</t>
  </si>
  <si>
    <t>Ravi Kiran Reddy</t>
  </si>
  <si>
    <t>Jr Engr(Planning &amp; QS)</t>
  </si>
  <si>
    <t>Rami Reddy Vatte</t>
  </si>
  <si>
    <t>Sudheer Kumar</t>
  </si>
  <si>
    <t>Nitin Kumar</t>
  </si>
  <si>
    <t>Pavan Kumar Rao. M</t>
  </si>
  <si>
    <t>Manager - EHS</t>
  </si>
  <si>
    <t>Chakka Madhu</t>
  </si>
  <si>
    <t>HYD-54</t>
  </si>
  <si>
    <t>Deva Reddy</t>
  </si>
  <si>
    <t>Rayi Prudhvi Raju</t>
  </si>
  <si>
    <t>Sainath</t>
  </si>
  <si>
    <t>Akshay Soroha</t>
  </si>
  <si>
    <t>Shift Mechanical Incharge</t>
  </si>
  <si>
    <t>Ambhi Singh</t>
  </si>
  <si>
    <t>Maintainance Engineer</t>
  </si>
  <si>
    <t>Atul Pandey</t>
  </si>
  <si>
    <t>Kaustav Das</t>
  </si>
  <si>
    <t>Mechanical Manager</t>
  </si>
  <si>
    <t>Manish Tandan</t>
  </si>
  <si>
    <t>Rakesh Kushwada</t>
  </si>
  <si>
    <t>Suraj Verma</t>
  </si>
  <si>
    <t>Mechanical Shift Incharge</t>
  </si>
  <si>
    <t>Vivek Kumar Gautam</t>
  </si>
  <si>
    <t>Side Engineer</t>
  </si>
  <si>
    <t>SantoshKumar Polipireddi</t>
  </si>
  <si>
    <t>Bighnaraj Mahapatra</t>
  </si>
  <si>
    <t>Project Manager (Highway) </t>
  </si>
  <si>
    <t>Bhageerathee Yadav</t>
  </si>
  <si>
    <t>Dy. Project Manager (Highway)</t>
  </si>
  <si>
    <t>S. Veerabhadra Rao</t>
  </si>
  <si>
    <t>Dy. Project Manager </t>
  </si>
  <si>
    <t>Surya</t>
  </si>
  <si>
    <t>Bellam Venkateswarlu</t>
  </si>
  <si>
    <t>Prasad Yadav.G</t>
  </si>
  <si>
    <t>Pradeep Singh</t>
  </si>
  <si>
    <t xml:space="preserve">Store Assistant </t>
  </si>
  <si>
    <t>Ayodhya Tiwari</t>
  </si>
  <si>
    <t>Kishore Nelapu</t>
  </si>
  <si>
    <t>Senior Manager- Highways</t>
  </si>
  <si>
    <t>Madaka Venugopal</t>
  </si>
  <si>
    <t>Manager (Projects)</t>
  </si>
  <si>
    <t>Sangu Sreenivasa Reddy</t>
  </si>
  <si>
    <t>AJAY KUMAR DIWEDI </t>
  </si>
  <si>
    <t>Arup Barman </t>
  </si>
  <si>
    <t>Consultant – II (Social)</t>
  </si>
  <si>
    <t>Ashiqali</t>
  </si>
  <si>
    <t>Sr.Program Associate</t>
  </si>
  <si>
    <t>Sunil Kumar Pandey</t>
  </si>
  <si>
    <t>CBCMP-63</t>
  </si>
  <si>
    <t>V.AJAY</t>
  </si>
  <si>
    <t>K Surya Satya Apparao</t>
  </si>
  <si>
    <t>Reena Kancharla</t>
  </si>
  <si>
    <t>Environmental Engineer </t>
  </si>
  <si>
    <t>P. Venkata Rao</t>
  </si>
  <si>
    <t>Mohit Verma(C.Eng)</t>
  </si>
  <si>
    <t>Civil Environmental Engineer</t>
  </si>
  <si>
    <t>Ugrasen Kumar</t>
  </si>
  <si>
    <t>Mahesh Gandi</t>
  </si>
  <si>
    <t>Environment Engineer</t>
  </si>
  <si>
    <t>Kallubav Eshwar</t>
  </si>
  <si>
    <t>Sappa mani satya teja</t>
  </si>
  <si>
    <t>HO-16</t>
  </si>
  <si>
    <t>Ganesh Kumar Rai</t>
  </si>
  <si>
    <t>P Sai Uday Kiran</t>
  </si>
  <si>
    <t>S.V. Nagarjuna Babu</t>
  </si>
  <si>
    <t>MD Junaid Iqbal</t>
  </si>
  <si>
    <t>Tanveer Ansari</t>
  </si>
  <si>
    <t>MD Kais Alam </t>
  </si>
  <si>
    <t>Jhutan Rudra Paul </t>
  </si>
  <si>
    <t>SK Tangim Karimi</t>
  </si>
  <si>
    <t>Deepthi Thalluri</t>
  </si>
  <si>
    <t>Sr. QS (Billing &amp; Planning).</t>
  </si>
  <si>
    <t>Surya Mohan</t>
  </si>
  <si>
    <t>Pankaj Singh</t>
  </si>
  <si>
    <t>Pankaj Kumar Sharma</t>
  </si>
  <si>
    <t xml:space="preserve">Brijesh Kumar </t>
  </si>
  <si>
    <t>senior Engineer</t>
  </si>
  <si>
    <t>RAVINDRA KUMAR</t>
  </si>
  <si>
    <t>SOURAV MANDAL</t>
  </si>
  <si>
    <t>Srinu Poosala</t>
  </si>
  <si>
    <t>Manager-Billing &amp; Planning</t>
  </si>
  <si>
    <t>Issac Pabbineedy</t>
  </si>
  <si>
    <t>Sr. Engineer / AM - QS</t>
  </si>
  <si>
    <t>Shashidar Reddy</t>
  </si>
  <si>
    <t>Suman Vemula</t>
  </si>
  <si>
    <t>Manohar Modem</t>
  </si>
  <si>
    <t>Deputy Project Manager (Highways)</t>
  </si>
  <si>
    <t>Ramachandra Rao Lokam</t>
  </si>
  <si>
    <t>Katta Ganesh</t>
  </si>
  <si>
    <t>Tej Kumar Reddy</t>
  </si>
  <si>
    <t>HYD-53</t>
  </si>
  <si>
    <t>Mr. Pavan Kumar Reddy</t>
  </si>
  <si>
    <t>DOOBA CHANTI</t>
  </si>
  <si>
    <t>A.Srinivasa Rao</t>
  </si>
  <si>
    <t>ADCL-55</t>
  </si>
  <si>
    <t>Sr.Manager(F&amp;A)</t>
  </si>
  <si>
    <t>G Arun Kumar</t>
  </si>
  <si>
    <t>Electrical In-Charge</t>
  </si>
  <si>
    <t>Kalutla Akbar Hussain</t>
  </si>
  <si>
    <t>Mamidi Madhu</t>
  </si>
  <si>
    <t>Chitikela Ramu</t>
  </si>
  <si>
    <t>Devisetti Veera Babu</t>
  </si>
  <si>
    <t>Dupati Rathnababu</t>
  </si>
  <si>
    <t>Electrical site  technician</t>
  </si>
  <si>
    <t>Rohit Pradhan</t>
  </si>
  <si>
    <t>Anirudh Tiwari</t>
  </si>
  <si>
    <t>CBCMP-104</t>
  </si>
  <si>
    <t>Dharmpal Sohu</t>
  </si>
  <si>
    <t>Satish Kumar</t>
  </si>
  <si>
    <t>Parasmani singh</t>
  </si>
  <si>
    <t>Vivek Kumar Mishra</t>
  </si>
  <si>
    <t>Surendar Singh Rajpoot</t>
  </si>
  <si>
    <t>DHEERAJ KUMAR SINGH</t>
  </si>
  <si>
    <t>SRIKANTH S</t>
  </si>
  <si>
    <t>Rajesh Chinya</t>
  </si>
  <si>
    <t>Katan Mandal</t>
  </si>
  <si>
    <t>Site Surveyor</t>
  </si>
  <si>
    <t>Vimlesh Maurya</t>
  </si>
  <si>
    <t>Debsish Konar</t>
  </si>
  <si>
    <t>RC Infra Solutions</t>
  </si>
  <si>
    <t>Krishnendu Mondal</t>
  </si>
  <si>
    <t>HG Infra (Feb'2025)</t>
  </si>
  <si>
    <t>Mahmad Abdul Mannan</t>
  </si>
  <si>
    <t>Sr Highway Manager</t>
  </si>
  <si>
    <t>Srinivasarao Masavarupu</t>
  </si>
  <si>
    <t>Senior Manager(Highways)</t>
  </si>
  <si>
    <t>Muddana Sumanth</t>
  </si>
  <si>
    <t>Gali Shiva</t>
  </si>
  <si>
    <t>Karedla Satish Kumar</t>
  </si>
  <si>
    <t>Srikrishna Shesharao Rathod</t>
  </si>
  <si>
    <t>Bheemuni Lakshmaiah</t>
  </si>
  <si>
    <t>SJ-03</t>
  </si>
  <si>
    <t>Tunnel Foreman</t>
  </si>
  <si>
    <t>Ramakanth Singh</t>
  </si>
  <si>
    <t>Sama Adinarayana</t>
  </si>
  <si>
    <t>KRISHN KANT PATHAK</t>
  </si>
  <si>
    <t>SJ-05</t>
  </si>
  <si>
    <t>Assistant Safety</t>
  </si>
  <si>
    <t>Kuldeep singh</t>
  </si>
  <si>
    <t>AKASH JAISWAL</t>
  </si>
  <si>
    <t>PRASHANT KUMAR</t>
  </si>
  <si>
    <t>ARY DWIVEDI</t>
  </si>
  <si>
    <t>Kishan Gupta</t>
  </si>
  <si>
    <t>SUJAN GHOSH</t>
  </si>
  <si>
    <t>LISMB-32</t>
  </si>
  <si>
    <t>Garikipati Jaswanth</t>
  </si>
  <si>
    <t>Dharmendra Ojha</t>
  </si>
  <si>
    <t>A .Upputuraiah</t>
  </si>
  <si>
    <t>T Mekhayelu</t>
  </si>
  <si>
    <t>Kundur Srinivasulu Reddy</t>
  </si>
  <si>
    <t>AM-13</t>
  </si>
  <si>
    <t>P Sai Kumar </t>
  </si>
  <si>
    <t>Masud Mondal</t>
  </si>
  <si>
    <t>Mandalaneni Ayyappa Swami</t>
  </si>
  <si>
    <t>Pathan Vali Khan</t>
  </si>
  <si>
    <t>Midthana Yerinaidu</t>
  </si>
  <si>
    <t>K.Mahesh Reddy</t>
  </si>
  <si>
    <t>SANGREET SAINI</t>
  </si>
  <si>
    <t>Imran Hossain</t>
  </si>
  <si>
    <t>RATNESH KUMAR GOAND</t>
  </si>
  <si>
    <t>Arjun Kumar</t>
  </si>
  <si>
    <t>Project Manager(Structure &amp; Highway)</t>
  </si>
  <si>
    <t>Venkateshwar Rao</t>
  </si>
  <si>
    <t>Mohd Afzal</t>
  </si>
  <si>
    <t>Syed Gouse Ameer</t>
  </si>
  <si>
    <t>Sr.Project Manager (HIGHWAYS</t>
  </si>
  <si>
    <t>Vivek Singh</t>
  </si>
  <si>
    <t>Harshit Mishra</t>
  </si>
  <si>
    <t>Senior Engineer - Billing</t>
  </si>
  <si>
    <t>Karukola Venkata Rao</t>
  </si>
  <si>
    <t>Admin Exe(Previous)</t>
  </si>
  <si>
    <t>MANOJ KUMAR BEHERA</t>
  </si>
  <si>
    <t>B Anand Rao</t>
  </si>
  <si>
    <t>Maheshreddy Gade</t>
  </si>
  <si>
    <t>HR-Admin (Associate</t>
  </si>
  <si>
    <t>Mukesh Kumar Rewat </t>
  </si>
  <si>
    <t>NG-03</t>
  </si>
  <si>
    <t>Madagalla Subbanna</t>
  </si>
  <si>
    <t>Project  Manager( R&amp;B)</t>
  </si>
  <si>
    <t>Koram .Ravi Kumar</t>
  </si>
  <si>
    <t>Assistant Resident Engineer</t>
  </si>
  <si>
    <t>Veera Venkayya Chalamala</t>
  </si>
  <si>
    <t>S Y V R C S Prasad Babu</t>
  </si>
  <si>
    <t>Sai Ramesh Nouduru</t>
  </si>
  <si>
    <t>Venkata Ramana Polthi</t>
  </si>
  <si>
    <t>D Ravi Teja</t>
  </si>
  <si>
    <t>Ashutosh Shukla</t>
  </si>
  <si>
    <t xml:space="preserve">Senior Supervisor </t>
  </si>
  <si>
    <t>ANKAN MAJI</t>
  </si>
  <si>
    <t>DET/DEO</t>
  </si>
  <si>
    <t>SHIBNATH MANDI</t>
  </si>
  <si>
    <t>Atluri Badrinath Chowdhary</t>
  </si>
  <si>
    <t>Gopi Vaddi</t>
  </si>
  <si>
    <t>Sr Construction Mgr</t>
  </si>
  <si>
    <t>Nengedda Chandra Sekhar</t>
  </si>
  <si>
    <t>ADCL-76</t>
  </si>
  <si>
    <t>Sai Krishnam Raju Valamsetti</t>
  </si>
  <si>
    <t>Syed Ashfaq</t>
  </si>
  <si>
    <t>Mijanur Rehman</t>
  </si>
  <si>
    <t>Abu Sayed</t>
  </si>
  <si>
    <t>Anil Kuamr Saket</t>
  </si>
  <si>
    <t xml:space="preserve"> Executive Store</t>
  </si>
  <si>
    <t>KUNDAN TIWARI</t>
  </si>
  <si>
    <t>S N JYOTI PRAKASH MOHANTY</t>
  </si>
  <si>
    <t>Peela varaha Ganesh</t>
  </si>
  <si>
    <t>Sanjay Karan</t>
  </si>
  <si>
    <t>Shubham Kushwaha</t>
  </si>
  <si>
    <t>Pappu Jana</t>
  </si>
  <si>
    <t>Silla Murali Mohan</t>
  </si>
  <si>
    <t>Social &amp; Labour Officer</t>
  </si>
  <si>
    <t>CH Rama Krishna</t>
  </si>
  <si>
    <t>Rakesh K</t>
  </si>
  <si>
    <t>RO-15</t>
  </si>
  <si>
    <t>Manager (Transportation) – Planning &amp; QS</t>
  </si>
  <si>
    <t>P.Harsha Suresh</t>
  </si>
  <si>
    <t>Senior Manager QS &amp; Planning f</t>
  </si>
  <si>
    <t>Kondapalli RamaKrishna</t>
  </si>
  <si>
    <t>HO-18</t>
  </si>
  <si>
    <t>VV Narasimha Rao</t>
  </si>
  <si>
    <t>HO-19</t>
  </si>
  <si>
    <t>V Sai Kiran</t>
  </si>
  <si>
    <t>N Raja Avinash Verma</t>
  </si>
  <si>
    <t>Pedala Suresh</t>
  </si>
  <si>
    <t>Ullam Krishna Prasad</t>
  </si>
  <si>
    <t>Thalla Uma Maheswara Rao</t>
  </si>
  <si>
    <t>Alugolu Durga Mahesh</t>
  </si>
  <si>
    <t>T.Rajesh</t>
  </si>
  <si>
    <t>Manager-HR</t>
  </si>
  <si>
    <t>Khanapur Satish</t>
  </si>
  <si>
    <t>Manager-HR&amp;Admin</t>
  </si>
  <si>
    <t>Alok yadav</t>
  </si>
  <si>
    <t>Kodi Arun Kumar</t>
  </si>
  <si>
    <t>DIGVIJAY KUMAR CHAUDHARY</t>
  </si>
  <si>
    <t>CBCMP-69</t>
  </si>
  <si>
    <t>Ashwani Singh</t>
  </si>
  <si>
    <t>UTAMA KUMAR MAHARANA</t>
  </si>
  <si>
    <t>Nur Isha Mallick</t>
  </si>
  <si>
    <t>Rahul Pandey</t>
  </si>
  <si>
    <t>Kallapalli Anil Kumar</t>
  </si>
  <si>
    <t>Tailam Trinad Veera Venkata Pramod</t>
  </si>
  <si>
    <t>Chittiri Rajasekhar</t>
  </si>
  <si>
    <t>Syed Sanavulla</t>
  </si>
  <si>
    <t>Gopi Challa</t>
  </si>
  <si>
    <t>Tirath Singh</t>
  </si>
  <si>
    <t xml:space="preserve">Civil Foreman	</t>
  </si>
  <si>
    <t xml:space="preserve">G Gouroshree Siddharth	</t>
  </si>
  <si>
    <t>Technician</t>
  </si>
  <si>
    <t>K. Chiranjeevi</t>
  </si>
  <si>
    <t>Social Expert </t>
  </si>
  <si>
    <t>Birudu Subba Rao</t>
  </si>
  <si>
    <t>Socio-economic and Livelihoods Associate</t>
  </si>
  <si>
    <t>Ramakrishna Abbina</t>
  </si>
  <si>
    <t xml:space="preserve">Project Manager	</t>
  </si>
  <si>
    <t>Lakshmi Raghavendra Jammula</t>
  </si>
  <si>
    <t xml:space="preserve">MEP Site Engineer </t>
  </si>
  <si>
    <t>Adivarapu Prudhvi Sai Kumar</t>
  </si>
  <si>
    <t>Procurement Specialist</t>
  </si>
  <si>
    <t>Thripati Gundala</t>
  </si>
  <si>
    <t>Purchase Manager</t>
  </si>
  <si>
    <t>Yelati Dileep</t>
  </si>
  <si>
    <t>Sr Engineer-QS</t>
  </si>
  <si>
    <t>Ramesh  Gedala</t>
  </si>
  <si>
    <t>B.Sambasiva Rao</t>
  </si>
  <si>
    <t>Senior Project Manager</t>
  </si>
  <si>
    <t>D.Venkata Raghu</t>
  </si>
  <si>
    <t>B.Praveen Kumar</t>
  </si>
  <si>
    <t>K.MuraliKrishna Raju</t>
  </si>
  <si>
    <t>ADCL-56</t>
  </si>
  <si>
    <t>Project Manager-Water Supply Pipeline</t>
  </si>
  <si>
    <t>ADCL-57</t>
  </si>
  <si>
    <t>APM-Water Supply Pipeline</t>
  </si>
  <si>
    <t>Kongara Venkatesh</t>
  </si>
  <si>
    <t>ADCL-58</t>
  </si>
  <si>
    <t>QS/Planning/Sr Engineer-Water Supply Pipeline</t>
  </si>
  <si>
    <t>Ananda Rao Bommali</t>
  </si>
  <si>
    <t>Om Shankar Patel</t>
  </si>
  <si>
    <t>B Venugopal Reddy</t>
  </si>
  <si>
    <t>Duddu Dhilip kumar</t>
  </si>
  <si>
    <t>Jagananthan Samraj </t>
  </si>
  <si>
    <t>Kanchi Manikanta </t>
  </si>
  <si>
    <t>GP-51</t>
  </si>
  <si>
    <t>Debasis Deb </t>
  </si>
  <si>
    <t>Peesa Naveen</t>
  </si>
  <si>
    <t>ADCL-59</t>
  </si>
  <si>
    <t>Assistant Manager-EHS</t>
  </si>
  <si>
    <t>Yella Manikanta</t>
  </si>
  <si>
    <t>HSE Engineer </t>
  </si>
  <si>
    <t>Sravan Kumar Polepali</t>
  </si>
  <si>
    <t>Assistant Manager | Planning &amp; Monitoring, Design Group</t>
  </si>
  <si>
    <t>Parveda Uday Kiran  </t>
  </si>
  <si>
    <t>Samireddy Anil Kumar </t>
  </si>
  <si>
    <t>DET Electrical </t>
  </si>
  <si>
    <t>Rabin Kumar</t>
  </si>
  <si>
    <t>GET - Mechanical </t>
  </si>
  <si>
    <t>Suddapalli Venkata Aswin </t>
  </si>
  <si>
    <t>Assistant Project Manager - Pipelaying</t>
  </si>
  <si>
    <t>Ashsih Saxena</t>
  </si>
  <si>
    <t>Md. Faiz Uddin</t>
  </si>
  <si>
    <t xml:space="preserve">ALNASAB AHMED </t>
  </si>
  <si>
    <t xml:space="preserve">Rishikant Sharma </t>
  </si>
  <si>
    <t>Nikhil Singh</t>
  </si>
  <si>
    <t>Venna Ganesh</t>
  </si>
  <si>
    <t>Rohit Kumar sharma</t>
  </si>
  <si>
    <t>Saddam</t>
  </si>
  <si>
    <t>MD MODASSAR ANSARI</t>
  </si>
  <si>
    <t xml:space="preserve"> Vinukonda Veera Mohan	</t>
  </si>
  <si>
    <t>Ammanamanchi Balaji Sankar</t>
  </si>
  <si>
    <t>Anjani Kumar Goddanti</t>
  </si>
  <si>
    <t>RO-16</t>
  </si>
  <si>
    <t>Senior Vice President - Development &amp; Delivery</t>
  </si>
  <si>
    <t>Rajarshi Prasad Kataki</t>
  </si>
  <si>
    <t>Rajesh Mitra</t>
  </si>
  <si>
    <t>Agasti Chaitanya</t>
  </si>
  <si>
    <t>Asst Manager QS</t>
  </si>
  <si>
    <t>Venkata Sai B</t>
  </si>
  <si>
    <t>Pankaj Kumar Behara</t>
  </si>
  <si>
    <t>Manager Resource Mobilization</t>
  </si>
  <si>
    <t xml:space="preserve">A.Ratna Kumar	</t>
  </si>
  <si>
    <t xml:space="preserve">Associate Manager-Electrical	</t>
  </si>
  <si>
    <t xml:space="preserve">K.Omkar	</t>
  </si>
  <si>
    <t xml:space="preserve">Manager (QS &amp; Billing)	</t>
  </si>
  <si>
    <t>Pilli Ganesh</t>
  </si>
  <si>
    <t>Kiran Palepu</t>
  </si>
  <si>
    <t>Cluster Head</t>
  </si>
  <si>
    <t>P.Rajendar</t>
  </si>
  <si>
    <t xml:space="preserve">Mechanical Incharge	</t>
  </si>
  <si>
    <t>K.Srinivasu</t>
  </si>
  <si>
    <t>M.Nageswara Rao</t>
  </si>
  <si>
    <t>GM-Projects</t>
  </si>
  <si>
    <t>P K Chandrasekhar</t>
  </si>
  <si>
    <t>ChandraSekhar.K</t>
  </si>
  <si>
    <t>Gothapu Varun</t>
  </si>
  <si>
    <t>Sr. Engineer P&amp;M</t>
  </si>
  <si>
    <t>B Jeevan Kumar</t>
  </si>
  <si>
    <t>Vaddapalli Venkata Ramana</t>
  </si>
  <si>
    <t>Awadh Lal Singh</t>
  </si>
  <si>
    <t>KS-04</t>
  </si>
  <si>
    <t>Timer Ghosh</t>
  </si>
  <si>
    <t xml:space="preserve">Resource Officer	</t>
  </si>
  <si>
    <t>Sandeep  Kumar</t>
  </si>
  <si>
    <t>Sr Eng QS</t>
  </si>
  <si>
    <t>S Sujith Prabakaran</t>
  </si>
  <si>
    <t>Senior Engineer - Environmental</t>
  </si>
  <si>
    <t>Praveen Kumar Chilukuri</t>
  </si>
  <si>
    <t>ADCL-49</t>
  </si>
  <si>
    <t>Senior Engineer Projects </t>
  </si>
  <si>
    <t>Ajeet Kumar Yadav </t>
  </si>
  <si>
    <t>Muddam Sateesh </t>
  </si>
  <si>
    <t>Kamal Sahoo  </t>
  </si>
  <si>
    <t>Gandla venkateswarao</t>
  </si>
  <si>
    <t>Stores Assistant</t>
  </si>
  <si>
    <t>Polavarapu Ramachandrudu</t>
  </si>
  <si>
    <t>Varaprasad Kalla</t>
  </si>
  <si>
    <t>Kurukuti Ramesh</t>
  </si>
  <si>
    <t>Assistant Project Manager - Structures</t>
  </si>
  <si>
    <t>Shaik Mahaboob</t>
  </si>
  <si>
    <t>Manager - Safety</t>
  </si>
  <si>
    <t>Basheer Shaik</t>
  </si>
  <si>
    <t>LISMB-21</t>
  </si>
  <si>
    <t>Fresher</t>
  </si>
  <si>
    <t>Waliur Rehman</t>
  </si>
  <si>
    <t>BIM Modeler</t>
  </si>
  <si>
    <t>Mohammad Rashid</t>
  </si>
  <si>
    <t>Purna Chandu</t>
  </si>
  <si>
    <t>DIPANKAR BEJ</t>
  </si>
  <si>
    <t>BRUNDABAN JENA</t>
  </si>
  <si>
    <t>KRISHNENDU MONDAL</t>
  </si>
  <si>
    <t>Kanchan Pandey</t>
  </si>
  <si>
    <t>POTLURI SRINADH</t>
  </si>
  <si>
    <t>Mukesh Nayak</t>
  </si>
  <si>
    <t>Giri Prasad</t>
  </si>
  <si>
    <t>Nagababu L</t>
  </si>
  <si>
    <t>Senior Executive</t>
  </si>
  <si>
    <t>A Sai Kumar</t>
  </si>
  <si>
    <t>W3-07</t>
  </si>
  <si>
    <t>Engineer - Tunnel </t>
  </si>
  <si>
    <t>Atul Kumar</t>
  </si>
  <si>
    <t>Mitlesh Kumar Sharma</t>
  </si>
  <si>
    <t>W3-06</t>
  </si>
  <si>
    <t>Senior Engineer - Tunnel </t>
  </si>
  <si>
    <t>Vidhya Chander</t>
  </si>
  <si>
    <t>Ayan Panja</t>
  </si>
  <si>
    <t>W3-12</t>
  </si>
  <si>
    <t>Abhijeet Singh Dikhit</t>
  </si>
  <si>
    <t>W3-11</t>
  </si>
  <si>
    <t>Krishna Rehan Singh</t>
  </si>
  <si>
    <t>ANUP KUMAR</t>
  </si>
  <si>
    <t>KEWAL KRISHAN</t>
  </si>
  <si>
    <t>VIJAY KR RAWANI</t>
  </si>
  <si>
    <t>W3-02</t>
  </si>
  <si>
    <t>SAHILENDRA KUMAR PAL</t>
  </si>
  <si>
    <t>ABHISHEK SINGH</t>
  </si>
  <si>
    <t>W3-08</t>
  </si>
  <si>
    <t>Blaster</t>
  </si>
  <si>
    <t>RAKESH RAJBHAR</t>
  </si>
  <si>
    <t>Ankamma Rao Yamparala</t>
  </si>
  <si>
    <t>W3-04</t>
  </si>
  <si>
    <t>Geologist  Tunnel</t>
  </si>
  <si>
    <t>PONNURI VEERANJANEYULU</t>
  </si>
  <si>
    <t>JINAGA HARISH</t>
  </si>
  <si>
    <t>W4-08</t>
  </si>
  <si>
    <t>RajaRam Kumar Yadav</t>
  </si>
  <si>
    <t>ERP Executive</t>
  </si>
  <si>
    <t>K. Veeranjaneeyulu</t>
  </si>
  <si>
    <t>LISMB-20</t>
  </si>
  <si>
    <t>N. Lakshman Gopi</t>
  </si>
  <si>
    <t>Basetty Vasudev</t>
  </si>
  <si>
    <t>K N V Satyanarayana</t>
  </si>
  <si>
    <t>Yekula Sai Rajesh</t>
  </si>
  <si>
    <t>Assistant Manager(QS/Billing/Planning)</t>
  </si>
  <si>
    <t>Kosuru Rajesh</t>
  </si>
  <si>
    <t>LISMB-16</t>
  </si>
  <si>
    <t>Mr. RATNA TILAK</t>
  </si>
  <si>
    <t>Suresh</t>
  </si>
  <si>
    <t>Peta Dilli Prasad Reddy</t>
  </si>
  <si>
    <t xml:space="preserve">Junior Engineer </t>
  </si>
  <si>
    <t>Keshab Chandra Manna</t>
  </si>
  <si>
    <t>Ramnath Kumar Yadav</t>
  </si>
  <si>
    <t>Sr. Supervior</t>
  </si>
  <si>
    <t>Arun Kumar Mandal</t>
  </si>
  <si>
    <t>Prudhivi Prakash</t>
  </si>
  <si>
    <t>DNVVV Prasad</t>
  </si>
  <si>
    <t>ADCL-70</t>
  </si>
  <si>
    <t>Md Mobin Ansari</t>
  </si>
  <si>
    <t>Neelesh Sharma</t>
  </si>
  <si>
    <t>Puran Singh Dhakar</t>
  </si>
  <si>
    <t>Arvind Dubay</t>
  </si>
  <si>
    <t>Saikiran Maganti</t>
  </si>
  <si>
    <t>Technical Assistant</t>
  </si>
  <si>
    <t>M Venkata Reddy</t>
  </si>
  <si>
    <t>Umesh Royyala</t>
  </si>
  <si>
    <t>Y Penchalaiah</t>
  </si>
  <si>
    <t>Sridhar</t>
  </si>
  <si>
    <t>DURGADATTA MISHRA</t>
  </si>
  <si>
    <t>W3-05</t>
  </si>
  <si>
    <t>Engineer - Electrical  </t>
  </si>
  <si>
    <t>Satyam Kumar Dwivedi</t>
  </si>
  <si>
    <t>Ishant Raj</t>
  </si>
  <si>
    <t>W4-03</t>
  </si>
  <si>
    <t>SUMAN KUMAR JHA</t>
  </si>
  <si>
    <t>W3-10</t>
  </si>
  <si>
    <t>AJAY KUMAR</t>
  </si>
  <si>
    <t>Kolli Teja</t>
  </si>
  <si>
    <t>Redeppa Yaddula</t>
  </si>
  <si>
    <t>GP-52</t>
  </si>
  <si>
    <t>Senior Engineer - QS &amp; Planning</t>
  </si>
  <si>
    <t>MURUGAVEL R</t>
  </si>
  <si>
    <t>W3-27</t>
  </si>
  <si>
    <t>Rana Anshuman Vikram Singh</t>
  </si>
  <si>
    <t>W3-28</t>
  </si>
  <si>
    <t>Assistant Manager - Structures</t>
  </si>
  <si>
    <t>Pal Singh</t>
  </si>
  <si>
    <t>RIJIL OTHI KANDY</t>
  </si>
  <si>
    <t>W3-13</t>
  </si>
  <si>
    <t>Assistant Project Manager - Civil</t>
  </si>
  <si>
    <t>Aamir Khan</t>
  </si>
  <si>
    <t>W3-83</t>
  </si>
  <si>
    <t>Sajid Ali</t>
  </si>
  <si>
    <t>W3-31</t>
  </si>
  <si>
    <t>Punit Kumar</t>
  </si>
  <si>
    <t>W3-32</t>
  </si>
  <si>
    <t>Sunil Kumar Gupta</t>
  </si>
  <si>
    <t>Parbir Benarjee</t>
  </si>
  <si>
    <t>W3-33</t>
  </si>
  <si>
    <t>W3-34</t>
  </si>
  <si>
    <t>Adarash Kumar</t>
  </si>
  <si>
    <t>Sougata Dey</t>
  </si>
  <si>
    <t>W3-35</t>
  </si>
  <si>
    <t>Mohan Kumar Anand</t>
  </si>
  <si>
    <t>Shahnawaj Alam</t>
  </si>
  <si>
    <t>W3-38</t>
  </si>
  <si>
    <t>RAMJEE TIWARI</t>
  </si>
  <si>
    <t>W3-37</t>
  </si>
  <si>
    <t>MITHILESH KUMAR</t>
  </si>
  <si>
    <t>Mainpal Kumar Parajapati</t>
  </si>
  <si>
    <t>SURAPATHI RAMCHAITANYA</t>
  </si>
  <si>
    <t>W3-16</t>
  </si>
  <si>
    <t>Bablu Gayen</t>
  </si>
  <si>
    <t>W3-17</t>
  </si>
  <si>
    <t>Dhirendra kumar</t>
  </si>
  <si>
    <t>Arnab De</t>
  </si>
  <si>
    <t>Rahul Mishra</t>
  </si>
  <si>
    <t>W3-18</t>
  </si>
  <si>
    <t>Pravin Kumar singh</t>
  </si>
  <si>
    <t>Pradeep Saste</t>
  </si>
  <si>
    <t>W3-15</t>
  </si>
  <si>
    <t xml:space="preserve">Ch .Hemadhri VeeraJagannadha Rao	</t>
  </si>
  <si>
    <t xml:space="preserve">Environmental Manager	</t>
  </si>
  <si>
    <t>Nilanchal Nayak</t>
  </si>
  <si>
    <t>Ganesh Prasad Kushwaha</t>
  </si>
  <si>
    <t>Bogem Omkar</t>
  </si>
  <si>
    <t>Jasvant</t>
  </si>
  <si>
    <t>Kalipindi Subbu naidu</t>
  </si>
  <si>
    <t>Nagireddy Krishna Kishore Reddy</t>
  </si>
  <si>
    <t>Shashi Bhushan Kumar</t>
  </si>
  <si>
    <t>Vikash Singh</t>
  </si>
  <si>
    <t>Shubham Pahariya</t>
  </si>
  <si>
    <t>W4-11</t>
  </si>
  <si>
    <t>Prabhat</t>
  </si>
  <si>
    <t>Senior Mechanical Engineer</t>
  </si>
  <si>
    <t>Mamidi Sivaji</t>
  </si>
  <si>
    <t>Jr.Engineer - P&amp;M</t>
  </si>
  <si>
    <t>Bolla Vishnu Sai</t>
  </si>
  <si>
    <t>ADCL-46</t>
  </si>
  <si>
    <t>Trainee Executive- Admin</t>
  </si>
  <si>
    <t>Baipureddy Satish</t>
  </si>
  <si>
    <t>Enginer - P&amp;M</t>
  </si>
  <si>
    <t>Ashraful Alam Khan</t>
  </si>
  <si>
    <t>Attar Akbar Khudbuddin</t>
  </si>
  <si>
    <t>JP Venkata Ramana</t>
  </si>
  <si>
    <t>Pradipta kumar Bidanta</t>
  </si>
  <si>
    <t>Ashok Kumar Patel</t>
  </si>
  <si>
    <t>Umesh Kumar Singh</t>
  </si>
  <si>
    <t>LISMB-13</t>
  </si>
  <si>
    <t>Umesh Kewat</t>
  </si>
  <si>
    <t>LISMB-14</t>
  </si>
  <si>
    <t>SRINIVASULU VADLAMUDI</t>
  </si>
  <si>
    <t>Rayanaki Naveen</t>
  </si>
  <si>
    <t>Bagana Murali Krishna </t>
  </si>
  <si>
    <t>Gangadhar</t>
  </si>
  <si>
    <t>Ravikumar Ahirwar</t>
  </si>
  <si>
    <t>SJ-02</t>
  </si>
  <si>
    <t>Mr. Shrish Deo</t>
  </si>
  <si>
    <t>Shravan Kumar Sahani </t>
  </si>
  <si>
    <t>Pradeep Prasad </t>
  </si>
  <si>
    <t>NG-04</t>
  </si>
  <si>
    <t>Gurindapalli Rajasekhar</t>
  </si>
  <si>
    <t>LISMB-15</t>
  </si>
  <si>
    <t>Prakerla Hari Prasad</t>
  </si>
  <si>
    <t>LISMB-12</t>
  </si>
  <si>
    <t>Vishal Sharma</t>
  </si>
  <si>
    <t>CBCMP-84</t>
  </si>
  <si>
    <t>B .Praveen Kumar</t>
  </si>
  <si>
    <t>ADCL-61</t>
  </si>
  <si>
    <t>Assistant MEP Manager</t>
  </si>
  <si>
    <t>Matla Satya Saikumar</t>
  </si>
  <si>
    <t>Cluster Manager – Rooftop Solar Projects</t>
  </si>
  <si>
    <t>V Suresh Kumar Naidu</t>
  </si>
  <si>
    <t>RamBabu Sah</t>
  </si>
  <si>
    <t>W4-06</t>
  </si>
  <si>
    <t>Senior Assistant</t>
  </si>
  <si>
    <t xml:space="preserve">Pasupula Manikantha Yadav	</t>
  </si>
  <si>
    <t>Asst Quantity Surveyor</t>
  </si>
  <si>
    <t>Potabattula laxmanarao</t>
  </si>
  <si>
    <t>Thirupathi Reddy Kommidi</t>
  </si>
  <si>
    <t>Veeri Upendra</t>
  </si>
  <si>
    <t>ADCL-60</t>
  </si>
  <si>
    <t>First Aider</t>
  </si>
  <si>
    <t>Ghanshyam</t>
  </si>
  <si>
    <t>Sudhir Babu Chukka</t>
  </si>
  <si>
    <t>Dy Manager (QS)</t>
  </si>
  <si>
    <t>Swarna Harish</t>
  </si>
  <si>
    <t>Mulikanti Yugander</t>
  </si>
  <si>
    <t>Quantity &amp; Billing Engineer</t>
  </si>
  <si>
    <t>Medarajula Shashank.</t>
  </si>
  <si>
    <t>Sr Engineer-(CAD Billing)</t>
  </si>
  <si>
    <t>Soumitra Maity</t>
  </si>
  <si>
    <t>Civil Engineer (Billing &amp;Planning).</t>
  </si>
  <si>
    <t>Mayur Mittal</t>
  </si>
  <si>
    <t>V.NARASIMHA REDDY</t>
  </si>
  <si>
    <t>S RAKESH</t>
  </si>
  <si>
    <t>KAMAL KANT</t>
  </si>
  <si>
    <t>W3-01</t>
  </si>
  <si>
    <t>RAUSHAN KUMAR</t>
  </si>
  <si>
    <t>RAHUL SINGH</t>
  </si>
  <si>
    <t>Vishal Kumar </t>
  </si>
  <si>
    <t>SUMIT KUMAR</t>
  </si>
  <si>
    <t>Manish Kumar Singh</t>
  </si>
  <si>
    <t>W4-07</t>
  </si>
  <si>
    <t>ARVIND YADAV</t>
  </si>
  <si>
    <t>JEETU RAM KHICHAR</t>
  </si>
  <si>
    <t>Krishna  P Rimal </t>
  </si>
  <si>
    <t>W4-39</t>
  </si>
  <si>
    <t>Joginer Singh</t>
  </si>
  <si>
    <t>Vinod Kumar</t>
  </si>
  <si>
    <t>W4-10</t>
  </si>
  <si>
    <t>Mitlesh Pal</t>
  </si>
  <si>
    <t>W3-19</t>
  </si>
  <si>
    <t>Professional Security Services</t>
  </si>
  <si>
    <t>Pradip Kumar Mahato</t>
  </si>
  <si>
    <t>W3-30</t>
  </si>
  <si>
    <t>Sr.Engineer - Structures</t>
  </si>
  <si>
    <t>ANIRBAN KHANRA</t>
  </si>
  <si>
    <t>Monoj Mohinder</t>
  </si>
  <si>
    <t>SACHIN CHAUBEY</t>
  </si>
  <si>
    <t>UJJWAL BERA</t>
  </si>
  <si>
    <t xml:space="preserve">PRASENJIT SENGUPTA </t>
  </si>
  <si>
    <t>SUBHANKAR NEOGY</t>
  </si>
  <si>
    <t>Bappa Chanak</t>
  </si>
  <si>
    <t>Suveyor</t>
  </si>
  <si>
    <t>Sk. Hasibul</t>
  </si>
  <si>
    <t>Arindam Khanra</t>
  </si>
  <si>
    <t>W3-24</t>
  </si>
  <si>
    <t>Sombuddha Dey</t>
  </si>
  <si>
    <t>Rinku Barman</t>
  </si>
  <si>
    <t>W3-25</t>
  </si>
  <si>
    <t>LAKSHMAN SAMAI</t>
  </si>
  <si>
    <t>Shyam Sankar Das</t>
  </si>
  <si>
    <t xml:space="preserve">Jitendra Kumar sahu </t>
  </si>
  <si>
    <t>W3-47</t>
  </si>
  <si>
    <t>Store officer</t>
  </si>
  <si>
    <t>Samsuddin</t>
  </si>
  <si>
    <t>Ajit yadav</t>
  </si>
  <si>
    <t>SJ-06</t>
  </si>
  <si>
    <t>Suraj kumar prasad</t>
  </si>
  <si>
    <t>W3-48</t>
  </si>
  <si>
    <t>Athar Husain</t>
  </si>
  <si>
    <t>W3-49</t>
  </si>
  <si>
    <t xml:space="preserve">Store Assiatant </t>
  </si>
  <si>
    <t>Durgesh Kumar Srivastav</t>
  </si>
  <si>
    <t>CBCMP-80</t>
  </si>
  <si>
    <t>W3-50</t>
  </si>
  <si>
    <t>Pavan kumar sahu</t>
  </si>
  <si>
    <t>W3-51</t>
  </si>
  <si>
    <t xml:space="preserve">Weighbridge Operator </t>
  </si>
  <si>
    <t>Vishal Kumar Chaudhary</t>
  </si>
  <si>
    <t>CBCMP-149</t>
  </si>
  <si>
    <t>Rahul Singh</t>
  </si>
  <si>
    <t>Shitesh Kumar</t>
  </si>
  <si>
    <t>CBCMP-151</t>
  </si>
  <si>
    <t>CBCMP-150</t>
  </si>
  <si>
    <t>Mohammad Tahir</t>
  </si>
  <si>
    <t>CBCMP-98</t>
  </si>
  <si>
    <t>Rahul Kumar Rai</t>
  </si>
  <si>
    <t>W4-04</t>
  </si>
  <si>
    <t>Engineer - QA/QC </t>
  </si>
  <si>
    <t>SOURABH MEHRA</t>
  </si>
  <si>
    <t>HIMANSHU GUPTA</t>
  </si>
  <si>
    <t>SAMIR KUMAR SETHI</t>
  </si>
  <si>
    <t>BHEEM SINGH</t>
  </si>
  <si>
    <t>W4-05</t>
  </si>
  <si>
    <t>Senior Lab Technician QA/QC</t>
  </si>
  <si>
    <t>Gyanendra Kumar</t>
  </si>
  <si>
    <t>CBCMP-138</t>
  </si>
  <si>
    <t>Rongala Durga Prasad</t>
  </si>
  <si>
    <t>Akshit Tyagi</t>
  </si>
  <si>
    <t>CBCMP-139</t>
  </si>
  <si>
    <t>Sanjeev Kumar</t>
  </si>
  <si>
    <t>Naresh Kumar</t>
  </si>
  <si>
    <t>CBCMP-97</t>
  </si>
  <si>
    <t>J Ashok Kumar Naik</t>
  </si>
  <si>
    <t>Konduri Satya Sai Kumar</t>
  </si>
  <si>
    <t>Durgesh Kharte</t>
  </si>
  <si>
    <t>CBCMP-152</t>
  </si>
  <si>
    <t>Ashish Rajbhar</t>
  </si>
  <si>
    <t>Mukesh Namdev</t>
  </si>
  <si>
    <t>W3-26</t>
  </si>
  <si>
    <t>Manager - Structures</t>
  </si>
  <si>
    <t>Venkateswara Rao J</t>
  </si>
  <si>
    <t>Amit Kumar Ram</t>
  </si>
  <si>
    <t xml:space="preserve">Ashok Kumar </t>
  </si>
  <si>
    <t>SNVD Prasadarao Nandigam</t>
  </si>
  <si>
    <t>ADCL-62</t>
  </si>
  <si>
    <t>Manager Loss Prevention</t>
  </si>
  <si>
    <t>B.Mohana Rao</t>
  </si>
  <si>
    <t>Indian Army Veteran(EX)</t>
  </si>
  <si>
    <t>Battina Lokesh</t>
  </si>
  <si>
    <t>Accounts Executive</t>
  </si>
  <si>
    <t>G.MahaVeer</t>
  </si>
  <si>
    <t>Account Assistant</t>
  </si>
  <si>
    <t>PURAB JYOTI SHARMA</t>
  </si>
  <si>
    <t>CBCMP-101</t>
  </si>
  <si>
    <t>CBCMP-102</t>
  </si>
  <si>
    <t>SWAPAN KUMAR SINGH</t>
  </si>
  <si>
    <t>GANESH CHHETRI</t>
  </si>
  <si>
    <t>SUNIL KUMAR JANGID</t>
  </si>
  <si>
    <t>CBCMP-103</t>
  </si>
  <si>
    <t>Ankur Singh</t>
  </si>
  <si>
    <t>ANURAG NEGI</t>
  </si>
  <si>
    <t>CBCMP-99</t>
  </si>
  <si>
    <t>Nikhil Gauttam</t>
  </si>
  <si>
    <t>DINESH SINGH KOTHIYAL</t>
  </si>
  <si>
    <t>Thadi Chandra Ganesh</t>
  </si>
  <si>
    <t>CBCMP-100</t>
  </si>
  <si>
    <t>Awanish Kumar Kautish</t>
  </si>
  <si>
    <t>Dheerendra Kumar</t>
  </si>
  <si>
    <t>CHIRANJIT DAS</t>
  </si>
  <si>
    <t>CBCMP-253</t>
  </si>
  <si>
    <t>W3-14</t>
  </si>
  <si>
    <t>Chandhan Kumar Chaudhary</t>
  </si>
  <si>
    <t>Guggilapu KurmaRao</t>
  </si>
  <si>
    <t>LISMB-19</t>
  </si>
  <si>
    <t xml:space="preserve">Ravi Kumar Etcherla	</t>
  </si>
  <si>
    <t xml:space="preserve">Deputy Manager	</t>
  </si>
  <si>
    <t>D.Sandeep Kumar</t>
  </si>
  <si>
    <t>Senior Engineer-Project Coordinator.</t>
  </si>
  <si>
    <t>JagadishKumar Dhaniyala</t>
  </si>
  <si>
    <t>Y V Sai SatyaNarayana</t>
  </si>
  <si>
    <t>Head-HR&amp;Admin</t>
  </si>
  <si>
    <t>Ravi Kumar Kavilga</t>
  </si>
  <si>
    <t>Manager HR,Admin &amp; Liasion</t>
  </si>
  <si>
    <t>Haribabu Vemala</t>
  </si>
  <si>
    <t>CBCMP-165</t>
  </si>
  <si>
    <t>Md Zafar Alam</t>
  </si>
  <si>
    <t>Balija Bheemanna Goud</t>
  </si>
  <si>
    <t>CBCMP-167</t>
  </si>
  <si>
    <t>Sangram Keshari Jena</t>
  </si>
  <si>
    <t>Shubham Srivastava</t>
  </si>
  <si>
    <t>Ganesh Kadam</t>
  </si>
  <si>
    <t>CBCMP-143</t>
  </si>
  <si>
    <t>D Subramanyam</t>
  </si>
  <si>
    <t>CBCMP-142</t>
  </si>
  <si>
    <t>J.Naveen Kumar</t>
  </si>
  <si>
    <t>RO-24</t>
  </si>
  <si>
    <t>Venkat Naneedi</t>
  </si>
  <si>
    <t>Sr QS   &amp; Billing Engineer</t>
  </si>
  <si>
    <t>Mahipal Reddy</t>
  </si>
  <si>
    <t>Sripal Reddy Erra</t>
  </si>
  <si>
    <t>CBCMP-148</t>
  </si>
  <si>
    <t>P S Karthick</t>
  </si>
  <si>
    <t>R Durga Prasad</t>
  </si>
  <si>
    <t>CBCMP-166</t>
  </si>
  <si>
    <t>Dansingh Dhakad</t>
  </si>
  <si>
    <t>Pariparthy Nagendrababu</t>
  </si>
  <si>
    <t>Baliram Singh</t>
  </si>
  <si>
    <t>CBCMP-168</t>
  </si>
  <si>
    <t>Suraj Deva</t>
  </si>
  <si>
    <t>Chityala Shankar</t>
  </si>
  <si>
    <t>CBCMP-153</t>
  </si>
  <si>
    <t>Alok Kumar</t>
  </si>
  <si>
    <t>Ankit Nigam</t>
  </si>
  <si>
    <t>CBCMP-177</t>
  </si>
  <si>
    <t>Raju Malakar</t>
  </si>
  <si>
    <t>CBCMP-114</t>
  </si>
  <si>
    <t>Assistant Const. Manager</t>
  </si>
  <si>
    <t>Yogendra Singh Chouhan</t>
  </si>
  <si>
    <t>CBCMP-115</t>
  </si>
  <si>
    <t>Asharam Rathore</t>
  </si>
  <si>
    <t>Himanshu Sharma</t>
  </si>
  <si>
    <t>CBCMP-117</t>
  </si>
  <si>
    <t>Siva Koppana</t>
  </si>
  <si>
    <t>Pushpendra Kumar Tiwari</t>
  </si>
  <si>
    <t>CBCMP-121</t>
  </si>
  <si>
    <t xml:space="preserve">Mithilesh Kumar Tiwari </t>
  </si>
  <si>
    <t>Dumpala Sudhakara Reddy</t>
  </si>
  <si>
    <t>Foreman - Civil</t>
  </si>
  <si>
    <t>M N B S Anvith</t>
  </si>
  <si>
    <t>Planning and Quantity Surveyor</t>
  </si>
  <si>
    <t>B. Bala Siva Sasank</t>
  </si>
  <si>
    <t>Gireesh K.</t>
  </si>
  <si>
    <t>Senior Engineer/Manager (Planning &amp; Billing)</t>
  </si>
  <si>
    <t>Dipankar Barman</t>
  </si>
  <si>
    <t>Anwar</t>
  </si>
  <si>
    <t>CBCMP-140</t>
  </si>
  <si>
    <t>Dharm Singh</t>
  </si>
  <si>
    <t>Hari Om</t>
  </si>
  <si>
    <t>CBCMP-141</t>
  </si>
  <si>
    <t>Garaga Nani</t>
  </si>
  <si>
    <t>Jay Negi</t>
  </si>
  <si>
    <t>CBCMP-144</t>
  </si>
  <si>
    <t>Kamlesh Kumar</t>
  </si>
  <si>
    <t>Gulam Sarwar</t>
  </si>
  <si>
    <t>AM-24</t>
  </si>
  <si>
    <t>Senior Engineer - QS </t>
  </si>
  <si>
    <t>RITWIK DAS ADHIKARI</t>
  </si>
  <si>
    <t>N. VENKATESH</t>
  </si>
  <si>
    <t>PERNATI CHENNAKESAVULU</t>
  </si>
  <si>
    <t xml:space="preserve">Subrat Kumar Jena	</t>
  </si>
  <si>
    <t xml:space="preserve">Billing Engineer	</t>
  </si>
  <si>
    <t>Amit Kumar Sah</t>
  </si>
  <si>
    <t xml:space="preserve">Engineer - Electrical  </t>
  </si>
  <si>
    <t>CBCMP-172</t>
  </si>
  <si>
    <t>Nithish Kumar singh</t>
  </si>
  <si>
    <t>CBCMP-85</t>
  </si>
  <si>
    <t>Nirpat singh</t>
  </si>
  <si>
    <t>CBCMP-86</t>
  </si>
  <si>
    <t>Abhishek</t>
  </si>
  <si>
    <t>Safey Officer</t>
  </si>
  <si>
    <t>Arun</t>
  </si>
  <si>
    <t>Ashfak ali</t>
  </si>
  <si>
    <t>Sr. Safety supervisor</t>
  </si>
  <si>
    <t>CBCMP-88</t>
  </si>
  <si>
    <t>Ramu kumar</t>
  </si>
  <si>
    <t>Devasis Behara</t>
  </si>
  <si>
    <t>CBCMP-155</t>
  </si>
  <si>
    <t>Sanka Divakar</t>
  </si>
  <si>
    <t>Pius Koley</t>
  </si>
  <si>
    <t>CBCMP-169</t>
  </si>
  <si>
    <t>Anirban Dey</t>
  </si>
  <si>
    <t>Piyush Negi</t>
  </si>
  <si>
    <t>Pushpendra</t>
  </si>
  <si>
    <t>CBCMP-78</t>
  </si>
  <si>
    <t xml:space="preserve"> Sr.Store Executive</t>
  </si>
  <si>
    <t>Amrendra</t>
  </si>
  <si>
    <t>Khelannd</t>
  </si>
  <si>
    <t>CBCMP-79</t>
  </si>
  <si>
    <t>Vipin Sukla</t>
  </si>
  <si>
    <t>Store incharge</t>
  </si>
  <si>
    <t>Krishnan</t>
  </si>
  <si>
    <t>ADCL-182</t>
  </si>
  <si>
    <t>Kaushal</t>
  </si>
  <si>
    <t>CBCMP-171</t>
  </si>
  <si>
    <t>Prasanth Kumar</t>
  </si>
  <si>
    <t>Medical Officer</t>
  </si>
  <si>
    <t>Mallepogu Shanthi Raju</t>
  </si>
  <si>
    <t>Primary Hospital Staff Nurse</t>
  </si>
  <si>
    <t>Vinayaka Rao Nakka</t>
  </si>
  <si>
    <t>KATIKA MAHESH RAO</t>
  </si>
  <si>
    <t>VAIBHAV BARWAD</t>
  </si>
  <si>
    <t>Senior Engineer QS &amp; Billing </t>
  </si>
  <si>
    <t>Pankaj Bhave</t>
  </si>
  <si>
    <t>Engineer Billing </t>
  </si>
  <si>
    <t>M.V.S. PAVAN KUMAR</t>
  </si>
  <si>
    <t>M.Rajaram</t>
  </si>
  <si>
    <t>Ashutosh Bhatt</t>
  </si>
  <si>
    <t>M.ChinnaDurai</t>
  </si>
  <si>
    <t>ADCL-162</t>
  </si>
  <si>
    <t>Upendra Varma Uppalapati</t>
  </si>
  <si>
    <t>Killi Mohan Rao</t>
  </si>
  <si>
    <t>ADCL-158</t>
  </si>
  <si>
    <t>V Narasimha Rao</t>
  </si>
  <si>
    <t>Sukranth Kali</t>
  </si>
  <si>
    <t>Sr Engineer-Highways</t>
  </si>
  <si>
    <t>R KalaiSelvan</t>
  </si>
  <si>
    <t>Abhishek Pandey </t>
  </si>
  <si>
    <t>Mr. Shyam Kuraode</t>
  </si>
  <si>
    <t>Sandip Sanjay Birasis</t>
  </si>
  <si>
    <t>Rahul Chakraborty</t>
  </si>
  <si>
    <t>Engineer Mechanical (O&amp;M)</t>
  </si>
  <si>
    <t>Suvam Behera</t>
  </si>
  <si>
    <t>Dipti Ranjan Pal</t>
  </si>
  <si>
    <t>W4-18</t>
  </si>
  <si>
    <t>Data Entry Operator </t>
  </si>
  <si>
    <t>Mr. Siva</t>
  </si>
  <si>
    <t>Cherukuri Nagulu</t>
  </si>
  <si>
    <t>LINGAGIRI NAVEEN SHARMA</t>
  </si>
  <si>
    <t>SREEMREDDY SANYASI NAIDU</t>
  </si>
  <si>
    <t>J R NARESH</t>
  </si>
  <si>
    <t>Abhya Nand Singh</t>
  </si>
  <si>
    <t>CBCMP-64</t>
  </si>
  <si>
    <t>Kanchan Chatterjee</t>
  </si>
  <si>
    <t>Satendra Singh Rajput</t>
  </si>
  <si>
    <t>CBCMP-70</t>
  </si>
  <si>
    <t>SACHIN BIRADAR</t>
  </si>
  <si>
    <t>W4-01</t>
  </si>
  <si>
    <t>Engineer - QS </t>
  </si>
  <si>
    <t>Veer Partap Singh</t>
  </si>
  <si>
    <t>HARIPADA ROY</t>
  </si>
  <si>
    <t xml:space="preserve"> Paladugu Vishnu Teja</t>
  </si>
  <si>
    <t>Naidu Vamsi Krishna</t>
  </si>
  <si>
    <t>Kalari Raja Ramesh</t>
  </si>
  <si>
    <t>CBCMP-73</t>
  </si>
  <si>
    <t>Sagar Kumar Singh</t>
  </si>
  <si>
    <t>Rabindra Yadav</t>
  </si>
  <si>
    <t>P DIleep Kumar</t>
  </si>
  <si>
    <t>Assistant Manager cum Project coordinator</t>
  </si>
  <si>
    <t>M.Syama Sundara Rao</t>
  </si>
  <si>
    <t>Deputy Project Manager (Roads &amp;Drains)</t>
  </si>
  <si>
    <t>Sanjay Kumar Maurya</t>
  </si>
  <si>
    <t>CBCMP-163</t>
  </si>
  <si>
    <t>Gunda Bucha Goud</t>
  </si>
  <si>
    <t>Hari Narayan</t>
  </si>
  <si>
    <t>CBCMP-174</t>
  </si>
  <si>
    <t>Rahul Yadav</t>
  </si>
  <si>
    <t>Abhishek Bhat</t>
  </si>
  <si>
    <t>CBCMP-125</t>
  </si>
  <si>
    <t>Abrar Ahmad</t>
  </si>
  <si>
    <t>Amarjeet Kumar</t>
  </si>
  <si>
    <t>CBCMP-126</t>
  </si>
  <si>
    <t>Prateek Kumar Singh</t>
  </si>
  <si>
    <t xml:space="preserve">Rahul   </t>
  </si>
  <si>
    <t>Lokesh Kumar</t>
  </si>
  <si>
    <t>Santhosh Raj C</t>
  </si>
  <si>
    <t xml:space="preserve">Vishal Kumar   </t>
  </si>
  <si>
    <t>Shekhar Kashyap</t>
  </si>
  <si>
    <t>Saurav Pal</t>
  </si>
  <si>
    <t>CBCMP-127</t>
  </si>
  <si>
    <t>Abhishek Chaudhary</t>
  </si>
  <si>
    <t>Manish Sharma</t>
  </si>
  <si>
    <t>Mohan Kumar</t>
  </si>
  <si>
    <t>CBCMP-128</t>
  </si>
  <si>
    <t>Viivek Kumar</t>
  </si>
  <si>
    <t>Dharmraj Kumar</t>
  </si>
  <si>
    <t>Rupesh Kumar</t>
  </si>
  <si>
    <t>CBCMP-129</t>
  </si>
  <si>
    <t>Rijwan Ahmad</t>
  </si>
  <si>
    <t>Lokendra Kumar</t>
  </si>
  <si>
    <t>KONKI SAI KUMAR</t>
  </si>
  <si>
    <t>AJAY KUMAR SINGH</t>
  </si>
  <si>
    <t>W3-46</t>
  </si>
  <si>
    <t xml:space="preserve"> Store executive </t>
  </si>
  <si>
    <t>Pankaj Kumar Sahni</t>
  </si>
  <si>
    <t>Ashutosh kumar</t>
  </si>
  <si>
    <t>Store executive</t>
  </si>
  <si>
    <t>Pawan Sen</t>
  </si>
  <si>
    <t xml:space="preserve">Sr Store executive </t>
  </si>
  <si>
    <t>JAY MANGAL</t>
  </si>
  <si>
    <t xml:space="preserve"> Store incharge</t>
  </si>
  <si>
    <t>Arindam Mondal</t>
  </si>
  <si>
    <t>Ranju Roy</t>
  </si>
  <si>
    <t>Asst. Store Keeper</t>
  </si>
  <si>
    <t>Aman Gupta</t>
  </si>
  <si>
    <t>Manish singh</t>
  </si>
  <si>
    <t>Ramen Palli</t>
  </si>
  <si>
    <t>Alik Kumar Brahma</t>
  </si>
  <si>
    <t>NG-05</t>
  </si>
  <si>
    <t>Senior Manager O&amp;M</t>
  </si>
  <si>
    <t>W3-42</t>
  </si>
  <si>
    <t>Manoj Kumar</t>
  </si>
  <si>
    <t>Daram Brahma Reddy</t>
  </si>
  <si>
    <t>Nanda Bishai</t>
  </si>
  <si>
    <t>Jeetendra</t>
  </si>
  <si>
    <t>CBCMP-162</t>
  </si>
  <si>
    <t>HIRDYANAND YADAV</t>
  </si>
  <si>
    <t>CBCMP-105</t>
  </si>
  <si>
    <t>SAFETY OFFICER</t>
  </si>
  <si>
    <t>Aman alam</t>
  </si>
  <si>
    <t>SAFETY SUPERVISOR</t>
  </si>
  <si>
    <t>Suhadip Das</t>
  </si>
  <si>
    <t>W4-14</t>
  </si>
  <si>
    <t>Commercial Executive</t>
  </si>
  <si>
    <t>Allu Narayan Rao</t>
  </si>
  <si>
    <t>Senior Store Executive</t>
  </si>
  <si>
    <t>Ganesh Chikate</t>
  </si>
  <si>
    <t>Rajesh </t>
  </si>
  <si>
    <t>Santosh Singh Gond</t>
  </si>
  <si>
    <t>Amresh Kumar</t>
  </si>
  <si>
    <t>Gantala Trinadha</t>
  </si>
  <si>
    <t>Gopal Tiwari</t>
  </si>
  <si>
    <t>Highway Foremen</t>
  </si>
  <si>
    <t>Lenka Vijaya Mohan</t>
  </si>
  <si>
    <t>Foreman (Highway)</t>
  </si>
  <si>
    <t>Sukhavasi Tulasi Ram</t>
  </si>
  <si>
    <t>Prabhat Kumar</t>
  </si>
  <si>
    <t>Mayank Shukla</t>
  </si>
  <si>
    <t>DBL</t>
  </si>
  <si>
    <t>Gurcharan Singh</t>
  </si>
  <si>
    <t>Hanumant Bapurao Salunke.</t>
  </si>
  <si>
    <t>GEDDAM VASU</t>
  </si>
  <si>
    <t>Anubhav Jena</t>
  </si>
  <si>
    <t>SOUMEN KHANRA</t>
  </si>
  <si>
    <t>Aman Kumar Prajapathi</t>
  </si>
  <si>
    <t>Dipak kumar</t>
  </si>
  <si>
    <t>Sujeet Kumar Prajapathi</t>
  </si>
  <si>
    <t>W3-36</t>
  </si>
  <si>
    <t>ZAFAR IQBAL</t>
  </si>
  <si>
    <t>Agam Sodhiya</t>
  </si>
  <si>
    <t>Tata Projects</t>
  </si>
  <si>
    <t xml:space="preserve">Saleem </t>
  </si>
  <si>
    <t>W3-29</t>
  </si>
  <si>
    <t xml:space="preserve">Site Incharge </t>
  </si>
  <si>
    <t>Rushikesh Dhane</t>
  </si>
  <si>
    <t>Pawan Kumar Jha</t>
  </si>
  <si>
    <t>Manoj Kumar Singh</t>
  </si>
  <si>
    <t>Foreman - Structures</t>
  </si>
  <si>
    <t>Sanjeet Kumar Saha</t>
  </si>
  <si>
    <t>Piling Foreman</t>
  </si>
  <si>
    <t>Sanjeev Jaiswal</t>
  </si>
  <si>
    <t>W3-87</t>
  </si>
  <si>
    <t>Ashish Thakur</t>
  </si>
  <si>
    <t>CBCMP-119</t>
  </si>
  <si>
    <t>Amitava Sarkar</t>
  </si>
  <si>
    <t>Abdul Khalique Khan</t>
  </si>
  <si>
    <t>Surinder Kumar</t>
  </si>
  <si>
    <t>CBCMP-137</t>
  </si>
  <si>
    <t>HARNAM SINGH</t>
  </si>
  <si>
    <t xml:space="preserve">Engineer - QS </t>
  </si>
  <si>
    <t>Anuj Prakash</t>
  </si>
  <si>
    <t>W3-09</t>
  </si>
  <si>
    <t>Geologist - Tunnel</t>
  </si>
  <si>
    <t>JITENDRA SINGH</t>
  </si>
  <si>
    <t>Mukesh Kumar Keshri</t>
  </si>
  <si>
    <t>W4-02</t>
  </si>
  <si>
    <t>SOHAN SINGH NEGI</t>
  </si>
  <si>
    <t>Kartik Gussain</t>
  </si>
  <si>
    <t>Vinit kumar</t>
  </si>
  <si>
    <t>Arjun Singh</t>
  </si>
  <si>
    <t>Roshan Prajapati</t>
  </si>
  <si>
    <t>W4-16</t>
  </si>
  <si>
    <t>Anish Singh</t>
  </si>
  <si>
    <t>Chandrashekhar Singh</t>
  </si>
  <si>
    <t>Gaurav Singh </t>
  </si>
  <si>
    <t>W3-03</t>
  </si>
  <si>
    <t>RAVINDRA RAY</t>
  </si>
  <si>
    <t>PRANJAL MOUT</t>
  </si>
  <si>
    <t>Biswanath sarkar</t>
  </si>
  <si>
    <t>Gourab Sarkar</t>
  </si>
  <si>
    <t>Basant Kumar</t>
  </si>
  <si>
    <t>Mandeep Singh</t>
  </si>
  <si>
    <t>Horticulture Officer(Previously Supervisor)</t>
  </si>
  <si>
    <t>Sanjay Chourasia</t>
  </si>
  <si>
    <t>Vijay Kumar Singh</t>
  </si>
  <si>
    <t>Venugopal E</t>
  </si>
  <si>
    <t>Kadali Ramesh</t>
  </si>
  <si>
    <t>Senior Quantity Surveyor</t>
  </si>
  <si>
    <t>Ravula Ranjith</t>
  </si>
  <si>
    <t>LISMB-17</t>
  </si>
  <si>
    <t>Dupati Mahesh Babu</t>
  </si>
  <si>
    <t>M Gopala Krishna</t>
  </si>
  <si>
    <t>Anil Yadav</t>
  </si>
  <si>
    <t>Suribabu Kondaveeti</t>
  </si>
  <si>
    <t>Shahid Khan</t>
  </si>
  <si>
    <t> Supervisor</t>
  </si>
  <si>
    <t>VikasYadav</t>
  </si>
  <si>
    <t>Satyam Tiwari</t>
  </si>
  <si>
    <t>Sai Suresh Pusuluri</t>
  </si>
  <si>
    <t>Chief Mgr - II (Civil)</t>
  </si>
  <si>
    <t>DGM ( Engg) - PSP &amp; Hydro</t>
  </si>
  <si>
    <t>Amit Gorai</t>
  </si>
  <si>
    <t>Sr Mgr - Design</t>
  </si>
  <si>
    <t>Bishnupada Biswas</t>
  </si>
  <si>
    <t>Senior  Engineer</t>
  </si>
  <si>
    <t>Siddapangu Ramu</t>
  </si>
  <si>
    <t>Sayyed.Abdul Kareem</t>
  </si>
  <si>
    <t>ANANTA BISWAL</t>
  </si>
  <si>
    <t>Sree rama chari</t>
  </si>
  <si>
    <t>SRINIVASMURTHY THOTA</t>
  </si>
  <si>
    <t>RAGHVENDRA PRATAP SINGH</t>
  </si>
  <si>
    <t>KEDARSINGH</t>
  </si>
  <si>
    <t>Shivam Singh Bhagel</t>
  </si>
  <si>
    <t>DEEPAK KUMAR BAIRWA</t>
  </si>
  <si>
    <t>Deepak Singh</t>
  </si>
  <si>
    <t>W3-20</t>
  </si>
  <si>
    <t>W3-21</t>
  </si>
  <si>
    <t>Sujit Saha</t>
  </si>
  <si>
    <t>SUNIL KUMAR YADAV</t>
  </si>
  <si>
    <t>W3-22</t>
  </si>
  <si>
    <t>ANUJMANI TRIPATHI</t>
  </si>
  <si>
    <t>W3-23</t>
  </si>
  <si>
    <t>SK Ramjan Ali</t>
  </si>
  <si>
    <t>CBCMP-74</t>
  </si>
  <si>
    <t>Kalla Lavaraju</t>
  </si>
  <si>
    <t>ADCL-66</t>
  </si>
  <si>
    <t>Mr. Ravi Kokirala</t>
  </si>
  <si>
    <t>Omprakash Yadav</t>
  </si>
  <si>
    <t>ADCL-107</t>
  </si>
  <si>
    <t>Prasannakumar Lakaputi</t>
  </si>
  <si>
    <t>ADCL-65</t>
  </si>
  <si>
    <t>Paila Harish</t>
  </si>
  <si>
    <t>Sreekanth Reddy Putta</t>
  </si>
  <si>
    <t>Anuj Kumar Thakur</t>
  </si>
  <si>
    <t>Dokka Yeliya</t>
  </si>
  <si>
    <t>Mahendra Kumar</t>
  </si>
  <si>
    <t>Sravan Kumar Karri</t>
  </si>
  <si>
    <t>J.Krishnakanth</t>
  </si>
  <si>
    <t>KommaReddy Mohan</t>
  </si>
  <si>
    <t>Sachin</t>
  </si>
  <si>
    <t>Murugalla Suneel</t>
  </si>
  <si>
    <t>Geddam Srinivasa Rao</t>
  </si>
  <si>
    <t>P.Kutumbarao</t>
  </si>
  <si>
    <t>Hanuman Anantha</t>
  </si>
  <si>
    <t>B A Sai Kumar</t>
  </si>
  <si>
    <t>ADCL-105</t>
  </si>
  <si>
    <t>Subha Ranjan Pattnaik</t>
  </si>
  <si>
    <t>Asst Manager(Highway)</t>
  </si>
  <si>
    <t>N Venkatesh</t>
  </si>
  <si>
    <t>Duryodhanarao. Bammidi</t>
  </si>
  <si>
    <t>Sr Highway Engineer(Projects)</t>
  </si>
  <si>
    <t>Vavalapalli Manikanta</t>
  </si>
  <si>
    <t>Execution Engineer</t>
  </si>
  <si>
    <t xml:space="preserve">Kahu Charan Pradhan </t>
  </si>
  <si>
    <t>W4-09</t>
  </si>
  <si>
    <t xml:space="preserve">Weigh Bridge Operator </t>
  </si>
  <si>
    <t xml:space="preserve">Satheesh Parantham	</t>
  </si>
  <si>
    <t>Kappala Phanindra</t>
  </si>
  <si>
    <t>Deputy Project Manager (Structures)</t>
  </si>
  <si>
    <t>Harjinder Singh</t>
  </si>
  <si>
    <t>Kandrpa Bhatia</t>
  </si>
  <si>
    <t>Asst Project Manager</t>
  </si>
  <si>
    <t>NEELAGARI Ramana</t>
  </si>
  <si>
    <t>PLMC-07</t>
  </si>
  <si>
    <t>Valluri Rahul Son</t>
  </si>
  <si>
    <t>Krishna Mohan Jangir</t>
  </si>
  <si>
    <t>Srikanth Paspanuru</t>
  </si>
  <si>
    <t>Yogesh Patel</t>
  </si>
  <si>
    <t>Dhyanendra Tiwari</t>
  </si>
  <si>
    <t>Venkatesh Seetha</t>
  </si>
  <si>
    <t>ADCL-72</t>
  </si>
  <si>
    <t>Asst Mgr - Planning &amp; QS</t>
  </si>
  <si>
    <t>Chitanya Kumar Veebhudi</t>
  </si>
  <si>
    <t>CBCMP-154</t>
  </si>
  <si>
    <t>Yogeshwar P Matre</t>
  </si>
  <si>
    <t>Aguddi Ajay Kumar</t>
  </si>
  <si>
    <t>AMAR SINGH</t>
  </si>
  <si>
    <t>CBCMP-159</t>
  </si>
  <si>
    <t>Rahul Srivastava</t>
  </si>
  <si>
    <t>CBCMP-133</t>
  </si>
  <si>
    <t>Anil Kumar Saket</t>
  </si>
  <si>
    <t>Ajay Kumar Yadav</t>
  </si>
  <si>
    <t>Ankit Singh</t>
  </si>
  <si>
    <t>BIRJU KUMAR DAS</t>
  </si>
  <si>
    <t>ANAND KUMAR KAMAT</t>
  </si>
  <si>
    <t>DEEPAK DWIVEDI</t>
  </si>
  <si>
    <t>RAHUL MISHRA</t>
  </si>
  <si>
    <t>SHYAM KUMAR JHA</t>
  </si>
  <si>
    <t>CBCMP-160</t>
  </si>
  <si>
    <t>SURAJ SINGH</t>
  </si>
  <si>
    <t>CBCMP-81</t>
  </si>
  <si>
    <t>VIPIN SINGH BHADORIYA</t>
  </si>
  <si>
    <t>DIP CHAKRABORTY</t>
  </si>
  <si>
    <t>Sanjeet</t>
  </si>
  <si>
    <t>G Sai Prashant</t>
  </si>
  <si>
    <t>ADCL-75</t>
  </si>
  <si>
    <t xml:space="preserve">Asst Mgr </t>
  </si>
  <si>
    <t>Rajiv Kumar Udainiya</t>
  </si>
  <si>
    <t>Senior Supervisor -Civil</t>
  </si>
  <si>
    <t>Pradeep Mishra</t>
  </si>
  <si>
    <t>CBCMP-68</t>
  </si>
  <si>
    <t>Bhanu Prakash Lakhera</t>
  </si>
  <si>
    <t>Saqib Farooq Kripak</t>
  </si>
  <si>
    <t>Field Engineer</t>
  </si>
  <si>
    <t>Afsar Khan</t>
  </si>
  <si>
    <t>CBCMP-89</t>
  </si>
  <si>
    <t>Sandeep Kirar</t>
  </si>
  <si>
    <t>MD. Imtiyaz</t>
  </si>
  <si>
    <t>CBCMP-90</t>
  </si>
  <si>
    <t>Bikash Sahu</t>
  </si>
  <si>
    <t>D Sagar Kumar</t>
  </si>
  <si>
    <t>CBCMP-91</t>
  </si>
  <si>
    <t>Kamlesh</t>
  </si>
  <si>
    <t>Pulkit Goher</t>
  </si>
  <si>
    <t>CBCMP-106</t>
  </si>
  <si>
    <t>CBCMP-75</t>
  </si>
  <si>
    <t>Mohit Prajapati</t>
  </si>
  <si>
    <t>CBCMP-170</t>
  </si>
  <si>
    <t>Jitendra Singh</t>
  </si>
  <si>
    <t>Anurag Paneri</t>
  </si>
  <si>
    <t>HIRAK GHOSHAL</t>
  </si>
  <si>
    <t>CBCMP-76</t>
  </si>
  <si>
    <t>Farhan Khan</t>
  </si>
  <si>
    <t>CBCMP-77</t>
  </si>
  <si>
    <t>PARMANAND PRAJAPATI</t>
  </si>
  <si>
    <t>Ranjit Singh</t>
  </si>
  <si>
    <t>CBCMP-156</t>
  </si>
  <si>
    <t>ShivamDubey</t>
  </si>
  <si>
    <t>CBCMP-131</t>
  </si>
  <si>
    <t>Satyanarayan</t>
  </si>
  <si>
    <t>SHASHIKANT KUSHWAHA</t>
  </si>
  <si>
    <t>BHAGWAN SINGH VERMA</t>
  </si>
  <si>
    <t>Gurram Hanumantharao</t>
  </si>
  <si>
    <t>Appala Naidu E</t>
  </si>
  <si>
    <t>SURENDRA KUMAR</t>
  </si>
  <si>
    <t>DHARMENDRAKUMAR THAKORBHAI RANA</t>
  </si>
  <si>
    <t>Surednra Kumar Komarala</t>
  </si>
  <si>
    <t>Sr Engg ( Structures)</t>
  </si>
  <si>
    <t>Mahesh Jagdev</t>
  </si>
  <si>
    <t>ADCL-106</t>
  </si>
  <si>
    <t>Praveen Kumar Reddy S</t>
  </si>
  <si>
    <t>Asst Construction Mgr</t>
  </si>
  <si>
    <t>Singampalli Ramakrishna</t>
  </si>
  <si>
    <t>Thirupathi Nageswara rao</t>
  </si>
  <si>
    <t>Site Engg</t>
  </si>
  <si>
    <t>Paramhansa Sain</t>
  </si>
  <si>
    <t>Jashwanth Singh</t>
  </si>
  <si>
    <t>Tunnel Engineer</t>
  </si>
  <si>
    <t>Mohit Kumar</t>
  </si>
  <si>
    <t>Senior Field Engineer</t>
  </si>
  <si>
    <t>Dinesh Kumar</t>
  </si>
  <si>
    <t>Jagdev Singh Verma</t>
  </si>
  <si>
    <t>CBCMP-145</t>
  </si>
  <si>
    <t>Gopi Pirati</t>
  </si>
  <si>
    <t>Ram Lal Prajapati</t>
  </si>
  <si>
    <t>G.Vinod Yadav</t>
  </si>
  <si>
    <t>ADCL-67</t>
  </si>
  <si>
    <t>Hruday Sagar</t>
  </si>
  <si>
    <t>Executive-Engineer</t>
  </si>
  <si>
    <t>Kunchala Raja</t>
  </si>
  <si>
    <t>Asst Project Engr</t>
  </si>
  <si>
    <t>Pasila Anand</t>
  </si>
  <si>
    <t>Dilip Kumar Sah</t>
  </si>
  <si>
    <t>Sudhanshu Singh</t>
  </si>
  <si>
    <t>A Janardhan Reddy</t>
  </si>
  <si>
    <t>Structure engineer</t>
  </si>
  <si>
    <t>Rayapati Venkatarao</t>
  </si>
  <si>
    <t>ADCL-163</t>
  </si>
  <si>
    <t> Senior Engineer (Structures)</t>
  </si>
  <si>
    <t>Voruganti Shankar</t>
  </si>
  <si>
    <t>Senior Engineer - Structures Execution</t>
  </si>
  <si>
    <t>Raj Kumar Mohanty</t>
  </si>
  <si>
    <t>Sr. Execution Engineer</t>
  </si>
  <si>
    <t>SDN Satyanarayana</t>
  </si>
  <si>
    <t>Kiran Aragonda</t>
  </si>
  <si>
    <t>Dinesh Kumar Reddy</t>
  </si>
  <si>
    <t>Raveendranath Reddy</t>
  </si>
  <si>
    <t>Bhushan Patil</t>
  </si>
  <si>
    <t>W4-15</t>
  </si>
  <si>
    <t>Procurement Executive </t>
  </si>
  <si>
    <t>Ramagouda Patil</t>
  </si>
  <si>
    <t>AMRIT SINGH</t>
  </si>
  <si>
    <t>Aratikatla Vamsi</t>
  </si>
  <si>
    <t>Jinkala Raviteja</t>
  </si>
  <si>
    <t>Lakshman Goud Ediga</t>
  </si>
  <si>
    <t> Engineer-QS</t>
  </si>
  <si>
    <t>Subhash.K</t>
  </si>
  <si>
    <t>Senior Manager Highway (DPM)</t>
  </si>
  <si>
    <t>K.Srikanth</t>
  </si>
  <si>
    <t>Dep.Manager ( Highways)</t>
  </si>
  <si>
    <t>Sannidi Madhusudana Rao</t>
  </si>
  <si>
    <t>Asst. Manager ( Structures)</t>
  </si>
  <si>
    <t xml:space="preserve"> Inampudi Vamsi_x000D_</t>
  </si>
  <si>
    <t>HO-20</t>
  </si>
  <si>
    <t xml:space="preserve">Trainee Admin </t>
  </si>
  <si>
    <t>Mr. Somasekhar</t>
  </si>
  <si>
    <t>Lakshmi Prasad .J</t>
  </si>
  <si>
    <t>Sr. Forman</t>
  </si>
  <si>
    <t>Md. Sibghatullah Ansari</t>
  </si>
  <si>
    <t>ShailendraPratap Singh</t>
  </si>
  <si>
    <t>B.Chandramohana rao</t>
  </si>
  <si>
    <t>Dheeraj Kumar Singh</t>
  </si>
  <si>
    <t>Arvind Kumar</t>
  </si>
  <si>
    <t>Sr Foreman</t>
  </si>
  <si>
    <t> Manoj Kumar Gupta</t>
  </si>
  <si>
    <t>G Eswara Rao</t>
  </si>
  <si>
    <t>Senior For Men-Structural</t>
  </si>
  <si>
    <t>Tribhuvan Nath Pathak</t>
  </si>
  <si>
    <t>Mohd Aamir</t>
  </si>
  <si>
    <t>Senior HIghway Engineer</t>
  </si>
  <si>
    <t>Neeraj Sharma</t>
  </si>
  <si>
    <t>P Sankara Rao</t>
  </si>
  <si>
    <t>K.Prabhu Kumar</t>
  </si>
  <si>
    <t>Uggina Krishna Rao</t>
  </si>
  <si>
    <t>Assistant Highway Engineer (Highways).</t>
  </si>
  <si>
    <t>Pallapati Vamsi</t>
  </si>
  <si>
    <t>Roads and Highways, Engineer</t>
  </si>
  <si>
    <t>Anand Kumar Maurya</t>
  </si>
  <si>
    <t>ADCL-160</t>
  </si>
  <si>
    <t>APCO Infratech Pvt Ltd</t>
  </si>
  <si>
    <t>P V Raghava Rao</t>
  </si>
  <si>
    <t>Assistant Engineer (Bridges)</t>
  </si>
  <si>
    <t>Ramavath Ramesh</t>
  </si>
  <si>
    <t>Senior Engineer (Structures)</t>
  </si>
  <si>
    <t>Sury Kumar Patel</t>
  </si>
  <si>
    <t>Senior Engineer (Structure)</t>
  </si>
  <si>
    <t>Koustav Routh</t>
  </si>
  <si>
    <t>W3-41</t>
  </si>
  <si>
    <t>Shravan Kumar Yadav</t>
  </si>
  <si>
    <t>W4-17</t>
  </si>
  <si>
    <t>Jitesh Singh</t>
  </si>
  <si>
    <t>Bablu Paul</t>
  </si>
  <si>
    <t>CBCMP-67</t>
  </si>
  <si>
    <t>Basant Kumar Singh</t>
  </si>
  <si>
    <t>Mahendra Singh</t>
  </si>
  <si>
    <t>Debashis Behera</t>
  </si>
  <si>
    <t>Hemanta Pal</t>
  </si>
  <si>
    <t>CBCMP-120</t>
  </si>
  <si>
    <t>Budh Singh</t>
  </si>
  <si>
    <t>CBCMP-65</t>
  </si>
  <si>
    <t>Senior Engineer - Execution</t>
  </si>
  <si>
    <t>V Mallikarjun </t>
  </si>
  <si>
    <t>Structural Deputy Project Manager</t>
  </si>
  <si>
    <t>Simhachalam Mahanty</t>
  </si>
  <si>
    <t>Dy. Project Manager (Structure)</t>
  </si>
  <si>
    <t>Thilak Kandula</t>
  </si>
  <si>
    <t>S S Sudhakar</t>
  </si>
  <si>
    <t>Talari Ram Prasad</t>
  </si>
  <si>
    <t>Deputy Project Manager (Highway)</t>
  </si>
  <si>
    <t>Ravi Shastri</t>
  </si>
  <si>
    <t>Supervisor ‘Highway’</t>
  </si>
  <si>
    <t>Ch.Ramesh</t>
  </si>
  <si>
    <t>Foremen</t>
  </si>
  <si>
    <t>Dharmendra Kumar Mishra</t>
  </si>
  <si>
    <t>Mahanand Khushwa</t>
  </si>
  <si>
    <t>A Veera Reddy</t>
  </si>
  <si>
    <t>Senior Highway Supervisor</t>
  </si>
  <si>
    <t>Santi Pathak</t>
  </si>
  <si>
    <t>N B Sreenivasulu</t>
  </si>
  <si>
    <t>Om Prakash Pandey</t>
  </si>
  <si>
    <t>Sr.Supervisor (Civil )</t>
  </si>
  <si>
    <t>Lalu Yadav</t>
  </si>
  <si>
    <t>Jatin Kaushik</t>
  </si>
  <si>
    <t>CBCMP-66</t>
  </si>
  <si>
    <t>Karan Singh</t>
  </si>
  <si>
    <t>Govind Dhakad</t>
  </si>
  <si>
    <t>Amaranjan Choudhary</t>
  </si>
  <si>
    <t>CBCMP-113</t>
  </si>
  <si>
    <t>Tunnel Manager</t>
  </si>
  <si>
    <t>Rohit Kewat</t>
  </si>
  <si>
    <t>Revi Prakash</t>
  </si>
  <si>
    <t>CBCMP-116</t>
  </si>
  <si>
    <t>Deputy Project Manager-Execution</t>
  </si>
  <si>
    <t>Naidu Taraka Rama Rao</t>
  </si>
  <si>
    <t>Sachin Patil</t>
  </si>
  <si>
    <t>Senior Construction Manager</t>
  </si>
  <si>
    <t>Manish Kumar</t>
  </si>
  <si>
    <t>CBCMP-118</t>
  </si>
  <si>
    <t>Dundangi Chiranjeevi</t>
  </si>
  <si>
    <t>Sunil Kumar Khadanga</t>
  </si>
  <si>
    <t>Govind Ram</t>
  </si>
  <si>
    <t>Kanhaiya Kumar Gupta</t>
  </si>
  <si>
    <t>Rajat Tyagi</t>
  </si>
  <si>
    <t>SADDAM HUSAIN</t>
  </si>
  <si>
    <t>Amit Kumar Roy</t>
  </si>
  <si>
    <t>PRADUMAN YADAV</t>
  </si>
  <si>
    <t>KARAN RANA</t>
  </si>
  <si>
    <t>Dev Pal</t>
  </si>
  <si>
    <t>Umesh Sah</t>
  </si>
  <si>
    <t>Nikhil Gaur</t>
  </si>
  <si>
    <t>Vikash Varma</t>
  </si>
  <si>
    <t>SHAILESH KUMAR TRIPATHI</t>
  </si>
  <si>
    <t>PRASHANT MISHRA</t>
  </si>
  <si>
    <t>HRITIK KUMAR TRIPATHI</t>
  </si>
  <si>
    <t>Mukul Kushwaha</t>
  </si>
  <si>
    <t>Vineet Raikwar</t>
  </si>
  <si>
    <t>W3-43</t>
  </si>
  <si>
    <t>Autocad Engineer</t>
  </si>
  <si>
    <t>Siddharth Sikarwar</t>
  </si>
  <si>
    <t>Nikhil Raj</t>
  </si>
  <si>
    <t>Sr Supervisor Highway</t>
  </si>
  <si>
    <t>Bhagyadhar Sethi</t>
  </si>
  <si>
    <t>Omkar Pandey</t>
  </si>
  <si>
    <t>Structure Foremen</t>
  </si>
  <si>
    <t>Naga Vara Prasad</t>
  </si>
  <si>
    <t>Senior Foremen</t>
  </si>
  <si>
    <t>Kamlesh Kumar Roy</t>
  </si>
  <si>
    <t>Sr Supervisor Structures &amp; Highway</t>
  </si>
  <si>
    <t>Bodapati Venkata Subbarao</t>
  </si>
  <si>
    <t>Jr. BIM Modeler (Internship)</t>
  </si>
  <si>
    <t>Simranjeet Kaur</t>
  </si>
  <si>
    <t>BIM Modeler(Electrical)</t>
  </si>
  <si>
    <t>Harshdeep</t>
  </si>
  <si>
    <t>PHE &amp; Fire Fighting BIM MoDELER </t>
  </si>
  <si>
    <t>Akashdeep Kamboj</t>
  </si>
  <si>
    <t>BIM Modeler Electrical &amp;ICT</t>
  </si>
  <si>
    <t>Hemesh Tiwari</t>
  </si>
  <si>
    <t>Plumbing BIM Modeller</t>
  </si>
  <si>
    <t>BIKRAM KESHARI MAHANA</t>
  </si>
  <si>
    <t>SABUJ DUTTA</t>
  </si>
  <si>
    <t>KAMMILI SUDHEER KUMAR</t>
  </si>
  <si>
    <t>Tunnel Engineer </t>
  </si>
  <si>
    <t>DEEPAK KUMAR</t>
  </si>
  <si>
    <t>Mahender Singh</t>
  </si>
  <si>
    <t>ANKUR VERMA</t>
  </si>
  <si>
    <t>Suman Saha</t>
  </si>
  <si>
    <t>Aniket Singh</t>
  </si>
  <si>
    <t>Hitansu Kumar Pradhan</t>
  </si>
  <si>
    <t>AM-27</t>
  </si>
  <si>
    <t>Nakka Sankar Reddy </t>
  </si>
  <si>
    <t>Ambati Suresh RAJU</t>
  </si>
  <si>
    <t>Praveen Kumar </t>
  </si>
  <si>
    <t>ADCL-69</t>
  </si>
  <si>
    <t>Setti Ravi </t>
  </si>
  <si>
    <t>AM-28</t>
  </si>
  <si>
    <t>Mandla Balaji Deeraj</t>
  </si>
  <si>
    <t>HO-21</t>
  </si>
  <si>
    <t xml:space="preserve">Sreekanth Gunturu	</t>
  </si>
  <si>
    <t>Rahul Mandal</t>
  </si>
  <si>
    <t xml:space="preserve">Junior Executive </t>
  </si>
  <si>
    <t>Harendra</t>
  </si>
  <si>
    <t>Umesh Chandra</t>
  </si>
  <si>
    <t>Manipal Singh</t>
  </si>
  <si>
    <t>CBCMP-134</t>
  </si>
  <si>
    <t xml:space="preserve">Hony CAPT VK Sivakumar	</t>
  </si>
  <si>
    <t>Ram Saran</t>
  </si>
  <si>
    <t>Rishabh Namdeo</t>
  </si>
  <si>
    <t>Sobi Kumar</t>
  </si>
  <si>
    <t xml:space="preserve">Ajay Kumar Thandra	</t>
  </si>
  <si>
    <t>Senior QS Engineer- (Civil and Environmental)</t>
  </si>
  <si>
    <t>Arisevalli Aravind</t>
  </si>
  <si>
    <t>ADCL-74</t>
  </si>
  <si>
    <t>CAD draftsman</t>
  </si>
  <si>
    <t>Daiva Krupa</t>
  </si>
  <si>
    <t>CAD Draughtsman</t>
  </si>
  <si>
    <t>Guguloth Ganesh</t>
  </si>
  <si>
    <t>Shakti Singh</t>
  </si>
  <si>
    <t>RO-17</t>
  </si>
  <si>
    <t>Sr Designer</t>
  </si>
  <si>
    <t>Mr. Kanishk Ghosh</t>
  </si>
  <si>
    <t>Kushal Sharma</t>
  </si>
  <si>
    <t>BIM Modeller</t>
  </si>
  <si>
    <t>Krishna Kamboj</t>
  </si>
  <si>
    <t>Revit MEP Modeller</t>
  </si>
  <si>
    <t>SADDAM HUSEN</t>
  </si>
  <si>
    <t>Faiz Ahmad Khan</t>
  </si>
  <si>
    <t>CBCMP-110</t>
  </si>
  <si>
    <t>Arman  Ansari</t>
  </si>
  <si>
    <t>CBCMP-112</t>
  </si>
  <si>
    <t>MEHDI HASAN</t>
  </si>
  <si>
    <t>Surya Prakash</t>
  </si>
  <si>
    <t>CBCMP-111</t>
  </si>
  <si>
    <t>Junior Executive Safety</t>
  </si>
  <si>
    <t>Vishal Kumar Singh</t>
  </si>
  <si>
    <t>Pradeep Kumar Manjhi</t>
  </si>
  <si>
    <t>Bharat Salvi</t>
  </si>
  <si>
    <t>MD KAIF ALI</t>
  </si>
  <si>
    <t>ABDUL MANNNAN</t>
  </si>
  <si>
    <t>ASHOK KUMAR KUSHWAHA</t>
  </si>
  <si>
    <t>Senior Supervisor structuure</t>
  </si>
  <si>
    <t>Tamarana Appalanaidu</t>
  </si>
  <si>
    <t>Ravi Ranjan Prasad</t>
  </si>
  <si>
    <t>Highway Supervisor </t>
  </si>
  <si>
    <t>Rahul Kumar Yadav</t>
  </si>
  <si>
    <t>Bibhu Prasad G</t>
  </si>
  <si>
    <t>Gyan Ranjan Kumar</t>
  </si>
  <si>
    <t>CBCMP-94</t>
  </si>
  <si>
    <t>Anjani Kumar Mishra</t>
  </si>
  <si>
    <t>CBCMP-95</t>
  </si>
  <si>
    <t>Junior HR &amp; Admin</t>
  </si>
  <si>
    <t>PEDDINTI SAI NAGIREDDY</t>
  </si>
  <si>
    <t>W3-45</t>
  </si>
  <si>
    <t>Pushpendra Kumar Kushwah</t>
  </si>
  <si>
    <t>Rituraj Barik</t>
  </si>
  <si>
    <t>Surukunti Akash Reddy</t>
  </si>
  <si>
    <t>Piush Pathak</t>
  </si>
  <si>
    <t>W4-12</t>
  </si>
  <si>
    <t>Junior Store Assistant</t>
  </si>
  <si>
    <t>Weighbridge Operator</t>
  </si>
  <si>
    <t>Shiv Pujan Dubey</t>
  </si>
  <si>
    <t>Assistant Store</t>
  </si>
  <si>
    <t xml:space="preserve">Karimulla Korijala	</t>
  </si>
  <si>
    <t xml:space="preserve">Deputy Project Manager Structures	</t>
  </si>
  <si>
    <t>Dhulipalla Edison Babu</t>
  </si>
  <si>
    <t>Gulshan Kumar</t>
  </si>
  <si>
    <t>CBCMP-82</t>
  </si>
  <si>
    <t>Mohd Tarik Khan</t>
  </si>
  <si>
    <t>Ganesh Yelamanchali</t>
  </si>
  <si>
    <t>Yogehwar Rao Kolla</t>
  </si>
  <si>
    <t>CAD Designer</t>
  </si>
  <si>
    <t>Mr. KNVM Raju</t>
  </si>
  <si>
    <t>Manchinti Amaranatha Reddy</t>
  </si>
  <si>
    <t>CAD Engineer</t>
  </si>
  <si>
    <t>Manish Kumar Shaliwal</t>
  </si>
  <si>
    <t>Ranjan Tiwari</t>
  </si>
  <si>
    <t>Ritvick Aryan</t>
  </si>
  <si>
    <t>CBCMP-71</t>
  </si>
  <si>
    <t>Subodh Kumar Sharma</t>
  </si>
  <si>
    <t>LCC Projects</t>
  </si>
  <si>
    <t>Rajulapati Teja </t>
  </si>
  <si>
    <t>Nagulapati Mahesh Babu </t>
  </si>
  <si>
    <t>Tenali Geetha Manohar</t>
  </si>
  <si>
    <t>Kothagolla Anil Kumar</t>
  </si>
  <si>
    <t>AM-29</t>
  </si>
  <si>
    <t>Ravi Ranjan Yadav</t>
  </si>
  <si>
    <t>KS-06</t>
  </si>
  <si>
    <t>Raju Sarvan</t>
  </si>
  <si>
    <t>KS-05</t>
  </si>
  <si>
    <t>Outlook DesignHeed Cousultant</t>
  </si>
  <si>
    <t>Lakhvinder Singh</t>
  </si>
  <si>
    <t>Goutam</t>
  </si>
  <si>
    <t>AM-30</t>
  </si>
  <si>
    <t>T.Manikandan</t>
  </si>
  <si>
    <t>ADCL-71</t>
  </si>
  <si>
    <t>Senior Manager (Q.S, Planning &amp; Billing)</t>
  </si>
  <si>
    <t>PremKumar Mathan</t>
  </si>
  <si>
    <t>Manager - Project Control(Previously)</t>
  </si>
  <si>
    <t>Jaybabu Thota</t>
  </si>
  <si>
    <t xml:space="preserve">Senior Engineer 	</t>
  </si>
  <si>
    <t>Chodi Suresh</t>
  </si>
  <si>
    <t xml:space="preserve">Senior Engineer (Civil)	</t>
  </si>
  <si>
    <t>Murali Krishna Sammala</t>
  </si>
  <si>
    <t>Sr.Project Manager</t>
  </si>
  <si>
    <t>Gugulothu Vinod</t>
  </si>
  <si>
    <t>W4-19</t>
  </si>
  <si>
    <t xml:space="preserve">Senior Executive HR &amp; Admin	</t>
  </si>
  <si>
    <t>Samir Mahunta</t>
  </si>
  <si>
    <t>Viraluttam</t>
  </si>
  <si>
    <t>Pankaj Nayan Mishra</t>
  </si>
  <si>
    <t>Jitendra Kumar Chaudhary</t>
  </si>
  <si>
    <t>Saurabh Yadav</t>
  </si>
  <si>
    <t>ADCL-108</t>
  </si>
  <si>
    <t>Manmohan Kumar Mishra</t>
  </si>
  <si>
    <t>SUDIPTA BISWAS</t>
  </si>
  <si>
    <t>Lalit Patil</t>
  </si>
  <si>
    <t>ABHISHEK MISHRA</t>
  </si>
  <si>
    <t>ANIL GAIROLA</t>
  </si>
  <si>
    <t>Jitendra Gupta</t>
  </si>
  <si>
    <t>Amit Prajapathi</t>
  </si>
  <si>
    <t>Susanta Majee</t>
  </si>
  <si>
    <t>ANOOP KUMAR SAVITA</t>
  </si>
  <si>
    <t>NAND KISHOR</t>
  </si>
  <si>
    <t>BIJAY PATALASINGH</t>
  </si>
  <si>
    <t xml:space="preserve">Surya Sai Kumar </t>
  </si>
  <si>
    <t>Assistant Planning Engineer</t>
  </si>
  <si>
    <t>Sairam Devakoti</t>
  </si>
  <si>
    <t>Senior Engineer - Planning &amp; Billing</t>
  </si>
  <si>
    <t>M VIKRANTH</t>
  </si>
  <si>
    <t>Shiv Kumar</t>
  </si>
  <si>
    <t>NG-06</t>
  </si>
  <si>
    <t xml:space="preserve">Safety Officer	</t>
  </si>
  <si>
    <t>Ratnesh Dwivedi</t>
  </si>
  <si>
    <t>CBCMP-130</t>
  </si>
  <si>
    <t>Mastram Dhakad</t>
  </si>
  <si>
    <t>CBCMP-146</t>
  </si>
  <si>
    <t>Ravendra Kumar Yadav</t>
  </si>
  <si>
    <t>Santosh Singh</t>
  </si>
  <si>
    <t>Balendra Singh</t>
  </si>
  <si>
    <t>Railway Supervisor</t>
  </si>
  <si>
    <t>Antish kumar</t>
  </si>
  <si>
    <t>Foreman(Highway)</t>
  </si>
  <si>
    <t>Neeli Suresh</t>
  </si>
  <si>
    <t xml:space="preserve">Deputy Project Manager(Highways)	</t>
  </si>
  <si>
    <t>LankiReddy Siva Nagarjuna Reddy</t>
  </si>
  <si>
    <t xml:space="preserve">Associate Manager	</t>
  </si>
  <si>
    <t>Cheeku Satyanarayana Sai</t>
  </si>
  <si>
    <t>Talluri Satish</t>
  </si>
  <si>
    <t>Jiya Haider</t>
  </si>
  <si>
    <t>ADCL-164</t>
  </si>
  <si>
    <t>HighwaySeniorSupervisor</t>
  </si>
  <si>
    <t>G Siva Teja</t>
  </si>
  <si>
    <t xml:space="preserve">S.Chenna Reddy	</t>
  </si>
  <si>
    <t xml:space="preserve">Assistant Quality cum Material Engineer	</t>
  </si>
  <si>
    <t>Neelakurthi Suvarna Raju</t>
  </si>
  <si>
    <t>Cashier</t>
  </si>
  <si>
    <t>B Ramanaidu</t>
  </si>
  <si>
    <t>Suresh Muthuswami iyer</t>
  </si>
  <si>
    <t>Rajesh Dey</t>
  </si>
  <si>
    <t>AM - QS</t>
  </si>
  <si>
    <t xml:space="preserve">Paresh </t>
  </si>
  <si>
    <t xml:space="preserve">Abhi Engineering </t>
  </si>
  <si>
    <t>Javed Mansuri</t>
  </si>
  <si>
    <t>Engineer (Billing &amp; Planning)</t>
  </si>
  <si>
    <t>Shambhuraj Pravin Thorat</t>
  </si>
  <si>
    <t>Ashish Kumar Subudhi</t>
  </si>
  <si>
    <t>AM-31</t>
  </si>
  <si>
    <t>Naveen Talapadra</t>
  </si>
  <si>
    <t>S Basanta</t>
  </si>
  <si>
    <t>Sr. Store Keeper</t>
  </si>
  <si>
    <t>Vishal singh</t>
  </si>
  <si>
    <t>Sananta Kumar Behera</t>
  </si>
  <si>
    <t>RABINARAYAN OJHA</t>
  </si>
  <si>
    <t>KAREEMULLA BABA SHAIK</t>
  </si>
  <si>
    <t>Waqar Khan</t>
  </si>
  <si>
    <t>CBCMP-206</t>
  </si>
  <si>
    <t>Ravinder Kumar</t>
  </si>
  <si>
    <t>CBCMP-147</t>
  </si>
  <si>
    <t>Pintu Santra</t>
  </si>
  <si>
    <t>Samsuddin Momin</t>
  </si>
  <si>
    <t>Dy Manager Suveyor</t>
  </si>
  <si>
    <t>Arnab Pal</t>
  </si>
  <si>
    <t>Pradip Kumar Pradhan</t>
  </si>
  <si>
    <t>CBCMP-92</t>
  </si>
  <si>
    <t>Aadarsh Kumar</t>
  </si>
  <si>
    <t>SURENDRA KUMAR YADAV</t>
  </si>
  <si>
    <t>Kamta Prasad Yadav</t>
  </si>
  <si>
    <t>CBCMP-109</t>
  </si>
  <si>
    <t>HRADYESH TIWARI</t>
  </si>
  <si>
    <t xml:space="preserve">Senior Foreman </t>
  </si>
  <si>
    <t>SHAYAM MALAKAR</t>
  </si>
  <si>
    <t>ATUL YADAV</t>
  </si>
  <si>
    <t>Rammilan Kewat</t>
  </si>
  <si>
    <t>Satyendra Kumar Dwivedi</t>
  </si>
  <si>
    <t>Rajesh Thakkidi</t>
  </si>
  <si>
    <t>Naresh Kata</t>
  </si>
  <si>
    <t>Ashok Puttam</t>
  </si>
  <si>
    <t>Venkataratnam M</t>
  </si>
  <si>
    <t>Adithya G</t>
  </si>
  <si>
    <t>Engineer (Structure)</t>
  </si>
  <si>
    <t>Sr. Engineer in Billing</t>
  </si>
  <si>
    <t>B. Chitambariah</t>
  </si>
  <si>
    <t>Sreekanth Reddy</t>
  </si>
  <si>
    <t> QS &amp; Planning Engineer</t>
  </si>
  <si>
    <t>Apurba Kumar</t>
  </si>
  <si>
    <t>ADCL-121</t>
  </si>
  <si>
    <t>Pendurthi Sn murthy</t>
  </si>
  <si>
    <t>AM (structures)</t>
  </si>
  <si>
    <t>RAKESH KUMAR</t>
  </si>
  <si>
    <t>RATIKANTA PADHIHARI</t>
  </si>
  <si>
    <t>VISHAL KUMAR SHARMA</t>
  </si>
  <si>
    <t>ATIUR RAHMAN</t>
  </si>
  <si>
    <t>CBCMP-173</t>
  </si>
  <si>
    <t>Aishwarya Bajpai</t>
  </si>
  <si>
    <t>Neeraj Guleria</t>
  </si>
  <si>
    <t>Devendra Sahu</t>
  </si>
  <si>
    <t>Senior Project Engineer</t>
  </si>
  <si>
    <t>Hitesh Rathore</t>
  </si>
  <si>
    <t>Awajeet Singh</t>
  </si>
  <si>
    <t>Palakuri Mahesh</t>
  </si>
  <si>
    <t>Kolle Balraju </t>
  </si>
  <si>
    <t>Prudhvee Yalakala</t>
  </si>
  <si>
    <t>A.Ramesh </t>
  </si>
  <si>
    <t>Nagaraju Bogini</t>
  </si>
  <si>
    <t>Associate Accountant</t>
  </si>
  <si>
    <t>Rama Chandra Pattnaik</t>
  </si>
  <si>
    <t>K V V Sagar</t>
  </si>
  <si>
    <t>Foreman –Civil</t>
  </si>
  <si>
    <t>Satish Kumar Singh</t>
  </si>
  <si>
    <t>Sumata Kumar Maharatha</t>
  </si>
  <si>
    <t>Foremen( Structure)</t>
  </si>
  <si>
    <t>Manoj Kumar Sen</t>
  </si>
  <si>
    <t>Sr Supervisor (Highway</t>
  </si>
  <si>
    <t>Gopal Krishna</t>
  </si>
  <si>
    <t>Ratakoda Ramu</t>
  </si>
  <si>
    <t xml:space="preserve">Manoj Kumar </t>
  </si>
  <si>
    <t>Siva Kumar Vaka</t>
  </si>
  <si>
    <t>Senior Building Engineer</t>
  </si>
  <si>
    <t>Ayush Singh</t>
  </si>
  <si>
    <t xml:space="preserve">Safety Supervisior	</t>
  </si>
  <si>
    <t>Bittu Roy</t>
  </si>
  <si>
    <t>SJ-10</t>
  </si>
  <si>
    <t>Quality Surveyor</t>
  </si>
  <si>
    <t>DEVENDERA KUMAR</t>
  </si>
  <si>
    <t>Store exective</t>
  </si>
  <si>
    <t>Himansu sadangi</t>
  </si>
  <si>
    <t>Shyam jivan</t>
  </si>
  <si>
    <t>Manish Kumar Vishwakarma</t>
  </si>
  <si>
    <t>Rishab Kumar</t>
  </si>
  <si>
    <t>RITESH KUMAR</t>
  </si>
  <si>
    <t>Konapala Akhil</t>
  </si>
  <si>
    <t>Shaik Md</t>
  </si>
  <si>
    <t>Shivam S Manthanwar</t>
  </si>
  <si>
    <t>DWIJESH KUMAR SAKET</t>
  </si>
  <si>
    <t>SURYA PRAKASH PANDEY</t>
  </si>
  <si>
    <t>Shiv kumar Saket</t>
  </si>
  <si>
    <t>CBCMP-108</t>
  </si>
  <si>
    <t>DASARI.SAI PRAKASH</t>
  </si>
  <si>
    <t>LISMB-31</t>
  </si>
  <si>
    <t>ANKAM KRANTHI KUMAR</t>
  </si>
  <si>
    <t>Bandaru Sowjanya</t>
  </si>
  <si>
    <t>Mr. KLV Subrahmanyam</t>
  </si>
  <si>
    <t>Akash Singh Chandal</t>
  </si>
  <si>
    <t>Puspendu Maity</t>
  </si>
  <si>
    <t>Subrahmanyam Thadimalla</t>
  </si>
  <si>
    <t>Chirikonda Srikanth</t>
  </si>
  <si>
    <t>Mr. V Venkata Ramana</t>
  </si>
  <si>
    <t>Sanjoy Kisku</t>
  </si>
  <si>
    <t>Papun Barman</t>
  </si>
  <si>
    <t>P Prasad Reddy</t>
  </si>
  <si>
    <t>Sr Manager-QS</t>
  </si>
  <si>
    <t>M.Jogeswara Rao</t>
  </si>
  <si>
    <t>Construction Manager-Highway</t>
  </si>
  <si>
    <t>Paila Venkata Rao</t>
  </si>
  <si>
    <t>LISMB-23</t>
  </si>
  <si>
    <t>Alaval Shiva</t>
  </si>
  <si>
    <t>LISMB-34</t>
  </si>
  <si>
    <t>Senior Executive Store</t>
  </si>
  <si>
    <t>GUGULOTH JAMPAIAH</t>
  </si>
  <si>
    <t>Rohit Kumar Pandey </t>
  </si>
  <si>
    <t>SJ-08</t>
  </si>
  <si>
    <t>Devendra Singh Parmar </t>
  </si>
  <si>
    <t>SJ-09</t>
  </si>
  <si>
    <t>Parasubothu Mohana Rao</t>
  </si>
  <si>
    <t>Kornu Rakesh </t>
  </si>
  <si>
    <t>VADDE SAMBA SIVUDU</t>
  </si>
  <si>
    <t>LISMB-25</t>
  </si>
  <si>
    <t>J.VENKATESWARA RAO</t>
  </si>
  <si>
    <t>Akshay Kumar Pandey</t>
  </si>
  <si>
    <t>LISMB-33</t>
  </si>
  <si>
    <t>J Anand Kumar</t>
  </si>
  <si>
    <t>GUAGANTI Kiran kumar</t>
  </si>
  <si>
    <t>VEERA SAIBABU</t>
  </si>
  <si>
    <t>Tatipati Jakeer</t>
  </si>
  <si>
    <t>LISMB-27</t>
  </si>
  <si>
    <t>A Mallayya</t>
  </si>
  <si>
    <t>Senior  Deputy Project Manager-Structures</t>
  </si>
  <si>
    <t>P Anjana Kumar</t>
  </si>
  <si>
    <t>Deputy Project Manager -Execution</t>
  </si>
  <si>
    <t>A. Jagadeesh</t>
  </si>
  <si>
    <t>Construction Manager -Highway</t>
  </si>
  <si>
    <t>Mohammad Sohel</t>
  </si>
  <si>
    <t>CBCMP-243</t>
  </si>
  <si>
    <t>Selvakumar</t>
  </si>
  <si>
    <t>Siva Manikandan</t>
  </si>
  <si>
    <t>CBCMP-179</t>
  </si>
  <si>
    <t>Agata Ramanamurthy</t>
  </si>
  <si>
    <t>CBCMP-216</t>
  </si>
  <si>
    <t>RAHUL RAJ SINGH</t>
  </si>
  <si>
    <t>CBCMP-182</t>
  </si>
  <si>
    <t>YOGESH KUMAR BAIRWA</t>
  </si>
  <si>
    <t>CBCMP-183</t>
  </si>
  <si>
    <t>SANDEEP SHUKLA</t>
  </si>
  <si>
    <t>CBCMP-181</t>
  </si>
  <si>
    <t>NAKKALA NAGA GOPI N</t>
  </si>
  <si>
    <t>CBCMP-218</t>
  </si>
  <si>
    <t>Nilesh varvade</t>
  </si>
  <si>
    <t>CBCMP-184</t>
  </si>
  <si>
    <t>Omprakash Tanwar</t>
  </si>
  <si>
    <t>Ritesh Kumar Ahirwar</t>
  </si>
  <si>
    <t>Ashish Mishra</t>
  </si>
  <si>
    <t>MANOJ KUMAR YADAV</t>
  </si>
  <si>
    <t>CBCMP-185</t>
  </si>
  <si>
    <t>Shashi Prakash</t>
  </si>
  <si>
    <t>Manoj Kumar Thakur</t>
  </si>
  <si>
    <t xml:space="preserve">P.Nanda Kishore Reddy	</t>
  </si>
  <si>
    <t xml:space="preserve">Accounts Executive	</t>
  </si>
  <si>
    <t>P. Nagavardhan achari</t>
  </si>
  <si>
    <t>Manager – Planning, Internal Auditing</t>
  </si>
  <si>
    <t>V.RameshBabu</t>
  </si>
  <si>
    <t>Manager (QS)</t>
  </si>
  <si>
    <t>Dy Manager (QS),</t>
  </si>
  <si>
    <t>PUSHPENDRA SINGH SISODIYA</t>
  </si>
  <si>
    <t>Jitendra Dakse</t>
  </si>
  <si>
    <t>SONU YADAV</t>
  </si>
  <si>
    <t>CBCMP-224</t>
  </si>
  <si>
    <t>Indrajit Kumar</t>
  </si>
  <si>
    <t>RAVI SHANKAR PRASAD</t>
  </si>
  <si>
    <t>Javed</t>
  </si>
  <si>
    <t>CBCMP-202</t>
  </si>
  <si>
    <t>Sohil Khan</t>
  </si>
  <si>
    <t>CBCMP-203</t>
  </si>
  <si>
    <t>Ghanshyam Pandey</t>
  </si>
  <si>
    <t>Mahendra Singh Chauhan</t>
  </si>
  <si>
    <t>Pawan Rathor</t>
  </si>
  <si>
    <t>CBCMP-204</t>
  </si>
  <si>
    <t>Rabiul Alam</t>
  </si>
  <si>
    <t>PRASHANT SINGH</t>
  </si>
  <si>
    <t>CBCMP-199</t>
  </si>
  <si>
    <t>Senior Executive Safety</t>
  </si>
  <si>
    <t>Talim ali</t>
  </si>
  <si>
    <t>CBCMP-200</t>
  </si>
  <si>
    <t>IRAFAN ANSARI</t>
  </si>
  <si>
    <t>CBCMP-234</t>
  </si>
  <si>
    <t>SADRULJAMA ANSARI</t>
  </si>
  <si>
    <t>Saurav Kumar Singh</t>
  </si>
  <si>
    <t>CBCMP-201</t>
  </si>
  <si>
    <t>Sumit Kumar</t>
  </si>
  <si>
    <t>CBCMP-196</t>
  </si>
  <si>
    <t>Kanakamedala Harshith</t>
  </si>
  <si>
    <t>CBCMP-195</t>
  </si>
  <si>
    <t>V. Sri Datta Satish</t>
  </si>
  <si>
    <t>LISMB-36</t>
  </si>
  <si>
    <t>Raja Pandit</t>
  </si>
  <si>
    <t>Sai Sandeep Posina</t>
  </si>
  <si>
    <t>CBCMP-207</t>
  </si>
  <si>
    <t>MD ABEDIN</t>
  </si>
  <si>
    <t>CBCMP-208</t>
  </si>
  <si>
    <t>ASHISH GUPTA</t>
  </si>
  <si>
    <t>RAKESH PATEL</t>
  </si>
  <si>
    <t>CBCMP-209</t>
  </si>
  <si>
    <t>Rajesh Kumar</t>
  </si>
  <si>
    <t>6206635944</t>
  </si>
  <si>
    <t>GOLU TIWARI</t>
  </si>
  <si>
    <t>CBCMP-210</t>
  </si>
  <si>
    <t>Harendra Singh</t>
  </si>
  <si>
    <t>Suraj Jash</t>
  </si>
  <si>
    <t>CBCMP-197</t>
  </si>
  <si>
    <t>Monu Kumar Suman</t>
  </si>
  <si>
    <t>Dawar Babasaheb Ramchandra</t>
  </si>
  <si>
    <t>S. Koteswara Rao</t>
  </si>
  <si>
    <t>LISMB-26</t>
  </si>
  <si>
    <t>P Venkat Madhu</t>
  </si>
  <si>
    <t>N. Mukesh Khanna</t>
  </si>
  <si>
    <t>CBCMP-180</t>
  </si>
  <si>
    <t>Rajneesh Tiwari</t>
  </si>
  <si>
    <t>Vinod Sharma</t>
  </si>
  <si>
    <t>CBCMP-189</t>
  </si>
  <si>
    <t>Ravi Ranjan Singh</t>
  </si>
  <si>
    <t>Deepak Rawat</t>
  </si>
  <si>
    <t>CBCMP-190</t>
  </si>
  <si>
    <t>Guddu Kumar Sah</t>
  </si>
  <si>
    <t>CBCMP-191</t>
  </si>
  <si>
    <t>ANURUDDH SHUKLA</t>
  </si>
  <si>
    <t>DHEERAJ SHUKLA</t>
  </si>
  <si>
    <t>Dinesh Kumar Yadav</t>
  </si>
  <si>
    <t>CBCMP-192</t>
  </si>
  <si>
    <t>Abhishek Kumar Pathak</t>
  </si>
  <si>
    <t>CBCMP-194</t>
  </si>
  <si>
    <t>Engineer - Billing</t>
  </si>
  <si>
    <t>Gollamudi Nagaraju</t>
  </si>
  <si>
    <t xml:space="preserve">Vamshidhar Mannava	</t>
  </si>
  <si>
    <t>ADCL-88</t>
  </si>
  <si>
    <t xml:space="preserve">SPV Head	</t>
  </si>
  <si>
    <t>General Manager (Projects)</t>
  </si>
  <si>
    <t>Surendra V</t>
  </si>
  <si>
    <t>Sr. Vice President -Projects</t>
  </si>
  <si>
    <t>Sadak Valli</t>
  </si>
  <si>
    <t>Gorrepati Suresh Babu</t>
  </si>
  <si>
    <t>Site Senior Supervisor</t>
  </si>
  <si>
    <t>Marut Nandan Dubey</t>
  </si>
  <si>
    <t>Bommi Sateesh</t>
  </si>
  <si>
    <t>Pradeep Karri</t>
  </si>
  <si>
    <t>Bommi Kumar</t>
  </si>
  <si>
    <t>D Nagaraju</t>
  </si>
  <si>
    <t>Palleda Mahesh</t>
  </si>
  <si>
    <t>RanjitKumar</t>
  </si>
  <si>
    <t>Store  Executive</t>
  </si>
  <si>
    <t>Mukesh kumar</t>
  </si>
  <si>
    <t>Vevek Kumar Srivastava</t>
  </si>
  <si>
    <t>Sr Store Executive</t>
  </si>
  <si>
    <t>Rahul gupta</t>
  </si>
  <si>
    <t>GANESH KUMAR SAHU</t>
  </si>
  <si>
    <t>Aneesh Kumar</t>
  </si>
  <si>
    <t>Ankit Kumar Verma</t>
  </si>
  <si>
    <t>Suresh Bashaveni</t>
  </si>
  <si>
    <t>Quantity surveyor</t>
  </si>
  <si>
    <t>S Ashok Kumar</t>
  </si>
  <si>
    <t>Assistant Manager - Billing &amp; Planning</t>
  </si>
  <si>
    <t>Gangadhari Vemakar</t>
  </si>
  <si>
    <t>Assistant Manager - QS</t>
  </si>
  <si>
    <t>Rajarathinam R</t>
  </si>
  <si>
    <t>Muthumalai Shunmugavel</t>
  </si>
  <si>
    <t>MUGESH.G</t>
  </si>
  <si>
    <t>ROHIT KUMAR PATHAK</t>
  </si>
  <si>
    <t>KUNAL KUMAR</t>
  </si>
  <si>
    <t>AM-56</t>
  </si>
  <si>
    <t>DEVI REDDY VINAY REDDY</t>
  </si>
  <si>
    <t>Prashant Singh</t>
  </si>
  <si>
    <t>CBCMP-246</t>
  </si>
  <si>
    <t>Satyabrata Nayak</t>
  </si>
  <si>
    <t>Structural  Supervisor</t>
  </si>
  <si>
    <t>Nihar Ranjan Parhari</t>
  </si>
  <si>
    <t>Supervisor Highway</t>
  </si>
  <si>
    <t>Y Santosh Kumar</t>
  </si>
  <si>
    <t xml:space="preserve">Bhanu Prasad Reddy G 	</t>
  </si>
  <si>
    <t>AM-32</t>
  </si>
  <si>
    <t xml:space="preserve">Sr Manager- Planning as Project Head	</t>
  </si>
  <si>
    <t>Mantesh Sajjan</t>
  </si>
  <si>
    <t>Arla Rambabu</t>
  </si>
  <si>
    <t>ADCL-161</t>
  </si>
  <si>
    <t>Structural engineer</t>
  </si>
  <si>
    <t>Panga Sudhakar Reddy</t>
  </si>
  <si>
    <t>Site Engineer — Structures</t>
  </si>
  <si>
    <t>Mitta Bharath Kumar</t>
  </si>
  <si>
    <t>Uppala Anil Kumar</t>
  </si>
  <si>
    <t>Jr Site Engineer (Structure)</t>
  </si>
  <si>
    <t>K Pruthvi Raj</t>
  </si>
  <si>
    <t>Site Engineer — Highway Execution</t>
  </si>
  <si>
    <t>Lalit Kumar Yadav</t>
  </si>
  <si>
    <t>Assistant Engineer-Highway Execution</t>
  </si>
  <si>
    <t>Highway Junior Engineer</t>
  </si>
  <si>
    <t>Kandukuri Tharun</t>
  </si>
  <si>
    <t>Junior Engineer (JE).</t>
  </si>
  <si>
    <t>N G Raju</t>
  </si>
  <si>
    <t>ADCL-96</t>
  </si>
  <si>
    <t xml:space="preserve">Asst. Manager- SCM (Procurement)	</t>
  </si>
  <si>
    <t>Ramesh GuntuMadugu</t>
  </si>
  <si>
    <t>ADCL-89</t>
  </si>
  <si>
    <t xml:space="preserve">Asst General Manager	</t>
  </si>
  <si>
    <t>Srinivasan Krishna Moorthy</t>
  </si>
  <si>
    <t>Resident Engineer </t>
  </si>
  <si>
    <t>Soharubddin Mallick</t>
  </si>
  <si>
    <t>Project Manager - Structure</t>
  </si>
  <si>
    <t>Venkata Prasad Gali</t>
  </si>
  <si>
    <t>ADCL-157</t>
  </si>
  <si>
    <t>Project Manager-Construction</t>
  </si>
  <si>
    <t>Manikant Gupta</t>
  </si>
  <si>
    <t>N.Chiranjivi Rao</t>
  </si>
  <si>
    <t>Ravi Ranjan Kumar</t>
  </si>
  <si>
    <t>Assistant Manager (Highway)</t>
  </si>
  <si>
    <t>Prasenjit Ghosh</t>
  </si>
  <si>
    <t>Assistant Manager Highway</t>
  </si>
  <si>
    <t>Chintada Bhaskar Rao</t>
  </si>
  <si>
    <t>Asst. Manager (Highways)</t>
  </si>
  <si>
    <t>Govinda Rao</t>
  </si>
  <si>
    <t>Shaik Zakir Hussain</t>
  </si>
  <si>
    <t>Katakam Sumanth</t>
  </si>
  <si>
    <t>LISMB-37</t>
  </si>
  <si>
    <t>Mandli Karthik Reddy</t>
  </si>
  <si>
    <t>Shaik Khaja Rahmatullah</t>
  </si>
  <si>
    <t>MEIL</t>
  </si>
  <si>
    <t>Santosh Sahoo</t>
  </si>
  <si>
    <t>G Ganesh Reddy</t>
  </si>
  <si>
    <t>AM-34</t>
  </si>
  <si>
    <t>Ranu Charan Swain</t>
  </si>
  <si>
    <t>Kanaka Rishi Teja</t>
  </si>
  <si>
    <t>W4-20</t>
  </si>
  <si>
    <t>W4-21</t>
  </si>
  <si>
    <t>Kishun Singh</t>
  </si>
  <si>
    <t>Mr. J Madhu</t>
  </si>
  <si>
    <t>Pacha V M Rao</t>
  </si>
  <si>
    <t>Project Manager(SPM)</t>
  </si>
  <si>
    <t xml:space="preserve">S. Dinesh Reddy	</t>
  </si>
  <si>
    <t>RO-19</t>
  </si>
  <si>
    <t>Narendra Nukumreddy</t>
  </si>
  <si>
    <t xml:space="preserve">Procurement &amp; Purchase and SCM Manager	</t>
  </si>
  <si>
    <t>DEBENDRA SHAW</t>
  </si>
  <si>
    <t>Susanta Kumar Sahoo</t>
  </si>
  <si>
    <t>CBCMP-205</t>
  </si>
  <si>
    <t>Bhan Dutt</t>
  </si>
  <si>
    <t>Janak Singh Bisht</t>
  </si>
  <si>
    <t>CBCMP-193</t>
  </si>
  <si>
    <t>Jasim Alam</t>
  </si>
  <si>
    <t>Rahul Dhakad</t>
  </si>
  <si>
    <t>ABDUL SALEEM KHAN</t>
  </si>
  <si>
    <t>Ashok k. Pareek</t>
  </si>
  <si>
    <t>Ravindra Singh Naruka</t>
  </si>
  <si>
    <t>Kalyan Singh Mewada</t>
  </si>
  <si>
    <t>ANIRBAN KARMAKAR</t>
  </si>
  <si>
    <t>RAVI PAL</t>
  </si>
  <si>
    <t>LAL VIVEK PRATAP SINGH</t>
  </si>
  <si>
    <t>RAMESH KOPPULA</t>
  </si>
  <si>
    <t>LISMB-30</t>
  </si>
  <si>
    <t>KUNA VASUDEVARAO</t>
  </si>
  <si>
    <t>YENDETI SAI KIRAN</t>
  </si>
  <si>
    <t>LISMB-28</t>
  </si>
  <si>
    <t>N. Ramarao</t>
  </si>
  <si>
    <t>MADDALA KRANTHI KUMAR</t>
  </si>
  <si>
    <t>LISMB-29</t>
  </si>
  <si>
    <t>Brijesh Mishra</t>
  </si>
  <si>
    <t>Navin Kumar</t>
  </si>
  <si>
    <t>Prakash Pandey</t>
  </si>
  <si>
    <t>Munna Dikshit</t>
  </si>
  <si>
    <t>CBCMP-198</t>
  </si>
  <si>
    <t>Pankaj Bhagwan</t>
  </si>
  <si>
    <t>Sai Kumar Kommu</t>
  </si>
  <si>
    <t>Supervisor in Civil Execution</t>
  </si>
  <si>
    <t>Uligitthi Narayana Swamy</t>
  </si>
  <si>
    <t>Sr.Foreman</t>
  </si>
  <si>
    <t>Vikranth Jaadi</t>
  </si>
  <si>
    <t>Civil Suprevisor</t>
  </si>
  <si>
    <t>Structure foreman</t>
  </si>
  <si>
    <t>Rahul Sharma</t>
  </si>
  <si>
    <t>Foreman (HIGHWAY)</t>
  </si>
  <si>
    <t>Kurakula Samba Siva Rao</t>
  </si>
  <si>
    <t>Senior foreman </t>
  </si>
  <si>
    <t>Murali Krishna Vinnakota</t>
  </si>
  <si>
    <t>Senior Manager in Quantity Survey </t>
  </si>
  <si>
    <t>B.Durga Prasad</t>
  </si>
  <si>
    <t xml:space="preserve">M.Atchutha Rao	</t>
  </si>
  <si>
    <t>Vijaya Kumar</t>
  </si>
  <si>
    <t>Busanaboina Anil Kumar</t>
  </si>
  <si>
    <t>Assistant Project Manager - QS</t>
  </si>
  <si>
    <t>CBCMP-132</t>
  </si>
  <si>
    <t>QA/QC Assistant</t>
  </si>
  <si>
    <t>SHUBHAM DEHARIYA</t>
  </si>
  <si>
    <t>NITESH KUMAR</t>
  </si>
  <si>
    <t>CBCMP-157</t>
  </si>
  <si>
    <t>Manoj Kumar Mishra</t>
  </si>
  <si>
    <t>Senior  Executive Store</t>
  </si>
  <si>
    <t>Shivanand Vishwakarma</t>
  </si>
  <si>
    <t>SURESH KUMAR SINGH</t>
  </si>
  <si>
    <t>CBCMP-237</t>
  </si>
  <si>
    <t>SK NASIM AKTAR</t>
  </si>
  <si>
    <t>CBCMP-238</t>
  </si>
  <si>
    <t xml:space="preserve"> Landa Kesava Reddy</t>
  </si>
  <si>
    <t>SJ-11</t>
  </si>
  <si>
    <t>Mr. BN Suresh</t>
  </si>
  <si>
    <t>Vanimi SNV Kishore</t>
  </si>
  <si>
    <t>AM-35</t>
  </si>
  <si>
    <t>D Nageswara Reddy</t>
  </si>
  <si>
    <t>B Nagarjuna</t>
  </si>
  <si>
    <t>Venkata  Anil  Kumar Vadlamudi</t>
  </si>
  <si>
    <t>S.Varaprasada Rao</t>
  </si>
  <si>
    <t>Sanjay Bharti</t>
  </si>
  <si>
    <t>Sr. Engineer Highway</t>
  </si>
  <si>
    <t>UVS SatyaNarayana Raju</t>
  </si>
  <si>
    <t>Project Manager (Structures) </t>
  </si>
  <si>
    <t>I S V N L Prasad</t>
  </si>
  <si>
    <t>Construction Project Manager</t>
  </si>
  <si>
    <t>Dipankar Barik</t>
  </si>
  <si>
    <t>Rajendra G</t>
  </si>
  <si>
    <t>T Shanmukha Srinivas</t>
  </si>
  <si>
    <t>Mohan B Jadhav</t>
  </si>
  <si>
    <t>Kallempudi Dilip Kumar</t>
  </si>
  <si>
    <t>Site execution </t>
  </si>
  <si>
    <t>Bandhakavi Sai Kumar</t>
  </si>
  <si>
    <t>Akhil Reddy</t>
  </si>
  <si>
    <t>Bedarakota Manish</t>
  </si>
  <si>
    <t>Saurabh Kumar</t>
  </si>
  <si>
    <t>Veera Govindu</t>
  </si>
  <si>
    <t xml:space="preserve">Shashikant </t>
  </si>
  <si>
    <t>Srinivasarao Vuppala</t>
  </si>
  <si>
    <t>SHRIKANT SINGH</t>
  </si>
  <si>
    <t>SHIVAM KUMAR</t>
  </si>
  <si>
    <t>CBCMP-83</t>
  </si>
  <si>
    <t>NIKKU KUMAR</t>
  </si>
  <si>
    <t>CBCMP-107</t>
  </si>
  <si>
    <t>CBCMP-135</t>
  </si>
  <si>
    <t>Nikhil Kumar</t>
  </si>
  <si>
    <t>ANURAG SHARMA</t>
  </si>
  <si>
    <t>CBCMP-161</t>
  </si>
  <si>
    <t>Uaday Shukla</t>
  </si>
  <si>
    <t>Ande Pradeep</t>
  </si>
  <si>
    <t>LISMB-35</t>
  </si>
  <si>
    <t>Rohit Ashokrao Sanaik</t>
  </si>
  <si>
    <t>Gudemadugula Samuel</t>
  </si>
  <si>
    <t>KANAPARTHI SRINIVASA RAO</t>
  </si>
  <si>
    <t>SHADAB ALI</t>
  </si>
  <si>
    <t>CBCMP-233</t>
  </si>
  <si>
    <t>Pavan Kumar</t>
  </si>
  <si>
    <t>Dhiraj Kumar Nmadev</t>
  </si>
  <si>
    <t>Junior Engineer - Mechanical</t>
  </si>
  <si>
    <t>Shivpoojan Sharma</t>
  </si>
  <si>
    <t>Kundan Kumar</t>
  </si>
  <si>
    <t>Satish Mathe</t>
  </si>
  <si>
    <t>ADCL-81</t>
  </si>
  <si>
    <t>Civil Project Manager</t>
  </si>
  <si>
    <t>Devarkonda Gopi</t>
  </si>
  <si>
    <t>Deputy Manager-Civil</t>
  </si>
  <si>
    <t>ADCL-83</t>
  </si>
  <si>
    <t> Site Engineer</t>
  </si>
  <si>
    <t>Dharmendra Yadav</t>
  </si>
  <si>
    <t>Ravi Shankar Paswan</t>
  </si>
  <si>
    <t>AM-44</t>
  </si>
  <si>
    <t>SD Diptiranjan</t>
  </si>
  <si>
    <t>Assistant Engineer - Electrical</t>
  </si>
  <si>
    <t>Dharmendra Chauhan</t>
  </si>
  <si>
    <t>AM-46</t>
  </si>
  <si>
    <t>Project Incharge - E&amp;M</t>
  </si>
  <si>
    <t>B.C. Subba  Raman  </t>
  </si>
  <si>
    <t>Manager - QS &amp; Billing</t>
  </si>
  <si>
    <t>Arulmani Thangavel</t>
  </si>
  <si>
    <t>Sr.Engineer- Planning &amp; QS          </t>
  </si>
  <si>
    <t>Balkrishna Tiwari</t>
  </si>
  <si>
    <t>PRAVEEN KUMAR</t>
  </si>
  <si>
    <t>Aman Khan</t>
  </si>
  <si>
    <t>G. Suresh Babu</t>
  </si>
  <si>
    <t>Adhikari Ramesh</t>
  </si>
  <si>
    <t xml:space="preserve">Sr. Construction Manager	</t>
  </si>
  <si>
    <t>Suresh Reddy Vellanky</t>
  </si>
  <si>
    <t>Gandi VinodKumar Yadav</t>
  </si>
  <si>
    <t>N Ramanjenuyulu</t>
  </si>
  <si>
    <t>K V Harish</t>
  </si>
  <si>
    <t>RaviKrishna Konnanki</t>
  </si>
  <si>
    <t>Bhaskar Rao Gudluri</t>
  </si>
  <si>
    <t>RO-18</t>
  </si>
  <si>
    <t>Head – Contracts &amp; Tenders</t>
  </si>
  <si>
    <t>Kishore Kumar V</t>
  </si>
  <si>
    <t>Associate Vice President (BD &amp; Projects)</t>
  </si>
  <si>
    <t>R. Chandraiah</t>
  </si>
  <si>
    <t>V.Krishnaswamy</t>
  </si>
  <si>
    <t>Assistant General Manager – Business Development</t>
  </si>
  <si>
    <t xml:space="preserve">Ch.Venkateswara Rao	</t>
  </si>
  <si>
    <t xml:space="preserve">Dy. General Manager (Design)	</t>
  </si>
  <si>
    <t xml:space="preserve">R.Ramesh Naidu	</t>
  </si>
  <si>
    <t xml:space="preserve">Senior Project Manager	</t>
  </si>
  <si>
    <t>Manish Awasthi</t>
  </si>
  <si>
    <t>Abhimanyu Tiwari</t>
  </si>
  <si>
    <t>CBCMP-213</t>
  </si>
  <si>
    <t>Debashis Dutta</t>
  </si>
  <si>
    <t>Sudheerkumar Appa</t>
  </si>
  <si>
    <t>Saddam Husain</t>
  </si>
  <si>
    <t>V Kumar Ratnam</t>
  </si>
  <si>
    <t>ADCL-111</t>
  </si>
  <si>
    <t xml:space="preserve">Safety Officer – SHE	</t>
  </si>
  <si>
    <t>Ch.Ratnagiri</t>
  </si>
  <si>
    <t>ADCL-80</t>
  </si>
  <si>
    <t>K Chandrasekhar Reddy</t>
  </si>
  <si>
    <t>ADCL-82</t>
  </si>
  <si>
    <t>Site Engineer &amp; Site Incharge</t>
  </si>
  <si>
    <t>Jallu Sudhakar</t>
  </si>
  <si>
    <t>Naveen Jarpala</t>
  </si>
  <si>
    <t>AM-37</t>
  </si>
  <si>
    <t>Karnati Siva Sankara Vara Prasad</t>
  </si>
  <si>
    <t>Amit Kumar Viswakarma</t>
  </si>
  <si>
    <t>W4-22</t>
  </si>
  <si>
    <t>Saddam Hussain</t>
  </si>
  <si>
    <t>W4-40</t>
  </si>
  <si>
    <t>U Nagesh</t>
  </si>
  <si>
    <t xml:space="preserve">Avinash Kumar	</t>
  </si>
  <si>
    <t>S.Ajay Babu</t>
  </si>
  <si>
    <t xml:space="preserve">Stores-Assistant Manager	</t>
  </si>
  <si>
    <t>NaveenKumar A</t>
  </si>
  <si>
    <t xml:space="preserve">Sr.Quaninty surveyor	</t>
  </si>
  <si>
    <t>Manojkumar Mamillapalli</t>
  </si>
  <si>
    <t>GP-85</t>
  </si>
  <si>
    <t>Manager - Projects</t>
  </si>
  <si>
    <t>B H Vasu</t>
  </si>
  <si>
    <t>Dasari Muni Ganesh</t>
  </si>
  <si>
    <t>Jami Sunil Kumar</t>
  </si>
  <si>
    <t>GP-83</t>
  </si>
  <si>
    <t>Senior Project Manager </t>
  </si>
  <si>
    <t>Sreedhar Somayajula</t>
  </si>
  <si>
    <t>Sudip Das</t>
  </si>
  <si>
    <t>Basavaraja P</t>
  </si>
  <si>
    <t>B. Parsharamulu</t>
  </si>
  <si>
    <t>CBCMP-93</t>
  </si>
  <si>
    <t>CBCMP-212</t>
  </si>
  <si>
    <t>Manish Kumar Patel</t>
  </si>
  <si>
    <t>CBCMP-187</t>
  </si>
  <si>
    <t>Sivam Singh Lodhi</t>
  </si>
  <si>
    <t>Palepogu Rajesh</t>
  </si>
  <si>
    <t>CBCMP-164</t>
  </si>
  <si>
    <t>Gaurav Singh</t>
  </si>
  <si>
    <t>Rajkumar Singh</t>
  </si>
  <si>
    <t>Ramnath</t>
  </si>
  <si>
    <t>Metta Jagadeeswara rao</t>
  </si>
  <si>
    <t>ADCL-68</t>
  </si>
  <si>
    <t>NITIN SINGH</t>
  </si>
  <si>
    <t>ADCL-92</t>
  </si>
  <si>
    <t>Environment Focal person (Asst. Manager)</t>
  </si>
  <si>
    <t>UGRASEN KUMAR</t>
  </si>
  <si>
    <t>Environment Safeguard Support Staff</t>
  </si>
  <si>
    <t>Mohit Verma</t>
  </si>
  <si>
    <t>Sohrab Alam</t>
  </si>
  <si>
    <t>Arijit Ghorai</t>
  </si>
  <si>
    <t>Phoolchandra Maurya</t>
  </si>
  <si>
    <t>ABHI NANDAN KUMAR</t>
  </si>
  <si>
    <t xml:space="preserve">Sivaji Singampalli	</t>
  </si>
  <si>
    <t>RO-23</t>
  </si>
  <si>
    <t xml:space="preserve">Manager – SCM  </t>
  </si>
  <si>
    <t xml:space="preserve">J Srinivas	</t>
  </si>
  <si>
    <t xml:space="preserve">General Manager / Project Head	</t>
  </si>
  <si>
    <t>Santanu Ghosh</t>
  </si>
  <si>
    <t>Biswanath Reddy</t>
  </si>
  <si>
    <t>Kothuri Mahesh</t>
  </si>
  <si>
    <t>Kancharla Ankamma Rao</t>
  </si>
  <si>
    <t>NIKHIL KHATWA</t>
  </si>
  <si>
    <t>CBCMP-219</t>
  </si>
  <si>
    <t>A. KISHORE</t>
  </si>
  <si>
    <t>K.DURGESH RAJU</t>
  </si>
  <si>
    <t>K Chinanarayana Rao</t>
  </si>
  <si>
    <t>Channa Bala Subramanyam</t>
  </si>
  <si>
    <t>CBCMP-221</t>
  </si>
  <si>
    <t>DURGESH CHNADRA YADAV</t>
  </si>
  <si>
    <t xml:space="preserve">S Siddaiah	</t>
  </si>
  <si>
    <t xml:space="preserve">Mahesh Babu Pithani	</t>
  </si>
  <si>
    <t>Deepavath Bala Krishna</t>
  </si>
  <si>
    <t>AM-50</t>
  </si>
  <si>
    <t>Assistant Construction Manager</t>
  </si>
  <si>
    <t>Sreekanth</t>
  </si>
  <si>
    <t>Shivanshu Shukla</t>
  </si>
  <si>
    <t>Umakant Baliar Singh</t>
  </si>
  <si>
    <t>Civil Engineer - Finishing</t>
  </si>
  <si>
    <t>Pavan Kumar Yadav</t>
  </si>
  <si>
    <t>Laxmi Vara Prasad Yalla</t>
  </si>
  <si>
    <t>AM-63</t>
  </si>
  <si>
    <t>Durga Madhab Behara</t>
  </si>
  <si>
    <t>Pondala Surendra</t>
  </si>
  <si>
    <t>Project Engineer - Civil</t>
  </si>
  <si>
    <t>Kuruva Peddaiah</t>
  </si>
  <si>
    <t>Polukonda Sivaiah</t>
  </si>
  <si>
    <t>Ramavath Syam Kumar</t>
  </si>
  <si>
    <t>Avala Srinu</t>
  </si>
  <si>
    <t>Chukka Venkataramaiah</t>
  </si>
  <si>
    <t>Chippala Yesu Kiran</t>
  </si>
  <si>
    <t>N.MADHAVAIAH</t>
  </si>
  <si>
    <t>MANTINA RAMBABU</t>
  </si>
  <si>
    <t>MAHENDER SINGH</t>
  </si>
  <si>
    <t>D KOTRESH</t>
  </si>
  <si>
    <t>ANANTA BEHERA</t>
  </si>
  <si>
    <t>REYYI HARIKRISHNA</t>
  </si>
  <si>
    <t>Niyazullah Rizvi</t>
  </si>
  <si>
    <t>HARISH CHANDRA SAROJ</t>
  </si>
  <si>
    <t>PRADUMN KUMAR RAY</t>
  </si>
  <si>
    <t>RANJIT KUMAR</t>
  </si>
  <si>
    <t>Yogendra Kashyap</t>
  </si>
  <si>
    <t>CBCMP-222</t>
  </si>
  <si>
    <t>VAIBHAV BHAIK</t>
  </si>
  <si>
    <t>SHAMBHU LAL</t>
  </si>
  <si>
    <t>SAMIRAN GIRI</t>
  </si>
  <si>
    <t>Navendu Maikap</t>
  </si>
  <si>
    <t>Lokendra Singh Parihar</t>
  </si>
  <si>
    <t>Ishwar Kumar Ray</t>
  </si>
  <si>
    <t>CBCMP-220</t>
  </si>
  <si>
    <t>GAYATRIDHAR DAS</t>
  </si>
  <si>
    <t>Akshay Kumar</t>
  </si>
  <si>
    <t>PAILA MURALI MOHAN</t>
  </si>
  <si>
    <t>ADCL-91</t>
  </si>
  <si>
    <t>CHAITHANYA VOODA</t>
  </si>
  <si>
    <t>Sachin Yadav</t>
  </si>
  <si>
    <t>W3-53</t>
  </si>
  <si>
    <t>Project Engineer - QS &amp; Billing</t>
  </si>
  <si>
    <t>Mithilesh Kumar Saini</t>
  </si>
  <si>
    <t>Senior Project Engineer </t>
  </si>
  <si>
    <t>Amar Rajole</t>
  </si>
  <si>
    <t>Papu Parida</t>
  </si>
  <si>
    <t>Ravi Ranjan</t>
  </si>
  <si>
    <t xml:space="preserve">Murali Muliki	</t>
  </si>
  <si>
    <t xml:space="preserve">Sr. Mechanical Engineer	</t>
  </si>
  <si>
    <t>Eedubili Ravi</t>
  </si>
  <si>
    <t>Ashish Kumar Mishra</t>
  </si>
  <si>
    <t>Chaitanya Manikanta G,</t>
  </si>
  <si>
    <t>Sr Foreman (Structures)</t>
  </si>
  <si>
    <t>Devedra Kumar Yadav</t>
  </si>
  <si>
    <t>SR. SUPERVISOR (structure)</t>
  </si>
  <si>
    <t>Rambaran Dhakad</t>
  </si>
  <si>
    <t>Forman</t>
  </si>
  <si>
    <t>Pamoti  Sankar Rao</t>
  </si>
  <si>
    <t>Supervisor Highway &amp; Structure </t>
  </si>
  <si>
    <t>Bethala Sandeep</t>
  </si>
  <si>
    <t>Highway asst engineer</t>
  </si>
  <si>
    <t>Nagipogu Jaya Prakasam</t>
  </si>
  <si>
    <t>Engineer-Highway(REWALL)</t>
  </si>
  <si>
    <t>CBCMP-215</t>
  </si>
  <si>
    <t>Gyyaneshwar Shende</t>
  </si>
  <si>
    <t>Ajay Bansod</t>
  </si>
  <si>
    <t>Harnarayan Tiwari</t>
  </si>
  <si>
    <t>Polampalli Naveen</t>
  </si>
  <si>
    <t>Banothu Srinivas</t>
  </si>
  <si>
    <t>Jyoti Prasad</t>
  </si>
  <si>
    <t xml:space="preserve">honnesh h p </t>
  </si>
  <si>
    <t>GP-62</t>
  </si>
  <si>
    <t>ganesh m</t>
  </si>
  <si>
    <t>GP-65</t>
  </si>
  <si>
    <t>suraj basavaraj</t>
  </si>
  <si>
    <t>md syyed ismail</t>
  </si>
  <si>
    <t>GP-68</t>
  </si>
  <si>
    <t>sanjay shantram pol</t>
  </si>
  <si>
    <t>GP-54</t>
  </si>
  <si>
    <t>adirala peddirajula swamy</t>
  </si>
  <si>
    <t>Madhu K S</t>
  </si>
  <si>
    <t>Mallesh Kumar K V</t>
  </si>
  <si>
    <t>S. Satya  Narayana</t>
  </si>
  <si>
    <t>Ramlakhan Kushwaha</t>
  </si>
  <si>
    <t>CBCMP-227</t>
  </si>
  <si>
    <t>Rakesh Vishwakarma</t>
  </si>
  <si>
    <t>Liaisoning Officer</t>
  </si>
  <si>
    <t>Vijay Pratap Pandey</t>
  </si>
  <si>
    <t>AM - Liaison (He is int. for SE)</t>
  </si>
  <si>
    <t>Highway Superviso</t>
  </si>
  <si>
    <t>Dinesh Kumar Pandey</t>
  </si>
  <si>
    <t>Structure(Foreman)</t>
  </si>
  <si>
    <t>C.Yallaiah </t>
  </si>
  <si>
    <t>Sr Supervisor - Structure </t>
  </si>
  <si>
    <t>Nityanando Majhi</t>
  </si>
  <si>
    <t>CBCMP-217</t>
  </si>
  <si>
    <t>Anil Kaith</t>
  </si>
  <si>
    <t>Surendra Singh</t>
  </si>
  <si>
    <t>AM</t>
  </si>
  <si>
    <t>Sudip Mal</t>
  </si>
  <si>
    <t>Vishal Dwivedi</t>
  </si>
  <si>
    <t>Land Acquisition</t>
  </si>
  <si>
    <t>Pradeep Kumar Mishra</t>
  </si>
  <si>
    <t>CBCMP-228</t>
  </si>
  <si>
    <t>Rahul Modak</t>
  </si>
  <si>
    <t>Deepak Yadav</t>
  </si>
  <si>
    <t>Engineer - Survey</t>
  </si>
  <si>
    <t>Dipak Barman</t>
  </si>
  <si>
    <t>Pawan Kumar Ahirwar</t>
  </si>
  <si>
    <t>SJ-04</t>
  </si>
  <si>
    <t>Quality  Control Engineer</t>
  </si>
  <si>
    <t>Mahesh Kumar</t>
  </si>
  <si>
    <t>Enugu Raju</t>
  </si>
  <si>
    <t>VP (Project</t>
  </si>
  <si>
    <t>Balla ShanmukhaRao</t>
  </si>
  <si>
    <t>Sr. Project manager</t>
  </si>
  <si>
    <t>Chilly Krishna Mohan</t>
  </si>
  <si>
    <t>Bonta Jayakar</t>
  </si>
  <si>
    <t xml:space="preserve">Project Mnager	</t>
  </si>
  <si>
    <t>Burla Praveen Kumar</t>
  </si>
  <si>
    <t>ADCL-93</t>
  </si>
  <si>
    <t>HR –IR Executive</t>
  </si>
  <si>
    <t>RAVI KUMAR</t>
  </si>
  <si>
    <t>Manish Kumar Kushwaha</t>
  </si>
  <si>
    <t>CBCMP-225</t>
  </si>
  <si>
    <t>Suraj Kushwaha</t>
  </si>
  <si>
    <t>Mohan Chinthamani Samal</t>
  </si>
  <si>
    <t>CBCMP-226</t>
  </si>
  <si>
    <t>GAURAV</t>
  </si>
  <si>
    <t>ARUNANGSU MAJI</t>
  </si>
  <si>
    <t>Pankaj Raghuwanshi</t>
  </si>
  <si>
    <t>Rabish Kumar</t>
  </si>
  <si>
    <t>MAYA RAM</t>
  </si>
  <si>
    <t>Satypal Singh</t>
  </si>
  <si>
    <t>VINAY PATEL</t>
  </si>
  <si>
    <t>RITESH KUMAR SRIVASTAVA</t>
  </si>
  <si>
    <t>KATTA SRIKANTH</t>
  </si>
  <si>
    <t>Anuj Pratap Singh</t>
  </si>
  <si>
    <t>DHRUV TIWARI</t>
  </si>
  <si>
    <t>RAJNEESH KUMAR</t>
  </si>
  <si>
    <t>SANDEEP CHAUHAN</t>
  </si>
  <si>
    <t>GURRAM RAMESH</t>
  </si>
  <si>
    <t>MAHENDRAN.S</t>
  </si>
  <si>
    <t>GULAB CHAND PATEL</t>
  </si>
  <si>
    <t>SD. Jakir Husain</t>
  </si>
  <si>
    <t>Kamal Kishor Singh</t>
  </si>
  <si>
    <t>CBCMP-223</t>
  </si>
  <si>
    <t>KRISHNA VISHWAKARMA</t>
  </si>
  <si>
    <t>SANJEEB KUMAR MOHANTY</t>
  </si>
  <si>
    <t>SURAJ DAS</t>
  </si>
  <si>
    <t>GAURAV TRIVEDI</t>
  </si>
  <si>
    <t>Binayak Satapathy</t>
  </si>
  <si>
    <t>Rohit Kushwaha</t>
  </si>
  <si>
    <t>Yash Bhardwaj</t>
  </si>
  <si>
    <t>RITIK KUMAR</t>
  </si>
  <si>
    <t>JAGAN BEHERA</t>
  </si>
  <si>
    <t>Vikan Kumar</t>
  </si>
  <si>
    <t>Atul Kumar Garg</t>
  </si>
  <si>
    <t>Hr Asst. &amp; Operation Supervisor</t>
  </si>
  <si>
    <t>Ashish Kumar Behera</t>
  </si>
  <si>
    <t>Assistant Store Keeper</t>
  </si>
  <si>
    <t>Pappu Kumar Yadav</t>
  </si>
  <si>
    <t>CBCMP-239</t>
  </si>
  <si>
    <t>Store And Weighbridge Operator</t>
  </si>
  <si>
    <t>Vineet Singh</t>
  </si>
  <si>
    <t>Sudhanshu Kumar</t>
  </si>
  <si>
    <t>Sahil Kumar</t>
  </si>
  <si>
    <t>Rakki Pandey</t>
  </si>
  <si>
    <t>CBCMP-240</t>
  </si>
  <si>
    <t>Pritesh Kumar</t>
  </si>
  <si>
    <t>Neeraj Dhar Dhubey</t>
  </si>
  <si>
    <t>Mithilesh Kharwar</t>
  </si>
  <si>
    <t>Gaurav Kumar</t>
  </si>
  <si>
    <t>Dinesh Mugaokar</t>
  </si>
  <si>
    <t>Rajneesh Kumar Kacher</t>
  </si>
  <si>
    <t>Badal Sahoo</t>
  </si>
  <si>
    <t xml:space="preserve">Pydam Naidu Kirla	</t>
  </si>
  <si>
    <t>Abhishek EM</t>
  </si>
  <si>
    <t>ADCL-79</t>
  </si>
  <si>
    <t>Kadithi Bobby</t>
  </si>
  <si>
    <t>K.Venkat Reddy</t>
  </si>
  <si>
    <t>CBCMP-229</t>
  </si>
  <si>
    <t>Junior Executive - Liaison</t>
  </si>
  <si>
    <t>Vidya Charan Gurjar</t>
  </si>
  <si>
    <t>Executive Liaison</t>
  </si>
  <si>
    <t>Rajeev Kumar Singh Chauhan</t>
  </si>
  <si>
    <t>AM - Liaison</t>
  </si>
  <si>
    <t>SK Eyakub</t>
  </si>
  <si>
    <t>Ganesh Maity</t>
  </si>
  <si>
    <t>Raviteja Balli</t>
  </si>
  <si>
    <t>ADCL-180</t>
  </si>
  <si>
    <t>Store Assistant-S2</t>
  </si>
  <si>
    <t>Prasanth Kumar Pradhan</t>
  </si>
  <si>
    <t>Utkarsh Singh</t>
  </si>
  <si>
    <t>Thutivaka Bhargav</t>
  </si>
  <si>
    <t>Site Engineer Intern</t>
  </si>
  <si>
    <t>Ranagani Narasimhulu</t>
  </si>
  <si>
    <t>Lallan Kumar</t>
  </si>
  <si>
    <t>KalyanRao Dasari</t>
  </si>
  <si>
    <t>S. Varahagiri  Titlar</t>
  </si>
  <si>
    <t>Profile shared with Interviewer</t>
  </si>
  <si>
    <t>Regu Gowri Sankararao</t>
  </si>
  <si>
    <t>Sr Supervisor(Highways)</t>
  </si>
  <si>
    <t>Keshav Singh Tanwar</t>
  </si>
  <si>
    <t>Daya Shankar Mishra</t>
  </si>
  <si>
    <t>Shashikant</t>
  </si>
  <si>
    <t>Harijana Yesayya</t>
  </si>
  <si>
    <t>CBCMP-178</t>
  </si>
  <si>
    <t>Mazhar Ansari</t>
  </si>
  <si>
    <t>Jyothi Pradhan</t>
  </si>
  <si>
    <t>Padmaraju Vamshidhar Raju</t>
  </si>
  <si>
    <t>GP-80</t>
  </si>
  <si>
    <t xml:space="preserve">P SatyaNarayana	</t>
  </si>
  <si>
    <t>K.Manoj kumar Reddy,</t>
  </si>
  <si>
    <t>ADCL-94</t>
  </si>
  <si>
    <t>Banoth Vijay  Kumar</t>
  </si>
  <si>
    <t>Assistant - Stores</t>
  </si>
  <si>
    <t>Jakkamsetti Mohan Shankar Sai</t>
  </si>
  <si>
    <t>GET Mechanical - Technician</t>
  </si>
  <si>
    <t>Vamsy Krishna Peela</t>
  </si>
  <si>
    <t>RO-21</t>
  </si>
  <si>
    <t>Sr. Engineer(Procurement)</t>
  </si>
  <si>
    <t>Thoviti Ganesh</t>
  </si>
  <si>
    <t>Assistant Manager Procurement</t>
  </si>
  <si>
    <t>Thalari Varahalu</t>
  </si>
  <si>
    <t xml:space="preserve">MEP Assistant Manager	</t>
  </si>
  <si>
    <t>Pankaj Jana</t>
  </si>
  <si>
    <t>CBCMP-248</t>
  </si>
  <si>
    <t>Khoobchand Verma</t>
  </si>
  <si>
    <t>Site Engineer (Survey + Execution)</t>
  </si>
  <si>
    <t>Supriyo Samanta</t>
  </si>
  <si>
    <t>CBCMP-231</t>
  </si>
  <si>
    <t>MANDLI KARTHIK REDDY</t>
  </si>
  <si>
    <t>CBCMP-230</t>
  </si>
  <si>
    <t>Mahesh Naik Eslavath</t>
  </si>
  <si>
    <t>DEVI PRASAD</t>
  </si>
  <si>
    <t>Balwant Singh</t>
  </si>
  <si>
    <t>Sudip Pal</t>
  </si>
  <si>
    <t>Ritesh Verma</t>
  </si>
  <si>
    <t>W4-13</t>
  </si>
  <si>
    <t>Shivansh Yadav</t>
  </si>
  <si>
    <t>Taruna Barik</t>
  </si>
  <si>
    <t>CBCMP-211</t>
  </si>
  <si>
    <t>Raghevendra Mishra</t>
  </si>
  <si>
    <t>Surojit Saha</t>
  </si>
  <si>
    <t>Sunkesula Imam Sab</t>
  </si>
  <si>
    <t>GP-95</t>
  </si>
  <si>
    <t>Engineer - Planning</t>
  </si>
  <si>
    <t>T Nagendra</t>
  </si>
  <si>
    <t>GP-56</t>
  </si>
  <si>
    <t>Pilli Siva Krishna</t>
  </si>
  <si>
    <t>Sudheer</t>
  </si>
  <si>
    <t>ADCL-95</t>
  </si>
  <si>
    <t xml:space="preserve">Store Associate	</t>
  </si>
  <si>
    <t>Nagulapally Gopal Krishna</t>
  </si>
  <si>
    <t>Rahul AshokGai</t>
  </si>
  <si>
    <t xml:space="preserve">Project coordinator(Civil &amp; technical </t>
  </si>
  <si>
    <t xml:space="preserve">Chintam Venkateswara Rao	</t>
  </si>
  <si>
    <t xml:space="preserve">Chief General Manager	</t>
  </si>
  <si>
    <t xml:space="preserve">Rambabu Kanneboyina	</t>
  </si>
  <si>
    <t>ADCL-104</t>
  </si>
  <si>
    <t>Deepak kumar</t>
  </si>
  <si>
    <t>CBCMP-236</t>
  </si>
  <si>
    <t>BHARAT RAJAK</t>
  </si>
  <si>
    <t>W3-66</t>
  </si>
  <si>
    <t>safety officer</t>
  </si>
  <si>
    <t>Siddiqui</t>
  </si>
  <si>
    <t>Raman Singh</t>
  </si>
  <si>
    <t>CBCMP-235</t>
  </si>
  <si>
    <t>Rakesh Kumar Singh</t>
  </si>
  <si>
    <t>Assistant safety officer</t>
  </si>
  <si>
    <t>DHANANJAY PRASAD</t>
  </si>
  <si>
    <t>ADARSH MANGARAJ</t>
  </si>
  <si>
    <t>Yaganti Rajesh Krishna</t>
  </si>
  <si>
    <t>Assistant Engineer(Structures)</t>
  </si>
  <si>
    <t>K Naresh</t>
  </si>
  <si>
    <t>Structural Engineer</t>
  </si>
  <si>
    <t>Kodirekka Gopi</t>
  </si>
  <si>
    <t>Pulivendula Udaya Bharath</t>
  </si>
  <si>
    <t>S. Sreedhar</t>
  </si>
  <si>
    <t>Avisineni Pavan Kumar</t>
  </si>
  <si>
    <t>ADCL-73</t>
  </si>
  <si>
    <t>Civil Engineer (planning)</t>
  </si>
  <si>
    <t>Yekkaluri Mohammad</t>
  </si>
  <si>
    <t>ADCL-119</t>
  </si>
  <si>
    <t>Highway Planning Engineer</t>
  </si>
  <si>
    <t>Sunil Kamalsen</t>
  </si>
  <si>
    <t xml:space="preserve">P V Srinivasa Rao	</t>
  </si>
  <si>
    <t xml:space="preserve">D SatyaNarayana	</t>
  </si>
  <si>
    <t>Malla Vishnu</t>
  </si>
  <si>
    <t>Sudhir Kumar Tiwari</t>
  </si>
  <si>
    <t>Myla Suguna Rao</t>
  </si>
  <si>
    <t>Boyapayi Sudhakar</t>
  </si>
  <si>
    <t>Senior Forman- civil</t>
  </si>
  <si>
    <t>T.Mohan Krishna</t>
  </si>
  <si>
    <t>ADCL-98</t>
  </si>
  <si>
    <t>AGM – Fleet Head</t>
  </si>
  <si>
    <t>Bombothula VineethGoud</t>
  </si>
  <si>
    <t>ADCL-99</t>
  </si>
  <si>
    <t>ERM (engineer)</t>
  </si>
  <si>
    <t>E.Sivaiah</t>
  </si>
  <si>
    <t>Associate Manager – Cons Mgt.</t>
  </si>
  <si>
    <t>Aravind  Gajavelly</t>
  </si>
  <si>
    <t>Myla Mohan Sai Krishna</t>
  </si>
  <si>
    <t>Yashwanth Kumar Reddy</t>
  </si>
  <si>
    <t>Vijay Varma</t>
  </si>
  <si>
    <t>AM-57</t>
  </si>
  <si>
    <t>Barla Hemanth</t>
  </si>
  <si>
    <t>Senior Billing Engineer</t>
  </si>
  <si>
    <t>Ramani Kiran Teja</t>
  </si>
  <si>
    <t>Mahesh Mara</t>
  </si>
  <si>
    <t>Assistant Manager - QS &amp; Billing</t>
  </si>
  <si>
    <t>Vijaya kumar</t>
  </si>
  <si>
    <t>Assistant Manager QS &amp; Billing </t>
  </si>
  <si>
    <t>Rohit</t>
  </si>
  <si>
    <t>Himanshu</t>
  </si>
  <si>
    <t>Assistant Cost Manager </t>
  </si>
  <si>
    <t>Umesh Kumar Yadav</t>
  </si>
  <si>
    <t>Omprakash Bhinjade</t>
  </si>
  <si>
    <t>W4-35</t>
  </si>
  <si>
    <t>Shashikant Vishwakarma</t>
  </si>
  <si>
    <t>Santanu Patra</t>
  </si>
  <si>
    <t>Engineer - Client Billing</t>
  </si>
  <si>
    <t>Devanshu Pal</t>
  </si>
  <si>
    <t>Ajay Shende</t>
  </si>
  <si>
    <t>W3-79</t>
  </si>
  <si>
    <t>Senior Engineer - QS &amp; Billing</t>
  </si>
  <si>
    <t>Ambuj Kumar Dwivedi</t>
  </si>
  <si>
    <t>Shubham Dubey</t>
  </si>
  <si>
    <t>BAPUJI KUMAR DASH.</t>
  </si>
  <si>
    <t>Neetesh Yadav</t>
  </si>
  <si>
    <t>KOSHLENDRA SINGH</t>
  </si>
  <si>
    <t>Amit Dixit</t>
  </si>
  <si>
    <t>ADITYA KUMAR</t>
  </si>
  <si>
    <t>Vindhyachal Prasad</t>
  </si>
  <si>
    <t>MANNEEDI MANIKANTA</t>
  </si>
  <si>
    <t>SURESH MANDARAPU</t>
  </si>
  <si>
    <t>Sr.Highway Engineer</t>
  </si>
  <si>
    <t xml:space="preserve">B.Ankanna Rao	</t>
  </si>
  <si>
    <t xml:space="preserve">Senior  Manager (Structures)    	</t>
  </si>
  <si>
    <t xml:space="preserve">Prasanna Kumar Kankurthi	</t>
  </si>
  <si>
    <t>CBCMP-241</t>
  </si>
  <si>
    <t>Raghvendra Singh</t>
  </si>
  <si>
    <t>CBCMP-242</t>
  </si>
  <si>
    <t>GP-77</t>
  </si>
  <si>
    <t>Kalyan Babu</t>
  </si>
  <si>
    <t>Store Operator</t>
  </si>
  <si>
    <t>B Naveen</t>
  </si>
  <si>
    <t>Ganesh</t>
  </si>
  <si>
    <t>GP-75</t>
  </si>
  <si>
    <t>Mukku Suneel Kumar</t>
  </si>
  <si>
    <t xml:space="preserve">Deputy Project Manager	</t>
  </si>
  <si>
    <t xml:space="preserve">Annam Pavan Kumar Reddy	</t>
  </si>
  <si>
    <t>RO-20</t>
  </si>
  <si>
    <t xml:space="preserve">Purchase Manager	</t>
  </si>
  <si>
    <t>Vijay Babu Barna</t>
  </si>
  <si>
    <t>AM-38</t>
  </si>
  <si>
    <t xml:space="preserve">G Kranthi Kumar	</t>
  </si>
  <si>
    <t xml:space="preserve">Sr Assistant Manager	</t>
  </si>
  <si>
    <t xml:space="preserve">T Mahesh	</t>
  </si>
  <si>
    <t xml:space="preserve">Manager-Contracts(PREVIOUS)	</t>
  </si>
  <si>
    <t xml:space="preserve">Komara Dasaradha Ramaiah	</t>
  </si>
  <si>
    <t xml:space="preserve">Senior General Manager	</t>
  </si>
  <si>
    <t>ATIKUR RAHMAN</t>
  </si>
  <si>
    <t>NAJEEB PASHA</t>
  </si>
  <si>
    <t>KUMAR GAURAV</t>
  </si>
  <si>
    <t>RAJU KUMAR</t>
  </si>
  <si>
    <t xml:space="preserve"> Tabarej Siddique </t>
  </si>
  <si>
    <t>Balruchi Shukla</t>
  </si>
  <si>
    <t>Rajesh kumar tyagi</t>
  </si>
  <si>
    <t>W3-65</t>
  </si>
  <si>
    <t>SibaPrasad Rautaray</t>
  </si>
  <si>
    <t>Gonganti Charan Kumar Reddy</t>
  </si>
  <si>
    <t>Store Assisstant</t>
  </si>
  <si>
    <t>Nadapuru Srinivasa Rao</t>
  </si>
  <si>
    <t>Executive-Stores</t>
  </si>
  <si>
    <t>Thrimurthulu Chalapareddi</t>
  </si>
  <si>
    <t>Madhu Pedineni</t>
  </si>
  <si>
    <t xml:space="preserve">Gopal Krishna Battina	</t>
  </si>
  <si>
    <t xml:space="preserve">Senior Engineer	</t>
  </si>
  <si>
    <t>Ayan  Karmakar</t>
  </si>
  <si>
    <t>SK InjamuL Alam</t>
  </si>
  <si>
    <t>Saurav Saha</t>
  </si>
  <si>
    <t>Y Chinna Baburao</t>
  </si>
  <si>
    <t>Moturu Vamsidhar</t>
  </si>
  <si>
    <t>Ruturaj Das</t>
  </si>
  <si>
    <t>Penukonda Bhadra Reddy</t>
  </si>
  <si>
    <t>Venkata Naga Suresh Mallireddy</t>
  </si>
  <si>
    <t>Janaki Prudhvi Shankar</t>
  </si>
  <si>
    <t>RAJU TIWARI</t>
  </si>
  <si>
    <t>Site Supervisor (Highway)</t>
  </si>
  <si>
    <t>Rana Biswas</t>
  </si>
  <si>
    <t>KORUKONDA SURESH</t>
  </si>
  <si>
    <t>trainee engineer</t>
  </si>
  <si>
    <t>POLAMALA JAGADEESH VARMA</t>
  </si>
  <si>
    <t>site engineer.</t>
  </si>
  <si>
    <t>Sachin Kumar Mishra</t>
  </si>
  <si>
    <t>Subhajit Roy</t>
  </si>
  <si>
    <t>VIKASH CONPAN</t>
  </si>
  <si>
    <t>Gundu Bhagavan Rajesh</t>
  </si>
  <si>
    <t>Vakada Kartheek</t>
  </si>
  <si>
    <t>Arumbaka Saral Saketh</t>
  </si>
  <si>
    <t>Bhasker N</t>
  </si>
  <si>
    <t>Project Manager - Civil</t>
  </si>
  <si>
    <t>Ganji Parasuram</t>
  </si>
  <si>
    <t>Senior Project Manager - Civil</t>
  </si>
  <si>
    <t xml:space="preserve">B Prasada Rao	</t>
  </si>
  <si>
    <t>Utchula Phani Durga Prasad</t>
  </si>
  <si>
    <t>GP-90</t>
  </si>
  <si>
    <t>APM - Mechanical</t>
  </si>
  <si>
    <t>Rambabu Peketi</t>
  </si>
  <si>
    <t>GP-86</t>
  </si>
  <si>
    <t>Deputy Project Manager - Civil</t>
  </si>
  <si>
    <t>Uday Kumar G </t>
  </si>
  <si>
    <t>M V V P Jagadeesh</t>
  </si>
  <si>
    <t>Yallavula Naresh </t>
  </si>
  <si>
    <t>Rayavarapu Eswar Kumar</t>
  </si>
  <si>
    <t>GP-57</t>
  </si>
  <si>
    <t>Senior Engineer - Civil </t>
  </si>
  <si>
    <t>P Sudheer</t>
  </si>
  <si>
    <t>Manager - Civil</t>
  </si>
  <si>
    <t>Boya Ravi Kumar</t>
  </si>
  <si>
    <t>Associate Manager - Civil </t>
  </si>
  <si>
    <t>RamaChandraRao Nasika</t>
  </si>
  <si>
    <t>Lakshman Rao Nakka</t>
  </si>
  <si>
    <t>Baktheyar Ahmad</t>
  </si>
  <si>
    <t>Priyanshu Khushwaha</t>
  </si>
  <si>
    <t>Prakash Chand Yadav</t>
  </si>
  <si>
    <t>FOREMAN (Highway)</t>
  </si>
  <si>
    <t>Subrahmanya Swamy</t>
  </si>
  <si>
    <t>W3-85</t>
  </si>
  <si>
    <t>Pankaj</t>
  </si>
  <si>
    <t>Gandikota Lela Bala Mohana Murali Krishna</t>
  </si>
  <si>
    <t>Subhra Prakash Manna</t>
  </si>
  <si>
    <t>Md.Yousof</t>
  </si>
  <si>
    <t>Animesh Medya</t>
  </si>
  <si>
    <t>K V Ramana Reddy</t>
  </si>
  <si>
    <t>K Venkat Ram Reddy</t>
  </si>
  <si>
    <t>K Somaraju</t>
  </si>
  <si>
    <t>Asst General Manager (Project Incharge)</t>
  </si>
  <si>
    <t xml:space="preserve">Venkata Narasimha Varma Sagi	</t>
  </si>
  <si>
    <t xml:space="preserve">Sr Manager-Procurement	</t>
  </si>
  <si>
    <t xml:space="preserve">Partha Pratim Kakati	</t>
  </si>
  <si>
    <t>Chitraranjan Saswal</t>
  </si>
  <si>
    <t>GP-78</t>
  </si>
  <si>
    <t>Akshay Sathish</t>
  </si>
  <si>
    <t>Satti Babu</t>
  </si>
  <si>
    <t>Babula Baral</t>
  </si>
  <si>
    <t>Palakuri Sateesh Babu</t>
  </si>
  <si>
    <t>G Sathish Kumar</t>
  </si>
  <si>
    <t>L Jagadeesh</t>
  </si>
  <si>
    <t>RajaRam Mohapatra</t>
  </si>
  <si>
    <t>SJ-22</t>
  </si>
  <si>
    <t>Karikalan Kannan</t>
  </si>
  <si>
    <t>SJ-14</t>
  </si>
  <si>
    <t>Field Quality Engineer</t>
  </si>
  <si>
    <t>Amar Isak Shaik</t>
  </si>
  <si>
    <t>W3-55</t>
  </si>
  <si>
    <t>Graduate Engineer Trainee - QS</t>
  </si>
  <si>
    <t>Yash Fule</t>
  </si>
  <si>
    <t>W4-28</t>
  </si>
  <si>
    <t>Jayprakash Bharti</t>
  </si>
  <si>
    <t>Rajvardhan Gurav</t>
  </si>
  <si>
    <t>Veeranjaneyulu</t>
  </si>
  <si>
    <t>Store assistant</t>
  </si>
  <si>
    <t>Karunakar</t>
  </si>
  <si>
    <t>B .Ravi teja</t>
  </si>
  <si>
    <t>Senior Manager (Highway)</t>
  </si>
  <si>
    <t>BOMMANABOINA MAHESH B</t>
  </si>
  <si>
    <t>ADCL-97</t>
  </si>
  <si>
    <t>B S N Vinay</t>
  </si>
  <si>
    <t>RO-22</t>
  </si>
  <si>
    <t>Senior Executive.</t>
  </si>
  <si>
    <t>J Uday Kumar</t>
  </si>
  <si>
    <t>Bramhaiah</t>
  </si>
  <si>
    <t>Anil Kumar More</t>
  </si>
  <si>
    <t>Nithin Sai</t>
  </si>
  <si>
    <t>AM-48</t>
  </si>
  <si>
    <t>Chandan gowda</t>
  </si>
  <si>
    <t>SERAJ ALI</t>
  </si>
  <si>
    <t>MOHD REHAN</t>
  </si>
  <si>
    <t>TAUHID ALI</t>
  </si>
  <si>
    <t>DHANANJAI KUMAR SINGH</t>
  </si>
  <si>
    <t xml:space="preserve">Aravind Babu Bachina	</t>
  </si>
  <si>
    <t xml:space="preserve">Senior Design Engineer	</t>
  </si>
  <si>
    <t>Parvesh Chandel</t>
  </si>
  <si>
    <t>SJ-13</t>
  </si>
  <si>
    <t>Rajesh Kumar Rai</t>
  </si>
  <si>
    <t>SJ-16</t>
  </si>
  <si>
    <t>Electrical Supervisor </t>
  </si>
  <si>
    <t>Pradeep Rajak</t>
  </si>
  <si>
    <t>Mayank Pushpdeep</t>
  </si>
  <si>
    <t>Ajeet Kumar Yadav</t>
  </si>
  <si>
    <t>SJ-12</t>
  </si>
  <si>
    <t>Aditya Singh</t>
  </si>
  <si>
    <t>SJ-17</t>
  </si>
  <si>
    <t xml:space="preserve">Moka Sri Rama Murthy	</t>
  </si>
  <si>
    <t>ADCL-90</t>
  </si>
  <si>
    <t xml:space="preserve">Senior  Engineer	</t>
  </si>
  <si>
    <t>Prashanth Patro</t>
  </si>
  <si>
    <t>Quantity Surveyor &amp; Billing Engineer</t>
  </si>
  <si>
    <t>Bibhuti Narayan Tiwari</t>
  </si>
  <si>
    <t>Manoja Kumar Swain</t>
  </si>
  <si>
    <t>Pothuguntla Nageswara Rao</t>
  </si>
  <si>
    <t>Mr. RSN</t>
  </si>
  <si>
    <t>Sathish</t>
  </si>
  <si>
    <t>Radha Krishna J </t>
  </si>
  <si>
    <t>Satyabrata Das</t>
  </si>
  <si>
    <t>Assistant Manager - MEP</t>
  </si>
  <si>
    <t>Thrinath Reddy Kummetha</t>
  </si>
  <si>
    <t>Sangram Matagai Singh</t>
  </si>
  <si>
    <t>Kumaresan</t>
  </si>
  <si>
    <t>Assistant Manager - Electrical</t>
  </si>
  <si>
    <t>Karunakar Pagidala</t>
  </si>
  <si>
    <t>AM-55</t>
  </si>
  <si>
    <t>Ashay Kumar</t>
  </si>
  <si>
    <t>Talasila Bhargava</t>
  </si>
  <si>
    <t>Chain Singh Charak</t>
  </si>
  <si>
    <t>AM-41</t>
  </si>
  <si>
    <t>Uppari Raghunath</t>
  </si>
  <si>
    <t>Kapoor Paswan</t>
  </si>
  <si>
    <t>AM-60</t>
  </si>
  <si>
    <t>Jagadeesh Suravarapu</t>
  </si>
  <si>
    <t>AM-51</t>
  </si>
  <si>
    <t>Inkenti Akhil Raj</t>
  </si>
  <si>
    <t>Ashish Pratap Singh</t>
  </si>
  <si>
    <t>AM-40</t>
  </si>
  <si>
    <t>Supervisor - Structure</t>
  </si>
  <si>
    <t>Sai Kiran</t>
  </si>
  <si>
    <t>Alok Negi</t>
  </si>
  <si>
    <t>Modeler</t>
  </si>
  <si>
    <t>SR. Structure BIM Modeler</t>
  </si>
  <si>
    <t>Kiran Chennuri</t>
  </si>
  <si>
    <t>C Charan Kumar Reddy</t>
  </si>
  <si>
    <t>Muzmil Shaik</t>
  </si>
  <si>
    <t>Sannu Vinay</t>
  </si>
  <si>
    <t>ADCL-122</t>
  </si>
  <si>
    <t>Shaik Nagul Shariff</t>
  </si>
  <si>
    <t>Gokaraju Hari Kiran</t>
  </si>
  <si>
    <t>Mandala Mahesh</t>
  </si>
  <si>
    <t>Korrapati Hareesh Babu</t>
  </si>
  <si>
    <t>Punuri Raju</t>
  </si>
  <si>
    <t>Komatipalli Chinanarayana Rao</t>
  </si>
  <si>
    <t>Ramling</t>
  </si>
  <si>
    <t>Shaik Rasool</t>
  </si>
  <si>
    <t>ADCL-77</t>
  </si>
  <si>
    <t>Engineer-QS</t>
  </si>
  <si>
    <t>Diwakar Mudadla</t>
  </si>
  <si>
    <t>Aritra Mandal</t>
  </si>
  <si>
    <t>Lankapalli Bala Srinivasu Rao</t>
  </si>
  <si>
    <t xml:space="preserve">Aakina Narasimha Rao	</t>
  </si>
  <si>
    <t xml:space="preserve">Engineer-Structures	</t>
  </si>
  <si>
    <t>Neetu Singh</t>
  </si>
  <si>
    <t>CBCMP-247</t>
  </si>
  <si>
    <t>Biman Samanta</t>
  </si>
  <si>
    <t>CBCMP-232</t>
  </si>
  <si>
    <t>Senior Suveyor</t>
  </si>
  <si>
    <t>Ganesh Chandra Roy</t>
  </si>
  <si>
    <t>Ashok Kumar Khute</t>
  </si>
  <si>
    <t>Biswanath Bhunia</t>
  </si>
  <si>
    <t>Umesh Kumar Gautam</t>
  </si>
  <si>
    <t>Venkataratnam Muraboina</t>
  </si>
  <si>
    <t>Uma Maheswara rao</t>
  </si>
  <si>
    <t>Vivek Mani Tripati</t>
  </si>
  <si>
    <t>GOWROJU. NAGA RAMA CHARY</t>
  </si>
  <si>
    <t>Tupakula Kumara Swamy</t>
  </si>
  <si>
    <t>Byomkesh Jagadala</t>
  </si>
  <si>
    <t>VEGI YASWANTH KUMAR</t>
  </si>
  <si>
    <t>Structures Foreman</t>
  </si>
  <si>
    <t>VENU ORUGANTI</t>
  </si>
  <si>
    <t>Dy. General Manager</t>
  </si>
  <si>
    <t>CHANDRA SEKHAR. K</t>
  </si>
  <si>
    <t>Manager CE Planning</t>
  </si>
  <si>
    <t>Rajesh Babu</t>
  </si>
  <si>
    <t>AM-42</t>
  </si>
  <si>
    <t>Aditya Kumar Sharma</t>
  </si>
  <si>
    <t>Bunty Bhagat</t>
  </si>
  <si>
    <t>Vikash Mishra</t>
  </si>
  <si>
    <t>Atul Rajak</t>
  </si>
  <si>
    <t>Arun Kataki</t>
  </si>
  <si>
    <t>Senior Civil Foreman</t>
  </si>
  <si>
    <t xml:space="preserve">V S Raghavendra </t>
  </si>
  <si>
    <t>Matte  Surendra</t>
  </si>
  <si>
    <t>Arabind Kumar</t>
  </si>
  <si>
    <t>Chandrashekhar Chaturvedi</t>
  </si>
  <si>
    <t>CBCMP-214</t>
  </si>
  <si>
    <t>Executive - HR &amp; Admin</t>
  </si>
  <si>
    <t>Puneet Kumar Patel</t>
  </si>
  <si>
    <t>Ashish Satish Kumar</t>
  </si>
  <si>
    <t>CBCMP-244</t>
  </si>
  <si>
    <t>Manas Ranjan Behera</t>
  </si>
  <si>
    <t>W3-56</t>
  </si>
  <si>
    <t>Engineer - P &amp; M</t>
  </si>
  <si>
    <t>UPENDRA AHIRWAR</t>
  </si>
  <si>
    <t>Sourav Adhikari</t>
  </si>
  <si>
    <t>Raghavendra Rao Jogi</t>
  </si>
  <si>
    <t>Kantam Venkata Rama Rao</t>
  </si>
  <si>
    <t>ADCL-85</t>
  </si>
  <si>
    <t>S K Pathak</t>
  </si>
  <si>
    <t>Rakesh Chandra Parida</t>
  </si>
  <si>
    <t>CH.Janardhan</t>
  </si>
  <si>
    <t>Sr.Foreman(Highways)</t>
  </si>
  <si>
    <t>R.Uday Kiran</t>
  </si>
  <si>
    <t>B.Prasad</t>
  </si>
  <si>
    <t>Aurangzeb Alam Ansari</t>
  </si>
  <si>
    <t>Nandigam Sai Krishna</t>
  </si>
  <si>
    <t>AM-43</t>
  </si>
  <si>
    <t>AM-47</t>
  </si>
  <si>
    <t>Boddu Jitendra Kumar</t>
  </si>
  <si>
    <t>AM-52</t>
  </si>
  <si>
    <t xml:space="preserve"> Vijay Kumar NagiReddi	</t>
  </si>
  <si>
    <t xml:space="preserve">Sr Project Manager	</t>
  </si>
  <si>
    <t>M Narasimha Reddy</t>
  </si>
  <si>
    <t>G Venkata Govind Rajulu</t>
  </si>
  <si>
    <t>Chief Project Manager </t>
  </si>
  <si>
    <t>VVT Seshu  Kumar</t>
  </si>
  <si>
    <t>AGM Execution</t>
  </si>
  <si>
    <t>C Bhaskaran</t>
  </si>
  <si>
    <t>Uppidi. Srinivas</t>
  </si>
  <si>
    <t>ADCL-129</t>
  </si>
  <si>
    <t>Uppari Ravi</t>
  </si>
  <si>
    <t>KAMBHAMPATI PAVAN KUMAR</t>
  </si>
  <si>
    <t>PARVATANENI KARTHI</t>
  </si>
  <si>
    <t>BHATRJU SAI MAHESH</t>
  </si>
  <si>
    <t>VALAPARLA RAJESH</t>
  </si>
  <si>
    <t>AKKAPETI JOHN SUDARSHA</t>
  </si>
  <si>
    <t>G Suresh Raju</t>
  </si>
  <si>
    <t>Sanjaykumar Ganpatrao Desmukh</t>
  </si>
  <si>
    <t>Bhaskar Rav Chouhan</t>
  </si>
  <si>
    <t>Satish Chandra</t>
  </si>
  <si>
    <t>Prathik Ashok Deshmukh</t>
  </si>
  <si>
    <t>W3-44</t>
  </si>
  <si>
    <t>Manish Kumar Chaturvedi</t>
  </si>
  <si>
    <t>Sonu Sharma</t>
  </si>
  <si>
    <t>Chaganti Nagababu</t>
  </si>
  <si>
    <t>Mr. Sai Ramesh</t>
  </si>
  <si>
    <t>Doddalapudi Akhil</t>
  </si>
  <si>
    <t>Mr. Nageshwar Rao</t>
  </si>
  <si>
    <t>L Nagesh Kumar</t>
  </si>
  <si>
    <t>N Venu Gopal</t>
  </si>
  <si>
    <t>D Varun</t>
  </si>
  <si>
    <t>Shaik Ashraf</t>
  </si>
  <si>
    <t>S.S.V.M. SAI KUMAR</t>
  </si>
  <si>
    <t>P. Chaithanya</t>
  </si>
  <si>
    <t>C K Bhandari</t>
  </si>
  <si>
    <t>ADCL-100</t>
  </si>
  <si>
    <t>Mgr - survey</t>
  </si>
  <si>
    <t>Dinesh Shukla</t>
  </si>
  <si>
    <t>Trinadha Reddy</t>
  </si>
  <si>
    <t>KONATHAM PREMCHAND</t>
  </si>
  <si>
    <t>Sudhakar Rao G</t>
  </si>
  <si>
    <t>ADCL-101</t>
  </si>
  <si>
    <t>D Surendar </t>
  </si>
  <si>
    <t>Shaikh Arifulla</t>
  </si>
  <si>
    <t>GET-Planning &amp; Billing Dept</t>
  </si>
  <si>
    <t>Aditya Prasad Tripathy</t>
  </si>
  <si>
    <t>Engineer-Billing</t>
  </si>
  <si>
    <t>Engineer-QS&amp; Billing</t>
  </si>
  <si>
    <t>Akash Sagar Panda</t>
  </si>
  <si>
    <t>Dy Mgr - Planning &amp; Monitoring</t>
  </si>
  <si>
    <t>Naveen Kumar Akiri</t>
  </si>
  <si>
    <t>Dy Mgr - Planning </t>
  </si>
  <si>
    <t>Kasu Nagi Reddy</t>
  </si>
  <si>
    <t>ADCL-103</t>
  </si>
  <si>
    <t>Technical Project Manager</t>
  </si>
  <si>
    <t>Akhil Kumar</t>
  </si>
  <si>
    <t>AM-39</t>
  </si>
  <si>
    <t>Pradeep T</t>
  </si>
  <si>
    <t>Juvva Aadinarayana</t>
  </si>
  <si>
    <t>Malineni Suresh</t>
  </si>
  <si>
    <t>T. Sarath Bhogeswara Rao</t>
  </si>
  <si>
    <t>R Bhaskar</t>
  </si>
  <si>
    <t>Site Engineer Cum office Engineer</t>
  </si>
  <si>
    <t>Deva Reddy Yaganti</t>
  </si>
  <si>
    <t>Site Engineer (Civil) </t>
  </si>
  <si>
    <t>Kuldeep Rajawat</t>
  </si>
  <si>
    <t>GP-81</t>
  </si>
  <si>
    <t>Satya Verma</t>
  </si>
  <si>
    <t>N Sudhakar</t>
  </si>
  <si>
    <t>Assistant Manager - Survey</t>
  </si>
  <si>
    <t>Kashiram Ahirwar</t>
  </si>
  <si>
    <t>GP-82</t>
  </si>
  <si>
    <t>Anoop</t>
  </si>
  <si>
    <t>Executive Surveyor</t>
  </si>
  <si>
    <t>Abhinav Kumar</t>
  </si>
  <si>
    <t>Associate Manager -</t>
  </si>
  <si>
    <t>Sumit</t>
  </si>
  <si>
    <t xml:space="preserve">Mullu Srinivasa Rao	</t>
  </si>
  <si>
    <t xml:space="preserve">Regional Coordinator	</t>
  </si>
  <si>
    <t>Gudur Bhanu Sankar</t>
  </si>
  <si>
    <t>W3-84</t>
  </si>
  <si>
    <t>PARIKSHITA SAHOO</t>
  </si>
  <si>
    <t>W3-86</t>
  </si>
  <si>
    <t>Vikash Kumar Yadav</t>
  </si>
  <si>
    <t>Susheel Tiwari</t>
  </si>
  <si>
    <t>Sushanta Dal</t>
  </si>
  <si>
    <t>Madem Yeswanth</t>
  </si>
  <si>
    <t>Rambabu</t>
  </si>
  <si>
    <t>Aakask Kumar Viswakarma</t>
  </si>
  <si>
    <t>Vipin Kumar Yadav</t>
  </si>
  <si>
    <t>Ramhet Rajak</t>
  </si>
  <si>
    <t>AM-62</t>
  </si>
  <si>
    <t>Arun Kumar Sharma</t>
  </si>
  <si>
    <t>Sr.Engineer</t>
  </si>
  <si>
    <t>Sonu Kumar Singh</t>
  </si>
  <si>
    <t>Sr. Site Engineer</t>
  </si>
  <si>
    <t>Priyatosh Samanta</t>
  </si>
  <si>
    <t>Suresh Konathala</t>
  </si>
  <si>
    <t>Sanapala Murali</t>
  </si>
  <si>
    <t>ADCL-86</t>
  </si>
  <si>
    <t>Akeel Raja</t>
  </si>
  <si>
    <t>Shahnawaz Alam</t>
  </si>
  <si>
    <t>SONU KUMAR</t>
  </si>
  <si>
    <t>Vuppela Naveen Kumar Reddy</t>
  </si>
  <si>
    <t>Chinnasani Ishwar Reddy</t>
  </si>
  <si>
    <t>GP-87</t>
  </si>
  <si>
    <t>Palthi Yadagiri</t>
  </si>
  <si>
    <t>T Rakesh</t>
  </si>
  <si>
    <t>Therli Tirupathi Naidu</t>
  </si>
  <si>
    <t>Chandrasekhar Reddy</t>
  </si>
  <si>
    <t>GP-69</t>
  </si>
  <si>
    <t>Rambabu Mundluri</t>
  </si>
  <si>
    <t>Naga Pranav Trirumalasetty</t>
  </si>
  <si>
    <t>R. Yogeswar</t>
  </si>
  <si>
    <t>GP-88</t>
  </si>
  <si>
    <t>Vinod Kumar Guttikonda</t>
  </si>
  <si>
    <t>Vijay Kumar K</t>
  </si>
  <si>
    <t xml:space="preserve">M.Deepak Kumar	</t>
  </si>
  <si>
    <t xml:space="preserve">Senior Planning &amp; Billing Engineer	</t>
  </si>
  <si>
    <t>Nidaganti Ravi Kumar</t>
  </si>
  <si>
    <t>ADCL-84</t>
  </si>
  <si>
    <t>Sr.Surveyor</t>
  </si>
  <si>
    <t>Mavussain</t>
  </si>
  <si>
    <t>ADCL-131</t>
  </si>
  <si>
    <t>ABHIJIT MOHANTY</t>
  </si>
  <si>
    <t>BIKRAMJIT SAHOO</t>
  </si>
  <si>
    <t>Lakshman Patel</t>
  </si>
  <si>
    <t>CHAKALI NAGARJUNA</t>
  </si>
  <si>
    <t>AJAJ AHMAD</t>
  </si>
  <si>
    <t>MERAJ ANSARI</t>
  </si>
  <si>
    <t>Dakkumalla Immanuel Issac Raju</t>
  </si>
  <si>
    <t>Anjan Samanta</t>
  </si>
  <si>
    <t>Shubham R Satpute</t>
  </si>
  <si>
    <t>W3-81</t>
  </si>
  <si>
    <t>AE -  Billing</t>
  </si>
  <si>
    <t>Lakshman Das</t>
  </si>
  <si>
    <t>Ramesh Kumar</t>
  </si>
  <si>
    <t>Ujjwal Bisen</t>
  </si>
  <si>
    <t>Sr. Planning &amp; Billing Engineer</t>
  </si>
  <si>
    <t>Sanapala Murali Krishna</t>
  </si>
  <si>
    <t>AM-54</t>
  </si>
  <si>
    <t>Snehasis Nayak</t>
  </si>
  <si>
    <t>Project Manager - QS</t>
  </si>
  <si>
    <t>Kummari Sridhar</t>
  </si>
  <si>
    <t>Quantity Suveyor  &amp; Billing</t>
  </si>
  <si>
    <t>Tirupati Rao</t>
  </si>
  <si>
    <t>B Arun Raj</t>
  </si>
  <si>
    <t>Asst Mgr - Planning</t>
  </si>
  <si>
    <t>Planning Incharge</t>
  </si>
  <si>
    <t>Matta Venkateswara Rao</t>
  </si>
  <si>
    <t>D AdiNarayana</t>
  </si>
  <si>
    <t>G Chandra Sekhar Reddy</t>
  </si>
  <si>
    <t>ADCL-102</t>
  </si>
  <si>
    <t>Mr. B.Satyanarayana</t>
  </si>
  <si>
    <t>Sandeep Srivastava</t>
  </si>
  <si>
    <t>ADCL-124</t>
  </si>
  <si>
    <t>Asst Project Engineer</t>
  </si>
  <si>
    <t>Ankam Sai Kumar</t>
  </si>
  <si>
    <t>Sr. Engineer. Civil Dept.                                     </t>
  </si>
  <si>
    <t>U Danesh</t>
  </si>
  <si>
    <t>Sabbu Venkateshwarlu</t>
  </si>
  <si>
    <t>Krishna Kumar</t>
  </si>
  <si>
    <t>Senior Supervisor (Highway)</t>
  </si>
  <si>
    <t>Birendra Kumar Dwivedi</t>
  </si>
  <si>
    <t>PNV Krishna</t>
  </si>
  <si>
    <t>N.Sreenivasulu</t>
  </si>
  <si>
    <t xml:space="preserve">Yohan Rayapati	</t>
  </si>
  <si>
    <t xml:space="preserve">Senior Pavement Specialist	</t>
  </si>
  <si>
    <t xml:space="preserve">Nemalipuri Kumar	</t>
  </si>
  <si>
    <t xml:space="preserve">Store Executive	</t>
  </si>
  <si>
    <t xml:space="preserve">Sai Venkata Sudheer V	</t>
  </si>
  <si>
    <t xml:space="preserve">Engineer – Planning	</t>
  </si>
  <si>
    <t xml:space="preserve">Bhimagowda Patil	</t>
  </si>
  <si>
    <t xml:space="preserve">Environmental Engineer	</t>
  </si>
  <si>
    <t>Roki Das</t>
  </si>
  <si>
    <t>SUBHASH CHANDRA</t>
  </si>
  <si>
    <t>ASHUTOSH KUMAR YADAV</t>
  </si>
  <si>
    <t>W3-72</t>
  </si>
  <si>
    <t xml:space="preserve">Chinna Koteswara Rao Davala	</t>
  </si>
  <si>
    <t xml:space="preserve">State Coordinator	</t>
  </si>
  <si>
    <t xml:space="preserve">Peetla  Manyam	</t>
  </si>
  <si>
    <t>Samiran Mondal</t>
  </si>
  <si>
    <t>Ghana Ram Koshle</t>
  </si>
  <si>
    <t>Senior Technician - Electrical</t>
  </si>
  <si>
    <t>Tubendra Prasad Kurre</t>
  </si>
  <si>
    <t>Shivhari Yadav</t>
  </si>
  <si>
    <t>AM-61</t>
  </si>
  <si>
    <t>Deepak Kumar Chauhan</t>
  </si>
  <si>
    <t>Sapan Kumar </t>
  </si>
  <si>
    <t>Mudimanchi Ajay</t>
  </si>
  <si>
    <t>Kuldeep</t>
  </si>
  <si>
    <t>AM-58</t>
  </si>
  <si>
    <t>Anil Parida</t>
  </si>
  <si>
    <t>Senior Supevisor</t>
  </si>
  <si>
    <t>Gude Murari Manohar</t>
  </si>
  <si>
    <t>Jitendra  Bahadur Singh</t>
  </si>
  <si>
    <t>Kiran Biswal</t>
  </si>
  <si>
    <t>Perugu Narasimha Swamy</t>
  </si>
  <si>
    <t>Ramesh Vallepu</t>
  </si>
  <si>
    <t>Site In-Charge</t>
  </si>
  <si>
    <t>Mutyala Venkata Ganesh</t>
  </si>
  <si>
    <t>Vamsi Phani</t>
  </si>
  <si>
    <t>ADCL-109</t>
  </si>
  <si>
    <t>Srikanth Gopu</t>
  </si>
  <si>
    <t>Somisetti GuruPrasad</t>
  </si>
  <si>
    <t>Sr.Engineer – Structure.</t>
  </si>
  <si>
    <t>B.Nanaji</t>
  </si>
  <si>
    <t>ADCL-110</t>
  </si>
  <si>
    <t>Sr.Engineer (Structures &amp; QS)</t>
  </si>
  <si>
    <t>K V Vinod Kumar</t>
  </si>
  <si>
    <t>Gudluru Ravi Dinesh</t>
  </si>
  <si>
    <t>Som Kumar Dahayat</t>
  </si>
  <si>
    <t>Bonthu Devi Kiran</t>
  </si>
  <si>
    <t>Gangetti Durga Ganesh</t>
  </si>
  <si>
    <t>K.SUDHAKAR</t>
  </si>
  <si>
    <t>D Srinivas</t>
  </si>
  <si>
    <t>Balram</t>
  </si>
  <si>
    <t>Mohd Shadab</t>
  </si>
  <si>
    <t>Engineer- Execution</t>
  </si>
  <si>
    <t>T. Mahendra Reddy</t>
  </si>
  <si>
    <t>Ponnada Ranjith</t>
  </si>
  <si>
    <t>Senior Engineer-Highways</t>
  </si>
  <si>
    <t>B Ranga Swamy</t>
  </si>
  <si>
    <t>Sankar Manna</t>
  </si>
  <si>
    <t>Kuldeep Sharma</t>
  </si>
  <si>
    <t>Mohd Tasleem</t>
  </si>
  <si>
    <t>Durgesh Kumar Ram</t>
  </si>
  <si>
    <t>Vikas Pal</t>
  </si>
  <si>
    <t>Sr Site Engr &amp; Office Works</t>
  </si>
  <si>
    <t>Bhupendra Singh</t>
  </si>
  <si>
    <t>S.Nagaraja</t>
  </si>
  <si>
    <t>Pothuraju Satyanarayana</t>
  </si>
  <si>
    <t>AM-64</t>
  </si>
  <si>
    <t>Kantha Rao</t>
  </si>
  <si>
    <t>AM-53</t>
  </si>
  <si>
    <t>Kanithi Srinivasa Rao</t>
  </si>
  <si>
    <t>HO-23</t>
  </si>
  <si>
    <t>Srinivasa Rao Thellagorla</t>
  </si>
  <si>
    <t>Mangali Rajesh</t>
  </si>
  <si>
    <t>Subhankar Khanra</t>
  </si>
  <si>
    <t>Senior Site Engineer - Electrical</t>
  </si>
  <si>
    <t>Shankar Soma</t>
  </si>
  <si>
    <t>Bali. SuryaNarayana</t>
  </si>
  <si>
    <t>Executive Engineer (R&amp;B) Div .</t>
  </si>
  <si>
    <t>K.Vamsi</t>
  </si>
  <si>
    <t>ADCL-159</t>
  </si>
  <si>
    <t>Konna SuryaNarayana</t>
  </si>
  <si>
    <t>Engineer-Highway</t>
  </si>
  <si>
    <t>Akash Dhara</t>
  </si>
  <si>
    <t>Engineer (Highway)</t>
  </si>
  <si>
    <t>Rachakonda Ramarao</t>
  </si>
  <si>
    <t>Maddu Venkata </t>
  </si>
  <si>
    <t>Senior Highway Engineer (Sr.HE)</t>
  </si>
  <si>
    <t>Surenther Mariappan</t>
  </si>
  <si>
    <t>Akash Pandey</t>
  </si>
  <si>
    <t>Anish Kumar</t>
  </si>
  <si>
    <t>Assistant Engineer - QA/QC</t>
  </si>
  <si>
    <t>Chaitanya Kumar</t>
  </si>
  <si>
    <t>Deepak Kumar Tiwari</t>
  </si>
  <si>
    <t>Dilip Kumar</t>
  </si>
  <si>
    <t>Avdesh Kumar Jandon</t>
  </si>
  <si>
    <t>W4-27</t>
  </si>
  <si>
    <t>Manager - QS</t>
  </si>
  <si>
    <t>Jitendra Prasad</t>
  </si>
  <si>
    <t>Senior Billing &amp; Planning Engineer</t>
  </si>
  <si>
    <t>Prabhudayal Khaliya </t>
  </si>
  <si>
    <t>Ramakant Kumar</t>
  </si>
  <si>
    <t>Anjaiah Mudimala</t>
  </si>
  <si>
    <t>Site Engineer - Electrical</t>
  </si>
  <si>
    <t>A V V Satya Sudheer</t>
  </si>
  <si>
    <t>Project Engineer - Electrical</t>
  </si>
  <si>
    <t>Edupuganti Satya Kiran</t>
  </si>
  <si>
    <t>Kommari Raghavendar</t>
  </si>
  <si>
    <t>Devarasetty Sreekanth</t>
  </si>
  <si>
    <t>Engineer - Construction </t>
  </si>
  <si>
    <t>Bijesh Mishra</t>
  </si>
  <si>
    <t>Sinnu Kumar</t>
  </si>
  <si>
    <t>Prabhudas Meka</t>
  </si>
  <si>
    <t>Amit Kumar Verma</t>
  </si>
  <si>
    <t>Radha  Krishna Alamuri</t>
  </si>
  <si>
    <t>Civil Senior Foreman</t>
  </si>
  <si>
    <t>Piyush Kumar Patel</t>
  </si>
  <si>
    <t>Jaganadharao P</t>
  </si>
  <si>
    <t>Venkataraja Ch</t>
  </si>
  <si>
    <t>Venkatesh chinthala</t>
  </si>
  <si>
    <t>Sr Engineer-Highways &amp; Structures</t>
  </si>
  <si>
    <t>Yogendra Tiwari</t>
  </si>
  <si>
    <t>Sr. Engineer &amp; Billing Engineer</t>
  </si>
  <si>
    <t>Jonnadula Subba Rao</t>
  </si>
  <si>
    <t>Ramesh Kumar B</t>
  </si>
  <si>
    <t>VidyaSagar</t>
  </si>
  <si>
    <t>Vijay Kaku</t>
  </si>
  <si>
    <t>Project Coordinator</t>
  </si>
  <si>
    <t>B SambasivaRao</t>
  </si>
  <si>
    <t>Assistant Manager-QS</t>
  </si>
  <si>
    <t>Dinesh Babu Katari</t>
  </si>
  <si>
    <t> Amit Chaurasia </t>
  </si>
  <si>
    <t>Kancharla Jayaram Prasad</t>
  </si>
  <si>
    <t>Gandham Purna Sai</t>
  </si>
  <si>
    <t>Paila Murali</t>
  </si>
  <si>
    <t>Pilla Babu Kalyan Kumar</t>
  </si>
  <si>
    <t>ADCL-118</t>
  </si>
  <si>
    <t>Guguloth Sagar</t>
  </si>
  <si>
    <t>Shravan Kumar</t>
  </si>
  <si>
    <t>Electrical Maintenance Engineer</t>
  </si>
  <si>
    <t>Srini P</t>
  </si>
  <si>
    <t>Amit Singh</t>
  </si>
  <si>
    <t>Budata Srinivasu</t>
  </si>
  <si>
    <t>AM-65</t>
  </si>
  <si>
    <t>Chetan Radheshyam Dhumale</t>
  </si>
  <si>
    <t>Kunal Kumar</t>
  </si>
  <si>
    <t>W3-82</t>
  </si>
  <si>
    <t>Vinayak Dipak Katale</t>
  </si>
  <si>
    <t>Shubham Tabaji Ingale</t>
  </si>
  <si>
    <t>Asif Chaudhary</t>
  </si>
  <si>
    <t>Govvada.Pandu Babu,</t>
  </si>
  <si>
    <t>Teppala Raju</t>
  </si>
  <si>
    <t>Kolukuluri LakshmiPathi Raju</t>
  </si>
  <si>
    <t>Laying Incharge</t>
  </si>
  <si>
    <t>Kavalakunta Ravi</t>
  </si>
  <si>
    <t>Senior Engineer – EHS</t>
  </si>
  <si>
    <t>Malka Ashok</t>
  </si>
  <si>
    <t>ADCL-112</t>
  </si>
  <si>
    <t>Addala Ramajaneyulu</t>
  </si>
  <si>
    <t>W3-58</t>
  </si>
  <si>
    <t>Mr. NMM</t>
  </si>
  <si>
    <t>Kocheru Vignan Kumar Reddy</t>
  </si>
  <si>
    <t>Bendalam Ramesh</t>
  </si>
  <si>
    <t>W3-57</t>
  </si>
  <si>
    <t>Bhanu Mahathi Chitluri</t>
  </si>
  <si>
    <t>RO-25</t>
  </si>
  <si>
    <t>Santosh </t>
  </si>
  <si>
    <t>Yugendra Krishna Sai</t>
  </si>
  <si>
    <t>Krushanna Rathod</t>
  </si>
  <si>
    <t>Pradeep Holge</t>
  </si>
  <si>
    <t>Vijay Kumar Chaudhary</t>
  </si>
  <si>
    <t>Mayank Saxena</t>
  </si>
  <si>
    <t>Rakesh Masih</t>
  </si>
  <si>
    <t>Dev Prakash Mishra</t>
  </si>
  <si>
    <t>W4-30</t>
  </si>
  <si>
    <t>Malap Singh</t>
  </si>
  <si>
    <t>Virender Singh</t>
  </si>
  <si>
    <t>Jaswanth Singh</t>
  </si>
  <si>
    <t>W4-31</t>
  </si>
  <si>
    <t>Engineer - QA/QA</t>
  </si>
  <si>
    <t>Rohit Kumar Karale</t>
  </si>
  <si>
    <t>Senior Quality Engineer</t>
  </si>
  <si>
    <t>Sandeep Das</t>
  </si>
  <si>
    <t>W4-38</t>
  </si>
  <si>
    <t>Survey Team Leader</t>
  </si>
  <si>
    <t>Sujan Debanth</t>
  </si>
  <si>
    <t>Mahesh Rautray</t>
  </si>
  <si>
    <t>Pappu Ghosh</t>
  </si>
  <si>
    <t>Lakshman Samai</t>
  </si>
  <si>
    <t>CHAILLU M</t>
  </si>
  <si>
    <t>Billing &amp; QS Engg</t>
  </si>
  <si>
    <t>DIDDI VENKATESWARLU</t>
  </si>
  <si>
    <t>Dara naveen</t>
  </si>
  <si>
    <t>Varasala Kishore Babu</t>
  </si>
  <si>
    <t>Rajesh Kumar Mishra</t>
  </si>
  <si>
    <t>Highway Foreman</t>
  </si>
  <si>
    <t>Ajaya Kumar Nahak</t>
  </si>
  <si>
    <t>Krishna Nelaturu</t>
  </si>
  <si>
    <t>Triveedi Koteswara Rao</t>
  </si>
  <si>
    <t>Manoranjan Swain</t>
  </si>
  <si>
    <t>ADCL-115</t>
  </si>
  <si>
    <t>Tarkeshwar Pandit</t>
  </si>
  <si>
    <t>Sr. Foreman (Structures)</t>
  </si>
  <si>
    <t>Veeraraju</t>
  </si>
  <si>
    <t>Ravindra Kumar Jha</t>
  </si>
  <si>
    <t>Structure Supervisor</t>
  </si>
  <si>
    <t>Chandan Maurya</t>
  </si>
  <si>
    <t>Structure Site Supervisor</t>
  </si>
  <si>
    <t>Akhilesh Kushwaha</t>
  </si>
  <si>
    <t>Shamhu Kumar</t>
  </si>
  <si>
    <t>Sheikh Latheef</t>
  </si>
  <si>
    <t>K Naveen</t>
  </si>
  <si>
    <t>Vijay Kumar     </t>
  </si>
  <si>
    <t>Site Engineer (Highway)</t>
  </si>
  <si>
    <t>I Srinivasulu</t>
  </si>
  <si>
    <t>Alokes Porel</t>
  </si>
  <si>
    <t>Sr.Highway Eng.</t>
  </si>
  <si>
    <t>Shanker Singh</t>
  </si>
  <si>
    <t>Senior Engineer (Highway)</t>
  </si>
  <si>
    <t>Gundumogula Naga Srinu</t>
  </si>
  <si>
    <t>W3-62</t>
  </si>
  <si>
    <t>S Vignesh</t>
  </si>
  <si>
    <t>W3-59</t>
  </si>
  <si>
    <t>Sumant Kumar</t>
  </si>
  <si>
    <t>W4-29</t>
  </si>
  <si>
    <t>Ajay Senwal</t>
  </si>
  <si>
    <t>Assistant Civil Engineer</t>
  </si>
  <si>
    <t>Neelam Singh</t>
  </si>
  <si>
    <t>W4-34</t>
  </si>
  <si>
    <t>Manish Kumar Sahini</t>
  </si>
  <si>
    <t>Safety Incharge</t>
  </si>
  <si>
    <t>Suraj Mondal</t>
  </si>
  <si>
    <t>Vijay Kushwaha</t>
  </si>
  <si>
    <t>Bhole Jaiswal</t>
  </si>
  <si>
    <t>Subhash Kumar Singh</t>
  </si>
  <si>
    <t>Satyendra Kumar</t>
  </si>
  <si>
    <t>Highway Engneer</t>
  </si>
  <si>
    <t>Balajeet Singh</t>
  </si>
  <si>
    <t>Kilagu Rambabu</t>
  </si>
  <si>
    <t>Mohan Sai Goli</t>
  </si>
  <si>
    <t>Senior Engineer (Execution)</t>
  </si>
  <si>
    <t>Karaku GuruSwamy</t>
  </si>
  <si>
    <t>Sr. Site Engineer (HIGHWAYs)</t>
  </si>
  <si>
    <t>Dileep vishwakarma</t>
  </si>
  <si>
    <t>W3-93</t>
  </si>
  <si>
    <t>Sr.Store executive</t>
  </si>
  <si>
    <t>DHARMENDRA RAI</t>
  </si>
  <si>
    <t>ATUL SINGH</t>
  </si>
  <si>
    <t>W3-92</t>
  </si>
  <si>
    <t>Sr. Store. Executive</t>
  </si>
  <si>
    <t>W3-94</t>
  </si>
  <si>
    <t>BIBEK KUMAR BADOLA</t>
  </si>
  <si>
    <t>Rajat verma</t>
  </si>
  <si>
    <t>Abhishek Routh</t>
  </si>
  <si>
    <t>W3-60</t>
  </si>
  <si>
    <t>Ashutosh Dubey</t>
  </si>
  <si>
    <t>KUNJ BIHARI CHAUHAN</t>
  </si>
  <si>
    <t>Shani Singh</t>
  </si>
  <si>
    <t>Abhay Kumar Singh</t>
  </si>
  <si>
    <t>SR.Supervisor Highway</t>
  </si>
  <si>
    <t>RamAshish Prajapati</t>
  </si>
  <si>
    <t>Supervisor(Highway)</t>
  </si>
  <si>
    <t>Kamlesh Kumar Upadhyay</t>
  </si>
  <si>
    <t>Asheesh Ojha</t>
  </si>
  <si>
    <t>Foreman-Highway</t>
  </si>
  <si>
    <t>Harpal Singh</t>
  </si>
  <si>
    <t>Dharmendra Singh Banadoria</t>
  </si>
  <si>
    <t>Attada Krishna</t>
  </si>
  <si>
    <t>Social Worker</t>
  </si>
  <si>
    <t>NARENDRA KUSHWAHA</t>
  </si>
  <si>
    <t>SAMEER ANSARI</t>
  </si>
  <si>
    <t>DEEPENDRA SINGH</t>
  </si>
  <si>
    <t>Koushik Pore</t>
  </si>
  <si>
    <t>W3-70</t>
  </si>
  <si>
    <t>T Ranjith Kumar</t>
  </si>
  <si>
    <t>ABDUL RAHMAN KHAN</t>
  </si>
  <si>
    <t>W3-68</t>
  </si>
  <si>
    <t>MOHAMMAD ALQAMA</t>
  </si>
  <si>
    <t>W3-67</t>
  </si>
  <si>
    <t>Rohit Paswan</t>
  </si>
  <si>
    <t>MD SHADAB</t>
  </si>
  <si>
    <t>Vaddi Rajashekar</t>
  </si>
  <si>
    <t>Associate Manager (Civil)</t>
  </si>
  <si>
    <t>Ravi Teja Darra</t>
  </si>
  <si>
    <t>Vinod Kumar Potnuru</t>
  </si>
  <si>
    <t>ADCL-114</t>
  </si>
  <si>
    <t>Staff Nurse </t>
  </si>
  <si>
    <t>Golapalli Pavan Kumar</t>
  </si>
  <si>
    <t>Male Nurse</t>
  </si>
  <si>
    <t>ALOK SINGH PARIHAR</t>
  </si>
  <si>
    <t>W3-95</t>
  </si>
  <si>
    <t>RIJWAN ALI</t>
  </si>
  <si>
    <t>PRADEEP KUMAR</t>
  </si>
  <si>
    <t>W3-96</t>
  </si>
  <si>
    <t>GANGADHAR MUDULI</t>
  </si>
  <si>
    <t>E PARAMANANDA DORA</t>
  </si>
  <si>
    <t>W4-26</t>
  </si>
  <si>
    <t>Nitin</t>
  </si>
  <si>
    <t>Ajay Kumar Sharma</t>
  </si>
  <si>
    <t>W4-25</t>
  </si>
  <si>
    <t>K Srinivas</t>
  </si>
  <si>
    <t>Manoj Namdeo</t>
  </si>
  <si>
    <t>Tulsi Ram</t>
  </si>
  <si>
    <t>R Satyanarayana</t>
  </si>
  <si>
    <t>Raghupathi </t>
  </si>
  <si>
    <t>Chandrabhushan Pandey</t>
  </si>
  <si>
    <t>E Sreenath</t>
  </si>
  <si>
    <t>W4-24</t>
  </si>
  <si>
    <t>K Sai Kumar Reddy</t>
  </si>
  <si>
    <t>Assistant Engineer-QS</t>
  </si>
  <si>
    <t>KPKPV Ratnakar</t>
  </si>
  <si>
    <t>Sreenath Perala</t>
  </si>
  <si>
    <t>GP-94</t>
  </si>
  <si>
    <t>K. Penchala Vara Prasad</t>
  </si>
  <si>
    <t>AM-59</t>
  </si>
  <si>
    <t>Partha De</t>
  </si>
  <si>
    <t>Lalmani Yadav</t>
  </si>
  <si>
    <t>Manoj Kumar Choudhary</t>
  </si>
  <si>
    <t>ADCL-165</t>
  </si>
  <si>
    <t>Sr. Supervisor (Civil)</t>
  </si>
  <si>
    <t>Wasim Akram</t>
  </si>
  <si>
    <t>Civil Mate</t>
  </si>
  <si>
    <t>Pragati shrivastava</t>
  </si>
  <si>
    <t>CBCMP-249</t>
  </si>
  <si>
    <t>Sr. Executive - Liaison</t>
  </si>
  <si>
    <t>Sayantan Halder</t>
  </si>
  <si>
    <t>Officer Liaisoning</t>
  </si>
  <si>
    <t>Shubham Tiwari</t>
  </si>
  <si>
    <t>Vivek Bharti</t>
  </si>
  <si>
    <t>W3-76</t>
  </si>
  <si>
    <t>Mr. D S Verma</t>
  </si>
  <si>
    <t>Debashis Raut Ray</t>
  </si>
  <si>
    <t>W3-75</t>
  </si>
  <si>
    <t>Sasikumar</t>
  </si>
  <si>
    <t xml:space="preserve">Sr. Manager - QS </t>
  </si>
  <si>
    <t>Gaurav Mishra</t>
  </si>
  <si>
    <t>Supervisor - Electrical</t>
  </si>
  <si>
    <t>Arnab Ghosh</t>
  </si>
  <si>
    <t>Pathakamuri Jayaram Krishna</t>
  </si>
  <si>
    <t>Ashim Khajuria</t>
  </si>
  <si>
    <t>Project Manager - Electrical</t>
  </si>
  <si>
    <t>Pramod Singh</t>
  </si>
  <si>
    <t>Navjot Bhambra</t>
  </si>
  <si>
    <t>Senior Manager - Electrical</t>
  </si>
  <si>
    <t>MD Jafar</t>
  </si>
  <si>
    <t>W3-88</t>
  </si>
  <si>
    <t>BHOOPENDRA PRATAP SINGH</t>
  </si>
  <si>
    <t>W3-89</t>
  </si>
  <si>
    <t>RITESH KUMAR YADAV</t>
  </si>
  <si>
    <t>DHIRENDRA KUMAR PATEL</t>
  </si>
  <si>
    <t>ADCL-148</t>
  </si>
  <si>
    <t>Shubham Choudhary</t>
  </si>
  <si>
    <t>Ramprasad Pedada</t>
  </si>
  <si>
    <t>W3-90</t>
  </si>
  <si>
    <t>Shubham Shrivas</t>
  </si>
  <si>
    <t>Ankur Yadav</t>
  </si>
  <si>
    <t>Bipin Kumar</t>
  </si>
  <si>
    <t>Manoj Singh</t>
  </si>
  <si>
    <t>Suhas Raju</t>
  </si>
  <si>
    <t>Independent Contractor, Freelance &amp; Project Consultant</t>
  </si>
  <si>
    <t>Vivek Kumar Agrahari</t>
  </si>
  <si>
    <t>Pankaj Vishwakarma</t>
  </si>
  <si>
    <t>Rajesh Kumar Rout</t>
  </si>
  <si>
    <t>W3-74</t>
  </si>
  <si>
    <t>Shiv Awadh</t>
  </si>
  <si>
    <t>CBCMP-245</t>
  </si>
  <si>
    <t>Imran Miyan</t>
  </si>
  <si>
    <t>Kiran Shrirang Wagh</t>
  </si>
  <si>
    <t>Upkar Kumar Sahu</t>
  </si>
  <si>
    <t>Abu Salim</t>
  </si>
  <si>
    <t>Sanjeev Kumar Gupta</t>
  </si>
  <si>
    <t>Dharmendra Kumar Bind</t>
  </si>
  <si>
    <t>K.Raju</t>
  </si>
  <si>
    <t>SR. Site Engineer</t>
  </si>
  <si>
    <t>Guthula Gowtham</t>
  </si>
  <si>
    <t>Gunji Prabhakar</t>
  </si>
  <si>
    <t>Jillepalli Nagarjuna</t>
  </si>
  <si>
    <t>K.Koteswararao</t>
  </si>
  <si>
    <t>Site Engineer.</t>
  </si>
  <si>
    <t>P.A.Vinod Kumar Reddy</t>
  </si>
  <si>
    <t>Engineer(Highway)</t>
  </si>
  <si>
    <t>B.Chandra Sekhar</t>
  </si>
  <si>
    <t>Asst Site Incharge</t>
  </si>
  <si>
    <t>N.Venkateswara Rao</t>
  </si>
  <si>
    <t>Challa Sai Kumar</t>
  </si>
  <si>
    <t>Rajesh Kumar Sah</t>
  </si>
  <si>
    <t>Survey. Engineer</t>
  </si>
  <si>
    <t>Rajesh mandal</t>
  </si>
  <si>
    <t>Rajesh Meena</t>
  </si>
  <si>
    <t>Biswajit Khanrah</t>
  </si>
  <si>
    <t>Md Siddikulla Chodhury</t>
  </si>
  <si>
    <t>Subhankar Neogy</t>
  </si>
  <si>
    <t>Senior Engineer - Survey</t>
  </si>
  <si>
    <t>A. Rukmangadha Reddy</t>
  </si>
  <si>
    <t>Survey Engineer (Highway</t>
  </si>
  <si>
    <t>T. Subba Rao</t>
  </si>
  <si>
    <t>Dinesh Kumar Dhakkad</t>
  </si>
  <si>
    <t>Asst.  Surveyor.</t>
  </si>
  <si>
    <t>Venkata Pavan Kumar</t>
  </si>
  <si>
    <t>AM-66</t>
  </si>
  <si>
    <t>Rza Khan</t>
  </si>
  <si>
    <t>Nitesh Dawade</t>
  </si>
  <si>
    <t>Chaudhari Devkant</t>
  </si>
  <si>
    <t>Arul Prakasam</t>
  </si>
  <si>
    <t>Rai Sudhanshu Sushil Kumar</t>
  </si>
  <si>
    <t>Toton Sarkar</t>
  </si>
  <si>
    <t>AM-45</t>
  </si>
  <si>
    <t>Paplu Sarkar</t>
  </si>
  <si>
    <t>Mr. Pravin Kumar</t>
  </si>
  <si>
    <t>Rohith SV Ramaraju</t>
  </si>
  <si>
    <t>GORLE KOTI NAIDU</t>
  </si>
  <si>
    <t>CHILLARA RAJA SEKHAR</t>
  </si>
  <si>
    <t>Lakshmana Rao Muppidi</t>
  </si>
  <si>
    <t>AGM Civil</t>
  </si>
  <si>
    <t>Babji Yerrarapu</t>
  </si>
  <si>
    <t>Control Room Officer</t>
  </si>
  <si>
    <t>J  Srinivasa Rao</t>
  </si>
  <si>
    <t>Candidate Not Responding</t>
  </si>
  <si>
    <t>Md. Aijaz Khan</t>
  </si>
  <si>
    <t>Site Engineet</t>
  </si>
  <si>
    <t>Ranjit Kumar</t>
  </si>
  <si>
    <t>Rithik kumar</t>
  </si>
  <si>
    <t>Brajesh</t>
  </si>
  <si>
    <t>Satrudhan</t>
  </si>
  <si>
    <t>Shubham Kumar Mishra</t>
  </si>
  <si>
    <t>Azhar Mansori</t>
  </si>
  <si>
    <t>Madan Yadav</t>
  </si>
  <si>
    <t xml:space="preserve">RUPESH KUMAR </t>
  </si>
  <si>
    <t>W3-63</t>
  </si>
  <si>
    <t>Amit yadav</t>
  </si>
  <si>
    <t>ROSHAN KUMAR THAKUR</t>
  </si>
  <si>
    <t>SURENDERA SAHU</t>
  </si>
  <si>
    <t>Anantha Anjana Pratap Reddy</t>
  </si>
  <si>
    <t>AMAN SINGH</t>
  </si>
  <si>
    <t>Vikash Tiwari</t>
  </si>
  <si>
    <t>Harsh Ojha</t>
  </si>
  <si>
    <t>Junior Executive Liaison</t>
  </si>
  <si>
    <t>Vansh Mishra</t>
  </si>
  <si>
    <t>Lokesh Kacchi</t>
  </si>
  <si>
    <t>CBCMP-250</t>
  </si>
  <si>
    <t>ABHISHEK KUMAR SHARMA</t>
  </si>
  <si>
    <t>W3-64</t>
  </si>
  <si>
    <t>Aman Nama</t>
  </si>
  <si>
    <t>NILESH MAURYA</t>
  </si>
  <si>
    <t>BHARAT DAN</t>
  </si>
  <si>
    <t>Palasal Govind Rao</t>
  </si>
  <si>
    <t>Omkar Sharma</t>
  </si>
  <si>
    <t>Surveyor-Highway</t>
  </si>
  <si>
    <t>Vinay kumar pandey</t>
  </si>
  <si>
    <t>Rajesh  Singh Yadav</t>
  </si>
  <si>
    <t>Keshorao Guniram Bahekar</t>
  </si>
  <si>
    <t>Jakkula Venkatesh</t>
  </si>
  <si>
    <t>Site Senior Supervisor </t>
  </si>
  <si>
    <t>Shamsher Ali</t>
  </si>
  <si>
    <t>JITENDRA KUMAR DUBEY</t>
  </si>
  <si>
    <t>Paramesh Patnam</t>
  </si>
  <si>
    <t>GP-84</t>
  </si>
  <si>
    <t>Resident Engineer</t>
  </si>
  <si>
    <t>Kalidindi SivaKarteek Varma</t>
  </si>
  <si>
    <t>Sr.Planning Engineer</t>
  </si>
  <si>
    <t>Sunit Das</t>
  </si>
  <si>
    <t>Senior Billing Engineer </t>
  </si>
  <si>
    <t>THALLAPANENI SRINADH</t>
  </si>
  <si>
    <t>Senior Engineer in Planning &amp; Billing</t>
  </si>
  <si>
    <t>TADANKI NARESH</t>
  </si>
  <si>
    <t>Assistant Engineer (QS &amp; Planning).</t>
  </si>
  <si>
    <t>K Somu Kumar</t>
  </si>
  <si>
    <t>Planning &amp; Billing Engineer </t>
  </si>
  <si>
    <t>Venkatesh Rathod</t>
  </si>
  <si>
    <t>Assistant Engineer - Civil</t>
  </si>
  <si>
    <t>Chandra Bhushan</t>
  </si>
  <si>
    <t>Finishing Engineer</t>
  </si>
  <si>
    <t>M VykuntaRao</t>
  </si>
  <si>
    <t>Arun Yadav</t>
  </si>
  <si>
    <t>Shaik Jahed</t>
  </si>
  <si>
    <t>Ran Vansh</t>
  </si>
  <si>
    <t>Saddam Husen</t>
  </si>
  <si>
    <t>W3-80</t>
  </si>
  <si>
    <t>Aniket N Kothe</t>
  </si>
  <si>
    <t>Aditya Narayan</t>
  </si>
  <si>
    <t>Snehadip Thool</t>
  </si>
  <si>
    <t>Akash Shukla</t>
  </si>
  <si>
    <t>Ankit Kumar Singh</t>
  </si>
  <si>
    <t>EHS Supervisor</t>
  </si>
  <si>
    <t>C P Suresha</t>
  </si>
  <si>
    <t>Kamma Pavan Kumar</t>
  </si>
  <si>
    <t>P Sivaiah</t>
  </si>
  <si>
    <t>Panigrahi Manmadha</t>
  </si>
  <si>
    <t>ADCL-123</t>
  </si>
  <si>
    <t>Rajesh Ghosal</t>
  </si>
  <si>
    <t>W3-69</t>
  </si>
  <si>
    <t>Deputy Manager - Survey</t>
  </si>
  <si>
    <t>Rakesh Kumar Nayak</t>
  </si>
  <si>
    <t>Sudipta Maity</t>
  </si>
  <si>
    <t>Mohd Saleem</t>
  </si>
  <si>
    <t>N Wasim Akram</t>
  </si>
  <si>
    <t>Quantity Surveyor (Billing)</t>
  </si>
  <si>
    <t>Chilaka Ajay Kumar</t>
  </si>
  <si>
    <t>Surveyor &amp; Quantity surveyor</t>
  </si>
  <si>
    <t>T Sunthar</t>
  </si>
  <si>
    <t>QS Billing &amp; Planning Engineer. </t>
  </si>
  <si>
    <t>Janakiraman K</t>
  </si>
  <si>
    <t>Mohan Kumar Kommu</t>
  </si>
  <si>
    <t>Planning Engineer &amp; Quantity Surveyor</t>
  </si>
  <si>
    <t>Gudivada Jaideep Sai</t>
  </si>
  <si>
    <t>Nayan Kumar Chandra</t>
  </si>
  <si>
    <t>Prasenjit Bari</t>
  </si>
  <si>
    <t>Senior Officer (Project Manager Office – Planning &amp; Billing Dept.)</t>
  </si>
  <si>
    <t>Shahbaj Alam</t>
  </si>
  <si>
    <t>Sachin Vilas Rakte</t>
  </si>
  <si>
    <t>Syed Kaif Ali</t>
  </si>
  <si>
    <t>Manish Kumar Pathak</t>
  </si>
  <si>
    <t>Hujef Wajid Shaikh</t>
  </si>
  <si>
    <t>Nilim Kapil</t>
  </si>
  <si>
    <t>Manu kumar</t>
  </si>
  <si>
    <t>Akshay Bawane</t>
  </si>
  <si>
    <t>Bhaibhav Jha</t>
  </si>
  <si>
    <t>Amit Suraj</t>
  </si>
  <si>
    <t>Pushpendra Pandey</t>
  </si>
  <si>
    <t>Col P.Ramesh Kumar</t>
  </si>
  <si>
    <t>Surapaneni Sai Venkateswara Rao</t>
  </si>
  <si>
    <t>ADCL-133</t>
  </si>
  <si>
    <t>Bathula Rambabu</t>
  </si>
  <si>
    <t>Guttha Karthikeya Thirupathi Rao</t>
  </si>
  <si>
    <t>Koppula Ramesh</t>
  </si>
  <si>
    <t>Syam Sivakumar Jarajana</t>
  </si>
  <si>
    <t>Maccha Rajesh</t>
  </si>
  <si>
    <t>Srihari Kudipudi</t>
  </si>
  <si>
    <t>Avugaddi Govinda</t>
  </si>
  <si>
    <t>Ganesh Jadhav</t>
  </si>
  <si>
    <t>Jitendra Chauhan</t>
  </si>
  <si>
    <t>Biltu Hazra</t>
  </si>
  <si>
    <t xml:space="preserve">ANANDTIWARI </t>
  </si>
  <si>
    <t>SJ-19</t>
  </si>
  <si>
    <t>Civil Engineer (Highway &amp; Structure)</t>
  </si>
  <si>
    <t xml:space="preserve">Subhash Chandra Yadav </t>
  </si>
  <si>
    <t xml:space="preserve">Site Engineer </t>
  </si>
  <si>
    <t>DILIP KUMAR PRASAD</t>
  </si>
  <si>
    <t>SJ-20</t>
  </si>
  <si>
    <t>JAYANTH</t>
  </si>
  <si>
    <t xml:space="preserve"> Sector Expert (Civil) </t>
  </si>
  <si>
    <t>Pallapu Sai Kumar</t>
  </si>
  <si>
    <t> P Pavan Kumar</t>
  </si>
  <si>
    <t>Prajapati Rayipudi</t>
  </si>
  <si>
    <t>Venkata Kishore</t>
  </si>
  <si>
    <t>Pranith</t>
  </si>
  <si>
    <t>Senior Engineer - E&amp;M</t>
  </si>
  <si>
    <t>Chandrasekhar</t>
  </si>
  <si>
    <t>Banothu Anil Kumar</t>
  </si>
  <si>
    <t>Jyoti Ranjan Dash</t>
  </si>
  <si>
    <t>Bore Srinivas</t>
  </si>
  <si>
    <t>Gulipalli Naidu </t>
  </si>
  <si>
    <t>Nagadesi Rajesh </t>
  </si>
  <si>
    <t>Talari Shalom</t>
  </si>
  <si>
    <t>SATISH BICCAVOLU</t>
  </si>
  <si>
    <t>Dhanush Vaddi</t>
  </si>
  <si>
    <t>Abhinash Kumar</t>
  </si>
  <si>
    <t>W4-32</t>
  </si>
  <si>
    <t>Plant Engineer </t>
  </si>
  <si>
    <t>Aatish Kumar</t>
  </si>
  <si>
    <t>Site Engineer - Tunnel</t>
  </si>
  <si>
    <t>Sai Sharan Nalamachu</t>
  </si>
  <si>
    <t>QS / Billing Engg</t>
  </si>
  <si>
    <t>Y Ram Diwakar Jaganndha Naidu</t>
  </si>
  <si>
    <t>Ganesan Selvam</t>
  </si>
  <si>
    <t>QS Engg</t>
  </si>
  <si>
    <t>Pratap Kumar Dash</t>
  </si>
  <si>
    <t>W4-37</t>
  </si>
  <si>
    <t>Foreman - Mechanical</t>
  </si>
  <si>
    <t>Anoop tiwari</t>
  </si>
  <si>
    <t>BHOLA PRASAD VISHWAKARMA</t>
  </si>
  <si>
    <t>Sr Store  Executive</t>
  </si>
  <si>
    <t>Asst Draftsman</t>
  </si>
  <si>
    <t>Lokesh Saini</t>
  </si>
  <si>
    <t>Design Engg</t>
  </si>
  <si>
    <t>Shorya Rai</t>
  </si>
  <si>
    <t>Jr Design Engg</t>
  </si>
  <si>
    <t>Abhimanyu Chauhan</t>
  </si>
  <si>
    <t>CBCMP-255</t>
  </si>
  <si>
    <t>CBCMP-254</t>
  </si>
  <si>
    <t>Singaluri Rambabu</t>
  </si>
  <si>
    <t>ADCL-151</t>
  </si>
  <si>
    <t>Jaffar Hussain Shaik</t>
  </si>
  <si>
    <t>ADCL-152</t>
  </si>
  <si>
    <t>Rambabu Mandluri</t>
  </si>
  <si>
    <t>Kiran Kumar</t>
  </si>
  <si>
    <t>Sr Engineer - Civil</t>
  </si>
  <si>
    <t>D.M V Sai Krishna</t>
  </si>
  <si>
    <t>ADCL-134</t>
  </si>
  <si>
    <t>Bollepalli Naveen</t>
  </si>
  <si>
    <t>Satya Vinayak Ungarala</t>
  </si>
  <si>
    <t>Dudekula Srinubabu</t>
  </si>
  <si>
    <t>Arindam Denre</t>
  </si>
  <si>
    <t>Adimulam Venkata Lokesh Yadav</t>
  </si>
  <si>
    <t>Kunal Shukla</t>
  </si>
  <si>
    <t>Veeresh Meti</t>
  </si>
  <si>
    <t>Golla Shiva  Murthi</t>
  </si>
  <si>
    <t>M Sasi Kumar</t>
  </si>
  <si>
    <t>Harisankar Maity</t>
  </si>
  <si>
    <t>Deependra Kuma Singh</t>
  </si>
  <si>
    <t>Kundan Kumar Singh</t>
  </si>
  <si>
    <t>JUSMAN SAHU</t>
  </si>
  <si>
    <t>CBCMP-251</t>
  </si>
  <si>
    <t>Engineer/ GET</t>
  </si>
  <si>
    <t>RAHUL Kare</t>
  </si>
  <si>
    <t>PIYUSH PARAS</t>
  </si>
  <si>
    <t>MOHD ASHER</t>
  </si>
  <si>
    <t>Bidyut Ghosh</t>
  </si>
  <si>
    <t>ADCL-116</t>
  </si>
  <si>
    <t>Mr. Sandeep</t>
  </si>
  <si>
    <t>Ripan S K</t>
  </si>
  <si>
    <t>Manmohan Singh</t>
  </si>
  <si>
    <t>P.Sai Sandeep(Site Ref)</t>
  </si>
  <si>
    <t>Engineer(Survey)</t>
  </si>
  <si>
    <t>Kalarjala Ganesh</t>
  </si>
  <si>
    <t>Krishna Das Tiwari</t>
  </si>
  <si>
    <t>ADCL-137</t>
  </si>
  <si>
    <t>Engg - P&amp;M</t>
  </si>
  <si>
    <t>Vegi Surya Kiran</t>
  </si>
  <si>
    <t>Chdrakanta Parida</t>
  </si>
  <si>
    <t>Jayanth Boddani</t>
  </si>
  <si>
    <t>ADCL-149</t>
  </si>
  <si>
    <t>FRESHER</t>
  </si>
  <si>
    <t>SANKABATTULA VEERA NAGESWARA RAO</t>
  </si>
  <si>
    <t>Mechanical Supervisor</t>
  </si>
  <si>
    <t>Prem Kumar Chapala</t>
  </si>
  <si>
    <t>Inti Hemakumar</t>
  </si>
  <si>
    <t>Marada Naveen</t>
  </si>
  <si>
    <t>ADCL-138</t>
  </si>
  <si>
    <t>Vasireddi  Chandra Sekhar</t>
  </si>
  <si>
    <t>Venkata Ramana Chediyala</t>
  </si>
  <si>
    <t>Syam Pithani</t>
  </si>
  <si>
    <t>Engg - QS &amp; Billing</t>
  </si>
  <si>
    <t>Uppari Manihar</t>
  </si>
  <si>
    <t>Mohammad Jameer</t>
  </si>
  <si>
    <t>ADCL-140</t>
  </si>
  <si>
    <t>Engineer-P&amp;M</t>
  </si>
  <si>
    <t>Siva Kamisetty</t>
  </si>
  <si>
    <t>Mondeti Sai Thanand</t>
  </si>
  <si>
    <t>ADCL-127</t>
  </si>
  <si>
    <t>S K Faruk Abdull</t>
  </si>
  <si>
    <t>ADCL-117</t>
  </si>
  <si>
    <t>Kamal Kandar</t>
  </si>
  <si>
    <t>AMAR NATH GHARA</t>
  </si>
  <si>
    <t>Vinay Kumar Nayak</t>
  </si>
  <si>
    <t>W3-78</t>
  </si>
  <si>
    <t>Manager - Planning &amp; Billing</t>
  </si>
  <si>
    <t>Subhendu Mondal</t>
  </si>
  <si>
    <t>Mahendra Reddy</t>
  </si>
  <si>
    <t>Ganga Prasad</t>
  </si>
  <si>
    <t>Bali Naveen</t>
  </si>
  <si>
    <t>Dara Madhu Kiran</t>
  </si>
  <si>
    <t>Yeniti Murali</t>
  </si>
  <si>
    <t>GP-70</t>
  </si>
  <si>
    <t>Ganta Kiran Kumar</t>
  </si>
  <si>
    <t>GP-89</t>
  </si>
  <si>
    <t>Sepana Santosh</t>
  </si>
  <si>
    <t>Sravan Kumar Reddy</t>
  </si>
  <si>
    <t>Palla Kiran Kumar</t>
  </si>
  <si>
    <t>AM-68</t>
  </si>
  <si>
    <t>Surendra Babu</t>
  </si>
  <si>
    <t>Sudheer Kumar Singh</t>
  </si>
  <si>
    <t>Amarendra Kumar Singh</t>
  </si>
  <si>
    <t>P Naveen Patro</t>
  </si>
  <si>
    <t>K Ganesh Reddy</t>
  </si>
  <si>
    <t>Origanti Narayana</t>
  </si>
  <si>
    <t>Akuri Eswar Ramkumar</t>
  </si>
  <si>
    <t>Yanniti Madhu Sudhan</t>
  </si>
  <si>
    <t>Kottapalli Datta SatyaNarayana</t>
  </si>
  <si>
    <t>Duvva Venkata Subbarao</t>
  </si>
  <si>
    <t>Ganta Ratnakara Venkata Subrahmanyam</t>
  </si>
  <si>
    <t>Chitimireddy Hemanth</t>
  </si>
  <si>
    <t>Jam Peddiraju</t>
  </si>
  <si>
    <t>Venkata Ramana Reddy</t>
  </si>
  <si>
    <t>Sai Charan Boddu</t>
  </si>
  <si>
    <t>Raghavendra Rao</t>
  </si>
  <si>
    <t>Manikanta Saladi</t>
  </si>
  <si>
    <t>Upendra Kumar Ghatuari</t>
  </si>
  <si>
    <t>Dhanunjaya Chokkapu</t>
  </si>
  <si>
    <t>Pedapidu Nani</t>
  </si>
  <si>
    <t>Rajesh Lalam</t>
  </si>
  <si>
    <t>Manikanta T</t>
  </si>
  <si>
    <t>Bhargava Krishna G</t>
  </si>
  <si>
    <t>Prabhudeva Mogli</t>
  </si>
  <si>
    <t>Ashvani Kumar Singh</t>
  </si>
  <si>
    <t>Nitish Kumar Kothapatnam</t>
  </si>
  <si>
    <t>Mohammed Mansoor Ali Mohiuddin</t>
  </si>
  <si>
    <t>G.Suresh</t>
  </si>
  <si>
    <t>Engineer(High Way)</t>
  </si>
  <si>
    <t>B.N.V. Sai Ramakanth</t>
  </si>
  <si>
    <t>Engineer(Highways)</t>
  </si>
  <si>
    <t>G G V PHANINDRA</t>
  </si>
  <si>
    <t>Engineer(Structure)</t>
  </si>
  <si>
    <t>Venkata Rajesh Kumar Vulli</t>
  </si>
  <si>
    <t>Ramesh Mondal</t>
  </si>
  <si>
    <t>Sr. Supervisor (Highways)</t>
  </si>
  <si>
    <t>Sr. Supervisor (Structures)</t>
  </si>
  <si>
    <t>B.Narasimha Rao</t>
  </si>
  <si>
    <t>V. Akhil</t>
  </si>
  <si>
    <t>Manjeet Kumar</t>
  </si>
  <si>
    <t>Kodamala Narsimha rao</t>
  </si>
  <si>
    <t>RAGHAVENDRA RAO JOGI</t>
  </si>
  <si>
    <t>BYSANI KRISHNA KUMAR</t>
  </si>
  <si>
    <t>CIVIL FOREMAN</t>
  </si>
  <si>
    <t>ROSHAN KUMAR MALLICK</t>
  </si>
  <si>
    <t>W3-71</t>
  </si>
  <si>
    <t>Sadananda Rajak</t>
  </si>
  <si>
    <t>ABHISHEK KUMAR CHAUHAN</t>
  </si>
  <si>
    <t>PRATIK SAKATCIVIL</t>
  </si>
  <si>
    <t>Graduate Engineer Trainee</t>
  </si>
  <si>
    <t>UDDESHYA SHUKLA</t>
  </si>
  <si>
    <t>W4-36</t>
  </si>
  <si>
    <t>Vyas</t>
  </si>
  <si>
    <t>Sanjay Kumar Shukla</t>
  </si>
  <si>
    <t>VIPIN KUSHWAHA</t>
  </si>
  <si>
    <t>PRASHANT KUMAR SINGH</t>
  </si>
  <si>
    <t>N Satish</t>
  </si>
  <si>
    <t>Asst Mgr - Procurement</t>
  </si>
  <si>
    <t>GOPAL CHANDRA SAHOO</t>
  </si>
  <si>
    <t>Formation Engineer</t>
  </si>
  <si>
    <t>J P Singh</t>
  </si>
  <si>
    <t>M. Krishnamohana Rao</t>
  </si>
  <si>
    <t>Susanth Mahapatro</t>
  </si>
  <si>
    <t>DIVI MAHESH KUMAR</t>
  </si>
  <si>
    <t>Assistance Manager</t>
  </si>
  <si>
    <t>MOHAMMED JILANI</t>
  </si>
  <si>
    <t>senior engineer</t>
  </si>
  <si>
    <t>SK Ansar Madhina Valli</t>
  </si>
  <si>
    <t>SAI RAM SUGGANA</t>
  </si>
  <si>
    <t>HARI GOPALA KRISHNA</t>
  </si>
  <si>
    <t>PINDI SUMAN</t>
  </si>
  <si>
    <t>SHAIK JHANIBASHA</t>
  </si>
  <si>
    <t>Mr. KNVM Raju/Mr. Ravi Kumar K</t>
  </si>
  <si>
    <t>J.NOBLE</t>
  </si>
  <si>
    <t>Chakali Bala Ankaiah</t>
  </si>
  <si>
    <t>Engr-Neeruonda</t>
  </si>
  <si>
    <t>Telladharla Siva Krishna</t>
  </si>
  <si>
    <t>Sr Engr-Neeruonda</t>
  </si>
  <si>
    <t>A.R.V.N.V Kumar</t>
  </si>
  <si>
    <t>Peddapthula Venkateswarlu</t>
  </si>
  <si>
    <t>SR Engineer</t>
  </si>
  <si>
    <t>Binod Pandey.</t>
  </si>
  <si>
    <t>Talluri Ashok Chakravarthi</t>
  </si>
  <si>
    <t>Nihar Mandal</t>
  </si>
  <si>
    <t>J E - Highway</t>
  </si>
  <si>
    <t>Hari Krishna poluparthi</t>
  </si>
  <si>
    <t>Engg - Higway</t>
  </si>
  <si>
    <t>Balamurugan</t>
  </si>
  <si>
    <t>Highway Engg - Laying</t>
  </si>
  <si>
    <t>M Pratap Kumar</t>
  </si>
  <si>
    <t>ADCL-153</t>
  </si>
  <si>
    <t>Dy Mgr</t>
  </si>
  <si>
    <t>Hari Krishna</t>
  </si>
  <si>
    <t>Malleshwaram Salendra</t>
  </si>
  <si>
    <t>Sr.Site Engineer.</t>
  </si>
  <si>
    <t>Dharmendra Kumar</t>
  </si>
  <si>
    <t>ADCL-128</t>
  </si>
  <si>
    <t>Devanand Rai</t>
  </si>
  <si>
    <t>Engineer Highway</t>
  </si>
  <si>
    <t>Majji Tarun</t>
  </si>
  <si>
    <t>Metta Jagadeswara Rao</t>
  </si>
  <si>
    <t>Damireddy Sudhakar Reddy</t>
  </si>
  <si>
    <t>Rajnath</t>
  </si>
  <si>
    <t>Bharat Gupta</t>
  </si>
  <si>
    <t>Kaushlendra Singh</t>
  </si>
  <si>
    <t>Sr Higway Supervisor</t>
  </si>
  <si>
    <t>Rajvir Singh</t>
  </si>
  <si>
    <t>Sr Highway Supervisor</t>
  </si>
  <si>
    <t>RajKumar Yadav</t>
  </si>
  <si>
    <t>Sr.Structure Foreman</t>
  </si>
  <si>
    <t>Raju Ranjan Rai</t>
  </si>
  <si>
    <t>Surveyor/ Foreman-Civil</t>
  </si>
  <si>
    <t>Shaikh Babu</t>
  </si>
  <si>
    <t>ADCL-156</t>
  </si>
  <si>
    <t>Paver Foreman</t>
  </si>
  <si>
    <t>Gangaraju</t>
  </si>
  <si>
    <t>Kadali Venkata Prasad</t>
  </si>
  <si>
    <t>Venkata Ravi Chandra Babu P</t>
  </si>
  <si>
    <t>ADCL-166</t>
  </si>
  <si>
    <t>Atti Bhanu Kumar</t>
  </si>
  <si>
    <t>Deepavath Chandrasekhar</t>
  </si>
  <si>
    <t>AM-67</t>
  </si>
  <si>
    <t>Pardha Sai Ganesh</t>
  </si>
  <si>
    <t>Graduate Engineer Trainee - QC</t>
  </si>
  <si>
    <t>Ippili Babrubahan Dora</t>
  </si>
  <si>
    <t>Sr Manager-Highway</t>
  </si>
  <si>
    <t>R.Chandhramouli</t>
  </si>
  <si>
    <t>Deputy Manager-Structures</t>
  </si>
  <si>
    <t>Kunuku Tirupathi Naidu</t>
  </si>
  <si>
    <t>Srinivas Bammidi</t>
  </si>
  <si>
    <t>Mr. Partha Bora</t>
  </si>
  <si>
    <t>Kamble Vishnukanth</t>
  </si>
  <si>
    <t>Shashi Kumar Kamat</t>
  </si>
  <si>
    <t>Anil Kumar Gupta</t>
  </si>
  <si>
    <t>Sunkari Siddartha</t>
  </si>
  <si>
    <t>Gadi Yesu</t>
  </si>
  <si>
    <t>Shivkumar</t>
  </si>
  <si>
    <t>ADCL-144</t>
  </si>
  <si>
    <t>ADCL-146</t>
  </si>
  <si>
    <t>Dheeraj Kumar Thakur</t>
  </si>
  <si>
    <t>ADCL-139</t>
  </si>
  <si>
    <t>Supervisor - Mechanical</t>
  </si>
  <si>
    <t>Sunil Kumar Yadav</t>
  </si>
  <si>
    <t>ADCL-142</t>
  </si>
  <si>
    <t>Hemanth Kumar Pudu</t>
  </si>
  <si>
    <t>ADCl-155</t>
  </si>
  <si>
    <t>Pulichintala Ranga Swamy</t>
  </si>
  <si>
    <t>Sankar Rao Regu </t>
  </si>
  <si>
    <t>ADCL-154</t>
  </si>
  <si>
    <t>Rishikesh Rai </t>
  </si>
  <si>
    <t>Dev Kumar</t>
  </si>
  <si>
    <t>Raghottama Rao Kolukola</t>
  </si>
  <si>
    <t>Muntazir Quadir</t>
  </si>
  <si>
    <t>K Suryanarayana Reddy</t>
  </si>
  <si>
    <t>ADCL-167</t>
  </si>
  <si>
    <t>Sr Mgr ( Structures)</t>
  </si>
  <si>
    <t>Reddi Vinay</t>
  </si>
  <si>
    <t>W4-47</t>
  </si>
  <si>
    <t>Ved Prakash Pathak</t>
  </si>
  <si>
    <t>DPM (Structure).</t>
  </si>
  <si>
    <t>Vignesh Kumar</t>
  </si>
  <si>
    <t>Deputy Project Manager-Highways</t>
  </si>
  <si>
    <t>Vipin Kumar Singh</t>
  </si>
  <si>
    <t>Site Engineer - P&amp;M</t>
  </si>
  <si>
    <t>Prasashant Kumar Singh</t>
  </si>
  <si>
    <t>ADCL-141</t>
  </si>
  <si>
    <t>Mechanical Incharge</t>
  </si>
  <si>
    <t>Ethakota Ramesh</t>
  </si>
  <si>
    <t>ADCL-155</t>
  </si>
  <si>
    <t>Kampa Srinivasu  </t>
  </si>
  <si>
    <t>Chakali Venkatesh</t>
  </si>
  <si>
    <t>Aman Kumar Rajput</t>
  </si>
  <si>
    <t>Harinadh Reddy</t>
  </si>
  <si>
    <t>Divakar Reddy</t>
  </si>
  <si>
    <t>Suman Ullipayala</t>
  </si>
  <si>
    <t>ADCL-171</t>
  </si>
  <si>
    <t>M Vishnuvardhan</t>
  </si>
  <si>
    <t>ADCL-170</t>
  </si>
  <si>
    <t>Gai Venkata Koteswara Rao </t>
  </si>
  <si>
    <t>Kurra Venkata Krishna</t>
  </si>
  <si>
    <t>T Ratnakar Reddy</t>
  </si>
  <si>
    <t>Assistant Highway Engineer</t>
  </si>
  <si>
    <t>Santanu Das</t>
  </si>
  <si>
    <t>Pankaj Pawar</t>
  </si>
  <si>
    <t>ADCl-144</t>
  </si>
  <si>
    <t>Engineer - AMG</t>
  </si>
  <si>
    <t>Goru Ravi Teja</t>
  </si>
  <si>
    <t>ADCl-146</t>
  </si>
  <si>
    <t>Ganapathi Nakka</t>
  </si>
  <si>
    <t>DPM - Mechanical</t>
  </si>
  <si>
    <t>Ganesh Chandra Sethy</t>
  </si>
  <si>
    <t>ANGAD VISHWAKARMA</t>
  </si>
  <si>
    <t>Sonu</t>
  </si>
  <si>
    <t>MIRZA KAMRAN</t>
  </si>
  <si>
    <t>VIKRAM THAKUR</t>
  </si>
  <si>
    <t>Ch. Venkatesh</t>
  </si>
  <si>
    <t>Perumalla Vamsi</t>
  </si>
  <si>
    <t>Ravindra Reddy Mammila</t>
  </si>
  <si>
    <t>Kiran Rongala</t>
  </si>
  <si>
    <t>Assistant Project Engineer (APM</t>
  </si>
  <si>
    <t>Uppara Naveen Kumar</t>
  </si>
  <si>
    <t>ADCL-169</t>
  </si>
  <si>
    <t>Sudhakar</t>
  </si>
  <si>
    <t>GP-92</t>
  </si>
  <si>
    <t>Ranjith</t>
  </si>
  <si>
    <t>GP-97</t>
  </si>
  <si>
    <t>GP-98</t>
  </si>
  <si>
    <t>Buridi Suresh</t>
  </si>
  <si>
    <t>Umed Singh Yadav</t>
  </si>
  <si>
    <t>Prasanth Koppolu</t>
  </si>
  <si>
    <t>Satish G. Nankar</t>
  </si>
  <si>
    <t>Bugata Jagadeesh</t>
  </si>
  <si>
    <t>Nimma Apparao</t>
  </si>
  <si>
    <t>Manager-Planning</t>
  </si>
  <si>
    <t>Jangapally Prabhakar</t>
  </si>
  <si>
    <t>Sr QS Engineer</t>
  </si>
  <si>
    <t>Abhay Kumar</t>
  </si>
  <si>
    <t>B Maheshwar Reddy</t>
  </si>
  <si>
    <t>Engineer - Planning &amp; Billing</t>
  </si>
  <si>
    <t>Ravipati Venkata Naga Sai Phaneendra</t>
  </si>
  <si>
    <t>Souvik Jana</t>
  </si>
  <si>
    <t>W4-46</t>
  </si>
  <si>
    <t>Debasis Gayen</t>
  </si>
  <si>
    <t>Rajan Tiwari</t>
  </si>
  <si>
    <t>W4-48</t>
  </si>
  <si>
    <t>Material Laboratory - Supervisor</t>
  </si>
  <si>
    <t>Mandala Chaitanya</t>
  </si>
  <si>
    <t>Assistant construction Manager (Highways)</t>
  </si>
  <si>
    <t>Ashu Kumar</t>
  </si>
  <si>
    <t>Jagan Mohan Reddy</t>
  </si>
  <si>
    <t>Assistant Manager (Structures )</t>
  </si>
  <si>
    <t>Somisetty Rambabu</t>
  </si>
  <si>
    <t>Sr. Quantity Surveyor (Billing &amp; Planning)</t>
  </si>
  <si>
    <t>Goutham</t>
  </si>
  <si>
    <t>GP-101</t>
  </si>
  <si>
    <t>Admin Associate</t>
  </si>
  <si>
    <t>Naidu Poli Naidu</t>
  </si>
  <si>
    <t>Nandiwada Venkatesh</t>
  </si>
  <si>
    <t>Gunnam Kiran Kumar</t>
  </si>
  <si>
    <t>Kambala Siva </t>
  </si>
  <si>
    <t>Tiyyala Ganapathi</t>
  </si>
  <si>
    <t>Pikanti Vinod</t>
  </si>
  <si>
    <t>SatyaRamesh K</t>
  </si>
  <si>
    <t>ADCL-172</t>
  </si>
  <si>
    <t>Damarekula Raju</t>
  </si>
  <si>
    <t>T. Koteswara Rao</t>
  </si>
  <si>
    <t>P Siva Sanjeev Kumar</t>
  </si>
  <si>
    <t>Dilesh Reddy</t>
  </si>
  <si>
    <t>Jeevan Kranth Sri</t>
  </si>
  <si>
    <t>Pradeep Pandey</t>
  </si>
  <si>
    <t>Sr. Engineer - Mechanical (P&amp;M)</t>
  </si>
  <si>
    <t>Chandrasekhar Boini</t>
  </si>
  <si>
    <t>Bethamcherla Manoj</t>
  </si>
  <si>
    <t>AMG - Supervisor</t>
  </si>
  <si>
    <t>Suvvari Nagaraju</t>
  </si>
  <si>
    <t>Mechanical - Engineer</t>
  </si>
  <si>
    <t>Dharam Singh</t>
  </si>
  <si>
    <t>ASHISH MAROTHIYA</t>
  </si>
  <si>
    <t>Adarsh Singh</t>
  </si>
  <si>
    <t>SitaRamanjaneyulu Valveti</t>
  </si>
  <si>
    <t>Rohit Kumar Tomar</t>
  </si>
  <si>
    <t>Safety Manager</t>
  </si>
  <si>
    <t>Shamuel Raju</t>
  </si>
  <si>
    <t>D. Narendra</t>
  </si>
  <si>
    <t>Nagaraju</t>
  </si>
  <si>
    <t>GP-100</t>
  </si>
  <si>
    <t>Junior Executive - HR &amp; Admin</t>
  </si>
  <si>
    <t>Brijbhushan Yadav</t>
  </si>
  <si>
    <t>Ankit Sharma</t>
  </si>
  <si>
    <t>SURESH REGU</t>
  </si>
  <si>
    <t>PRAVEEN KUMAR POGIRI</t>
  </si>
  <si>
    <t>YALAMANDA REDDY MULA</t>
  </si>
  <si>
    <t>Dhanunjay Rao</t>
  </si>
  <si>
    <t>Junior Engineer(Previous)</t>
  </si>
  <si>
    <t>Korrayi Mohan</t>
  </si>
  <si>
    <t>Topuri Maruthi</t>
  </si>
  <si>
    <t>Bhim Paramanik</t>
  </si>
  <si>
    <t>B Umamaheshwara Rao</t>
  </si>
  <si>
    <t>ADCL-174</t>
  </si>
  <si>
    <t>Reddy Vinay Prasanth</t>
  </si>
  <si>
    <t>Sujit Mondal</t>
  </si>
  <si>
    <t>Manjesh Kumar Pandey</t>
  </si>
  <si>
    <t>Talari Sudharshan</t>
  </si>
  <si>
    <t>Mattaparthi Satya Harish</t>
  </si>
  <si>
    <t>Makani Naga Suresh</t>
  </si>
  <si>
    <t>Banavath Srinu Naik</t>
  </si>
  <si>
    <t>A Prafulla Reddy</t>
  </si>
  <si>
    <t>Dheeraj Kumar Yadav</t>
  </si>
  <si>
    <t>ADCL-176</t>
  </si>
  <si>
    <t>Chencu Ratnam Galam</t>
  </si>
  <si>
    <t>Vishwajit Kumar</t>
  </si>
  <si>
    <t>P &amp; M Engineer</t>
  </si>
  <si>
    <t>Rajnish Kumar</t>
  </si>
  <si>
    <t>Bablu Singh</t>
  </si>
  <si>
    <t>Ramakant </t>
  </si>
  <si>
    <t>Shantanu Kumar Gowda</t>
  </si>
  <si>
    <t>Maddimsetti Vinay</t>
  </si>
  <si>
    <t> Billing &amp; Planning Engineer.</t>
  </si>
  <si>
    <t>Raparthi Venu</t>
  </si>
  <si>
    <t>DocumentController(Billing &amp; Planning)</t>
  </si>
  <si>
    <t>Suman Chakraborty</t>
  </si>
  <si>
    <t>AQS ( Assistant Quantity Surveyor )</t>
  </si>
  <si>
    <t>Manjit Sangha</t>
  </si>
  <si>
    <t>Engineer Planning &amp; Billing</t>
  </si>
  <si>
    <t>Balraju Pittala</t>
  </si>
  <si>
    <t>Sr. Engineer.</t>
  </si>
  <si>
    <t>Venkata Manoj Kumar Gurram</t>
  </si>
  <si>
    <t>Senior engineer (Highway)</t>
  </si>
  <si>
    <t>Kagula Ramanaiah</t>
  </si>
  <si>
    <t>Sr Engineer-Billing &amp; Planning</t>
  </si>
  <si>
    <t>Valiveti Trinesh Kumar</t>
  </si>
  <si>
    <t>Chaithanya Badugu</t>
  </si>
  <si>
    <t>Jeevam Naik Mudavath</t>
  </si>
  <si>
    <t>Shaikh Jahed</t>
  </si>
  <si>
    <t>Ravindra Verma</t>
  </si>
  <si>
    <t xml:space="preserve">Abhinav </t>
  </si>
  <si>
    <t>Abhishek Nishad</t>
  </si>
  <si>
    <t>Som Dev</t>
  </si>
  <si>
    <t>Ho HSE Coordinator</t>
  </si>
  <si>
    <t>Srikanth Sipelli</t>
  </si>
  <si>
    <t>Officer Safety</t>
  </si>
  <si>
    <t>Dhumpala Bhanuchandra</t>
  </si>
  <si>
    <t>Sathish Kumar Reddy</t>
  </si>
  <si>
    <t>GP-96</t>
  </si>
  <si>
    <t>Jayakumar </t>
  </si>
  <si>
    <t>GP-91</t>
  </si>
  <si>
    <t>Associate Manager - QS &amp; Billing</t>
  </si>
  <si>
    <t>Ramesh Nagireddi</t>
  </si>
  <si>
    <t>Govind Kumar</t>
  </si>
  <si>
    <t>Project Execution - Engineer</t>
  </si>
  <si>
    <t>Katta Pavananda Swamy</t>
  </si>
  <si>
    <t>Likun Sahoo</t>
  </si>
  <si>
    <t>QC - Assistant</t>
  </si>
  <si>
    <t>Rahul Vishwakarma</t>
  </si>
  <si>
    <t>Assistant-Stores</t>
  </si>
  <si>
    <t>RAHUL KUMAR</t>
  </si>
  <si>
    <t>NEMALIPURI KUMAR</t>
  </si>
  <si>
    <t>ADCL-184</t>
  </si>
  <si>
    <t>S.VENKATARAO</t>
  </si>
  <si>
    <t>Anupam Kumar Singh</t>
  </si>
  <si>
    <t>SISHIR SAMADDAR</t>
  </si>
  <si>
    <t>P.NARESH</t>
  </si>
  <si>
    <t>BASUDEBA BISWAL</t>
  </si>
  <si>
    <t>B.BULLIBABU</t>
  </si>
  <si>
    <t>Sr.Executive-Stores</t>
  </si>
  <si>
    <t>ANKIT KUMAR</t>
  </si>
  <si>
    <t>Weigh Bridge Operator-Stores</t>
  </si>
  <si>
    <t>Avinash Kumar Yadav</t>
  </si>
  <si>
    <t>Chinmaya Ghadai</t>
  </si>
  <si>
    <t>V Dileep Kumar</t>
  </si>
  <si>
    <t>Vivek Kumar</t>
  </si>
  <si>
    <t>Sattiraju</t>
  </si>
  <si>
    <t>Siva Reddy</t>
  </si>
  <si>
    <t>Store Officer </t>
  </si>
  <si>
    <t>Sachin Singh</t>
  </si>
  <si>
    <t>Sandeep Ojha</t>
  </si>
  <si>
    <t>Sopan Kumar Sahu</t>
  </si>
  <si>
    <t>Munivardhan</t>
  </si>
  <si>
    <t>Matla Mallikarjuna</t>
  </si>
  <si>
    <t>Pachava Sai Uday Kiran</t>
  </si>
  <si>
    <t>Harshavardhan Reddy</t>
  </si>
  <si>
    <t>GP-99</t>
  </si>
  <si>
    <t>G Lokeshwara Rao </t>
  </si>
  <si>
    <t>Netinti Dhanunjaya Rao</t>
  </si>
  <si>
    <t>Gollu Uday Kumar</t>
  </si>
  <si>
    <t>Vivek Chandra Singh</t>
  </si>
  <si>
    <t>Simhadri Hari Subhash</t>
  </si>
  <si>
    <t>Giduturi Madeena</t>
  </si>
  <si>
    <t>Md.Abdul Khadir Jeelani</t>
  </si>
  <si>
    <t>Senior Planning Engineer</t>
  </si>
  <si>
    <t>Jagadeesh Pedada</t>
  </si>
  <si>
    <t>Damodar Pathak</t>
  </si>
  <si>
    <t>Quantity Surveyor cum Billing and Planning Engineer</t>
  </si>
  <si>
    <t>Pusarapu Srinivasa Manikya Madhu</t>
  </si>
  <si>
    <t>ADCL-185</t>
  </si>
  <si>
    <t>Amit Kumar Shukla</t>
  </si>
  <si>
    <t>ADCL-187</t>
  </si>
  <si>
    <t>QC. Engineer</t>
  </si>
  <si>
    <t>A. Veera Narayana Rao</t>
  </si>
  <si>
    <t>ADCL-189</t>
  </si>
  <si>
    <t>Lab Technician (QC)</t>
  </si>
  <si>
    <t>Kadari Ganesh</t>
  </si>
  <si>
    <t>Sivanagaraju Badinedi</t>
  </si>
  <si>
    <t>Roshan Yadav</t>
  </si>
  <si>
    <t>D.T.E (Lab QA/QC)</t>
  </si>
  <si>
    <t>Vishnu Pratap Singh</t>
  </si>
  <si>
    <t>Lokesh Kumar Pradhan</t>
  </si>
  <si>
    <t>Seelam Midhun Babu</t>
  </si>
  <si>
    <t>Jasvir Singh</t>
  </si>
  <si>
    <t>Anup Kumar Singh</t>
  </si>
  <si>
    <t>Vemula Abhilash</t>
  </si>
  <si>
    <t>GET - Highway</t>
  </si>
  <si>
    <t xml:space="preserve">Suresh Babu Poondla </t>
  </si>
  <si>
    <t>Project Sr. Engineer</t>
  </si>
  <si>
    <t>D Sandeep Kumar</t>
  </si>
  <si>
    <t>Senior Engineer-Project Coordinator</t>
  </si>
  <si>
    <t>Santosh Kumar Menda</t>
  </si>
  <si>
    <t>Sr Executive - HSE</t>
  </si>
  <si>
    <t>Shaik Zaheer Ahamed</t>
  </si>
  <si>
    <t>Electrical Dept</t>
  </si>
  <si>
    <t>Yadla Tarun</t>
  </si>
  <si>
    <t>LISMB-40</t>
  </si>
  <si>
    <t>DINESH PALLETI</t>
  </si>
  <si>
    <t>POTULURI NAGABALAJI</t>
  </si>
  <si>
    <t>Jogi Kondalarao</t>
  </si>
  <si>
    <t>ADCL-190</t>
  </si>
  <si>
    <t>Anand Kumar Thakur</t>
  </si>
  <si>
    <t>Bikas Kumar Palai</t>
  </si>
  <si>
    <t>ADCL-173</t>
  </si>
  <si>
    <t>Mr. E Ravi Kumar</t>
  </si>
  <si>
    <t>Ranjan Kumar Singha</t>
  </si>
  <si>
    <t>Sanjit Bhowmick</t>
  </si>
  <si>
    <t>Bathula Deep Nelson</t>
  </si>
  <si>
    <t>Dy Mgr - Safety</t>
  </si>
  <si>
    <t>Santarao Muddada</t>
  </si>
  <si>
    <t>Punuri Chinnaah</t>
  </si>
  <si>
    <t>Animireddy Devi Prasad</t>
  </si>
  <si>
    <t>Parasa Konda Babu</t>
  </si>
  <si>
    <t>Bodasingu Sai</t>
  </si>
  <si>
    <t>Jitendra Pratap Singh</t>
  </si>
  <si>
    <t>Aswini Bauri </t>
  </si>
  <si>
    <t>Banna Satish Kumar</t>
  </si>
  <si>
    <t>Kagitha Pavan Sai</t>
  </si>
  <si>
    <t>Raj Kumar Kusa</t>
  </si>
  <si>
    <t>Lab Assistant</t>
  </si>
  <si>
    <t>Mallikarjuna Devarapalli</t>
  </si>
  <si>
    <t>AM- Structures</t>
  </si>
  <si>
    <t>P.VenkataSubbaiah</t>
  </si>
  <si>
    <t>Katakam Sravan Kumar</t>
  </si>
  <si>
    <t>J.RajeshBabu</t>
  </si>
  <si>
    <t>QA Inspector</t>
  </si>
  <si>
    <t>Mohammad Shafeeq</t>
  </si>
  <si>
    <t>N.Akash</t>
  </si>
  <si>
    <t>A.Ramana</t>
  </si>
  <si>
    <t>LAB Technician.</t>
  </si>
  <si>
    <t>M.Srikanth</t>
  </si>
  <si>
    <t>Syed Khasim</t>
  </si>
  <si>
    <t>V.Akhil Babu</t>
  </si>
  <si>
    <t>Samala Suman</t>
  </si>
  <si>
    <t>Engineer(QC)</t>
  </si>
  <si>
    <t>Alladi Pranay Reddy</t>
  </si>
  <si>
    <t>Sr.Engineer(QC)</t>
  </si>
  <si>
    <t>O. Vamsi Krishna</t>
  </si>
  <si>
    <t>Shekhar Kumar</t>
  </si>
  <si>
    <t>Vana Naga Raju</t>
  </si>
  <si>
    <t>Ramesh Naidu .V</t>
  </si>
  <si>
    <t>KESAVULU BOLLE</t>
  </si>
  <si>
    <t>Planning, Billing &amp; Quantity Survey Engineer</t>
  </si>
  <si>
    <t>Thiragamalla SrinivasaRao</t>
  </si>
  <si>
    <t> Project Manager</t>
  </si>
  <si>
    <t>G Bhasker</t>
  </si>
  <si>
    <t>Rajkumar</t>
  </si>
  <si>
    <t>B Praveen Kumar Reddy</t>
  </si>
  <si>
    <t>Bimal Dalbehera</t>
  </si>
  <si>
    <t>ADCL-147</t>
  </si>
  <si>
    <t>Mayank Jain</t>
  </si>
  <si>
    <t>Sai Manikanta</t>
  </si>
  <si>
    <t>AM-70</t>
  </si>
  <si>
    <t>GET - P&amp;M</t>
  </si>
  <si>
    <t>Dhanpal Lakhanlal Yadav</t>
  </si>
  <si>
    <t>AM-69</t>
  </si>
  <si>
    <t>Shiak Jilani</t>
  </si>
  <si>
    <t>Dy. Manager - Safety</t>
  </si>
  <si>
    <t>Bagadi Venkatesh</t>
  </si>
  <si>
    <t>Vykuntapu Nagendra Prasad</t>
  </si>
  <si>
    <t>ADCL-191</t>
  </si>
  <si>
    <t>Dasari Manoj Kumar</t>
  </si>
  <si>
    <t>Chittibomma Nagaraju</t>
  </si>
  <si>
    <t>Abdul Riyaz</t>
  </si>
  <si>
    <t>ADCL-168</t>
  </si>
  <si>
    <t>K Karunakar Reddy</t>
  </si>
  <si>
    <t>Dinesh Kanna</t>
  </si>
  <si>
    <t>BHOJLE SAINATH</t>
  </si>
  <si>
    <t>Boyilla Praveen Reddy</t>
  </si>
  <si>
    <t>Dasari Mohan Rao</t>
  </si>
  <si>
    <t>Sanjay Kumar Yadav</t>
  </si>
  <si>
    <t>Satrughan Samal</t>
  </si>
  <si>
    <t>Akhilesh Kumar Sharma</t>
  </si>
  <si>
    <t>Dharmtej</t>
  </si>
  <si>
    <t>Ram Kuvar Yadav</t>
  </si>
  <si>
    <t>Kallam Bapireddy</t>
  </si>
  <si>
    <t>LISMB-38</t>
  </si>
  <si>
    <t>Narendra Kumar</t>
  </si>
  <si>
    <t>Mechnanical Enginer</t>
  </si>
  <si>
    <t>Neela Kiran</t>
  </si>
  <si>
    <t>Raghunada Prasad</t>
  </si>
  <si>
    <t>ADCL-145</t>
  </si>
  <si>
    <t>Satya Sai Palla</t>
  </si>
  <si>
    <t>Chandra Sekhar Ketha</t>
  </si>
  <si>
    <t>Purushotham Reddy</t>
  </si>
  <si>
    <t>Hw Engr</t>
  </si>
  <si>
    <t>Murari Kumar</t>
  </si>
  <si>
    <t>AVINASH KUMAR SINGH</t>
  </si>
  <si>
    <t>Site Engineer (Highway</t>
  </si>
  <si>
    <t>Sudheer Kumar Dubey</t>
  </si>
  <si>
    <t>JR. Engineer</t>
  </si>
  <si>
    <t>Nitish Kumar Shew</t>
  </si>
  <si>
    <t>Ramudu Naik</t>
  </si>
  <si>
    <t>Pramod Kumar Singh</t>
  </si>
  <si>
    <t>Mahesh Sarma</t>
  </si>
  <si>
    <t>Sr. Manager (Planning and QS)</t>
  </si>
  <si>
    <t>Mancharla Sampath Kumar</t>
  </si>
  <si>
    <t>Dy PROJECT MANAGER</t>
  </si>
  <si>
    <t>Bheesetty Prudhvi</t>
  </si>
  <si>
    <t>Material Engineer.</t>
  </si>
  <si>
    <t>Sumit Adhikary</t>
  </si>
  <si>
    <t>QA/QC ENGINEER</t>
  </si>
  <si>
    <t>Velaga Ramanjaneyulu</t>
  </si>
  <si>
    <t>Lab Technician(QA/QC)</t>
  </si>
  <si>
    <t>Sudhir Patel</t>
  </si>
  <si>
    <t>Abbireddy Sivareddy</t>
  </si>
  <si>
    <t>Mr. Perni Suresh Babu</t>
  </si>
  <si>
    <t>Gera Pramod</t>
  </si>
  <si>
    <t>Vemulamda Mani Jagannadh</t>
  </si>
  <si>
    <t>Quantity Surveyor &amp; Planning Engineer</t>
  </si>
  <si>
    <t>BBS cum Billing Engineer</t>
  </si>
  <si>
    <t>Meesala Sagar Babu</t>
  </si>
  <si>
    <t>Sheik Ajmullah</t>
  </si>
  <si>
    <t>Lokesh Dadi</t>
  </si>
  <si>
    <t>Raja Busi</t>
  </si>
  <si>
    <t>Netti Srinu</t>
  </si>
  <si>
    <t>M. Poli Raju</t>
  </si>
  <si>
    <t>Gadi Ramesh</t>
  </si>
  <si>
    <t>Yallppa Naik</t>
  </si>
  <si>
    <t>Kunchala Vamsi Krishna</t>
  </si>
  <si>
    <t>Gunta Dinesh Kumar</t>
  </si>
  <si>
    <t>PUSULURI BALA LAKSHMAN KUMAR</t>
  </si>
  <si>
    <t>Asst. Senior Engineer</t>
  </si>
  <si>
    <t>KARRI CHANDRASEKHAR</t>
  </si>
  <si>
    <t>AssociateEngineer</t>
  </si>
  <si>
    <t>Abhay Sharma</t>
  </si>
  <si>
    <t>W4-44</t>
  </si>
  <si>
    <t>Engineer - Tunnel</t>
  </si>
  <si>
    <t>Ayan Das</t>
  </si>
  <si>
    <t>Arun Patel</t>
  </si>
  <si>
    <t>ADCL-183</t>
  </si>
  <si>
    <t>Makineni Srihari</t>
  </si>
  <si>
    <t>G Siva Reddy</t>
  </si>
  <si>
    <t>Anup Singh</t>
  </si>
  <si>
    <t>Shaik Basha</t>
  </si>
  <si>
    <t>LISMB-41</t>
  </si>
  <si>
    <t>Sr. Engineer -Mechanical</t>
  </si>
  <si>
    <t>Anshul Sharma</t>
  </si>
  <si>
    <t>Sr. Engineer - Mechanical</t>
  </si>
  <si>
    <t>HYD-58</t>
  </si>
  <si>
    <t>kandikatla Ramesh</t>
  </si>
  <si>
    <t>Boppidi Anil Kumar</t>
  </si>
  <si>
    <t>Madaraboyina Naga Ramu</t>
  </si>
  <si>
    <t>Sr. Testing Engineer</t>
  </si>
  <si>
    <t>K.Ramesh</t>
  </si>
  <si>
    <t>Botsa Sravan Kumar</t>
  </si>
  <si>
    <t>Naseem Alam</t>
  </si>
  <si>
    <t>QC Jr. Engg. </t>
  </si>
  <si>
    <t>Vemireddy Koteswara Reddy</t>
  </si>
  <si>
    <t>LISMB-46</t>
  </si>
  <si>
    <t>DEVARAPALLI AKSHAY ROOP</t>
  </si>
  <si>
    <t>LISMB-45</t>
  </si>
  <si>
    <t>B. Veera Varahala Rao</t>
  </si>
  <si>
    <t>KANDREGULA SESHU</t>
  </si>
  <si>
    <t>KARAKOLLU DEEPAK</t>
  </si>
  <si>
    <t>Dagge Pavan</t>
  </si>
  <si>
    <t>P. Venu Babu</t>
  </si>
  <si>
    <t>Uppu Manikanta</t>
  </si>
  <si>
    <t>Senior QS Engineer</t>
  </si>
  <si>
    <t>R. Sarvanan</t>
  </si>
  <si>
    <t>Senior Quantity Surveyor cum</t>
  </si>
  <si>
    <t>Andhavarapu Somasekhar</t>
  </si>
  <si>
    <t>Pinna Narendra</t>
  </si>
  <si>
    <t>Reddem Venkata Siva Rami Reddy</t>
  </si>
  <si>
    <t>Kr Rajesh Ranjan</t>
  </si>
  <si>
    <t>Kalla Raju</t>
  </si>
  <si>
    <t>Pathan Rasool Khan</t>
  </si>
  <si>
    <t>Ashutosh Pradhan</t>
  </si>
  <si>
    <t>Venkat Krishna T</t>
  </si>
  <si>
    <t>Sr QC Engineer</t>
  </si>
  <si>
    <t>Subhankar Pramanick</t>
  </si>
  <si>
    <t>Gourav Singh</t>
  </si>
  <si>
    <t>Junior Engineer - Electrical</t>
  </si>
  <si>
    <t>Manikanta Vasu Kanakam</t>
  </si>
  <si>
    <t>Plant &amp; Machinery Maintenance Engr</t>
  </si>
  <si>
    <t>Kella Phani</t>
  </si>
  <si>
    <t>ADCL-150</t>
  </si>
  <si>
    <t>Engineer - Machinery</t>
  </si>
  <si>
    <t>Siva Kalyan Dee</t>
  </si>
  <si>
    <t>Kumar D R</t>
  </si>
  <si>
    <t>Computer Instructor &amp; Institute Coordinator</t>
  </si>
  <si>
    <t>Kopanathi Chandu</t>
  </si>
  <si>
    <t>Asst. Planning &amp; Engineer</t>
  </si>
  <si>
    <t>Jalees Ahmed Khan</t>
  </si>
  <si>
    <t>Choppara Naveen</t>
  </si>
  <si>
    <t>Senior Quantity Surveyor &amp; Billing Engineer</t>
  </si>
  <si>
    <t>Putta Anand Kumar</t>
  </si>
  <si>
    <t>Nandamuri RaviTeja</t>
  </si>
  <si>
    <t>Seraj Ahamad</t>
  </si>
  <si>
    <t>Devarakonda Chaitanya Varun Sai</t>
  </si>
  <si>
    <t>ADCL-192</t>
  </si>
  <si>
    <t>Yugal Singh</t>
  </si>
  <si>
    <t>Chiranjeevi Gella</t>
  </si>
  <si>
    <t>Akhil Kesava Reddy</t>
  </si>
  <si>
    <t>Vamshi Yadav</t>
  </si>
  <si>
    <t>W4-43</t>
  </si>
  <si>
    <t>Jatinder Jague</t>
  </si>
  <si>
    <t>Bala Muni Raja</t>
  </si>
  <si>
    <t>Malleswara Rao</t>
  </si>
  <si>
    <t>Er Atif Jabbar khan</t>
  </si>
  <si>
    <t>Ratendra</t>
  </si>
  <si>
    <t>jr. Engineer</t>
  </si>
  <si>
    <t>Kulari Pavan Kumar</t>
  </si>
  <si>
    <t>Uppala Prudhvi Raju</t>
  </si>
  <si>
    <t>Jr. Engineer - Highway</t>
  </si>
  <si>
    <t>ADCL-130</t>
  </si>
  <si>
    <t>Pankaj Dass</t>
  </si>
  <si>
    <t>Ashok MadiReddy</t>
  </si>
  <si>
    <t>Yakala Narasam Naidu</t>
  </si>
  <si>
    <t>Atul Kumar Singh</t>
  </si>
  <si>
    <t>Amit Kumar Maurya </t>
  </si>
  <si>
    <t>Deepak Kumar Sah</t>
  </si>
  <si>
    <t>Sanjay Kumar Singh</t>
  </si>
  <si>
    <t>S Sabarish</t>
  </si>
  <si>
    <t>Subham Mishra</t>
  </si>
  <si>
    <t>Sujit Bhowmik</t>
  </si>
  <si>
    <t>Biswajit Koley</t>
  </si>
  <si>
    <t>Subhakar Sen</t>
  </si>
  <si>
    <t>Pranab Hazra</t>
  </si>
  <si>
    <t>Kala</t>
  </si>
  <si>
    <t>Ashish Hazra</t>
  </si>
  <si>
    <t>Purnendu Ghosh</t>
  </si>
  <si>
    <t>K Anji Babu</t>
  </si>
  <si>
    <t>GP-93</t>
  </si>
  <si>
    <t>Mr. Chandrasekhar</t>
  </si>
  <si>
    <t>M Adinarayana Murthy</t>
  </si>
  <si>
    <t>Venkata Raju B</t>
  </si>
  <si>
    <t>Sai Pavan Chandu</t>
  </si>
  <si>
    <t>Nitesh Kumar Dubey</t>
  </si>
  <si>
    <t>Pavan Kumar Ch</t>
  </si>
  <si>
    <t>Engineer -QA/QC</t>
  </si>
  <si>
    <t>Paramod Kumar Gupta</t>
  </si>
  <si>
    <t>Manager-Civil(Highwaya)</t>
  </si>
  <si>
    <t>Rashmi Ranjan Mallick</t>
  </si>
  <si>
    <t>Kanaka Mahalakshmi Prasad Pasagada</t>
  </si>
  <si>
    <t>GM-Civil Projects</t>
  </si>
  <si>
    <t>Gutlapalli Babu</t>
  </si>
  <si>
    <t>General Manager Projects</t>
  </si>
  <si>
    <t>Durga Prasad P</t>
  </si>
  <si>
    <t>Manager-Stores</t>
  </si>
  <si>
    <t>Anudeep Thota</t>
  </si>
  <si>
    <t>Engineer(QS)</t>
  </si>
  <si>
    <t>R Bhargav</t>
  </si>
  <si>
    <t>Gandu sai</t>
  </si>
  <si>
    <t>Mastan Rao Perni</t>
  </si>
  <si>
    <t>Ghantasala Charan Sai Kumar</t>
  </si>
  <si>
    <t>Kota Balakrishna</t>
  </si>
  <si>
    <t>Kilari  Raja Sekhar</t>
  </si>
  <si>
    <t>Junior Engineer(Highways)</t>
  </si>
  <si>
    <t>Talla Pavan</t>
  </si>
  <si>
    <t>Sheik Tajuddin</t>
  </si>
  <si>
    <t>Raj Deo Gupta</t>
  </si>
  <si>
    <t>ADCL-201</t>
  </si>
  <si>
    <t>Nammi Pydiraju</t>
  </si>
  <si>
    <t>Sr. Superviosr</t>
  </si>
  <si>
    <t>Madisa Venkata Ramana</t>
  </si>
  <si>
    <t>Hari Om Tripathi</t>
  </si>
  <si>
    <t>Akash Mishra</t>
  </si>
  <si>
    <t>D. Surender</t>
  </si>
  <si>
    <t>Ch.Ramesh babu</t>
  </si>
  <si>
    <t>Deputy Project.Manager</t>
  </si>
  <si>
    <t>Kandlapally Balu Prasad</t>
  </si>
  <si>
    <t>L. Goverdhan Reddy</t>
  </si>
  <si>
    <t>D Srinivasulu</t>
  </si>
  <si>
    <t>C.VENKATESH</t>
  </si>
  <si>
    <t>HYD-57</t>
  </si>
  <si>
    <t>Assistant Manger - Stores</t>
  </si>
  <si>
    <t>SATHEESH KUMAR.MEDURI</t>
  </si>
  <si>
    <t>Senior Engineer- Planning &amp; Billing</t>
  </si>
  <si>
    <t>Ankur Kumar</t>
  </si>
  <si>
    <t>QS and Planning Engineer</t>
  </si>
  <si>
    <t>Saddam Hussian</t>
  </si>
  <si>
    <t>Estimator/ Quantity Surveyor</t>
  </si>
  <si>
    <t>Virendra Kumar Jaiswal</t>
  </si>
  <si>
    <t>Mr. KN Rao</t>
  </si>
  <si>
    <t>Siddhanth Kumar Yadav</t>
  </si>
  <si>
    <t>Gunuru Hari Krishna</t>
  </si>
  <si>
    <t>Siddamreddy Venkateswar Reddy</t>
  </si>
  <si>
    <t>Sana Vamsi</t>
  </si>
  <si>
    <t>BADUGU ANANTH SAI NAG</t>
  </si>
  <si>
    <t>VEERESH KUMAR REDDY</t>
  </si>
  <si>
    <t>Masimukku Gopui</t>
  </si>
  <si>
    <t>SE.Engineer(Structures)</t>
  </si>
  <si>
    <t>Santosh kumar</t>
  </si>
  <si>
    <t>SR Engineer(Highways)</t>
  </si>
  <si>
    <t>Bhargav   Kavali</t>
  </si>
  <si>
    <t>B. Sanmukha Rao</t>
  </si>
  <si>
    <t>D. Kullai Swamy</t>
  </si>
  <si>
    <t>Shaik Kareemulla</t>
  </si>
  <si>
    <t>Vital Kumar Muthangi</t>
  </si>
  <si>
    <t>Vunna Manikanta</t>
  </si>
  <si>
    <t>R Srinivasa Rao</t>
  </si>
  <si>
    <t>Kota Paparao</t>
  </si>
  <si>
    <t>ADCL-200</t>
  </si>
  <si>
    <t>G Nagaraju</t>
  </si>
  <si>
    <t>Y. Rajesh Kumar</t>
  </si>
  <si>
    <t>ADCL-181</t>
  </si>
  <si>
    <t>Dasari Vinod Babu</t>
  </si>
  <si>
    <t>ADCL-177</t>
  </si>
  <si>
    <t>MANIKANTA NUNNAGOPPILA</t>
  </si>
  <si>
    <t>RAJA BABU ANNAVARAPU</t>
  </si>
  <si>
    <t>Aditya Hati</t>
  </si>
  <si>
    <t>Pawan Singh</t>
  </si>
  <si>
    <t>Sukhen Biswas</t>
  </si>
  <si>
    <t>ANAND KASULVAD</t>
  </si>
  <si>
    <t>W3-97</t>
  </si>
  <si>
    <t>ANKIT SINGH</t>
  </si>
  <si>
    <t>ABDUL KAYYUM ABDUL KALIM</t>
  </si>
  <si>
    <t>A-02</t>
  </si>
  <si>
    <t>SUSHIL KUMAR TRIPATHI</t>
  </si>
  <si>
    <t>Pativada Hemanth Kumar</t>
  </si>
  <si>
    <t>Jr Quantity Surveyor</t>
  </si>
  <si>
    <t>Nagiri Venkata Sai</t>
  </si>
  <si>
    <t>QS Jr Engineer</t>
  </si>
  <si>
    <t>Chimala Sai Kumar</t>
  </si>
  <si>
    <t>Junior Site Engineer</t>
  </si>
  <si>
    <t>P. Siva Brahma Reddy</t>
  </si>
  <si>
    <t>Jr. QS Engineer</t>
  </si>
  <si>
    <t>Varanasi Kantarao</t>
  </si>
  <si>
    <t>Asst. Manager - Structures</t>
  </si>
  <si>
    <t>Vasipalli Prathap</t>
  </si>
  <si>
    <t>Abhishek Bharti</t>
  </si>
  <si>
    <t>Aditya Verma</t>
  </si>
  <si>
    <t>Babul Pradhan</t>
  </si>
  <si>
    <t>Kondapalli Gurunadh</t>
  </si>
  <si>
    <t>JR Engineer</t>
  </si>
  <si>
    <t>Sanam Malleswara Reddy</t>
  </si>
  <si>
    <t>SR Supervisor</t>
  </si>
  <si>
    <t>Penki Venkatesh</t>
  </si>
  <si>
    <t>Dunna Nikhil</t>
  </si>
  <si>
    <t>C Narayana</t>
  </si>
  <si>
    <t>Mugada Subbarao</t>
  </si>
  <si>
    <t>T. Raj Kumar</t>
  </si>
  <si>
    <t>Boddu Santosh</t>
  </si>
  <si>
    <t>Naganaboina Subrahmanyam</t>
  </si>
  <si>
    <t>Menda Naveen</t>
  </si>
  <si>
    <t>HYD-59</t>
  </si>
  <si>
    <t>Challa Vijayaraju</t>
  </si>
  <si>
    <t>Gollavilli Santhosh Kumar</t>
  </si>
  <si>
    <t>LISMB-39</t>
  </si>
  <si>
    <t>T. Ayyappa Swamy</t>
  </si>
  <si>
    <t>Timmasarthi Bala Raju</t>
  </si>
  <si>
    <t>Y. Praveen </t>
  </si>
  <si>
    <t>M Srinivasa Rao</t>
  </si>
  <si>
    <t>GAUTAM BARMAN</t>
  </si>
  <si>
    <t>GP-103</t>
  </si>
  <si>
    <t>LISMB-44</t>
  </si>
  <si>
    <t>Walse Suresh Rustumrao</t>
  </si>
  <si>
    <t>HNSS-T14</t>
  </si>
  <si>
    <t>THIRUMALAGIRI UMA BHASKAR</t>
  </si>
  <si>
    <t>Shashikant Tiwari</t>
  </si>
  <si>
    <t>Ramanjaneya Reddy Pallerla</t>
  </si>
  <si>
    <t>DPM - Civil</t>
  </si>
  <si>
    <t>Nagaraju Pokala</t>
  </si>
  <si>
    <t>JEDE DASTAGIRI</t>
  </si>
  <si>
    <t>Anil Kumar Pasupuleti</t>
  </si>
  <si>
    <t>Assistant Manager - Highway</t>
  </si>
  <si>
    <t>Narayana</t>
  </si>
  <si>
    <t>G. Subramanyam</t>
  </si>
  <si>
    <t>G. Hemanth Kumar</t>
  </si>
  <si>
    <t>Budda Srinivasa Rao</t>
  </si>
  <si>
    <t>Mudunuri Satya Surya Nagaraju</t>
  </si>
  <si>
    <t>Thatipamula Ajay</t>
  </si>
  <si>
    <t>Mandava Kaushik Chowdary</t>
  </si>
  <si>
    <t>ADCL-198</t>
  </si>
  <si>
    <t>Mr. Sridhar</t>
  </si>
  <si>
    <t>Darapu Reddy Dedeep</t>
  </si>
  <si>
    <t>Pradeep Kumar Sinha Koru</t>
  </si>
  <si>
    <t>A-01</t>
  </si>
  <si>
    <t>Turla Deenabandu</t>
  </si>
  <si>
    <t>RaghuRam Boyapati</t>
  </si>
  <si>
    <t>Sr Engineer-QC</t>
  </si>
  <si>
    <t>APM - Highway</t>
  </si>
  <si>
    <t>M. Krupa Naik</t>
  </si>
  <si>
    <t>Mohan Kumar Thimmapuram</t>
  </si>
  <si>
    <t>Dy. Project Manager</t>
  </si>
  <si>
    <t>Hem Chandra Bhatt</t>
  </si>
  <si>
    <t>HNSS-T10</t>
  </si>
  <si>
    <t>Shivam Gautam</t>
  </si>
  <si>
    <t>HNSS-T13</t>
  </si>
  <si>
    <t>Ramesh Dolui</t>
  </si>
  <si>
    <t>Surjyakanth Roy</t>
  </si>
  <si>
    <t>Bhushan Singh</t>
  </si>
  <si>
    <t>Manikanta Veeramalla</t>
  </si>
  <si>
    <t>Paramananda Dora</t>
  </si>
  <si>
    <t>HNSS-T16</t>
  </si>
  <si>
    <t>Thota Bala Venkata Satish</t>
  </si>
  <si>
    <t>HNSS-T09</t>
  </si>
  <si>
    <t>Raja Balabhakthula</t>
  </si>
  <si>
    <t>Krushna Chandra Parida</t>
  </si>
  <si>
    <t>Velugula Sairam</t>
  </si>
  <si>
    <t>Matta Rajesh</t>
  </si>
  <si>
    <t>ADIL KHAN</t>
  </si>
  <si>
    <t>LISMB-47</t>
  </si>
  <si>
    <t>Jodu Ramesh</t>
  </si>
  <si>
    <t>Natha Krishna</t>
  </si>
  <si>
    <t>Anil Kumar Kedare</t>
  </si>
  <si>
    <t>Prashanth Pokola</t>
  </si>
  <si>
    <t>Shivlok Kumar</t>
  </si>
  <si>
    <t>Senior Tunnel Engineer</t>
  </si>
  <si>
    <t>Harshith</t>
  </si>
  <si>
    <t>W4-49</t>
  </si>
  <si>
    <t>NILANTA SAHOO</t>
  </si>
  <si>
    <t>DIVAKAR KUMAR</t>
  </si>
  <si>
    <t>A-03</t>
  </si>
  <si>
    <t>Santosh Kumar Shukla</t>
  </si>
  <si>
    <t>Pawan Kumar Bhallavee</t>
  </si>
  <si>
    <t>Hitendra Kumar Mishra</t>
  </si>
  <si>
    <t>Chandan Gupta</t>
  </si>
  <si>
    <t>Billing &amp; QS Engineer</t>
  </si>
  <si>
    <t>Modde Reddi</t>
  </si>
  <si>
    <t>Site Engineer(PREVIOUS)</t>
  </si>
  <si>
    <t>Kanithi Santosh Kumar</t>
  </si>
  <si>
    <t>ADCL-193</t>
  </si>
  <si>
    <t>Jr Engr-Safety</t>
  </si>
  <si>
    <t>Jami Vijaya Kumar</t>
  </si>
  <si>
    <t>Rajana Dileep Krishna</t>
  </si>
  <si>
    <t>Safety Marshal</t>
  </si>
  <si>
    <t>Anil Kachhi</t>
  </si>
  <si>
    <t>Project Engineer </t>
  </si>
  <si>
    <t>Vickey Parihar</t>
  </si>
  <si>
    <t>Manas Ranjan Sethi</t>
  </si>
  <si>
    <t>Kampa Srinivasu</t>
  </si>
  <si>
    <t>ADCL-199</t>
  </si>
  <si>
    <t>VinayakKoul</t>
  </si>
  <si>
    <t>Project Engineer-Highway</t>
  </si>
  <si>
    <t>Amit Kumar Mishra</t>
  </si>
  <si>
    <t>Avanigadda Narendra</t>
  </si>
  <si>
    <t>Site Engineer - Highway</t>
  </si>
  <si>
    <t>Chandragiri Ashok</t>
  </si>
  <si>
    <t>Keshorao Guniram  Bahekar</t>
  </si>
  <si>
    <t>K. Pothuluraiah</t>
  </si>
  <si>
    <t>Ch. Vamsi Krishna Reddy</t>
  </si>
  <si>
    <t>G. Sonu Kumar</t>
  </si>
  <si>
    <t>Srikanth Gedala</t>
  </si>
  <si>
    <t>Asst.Manager – Highways</t>
  </si>
  <si>
    <t>Pritam Singha</t>
  </si>
  <si>
    <t>EPC Manager</t>
  </si>
  <si>
    <t>Bubesh Bharathi</t>
  </si>
  <si>
    <t>Nandurkar Sagar Prasad</t>
  </si>
  <si>
    <t>Jitendra Vanka</t>
  </si>
  <si>
    <t>S Rajesh</t>
  </si>
  <si>
    <t>Thandra Prabhath Kumar</t>
  </si>
  <si>
    <t>LISMB-43</t>
  </si>
  <si>
    <t>Salapu Bhargav</t>
  </si>
  <si>
    <t>Krishna Kanth</t>
  </si>
  <si>
    <t>Civil Engineer (projects)</t>
  </si>
  <si>
    <t>HarishKumar.M</t>
  </si>
  <si>
    <t>Sr. Engineer- Billing/Planning/QS</t>
  </si>
  <si>
    <t>Shrawan Kumar </t>
  </si>
  <si>
    <t>Yanam Naidu Korada</t>
  </si>
  <si>
    <t>Matapaarthi Ramakrishna</t>
  </si>
  <si>
    <t>Jr. Engineer - QS</t>
  </si>
  <si>
    <t>P. Jaya Prakash</t>
  </si>
  <si>
    <t>Shaik Hussain</t>
  </si>
  <si>
    <t>Balaga Mohan Krishna</t>
  </si>
  <si>
    <t>Lanka Shiva Kumar</t>
  </si>
  <si>
    <t>Dokku Arvind</t>
  </si>
  <si>
    <t>Bikash Kumar Pati</t>
  </si>
  <si>
    <t>Kiran Kumar Das</t>
  </si>
  <si>
    <t>Kadem Charan</t>
  </si>
  <si>
    <t>Budata Suresh</t>
  </si>
  <si>
    <t>AM-71</t>
  </si>
  <si>
    <t>Ravi Kumar Velagela</t>
  </si>
  <si>
    <t>ADCL-125</t>
  </si>
  <si>
    <t>Narendra Nookesh S</t>
  </si>
  <si>
    <t>Thirumala Srinivasulu</t>
  </si>
  <si>
    <t>LISMB-42</t>
  </si>
  <si>
    <t>Rakesh Kumar Gupta</t>
  </si>
  <si>
    <t>NarsimhaRao Jakkampudi</t>
  </si>
  <si>
    <t>Vijju P</t>
  </si>
  <si>
    <t>HYD-56</t>
  </si>
  <si>
    <t>Makireddy Srinu</t>
  </si>
  <si>
    <t>Palle Nithin</t>
  </si>
  <si>
    <t>Ajay Chimata</t>
  </si>
  <si>
    <t>Bellamkonda Gopi Madhu Vara Prasad</t>
  </si>
  <si>
    <t>Kiran Kala</t>
  </si>
  <si>
    <t>Seemusuru Abaddam</t>
  </si>
  <si>
    <t>Phanindra Kappala</t>
  </si>
  <si>
    <t>Patchipulusu Venkatesh</t>
  </si>
  <si>
    <t>Vethsa Ramanji</t>
  </si>
  <si>
    <t>Garnepudi Rajesh</t>
  </si>
  <si>
    <t>Beeram Naga Venkata Sai Surya Nandhan</t>
  </si>
  <si>
    <t>Nanguri Gopi Krishna</t>
  </si>
  <si>
    <t>Midde Sharath Kumar</t>
  </si>
  <si>
    <t>Manager - QA/QC</t>
  </si>
  <si>
    <t>SPM - QA/QC</t>
  </si>
  <si>
    <t>P. Laxman</t>
  </si>
  <si>
    <t>Manager </t>
  </si>
  <si>
    <t>Rudradev Garai</t>
  </si>
  <si>
    <t>Engineer - Billing &amp; Planning</t>
  </si>
  <si>
    <t>Shivam Baghel</t>
  </si>
  <si>
    <t>Dip Kundu </t>
  </si>
  <si>
    <t>Arpit Mishra</t>
  </si>
  <si>
    <t>Deep Singh</t>
  </si>
  <si>
    <t>Singireddy Siva</t>
  </si>
  <si>
    <t>Nand Kishor Kumar</t>
  </si>
  <si>
    <t>Hanumanthu Ramavath</t>
  </si>
  <si>
    <t>Sr.Engineeer</t>
  </si>
  <si>
    <t>Sr. Field Engineer</t>
  </si>
  <si>
    <t>RajKumar</t>
  </si>
  <si>
    <t>Avinash Reddy Kosna</t>
  </si>
  <si>
    <t>Mahipal Singh</t>
  </si>
  <si>
    <t>Rajeshwari Prasad Tiwari</t>
  </si>
  <si>
    <t>Prashanth Kumar</t>
  </si>
  <si>
    <t>AM-72</t>
  </si>
  <si>
    <t>Panchireddy Prasanth Kumar</t>
  </si>
  <si>
    <t>Raju Bonala</t>
  </si>
  <si>
    <t>ADCL-186</t>
  </si>
  <si>
    <t>QA/QC Enginer</t>
  </si>
  <si>
    <t>Krishna Kumar Patel</t>
  </si>
  <si>
    <t>Siva Raghavulu Pappu</t>
  </si>
  <si>
    <t>QC Incharge</t>
  </si>
  <si>
    <t>Rajesh Kumar  Nayak</t>
  </si>
  <si>
    <t>Material Engineer (QA&amp;QC).</t>
  </si>
  <si>
    <t>Satnam Singh</t>
  </si>
  <si>
    <t>Pramod Kumar Tiwari</t>
  </si>
  <si>
    <t> Supervisor O&amp;M</t>
  </si>
  <si>
    <t>Patharla Vivek</t>
  </si>
  <si>
    <t>Kukkala Yogaiah</t>
  </si>
  <si>
    <t>Sr Engr-QC</t>
  </si>
  <si>
    <t>Ranjit Mishra</t>
  </si>
  <si>
    <t>ADCL-179</t>
  </si>
  <si>
    <t>Senior Assistant - Stores</t>
  </si>
  <si>
    <t>Pradeep singh</t>
  </si>
  <si>
    <t>Rajpal Chauhan</t>
  </si>
  <si>
    <t>NITISH KUMAR</t>
  </si>
  <si>
    <t>NEERAJ KUMAR</t>
  </si>
  <si>
    <t>Prashanta Kumar Panigrahi</t>
  </si>
  <si>
    <t>Krishna reddy</t>
  </si>
  <si>
    <t>Shaik Sharif Basha</t>
  </si>
  <si>
    <t>P.M Cum Dy.General Manager </t>
  </si>
  <si>
    <t>Ritesh Kumar Tiwari</t>
  </si>
  <si>
    <t>D Santhi Naidu</t>
  </si>
  <si>
    <t>Narendra Kumar Bind</t>
  </si>
  <si>
    <t>Ajit Mishra</t>
  </si>
  <si>
    <t>Bulla Kumar</t>
  </si>
  <si>
    <t>Bandela Jagadish Kumar</t>
  </si>
  <si>
    <t>Devalla Lokesh</t>
  </si>
  <si>
    <t>V Venkata Syam Kumar</t>
  </si>
  <si>
    <t>Planning, Quantity Surveyor manager.</t>
  </si>
  <si>
    <t>Mulakala Lakshmipathi Rao</t>
  </si>
  <si>
    <t>ADCL-206</t>
  </si>
  <si>
    <t>Gunti Jayanaga Vamsi Prakash</t>
  </si>
  <si>
    <t>Boddu Murali</t>
  </si>
  <si>
    <t>Lalit Kant Mishra</t>
  </si>
  <si>
    <t>SHIVAM SOM</t>
  </si>
  <si>
    <t>SANDIP MAITY</t>
  </si>
  <si>
    <t>KAMSU SYAMO SUNDAR</t>
  </si>
  <si>
    <t>ARDHI SURESH</t>
  </si>
  <si>
    <t>MUNA SAHU</t>
  </si>
  <si>
    <t>CHANDRA PRAKASH NIRAJ</t>
  </si>
  <si>
    <t>Mahendranath Reddy</t>
  </si>
  <si>
    <t>GP-55</t>
  </si>
  <si>
    <t>Amudala Yeshwanth</t>
  </si>
  <si>
    <t>Narayanapalli Mahammed Vali</t>
  </si>
  <si>
    <t>HYD-55</t>
  </si>
  <si>
    <t>Manjeet Kumar Pandey</t>
  </si>
  <si>
    <t>Ashish Dwivedi</t>
  </si>
  <si>
    <t>Subresh Nayak</t>
  </si>
  <si>
    <t>Umesh Suresh Mandulwar</t>
  </si>
  <si>
    <t>Ramu Kumar Sahu</t>
  </si>
  <si>
    <t>Akshaya  Kumar Pradhan</t>
  </si>
  <si>
    <t>Rasmiranjan Giri</t>
  </si>
  <si>
    <t>Srinu Bhojaraju</t>
  </si>
  <si>
    <t>ADCL-203</t>
  </si>
  <si>
    <t>K.V.V.SatyaNarayana</t>
  </si>
  <si>
    <t>Sajay Das</t>
  </si>
  <si>
    <t>ADCL-205</t>
  </si>
  <si>
    <t>Jr Surveyor</t>
  </si>
  <si>
    <t>Ashok Naidu</t>
  </si>
  <si>
    <t>Md Shabir sarkar</t>
  </si>
  <si>
    <t>Abhishek Maurya</t>
  </si>
  <si>
    <t>Asst Engineer-QA/QC</t>
  </si>
  <si>
    <t>Sudheer Sastry Katturi</t>
  </si>
  <si>
    <t>Quality Controller</t>
  </si>
  <si>
    <t>Polisetty Venkateswarlu</t>
  </si>
  <si>
    <t>Arkadu MuniLokesh</t>
  </si>
  <si>
    <t>QC Jr Engineer</t>
  </si>
  <si>
    <t>Junior QS</t>
  </si>
  <si>
    <t>Rohit Kumar Pandey</t>
  </si>
  <si>
    <t>Junior Hw Engt</t>
  </si>
  <si>
    <t>Lingala Dileep Kumar</t>
  </si>
  <si>
    <t>Perisetti Gopinath</t>
  </si>
  <si>
    <t>Gonu Akhil Kumar</t>
  </si>
  <si>
    <t>Bolla Gopi Chand</t>
  </si>
  <si>
    <t>Junior Electrician-Utilities</t>
  </si>
  <si>
    <t>ADCL-178</t>
  </si>
  <si>
    <t>Supervisor-Stores</t>
  </si>
  <si>
    <t>Aldurthi Anjaneyulu</t>
  </si>
  <si>
    <t>Dasari Raju</t>
  </si>
  <si>
    <t>Uppu Vamsi</t>
  </si>
  <si>
    <t>Kuracha Eswara Rao</t>
  </si>
  <si>
    <t>Somehwar Rao</t>
  </si>
  <si>
    <t>Mr. P Ramesh</t>
  </si>
  <si>
    <t>Dandu Subbaraju</t>
  </si>
  <si>
    <t>ADCL-211</t>
  </si>
  <si>
    <t>Manager-P&amp;M</t>
  </si>
  <si>
    <t>Eeri Rajesh</t>
  </si>
  <si>
    <t>G Anil Kumar</t>
  </si>
  <si>
    <t>QC Junior Engineer</t>
  </si>
  <si>
    <t>K. Srinivasulu Reddy</t>
  </si>
  <si>
    <t>K J N Ram Kumar</t>
  </si>
  <si>
    <t>Bharat Simha Reddy</t>
  </si>
  <si>
    <t>PADARTI ASHOK KUMAR</t>
  </si>
  <si>
    <t>CBCMP-256</t>
  </si>
  <si>
    <t>Arghyadip</t>
  </si>
  <si>
    <t>W4-45</t>
  </si>
  <si>
    <t>Survey Manager</t>
  </si>
  <si>
    <t>Dipankar Roy</t>
  </si>
  <si>
    <t>Bal Krishna</t>
  </si>
  <si>
    <t>Senior Officer Surveyor</t>
  </si>
  <si>
    <t>Santu Bag</t>
  </si>
  <si>
    <t>Senior Technical Surveyor</t>
  </si>
  <si>
    <t>Ch. Narayana Rao</t>
  </si>
  <si>
    <t>G. Pandiaraj</t>
  </si>
  <si>
    <t>Manager Structures (DPM)</t>
  </si>
  <si>
    <t>Chandeshwar Kumar Mishra</t>
  </si>
  <si>
    <t>D ChittinanI</t>
  </si>
  <si>
    <t>NOT WORKING</t>
  </si>
  <si>
    <t>Simhadri Lalit Sagar</t>
  </si>
  <si>
    <t>Toleti Dhana Lakshmana Rao</t>
  </si>
  <si>
    <t>ADCL-212</t>
  </si>
  <si>
    <t>Nagula Rajendra Behara</t>
  </si>
  <si>
    <t>Panchala Siva</t>
  </si>
  <si>
    <t>ADCL-210</t>
  </si>
  <si>
    <t>Bhaskar B</t>
  </si>
  <si>
    <t>Asst Manager-QC</t>
  </si>
  <si>
    <t>Konna Chinnababu</t>
  </si>
  <si>
    <t>Gudivada Sai Kiran</t>
  </si>
  <si>
    <t>Prasad Pondreti</t>
  </si>
  <si>
    <t>Sirigiri Vijay Kumar</t>
  </si>
  <si>
    <t>Junior QS Engineer</t>
  </si>
  <si>
    <t>RaviKumar Gunupuru</t>
  </si>
  <si>
    <t>S. HEMANTA CHANDRA REDDY</t>
  </si>
  <si>
    <t>Mr. Nasimoddin Seikh</t>
  </si>
  <si>
    <t>Abhishek Mishra</t>
  </si>
  <si>
    <t>Diptangshu Dey</t>
  </si>
  <si>
    <t>ADITYA KUMAR GUPTA</t>
  </si>
  <si>
    <t>Balla Satya Sai Kiran</t>
  </si>
  <si>
    <t>Gorakala Rohith</t>
  </si>
  <si>
    <t>Harinath Sai</t>
  </si>
  <si>
    <t>Environment Health &amp; Safety Engineer</t>
  </si>
  <si>
    <t>B. Sai Pravardhan</t>
  </si>
  <si>
    <t>Siemens</t>
  </si>
  <si>
    <t>Abhishek Koatch</t>
  </si>
  <si>
    <t>Aviral Chauhan</t>
  </si>
  <si>
    <t>Data Entry Operator - P&amp;M</t>
  </si>
  <si>
    <t>Gautam Roy</t>
  </si>
  <si>
    <t>Jitendra Kumar Singh</t>
  </si>
  <si>
    <t>Jay Prakash Roy</t>
  </si>
  <si>
    <t>Kamal Porel</t>
  </si>
  <si>
    <t>Amit Gupta</t>
  </si>
  <si>
    <t>Koushik Dule</t>
  </si>
  <si>
    <t>Shaik Mahammad Ali</t>
  </si>
  <si>
    <t>Shaik Saddam Hussain</t>
  </si>
  <si>
    <t>Kavali Narsimlu</t>
  </si>
  <si>
    <t>Bhupally Pranay</t>
  </si>
  <si>
    <t>Sangani Ravi</t>
  </si>
  <si>
    <t>M Ravi Kumar</t>
  </si>
  <si>
    <t>Katta Devendra Balaji</t>
  </si>
  <si>
    <t>Vikram Sharma</t>
  </si>
  <si>
    <t>Patibandla Vinodh Kumar</t>
  </si>
  <si>
    <t>Sanniboyina Lokesh</t>
  </si>
  <si>
    <t>Dasari Sasi Varma</t>
  </si>
  <si>
    <t>Gunturu Venkata Durga Prasad</t>
  </si>
  <si>
    <t>ADCL-204</t>
  </si>
  <si>
    <t>GET-QS</t>
  </si>
  <si>
    <t>Sanjay Kumar</t>
  </si>
  <si>
    <t>Bala Kishor</t>
  </si>
  <si>
    <t>DontaMala Vengal Rao</t>
  </si>
  <si>
    <t>Nagoor Ravi</t>
  </si>
  <si>
    <t>Talla Sai Akhil</t>
  </si>
  <si>
    <t>Vishnu Vardhan</t>
  </si>
  <si>
    <t>QS Engineer (JE)</t>
  </si>
  <si>
    <t>ByReddy RajaShekar Reddy</t>
  </si>
  <si>
    <t>Rella Ramakrishna </t>
  </si>
  <si>
    <t>Madduru Anil</t>
  </si>
  <si>
    <t>Baikuntha Swain</t>
  </si>
  <si>
    <t>Bharath Mutyala</t>
  </si>
  <si>
    <t>Bavana Rammbabu</t>
  </si>
  <si>
    <t>Vegi Venkata Rao</t>
  </si>
  <si>
    <t>M. Somaiah </t>
  </si>
  <si>
    <t>Shaik Akbar Basha</t>
  </si>
  <si>
    <t>Mohammad Firdos</t>
  </si>
  <si>
    <t>Engineer - QA&amp; QC</t>
  </si>
  <si>
    <t>Vanipenta Shaik Mohammad Jakeer</t>
  </si>
  <si>
    <t>Sombit Talukder</t>
  </si>
  <si>
    <t>M Prakash</t>
  </si>
  <si>
    <t>Gurajapu Venkata Madhu Abhishek</t>
  </si>
  <si>
    <t>JE - Structures</t>
  </si>
  <si>
    <t> P. Venkata Naveen Kumar</t>
  </si>
  <si>
    <t>Rajesh</t>
  </si>
  <si>
    <t>HNSS-T15</t>
  </si>
  <si>
    <t>Vidyasagar Adapa</t>
  </si>
  <si>
    <t>Aramasa Siva Krishna</t>
  </si>
  <si>
    <t>Rana Pratap Singh</t>
  </si>
  <si>
    <t>Reddi Hareesh Kumar</t>
  </si>
  <si>
    <t>Karri Harish</t>
  </si>
  <si>
    <t>Amit Kumar Sharma</t>
  </si>
  <si>
    <t>PRABHAKARAN P</t>
  </si>
  <si>
    <t>Material Engineer QA/ QC</t>
  </si>
  <si>
    <t>Bijay Kumar Panda</t>
  </si>
  <si>
    <t>Singanamala Narasimhulu</t>
  </si>
  <si>
    <t>Asst. Engineer - QC</t>
  </si>
  <si>
    <t>S.Sivaraj</t>
  </si>
  <si>
    <t>Assistant Planning &amp; QS Engineer</t>
  </si>
  <si>
    <t>Ramakrishna Botta</t>
  </si>
  <si>
    <t>Assistant Manager - Highways</t>
  </si>
  <si>
    <t>Gunuru Kesava</t>
  </si>
  <si>
    <t>HNSS-T17</t>
  </si>
  <si>
    <t>Gadi Naga Venkateswara Rao</t>
  </si>
  <si>
    <t>ARVIND JANARDHAN BURDE</t>
  </si>
  <si>
    <t>Gudala syamkumar</t>
  </si>
  <si>
    <t>Samaya Mohanty</t>
  </si>
  <si>
    <t>Kiran Kumar Sahu</t>
  </si>
  <si>
    <t>NG-07</t>
  </si>
  <si>
    <t>Mr. Srinivasulu Reddy</t>
  </si>
  <si>
    <t>Chiranjib Sahoo</t>
  </si>
  <si>
    <t>Valeti Hemanth</t>
  </si>
  <si>
    <t>ShailendraPratapSingh</t>
  </si>
  <si>
    <t>Tharlada Venkatesh</t>
  </si>
  <si>
    <t>Ambati Gowri Sankar Rao</t>
  </si>
  <si>
    <t>K. Kumaraswamy</t>
  </si>
  <si>
    <t>Nemali Durga Prasad</t>
  </si>
  <si>
    <t>D. Narendra Kumar</t>
  </si>
  <si>
    <t>V. Reddappa Reddy</t>
  </si>
  <si>
    <t>APM  - Highway</t>
  </si>
  <si>
    <t>Jannath Ali</t>
  </si>
  <si>
    <t>Tulu Baliyar Singh</t>
  </si>
  <si>
    <t>Nelapati Aravind Kumar</t>
  </si>
  <si>
    <t>Sayyad Hussain Saheb</t>
  </si>
  <si>
    <t>A. Srinivasa Rao</t>
  </si>
  <si>
    <t>Sana Veera  Naga Venkata Satyanarayna</t>
  </si>
  <si>
    <t>John Karimulla Noorbasha</t>
  </si>
  <si>
    <t>Kalavala Kishore</t>
  </si>
  <si>
    <t>Arvind</t>
  </si>
  <si>
    <t>Janipeela Srinu</t>
  </si>
  <si>
    <t>Shaik Saida Babu</t>
  </si>
  <si>
    <t>Velpuru Vivekananda</t>
  </si>
  <si>
    <t>Supervior</t>
  </si>
  <si>
    <t>C. Manikanta</t>
  </si>
  <si>
    <t>Sivagani Ganesh</t>
  </si>
  <si>
    <t>ADCL-202</t>
  </si>
  <si>
    <t>Site Engineer- Mechanical</t>
  </si>
  <si>
    <t>Ankush Kumar Sah</t>
  </si>
  <si>
    <t>Prem Chandu</t>
  </si>
  <si>
    <t>Junior Engineer - QC</t>
  </si>
  <si>
    <t>Devi Prasad Pandey</t>
  </si>
  <si>
    <t>Assistant Engineer - QC</t>
  </si>
  <si>
    <t>Hemanth Kumar</t>
  </si>
  <si>
    <t>Kammili China Raju</t>
  </si>
  <si>
    <t>Senior Engineer- Highways</t>
  </si>
  <si>
    <t>Mr. B Praveen Kumar</t>
  </si>
  <si>
    <t>Chandaluri Trinadh</t>
  </si>
  <si>
    <t>Junior Engineer- QC</t>
  </si>
  <si>
    <t>Alokam NagaMalleshwara Rao</t>
  </si>
  <si>
    <t>ADCL-213</t>
  </si>
  <si>
    <t>PRO</t>
  </si>
  <si>
    <t>Srinivasulu Maddela</t>
  </si>
  <si>
    <t>Ankush Rathod</t>
  </si>
  <si>
    <t>Site Engineer - QS</t>
  </si>
  <si>
    <t>Gudimalla Rajesh</t>
  </si>
  <si>
    <t>W4-42</t>
  </si>
  <si>
    <t>Hemant Narayan Patil</t>
  </si>
  <si>
    <t>Jay Shankar Tiwari</t>
  </si>
  <si>
    <t>Assistant Engineer - QS</t>
  </si>
  <si>
    <t>Ramavath Bharath</t>
  </si>
  <si>
    <t>Subhasis Rana</t>
  </si>
  <si>
    <t>Sipun Mohanty</t>
  </si>
  <si>
    <t>Sukamal Jana</t>
  </si>
  <si>
    <t>Amit Goswami</t>
  </si>
  <si>
    <t>QS Billing Engineer </t>
  </si>
  <si>
    <t>Sai Anu Prasad</t>
  </si>
  <si>
    <t>Junior Engineer - QS</t>
  </si>
  <si>
    <t>S Ghana Prakash</t>
  </si>
  <si>
    <t>Rajagopal Vadrevu</t>
  </si>
  <si>
    <t>S. Prabhakar Reddy</t>
  </si>
  <si>
    <t>Raipureddi Chandrasekhar Rao</t>
  </si>
  <si>
    <t>Bharath Kumar Vadika</t>
  </si>
  <si>
    <t>Gangireddy Narayana</t>
  </si>
  <si>
    <t>Shaik Riyaz Moin</t>
  </si>
  <si>
    <t>Jr. Engineer -QC</t>
  </si>
  <si>
    <t>Jampa Narasimha Murthy</t>
  </si>
  <si>
    <t>Patnam Siva Raja</t>
  </si>
  <si>
    <t>K. Vamsi</t>
  </si>
  <si>
    <t>Highway BT Engineer</t>
  </si>
  <si>
    <t>Lakku Vamsi Kumar</t>
  </si>
  <si>
    <t>Nutakki Kiran Kumar</t>
  </si>
  <si>
    <t>Tapan Kinkar Pradhan</t>
  </si>
  <si>
    <t>Project Manager </t>
  </si>
  <si>
    <t>Pedaplu Harsha Kumar</t>
  </si>
  <si>
    <t>Lakshmi Ranga Reddy Sakam</t>
  </si>
  <si>
    <t>Tanigundala Devi Vijay Kumar</t>
  </si>
  <si>
    <t>Yashwant Chauhan</t>
  </si>
  <si>
    <t>Shaik Shamiullah</t>
  </si>
  <si>
    <t>QC Batch Plant Inspector</t>
  </si>
  <si>
    <t>THUMMAGANTI KISHORE</t>
  </si>
  <si>
    <t>GP-64</t>
  </si>
  <si>
    <t>LITUNA ROUT</t>
  </si>
  <si>
    <t>ARNAB CHAKRABORTY</t>
  </si>
  <si>
    <t>BISWADEEP GANGULI</t>
  </si>
  <si>
    <t>BAGGU SATYANARAYANA MURTY</t>
  </si>
  <si>
    <t>KUSUMA TARUN TEJA</t>
  </si>
  <si>
    <t>TADI SANDEEP</t>
  </si>
  <si>
    <t>BINIT KUAMR SHRIVASTAV</t>
  </si>
  <si>
    <t>ABHISEKH MOHAPATRA</t>
  </si>
  <si>
    <t>SAPPARAPU LEHAMAN</t>
  </si>
  <si>
    <t xml:space="preserve">SIBA PRASAD PANDA </t>
  </si>
  <si>
    <t xml:space="preserve">RAJENDRA BARMAN </t>
  </si>
  <si>
    <t>M. Bala Krishna Naidu</t>
  </si>
  <si>
    <t>Matla Siva durga</t>
  </si>
  <si>
    <t>SHAIK THOUSIF</t>
  </si>
  <si>
    <t>MUNTHA UMA SANKAR</t>
  </si>
  <si>
    <t>PLANNING ENGINEER</t>
  </si>
  <si>
    <t>Vadlapatla Balaji Shiva</t>
  </si>
  <si>
    <t>Plannning Engineer</t>
  </si>
  <si>
    <t>Harijana Raju</t>
  </si>
  <si>
    <t>Sujit Kumar Singh</t>
  </si>
  <si>
    <t>W3-91</t>
  </si>
  <si>
    <t>Bora Ramana Murthy</t>
  </si>
  <si>
    <t>K Ramachandra Panda</t>
  </si>
  <si>
    <t>Nela Veerraju</t>
  </si>
  <si>
    <t>Ashish Muzumdar</t>
  </si>
  <si>
    <t>Chapalamadugu Chinnamma</t>
  </si>
  <si>
    <t>Chepa Prasad</t>
  </si>
  <si>
    <t>ADCL-195</t>
  </si>
  <si>
    <t>Technical Officer</t>
  </si>
  <si>
    <t>Maddi Chandrasekhar</t>
  </si>
  <si>
    <t>K. Vijaya Ratnam</t>
  </si>
  <si>
    <t>Varada Govind Rao</t>
  </si>
  <si>
    <t>Chandrasekhar Singh</t>
  </si>
  <si>
    <t>Construction Manager Structures</t>
  </si>
  <si>
    <t>Pullupu Syam Vara Prasad</t>
  </si>
  <si>
    <t>Associate Manager (Structures)</t>
  </si>
  <si>
    <t>Tummalapalli Lokesh</t>
  </si>
  <si>
    <t>PEB Structural Designs Detailing Engineer</t>
  </si>
  <si>
    <t>Raju Ojha</t>
  </si>
  <si>
    <t>Ramdev Narayan Dwivedi</t>
  </si>
  <si>
    <t>Jitendra Kumar Pawar</t>
  </si>
  <si>
    <t>Pulivarthi Anand</t>
  </si>
  <si>
    <t>Vana Lakshmana Rao</t>
  </si>
  <si>
    <t>Md. Aasim</t>
  </si>
  <si>
    <t>Ganesh Chandrakant Jadhav</t>
  </si>
  <si>
    <t>W4-50</t>
  </si>
  <si>
    <t>DIGAMBAR SINGH</t>
  </si>
  <si>
    <t>SAKALAIN SHAMSHAD</t>
  </si>
  <si>
    <t>RAHIT BHUNIA</t>
  </si>
  <si>
    <t>NIVRUTTI PRAKASH AHIRE</t>
  </si>
  <si>
    <t>Sharda Nand Mishra</t>
  </si>
  <si>
    <t>PARAS KUMAR</t>
  </si>
  <si>
    <t>Kunapareddy Suresh</t>
  </si>
  <si>
    <t>APM /DPM</t>
  </si>
  <si>
    <t>SIVAREDDY SEELAM</t>
  </si>
  <si>
    <t>Sai Ganesh Chelluboyina</t>
  </si>
  <si>
    <t>Prajwal Pathania</t>
  </si>
  <si>
    <t>DHARMVEER KUMAR</t>
  </si>
  <si>
    <t>SURJYENDU BIKASH JANA</t>
  </si>
  <si>
    <t>DEEPAK DHIMAN</t>
  </si>
  <si>
    <t>Badugu Prasanth</t>
  </si>
  <si>
    <t>PRAMOD KUMAR YADAV</t>
  </si>
  <si>
    <t>Nilesh Singh</t>
  </si>
  <si>
    <t>AMRESH KUMAR MISHRA</t>
  </si>
  <si>
    <t>Vishnu singh</t>
  </si>
  <si>
    <t>DHARMATMA SINGH</t>
  </si>
  <si>
    <t>Abdur Rahman</t>
  </si>
  <si>
    <t>Girdhar Gopal Gour</t>
  </si>
  <si>
    <t>Sai Krishna</t>
  </si>
  <si>
    <t>Sayak Hazra</t>
  </si>
  <si>
    <t>Vipin</t>
  </si>
  <si>
    <t>Vikas Kumar</t>
  </si>
  <si>
    <t>Laloo Prasad Yadav</t>
  </si>
  <si>
    <t>Pallapati Paramesh</t>
  </si>
  <si>
    <t>Technical Supervisor</t>
  </si>
  <si>
    <t>B. Venkata Ramana</t>
  </si>
  <si>
    <t>M. Surya Narayana</t>
  </si>
  <si>
    <t>VVB Varma</t>
  </si>
  <si>
    <t>Sonu Kumar Dubey</t>
  </si>
  <si>
    <t>Shiv Tiwari </t>
  </si>
  <si>
    <t>N. Naveen</t>
  </si>
  <si>
    <t>Vivek Patel</t>
  </si>
  <si>
    <t>Prakash Kumar Singh</t>
  </si>
  <si>
    <t>Satyanarayana Urimi</t>
  </si>
  <si>
    <t>Vempadapu Ashok</t>
  </si>
  <si>
    <t>G. Sampath Kumar</t>
  </si>
  <si>
    <t>Md Shakil Ansari</t>
  </si>
  <si>
    <t>Satyam Das</t>
  </si>
  <si>
    <t>Debasish Mohanty</t>
  </si>
  <si>
    <t>Vishal Jharbade</t>
  </si>
  <si>
    <t>Putta Jai Bharath Reddy</t>
  </si>
  <si>
    <t>Chintada Durga Prasanna Kumar</t>
  </si>
  <si>
    <t>ADCL-214</t>
  </si>
  <si>
    <t>Saride Surya Prakash</t>
  </si>
  <si>
    <t>Manager- Stores</t>
  </si>
  <si>
    <t>Velamati Satya Narayana</t>
  </si>
  <si>
    <t>Senior Foreman - P&amp;M</t>
  </si>
  <si>
    <t>Shailendra Pratap Singh</t>
  </si>
  <si>
    <t>Foreman - Highways</t>
  </si>
  <si>
    <t>Lalam Rambabu</t>
  </si>
  <si>
    <t>ADCL-215</t>
  </si>
  <si>
    <t>M. Bhargav</t>
  </si>
  <si>
    <t>Sr. Supervisor -Electrical</t>
  </si>
  <si>
    <t>Bobba Veerendranath Chowdary</t>
  </si>
  <si>
    <t>Project Coordinator-Manager</t>
  </si>
  <si>
    <t>Associate Manager Billing</t>
  </si>
  <si>
    <t>Nallabolu Hemanth Reddy</t>
  </si>
  <si>
    <t>Rajat Dixit</t>
  </si>
  <si>
    <t>Chandan  Kumar</t>
  </si>
  <si>
    <t>Vivek Yadav</t>
  </si>
  <si>
    <t>Ashutosh Patro</t>
  </si>
  <si>
    <t>MD Shahjada Ajmat</t>
  </si>
  <si>
    <t>M. Chandu</t>
  </si>
  <si>
    <t>Kakumanu Venkata Gopi</t>
  </si>
  <si>
    <t>Nethi Sai Kiran</t>
  </si>
  <si>
    <t>ADCl-194</t>
  </si>
  <si>
    <t>Nagati Amulya</t>
  </si>
  <si>
    <t>EIA Consultant Senior Engineer</t>
  </si>
  <si>
    <t>JITENDRA PATHAK</t>
  </si>
  <si>
    <t>DIWAKAR KUMAR</t>
  </si>
  <si>
    <t>Matta Ranjith</t>
  </si>
  <si>
    <t>MEP Manager</t>
  </si>
  <si>
    <t>Suvarna Raju</t>
  </si>
  <si>
    <t>HNSS-T27</t>
  </si>
  <si>
    <t>JayaKrushna Bariki</t>
  </si>
  <si>
    <t>Survey - Engineer</t>
  </si>
  <si>
    <t>Kuntal Ghosh</t>
  </si>
  <si>
    <t>Bhaskar Sarkar</t>
  </si>
  <si>
    <t>Sai Kumar Pendhyala</t>
  </si>
  <si>
    <t>Vijaya Kumar Dubbaku</t>
  </si>
  <si>
    <t>Sr. QC Engineer</t>
  </si>
  <si>
    <t>Samala Raja Reddy</t>
  </si>
  <si>
    <t>Maan Bahadur</t>
  </si>
  <si>
    <t>Kerala</t>
  </si>
  <si>
    <t>Ankit Mishra</t>
  </si>
  <si>
    <t>Vakapalli Syam Manikya Subramanyam</t>
  </si>
  <si>
    <t>R. Uma Maheswara Rao</t>
  </si>
  <si>
    <t>Sr. QS Engineer</t>
  </si>
  <si>
    <t>G. Bala Ravikanth</t>
  </si>
  <si>
    <t>ADCL-207</t>
  </si>
  <si>
    <t>Dy. Manager - Electrical</t>
  </si>
  <si>
    <t>Ravi Kumar Ayyalasomayjula</t>
  </si>
  <si>
    <t>Sreehari</t>
  </si>
  <si>
    <t>Bommireddy Surendra Reddy</t>
  </si>
  <si>
    <t>Prakash Mishra</t>
  </si>
  <si>
    <t>Souvik Santra</t>
  </si>
  <si>
    <t>Kaushal Kumar Singh</t>
  </si>
  <si>
    <t>Madireddy Suresh</t>
  </si>
  <si>
    <t>Nanaduri Prakash raj</t>
  </si>
  <si>
    <t>M. Ranga Rao</t>
  </si>
  <si>
    <t>Sd. Sakeer</t>
  </si>
  <si>
    <t>Supervisor - Highway</t>
  </si>
  <si>
    <t>Chikkala Deva Vijaya Bhargav</t>
  </si>
  <si>
    <t>HIMANSHU TIWARI</t>
  </si>
  <si>
    <t>SATEESH SHARMA</t>
  </si>
  <si>
    <t>Ankit Patel</t>
  </si>
  <si>
    <t>Prasenjit Modak</t>
  </si>
  <si>
    <t>Sr. Engineer </t>
  </si>
  <si>
    <t>Krishnadhan Baidya</t>
  </si>
  <si>
    <t>Quality Incharge</t>
  </si>
  <si>
    <t>Yogeskunar M. Gangbhoj</t>
  </si>
  <si>
    <t>Banda Prashanth</t>
  </si>
  <si>
    <t>K. Jayavardhan</t>
  </si>
  <si>
    <t>Kotha Durga Rajesh</t>
  </si>
  <si>
    <t>Manager Design</t>
  </si>
  <si>
    <t>Kasaraneni Harish</t>
  </si>
  <si>
    <t>Eng Structures</t>
  </si>
  <si>
    <t>Dukka Sivaji Rao</t>
  </si>
  <si>
    <t>Sr. Electrician - utilities</t>
  </si>
  <si>
    <t>Jeeru Balakrishna</t>
  </si>
  <si>
    <t>Supervisor-Safety</t>
  </si>
  <si>
    <t>Mr. Anil Kumar</t>
  </si>
  <si>
    <t>Buridi Ramu</t>
  </si>
  <si>
    <t>Asst-Safety</t>
  </si>
  <si>
    <t>Mr. Shaik Jilani</t>
  </si>
  <si>
    <t>Pathivada Moondeep</t>
  </si>
  <si>
    <t>Budumuru Leelamohan</t>
  </si>
  <si>
    <t>Gorle Chaitanya</t>
  </si>
  <si>
    <t>Ravada Narendra</t>
  </si>
  <si>
    <t>Rayapureddy Bhargav</t>
  </si>
  <si>
    <t>Nadupuru Dinesh</t>
  </si>
  <si>
    <t>Dokala Sai Ganesh</t>
  </si>
  <si>
    <t xml:space="preserve">Ragolu Tarun Sai </t>
  </si>
  <si>
    <t>R Veeraswamy</t>
  </si>
  <si>
    <t>ADCL-216</t>
  </si>
  <si>
    <t>Metta Dhurga Vara Prasad</t>
  </si>
  <si>
    <t>T. Dinesh Kumar</t>
  </si>
  <si>
    <t>ADCL-217</t>
  </si>
  <si>
    <t>Katta Satish </t>
  </si>
  <si>
    <t>Sr. Engineer - Zone -10</t>
  </si>
  <si>
    <t>Chennuru Aruna Kumar</t>
  </si>
  <si>
    <t>AM - Stores</t>
  </si>
  <si>
    <t>Appala Manoj</t>
  </si>
  <si>
    <t>Sr. Eng - Zone 10</t>
  </si>
  <si>
    <t>Soumen Mandal</t>
  </si>
  <si>
    <t>Surveyor - Zone 10</t>
  </si>
  <si>
    <t>Boyapati Vinay</t>
  </si>
  <si>
    <t>Vipin Kumar</t>
  </si>
  <si>
    <t>Survajeet Kumar gupta</t>
  </si>
  <si>
    <t>Mohan babu</t>
  </si>
  <si>
    <t>Sushil Kushwaha</t>
  </si>
  <si>
    <t>Jagannath Sethi</t>
  </si>
  <si>
    <t>Devarakonda Bhushanam</t>
  </si>
  <si>
    <t>Addala Surya Narayana Lakshmi Prathap Varma</t>
  </si>
  <si>
    <t>Thota Pawan Kumar</t>
  </si>
  <si>
    <t>Vakkalagadda Sai Krishna</t>
  </si>
  <si>
    <t>Sarigala Prasad</t>
  </si>
  <si>
    <t>Priyanshu Dwivedi</t>
  </si>
  <si>
    <t>Surakala Mohan Rao</t>
  </si>
  <si>
    <t>Nalluri Manoj</t>
  </si>
  <si>
    <t>Miriyapalli Santosh Kumar</t>
  </si>
  <si>
    <t>Koram Ravi Kumar</t>
  </si>
  <si>
    <t>Danala Srinivasa Rao</t>
  </si>
  <si>
    <t>Cheerla Naga Gopi</t>
  </si>
  <si>
    <t>Deputy Project Manager-Zone 4/SB</t>
  </si>
  <si>
    <t>Naga Murall Krishna Sree Adibhatla</t>
  </si>
  <si>
    <t>Senior EngineerHighways</t>
  </si>
  <si>
    <t>Jalagam Lingamurthy</t>
  </si>
  <si>
    <t>Senior Executive Social &amp; Labour</t>
  </si>
  <si>
    <t>Gudelli Devendra</t>
  </si>
  <si>
    <t>Graduate Engineer Trainee QA/QC</t>
  </si>
  <si>
    <t>Mr. Chandra Babu</t>
  </si>
  <si>
    <t>Dopa Chandrasekhar</t>
  </si>
  <si>
    <t>Senior AssistantStores</t>
  </si>
  <si>
    <t>Singampalli Nookarajau</t>
  </si>
  <si>
    <t>Bandaru Dinesh Chowdary</t>
  </si>
  <si>
    <t>Nilesh Majumdar</t>
  </si>
  <si>
    <t>Alle Parameswara Reddy</t>
  </si>
  <si>
    <t>Bhukya Balaji Naik</t>
  </si>
  <si>
    <t>Kailash Kumar Verma</t>
  </si>
  <si>
    <t>Sugan Kumar</t>
  </si>
  <si>
    <t>Somnath Mondal</t>
  </si>
  <si>
    <t>Srimanta Pal</t>
  </si>
  <si>
    <t>Shubham Kumar Pal</t>
  </si>
  <si>
    <t>Rahul Adhikary</t>
  </si>
  <si>
    <t>Mohanlal Barman</t>
  </si>
  <si>
    <t>Animesh Choudhary</t>
  </si>
  <si>
    <t>Voona Pavan</t>
  </si>
  <si>
    <t>Bitu Kumar</t>
  </si>
  <si>
    <t>Lakshmu Naidu Dakara</t>
  </si>
  <si>
    <t>Kottipalli Srinu</t>
  </si>
  <si>
    <t>Kalapala Maruthi</t>
  </si>
  <si>
    <t>AADITYA MAHICHA</t>
  </si>
  <si>
    <t>ROHIT KUMAR GAUTAM</t>
  </si>
  <si>
    <t>ARVIND KUSHWAHA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</si>
</sst>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9">
    <font>
      <sz val="11"/>
      <color theme="1"/>
      <name val="Aptos Narrow"/>
      <family val="2"/>
      <scheme val="minor"/>
    </font>
    <font>
      <sz val="11"/>
      <color rgb="FF000000"/>
      <name val="Calibri"/>
      <family val="2"/>
    </font>
    <font>
      <sz val="11"/>
      <color rgb="FF242424"/>
      <name val="Aptos Narrow"/>
      <charset val="1"/>
    </font>
    <font>
      <sz val="11"/>
      <color theme="1"/>
      <name val="Calibri"/>
    </font>
    <font>
      <sz val="11"/>
      <color rgb="FF000000"/>
      <name val="Calibri"/>
    </font>
    <font>
      <b/>
      <sz val="11"/>
      <color rgb="FF000000"/>
      <name val="Calibri"/>
    </font>
    <font>
      <sz val="11"/>
      <color rgb="FF000000"/>
      <name val="Aptos Narrow"/>
      <family val="2"/>
      <scheme val="minor"/>
    </font>
    <font>
      <i/>
      <sz val="11"/>
      <color rgb="FF000000"/>
      <name val="Calibri"/>
      <family val="2"/>
    </font>
    <font>
      <sz val="12"/>
      <color rgb="FF000000"/>
      <name val="Calibri"/>
    </font>
    <font>
      <i/>
      <sz val="11"/>
      <color rgb="FF000000"/>
      <name val="Calibri"/>
    </font>
    <font>
      <sz val="11"/>
      <color rgb="FF000000"/>
      <name val="Calibri"/>
      <charset val="1"/>
    </font>
    <font>
      <sz val="12"/>
      <name val="Calibri"/>
    </font>
    <font>
      <sz val="11"/>
      <name val="Calibri"/>
    </font>
    <font>
      <sz val="11"/>
      <color rgb="FF9C0006"/>
      <name val="Calibri"/>
    </font>
    <font>
      <sz val="12"/>
      <color rgb="FF010C1F"/>
      <name val="Calibri"/>
    </font>
    <font>
      <sz val="11"/>
      <color rgb="FF242424"/>
      <name val="Calibri"/>
    </font>
    <font>
      <b/>
      <sz val="11"/>
      <color theme="1"/>
      <name val="Calibri"/>
    </font>
    <font>
      <sz val="11"/>
      <color rgb="FF010C1F"/>
      <name val="Calibri"/>
    </font>
    <font>
      <sz val="11"/>
      <color rgb="FF041533"/>
      <name val="Calibri"/>
    </font>
    <font>
      <sz val="11"/>
      <name val="Calibri"/>
      <family val="2"/>
    </font>
    <font>
      <sz val="11"/>
      <color rgb="FF000000"/>
      <name val="Times New Roman"/>
      <family val="1"/>
    </font>
    <font>
      <sz val="11"/>
      <color rgb="FF000000"/>
      <name val="Calibri"/>
      <family val="2"/>
      <charset val="1"/>
    </font>
    <font>
      <sz val="11"/>
      <color rgb="FF000000"/>
      <name val="Calibri Light"/>
      <family val="2"/>
    </font>
    <font>
      <sz val="12"/>
      <color rgb="FF000000"/>
      <name val="Calibri"/>
      <family val="2"/>
    </font>
    <font>
      <sz val="11"/>
      <color rgb="FF000000"/>
      <name val="Aptos Narrow"/>
      <family val="2"/>
    </font>
    <font>
      <sz val="10.5"/>
      <color rgb="FF000000"/>
      <name val="Calibri"/>
      <family val="2"/>
    </font>
    <font>
      <sz val="11"/>
      <name val="Calibri"/>
      <charset val="1"/>
    </font>
    <font>
      <sz val="11"/>
      <color rgb="FF242424"/>
      <name val="Consolas"/>
      <charset val="1"/>
    </font>
    <font>
      <sz val="12"/>
      <color rgb="FF000000"/>
      <name val="Aptos"/>
      <charset val="1"/>
    </font>
  </fonts>
  <fills count="14">
    <fill>
      <patternFill patternType="none"/>
    </fill>
    <fill>
      <patternFill patternType="gray125"/>
    </fill>
    <fill>
      <patternFill patternType="solid">
        <fgColor rgb="FFFFFFFF"/>
        <bgColor rgb="FF000000"/>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bgColor indexed="64"/>
      </patternFill>
    </fill>
    <fill>
      <patternFill patternType="solid">
        <fgColor rgb="FFFF0000"/>
        <bgColor indexed="64"/>
      </patternFill>
    </fill>
    <fill>
      <patternFill patternType="solid">
        <fgColor rgb="FF0F9ED5"/>
        <bgColor rgb="FF000000"/>
      </patternFill>
    </fill>
    <fill>
      <patternFill patternType="solid">
        <fgColor rgb="FFFFC000"/>
        <bgColor indexed="64"/>
      </patternFill>
    </fill>
    <fill>
      <patternFill patternType="solid">
        <fgColor rgb="FF00B0F0"/>
        <bgColor indexed="64"/>
      </patternFill>
    </fill>
    <fill>
      <patternFill patternType="solid">
        <fgColor theme="4" tint="0.79998168889431442"/>
        <bgColor theme="4" tint="0.79998168889431442"/>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137">
    <xf numFmtId="0" fontId="0" fillId="0" borderId="0" xfId="0"/>
    <xf numFmtId="0" fontId="0" fillId="0" borderId="1" xfId="0" applyBorder="1"/>
    <xf numFmtId="0" fontId="3" fillId="0" borderId="1" xfId="0" applyFont="1" applyBorder="1"/>
    <xf numFmtId="0" fontId="4" fillId="0" borderId="1" xfId="0" applyFont="1" applyBorder="1"/>
    <xf numFmtId="0" fontId="4" fillId="2" borderId="1" xfId="0" applyFont="1" applyFill="1" applyBorder="1"/>
    <xf numFmtId="164" fontId="4" fillId="0" borderId="1" xfId="0" applyNumberFormat="1" applyFont="1" applyBorder="1"/>
    <xf numFmtId="0" fontId="1" fillId="0" borderId="1" xfId="0" applyFont="1" applyBorder="1"/>
    <xf numFmtId="0" fontId="1" fillId="2" borderId="1" xfId="0" applyFont="1" applyFill="1" applyBorder="1"/>
    <xf numFmtId="0" fontId="4" fillId="3" borderId="1" xfId="0" applyFont="1" applyFill="1" applyBorder="1" applyAlignment="1">
      <alignment wrapText="1"/>
    </xf>
    <xf numFmtId="0" fontId="4" fillId="4" borderId="1" xfId="0" applyFont="1" applyFill="1" applyBorder="1" applyAlignment="1">
      <alignment wrapText="1"/>
    </xf>
    <xf numFmtId="0" fontId="4" fillId="5" borderId="1" xfId="0" applyFont="1" applyFill="1" applyBorder="1" applyAlignment="1">
      <alignment wrapText="1"/>
    </xf>
    <xf numFmtId="0" fontId="6" fillId="5" borderId="1" xfId="0" applyFont="1" applyFill="1" applyBorder="1" applyAlignment="1">
      <alignment wrapText="1"/>
    </xf>
    <xf numFmtId="0" fontId="4" fillId="6" borderId="1" xfId="0" applyFont="1" applyFill="1" applyBorder="1" applyAlignment="1">
      <alignment wrapText="1"/>
    </xf>
    <xf numFmtId="0" fontId="6" fillId="6" borderId="1" xfId="0" applyFont="1" applyFill="1" applyBorder="1" applyAlignment="1">
      <alignment wrapText="1"/>
    </xf>
    <xf numFmtId="0" fontId="6" fillId="0" borderId="1" xfId="0" applyFont="1" applyBorder="1" applyAlignment="1">
      <alignment wrapText="1"/>
    </xf>
    <xf numFmtId="0" fontId="6" fillId="0" borderId="0" xfId="0" applyFont="1" applyAlignment="1">
      <alignment wrapText="1"/>
    </xf>
    <xf numFmtId="15" fontId="4" fillId="0" borderId="1" xfId="0" applyNumberFormat="1" applyFont="1" applyBorder="1"/>
    <xf numFmtId="0" fontId="6" fillId="0" borderId="1" xfId="0" applyFont="1" applyBorder="1"/>
    <xf numFmtId="1" fontId="4" fillId="0" borderId="1" xfId="0" applyNumberFormat="1" applyFont="1" applyBorder="1"/>
    <xf numFmtId="0" fontId="6" fillId="0" borderId="0" xfId="0" applyFont="1"/>
    <xf numFmtId="0" fontId="4" fillId="3" borderId="1" xfId="0" applyFont="1" applyFill="1" applyBorder="1"/>
    <xf numFmtId="0" fontId="7" fillId="0" borderId="1" xfId="0" applyFont="1" applyBorder="1"/>
    <xf numFmtId="0" fontId="2" fillId="0" borderId="1" xfId="0" applyFont="1" applyBorder="1"/>
    <xf numFmtId="0" fontId="9" fillId="0" borderId="1" xfId="0" applyFont="1" applyBorder="1"/>
    <xf numFmtId="0" fontId="9" fillId="0" borderId="1" xfId="0" applyFont="1" applyBorder="1" applyAlignment="1">
      <alignment wrapText="1"/>
    </xf>
    <xf numFmtId="0" fontId="10" fillId="0" borderId="1" xfId="0" applyFont="1" applyBorder="1"/>
    <xf numFmtId="0" fontId="4" fillId="0" borderId="1" xfId="0" applyFont="1" applyBorder="1" applyAlignment="1">
      <alignment horizontal="left" vertical="center"/>
    </xf>
    <xf numFmtId="0" fontId="4" fillId="0" borderId="1" xfId="0" applyFont="1" applyBorder="1" applyAlignment="1">
      <alignment wrapText="1"/>
    </xf>
    <xf numFmtId="0" fontId="8" fillId="0" borderId="1" xfId="0" applyFont="1" applyBorder="1"/>
    <xf numFmtId="0" fontId="8" fillId="0" borderId="1" xfId="0" applyFont="1" applyBorder="1" applyAlignment="1">
      <alignment wrapText="1"/>
    </xf>
    <xf numFmtId="0" fontId="4" fillId="2" borderId="1" xfId="0" applyFont="1" applyFill="1" applyBorder="1" applyAlignment="1">
      <alignment wrapText="1"/>
    </xf>
    <xf numFmtId="15" fontId="0" fillId="0" borderId="1" xfId="0" applyNumberFormat="1" applyBorder="1"/>
    <xf numFmtId="0" fontId="3" fillId="0" borderId="1" xfId="0" applyFont="1" applyBorder="1" applyAlignment="1">
      <alignment wrapText="1"/>
    </xf>
    <xf numFmtId="0" fontId="12" fillId="2" borderId="1" xfId="0" applyFont="1" applyFill="1" applyBorder="1"/>
    <xf numFmtId="15" fontId="6" fillId="0" borderId="1" xfId="0" applyNumberFormat="1" applyFont="1" applyBorder="1"/>
    <xf numFmtId="0" fontId="13" fillId="0" borderId="1" xfId="0" applyFont="1" applyBorder="1"/>
    <xf numFmtId="0" fontId="12" fillId="0" borderId="1" xfId="0" applyFont="1" applyBorder="1"/>
    <xf numFmtId="1" fontId="3" fillId="0" borderId="1" xfId="0" applyNumberFormat="1" applyFont="1" applyBorder="1"/>
    <xf numFmtId="0" fontId="15" fillId="0" borderId="1" xfId="0" applyFont="1" applyBorder="1"/>
    <xf numFmtId="0" fontId="4" fillId="0" borderId="1" xfId="0" applyFont="1" applyBorder="1" applyAlignment="1">
      <alignment horizontal="right" wrapText="1"/>
    </xf>
    <xf numFmtId="0" fontId="4" fillId="0" borderId="1" xfId="0" applyFont="1" applyBorder="1" applyAlignment="1">
      <alignment horizontal="right"/>
    </xf>
    <xf numFmtId="0" fontId="4" fillId="0" borderId="1" xfId="0" applyFont="1" applyBorder="1" applyAlignment="1">
      <alignment horizontal="left"/>
    </xf>
    <xf numFmtId="0" fontId="3" fillId="0" borderId="1" xfId="0" applyFont="1" applyBorder="1" applyAlignment="1">
      <alignment horizontal="left"/>
    </xf>
    <xf numFmtId="0" fontId="16" fillId="0" borderId="1" xfId="0" applyFont="1" applyBorder="1"/>
    <xf numFmtId="0" fontId="18" fillId="0" borderId="1" xfId="0" applyFont="1" applyBorder="1" applyAlignment="1">
      <alignment wrapText="1"/>
    </xf>
    <xf numFmtId="0" fontId="4" fillId="2" borderId="1" xfId="0" applyFont="1" applyFill="1" applyBorder="1" applyAlignment="1">
      <alignment readingOrder="1"/>
    </xf>
    <xf numFmtId="0" fontId="19" fillId="0" borderId="1" xfId="0" applyFont="1" applyBorder="1"/>
    <xf numFmtId="0" fontId="4" fillId="0" borderId="4" xfId="0" applyFont="1" applyBorder="1"/>
    <xf numFmtId="0" fontId="20" fillId="0" borderId="1" xfId="0" applyFont="1" applyBorder="1"/>
    <xf numFmtId="0" fontId="21" fillId="0" borderId="1" xfId="0" applyFont="1" applyBorder="1"/>
    <xf numFmtId="0" fontId="4" fillId="0" borderId="1" xfId="0" applyFont="1" applyBorder="1" applyAlignment="1">
      <alignment readingOrder="1"/>
    </xf>
    <xf numFmtId="0" fontId="1" fillId="0" borderId="1" xfId="0" applyFont="1" applyBorder="1" applyAlignment="1">
      <alignment readingOrder="1"/>
    </xf>
    <xf numFmtId="0" fontId="27" fillId="0" borderId="0" xfId="0" applyFont="1"/>
    <xf numFmtId="0" fontId="27" fillId="0" borderId="0" xfId="0" applyFont="1" applyAlignment="1">
      <alignment wrapText="1"/>
    </xf>
    <xf numFmtId="0" fontId="24" fillId="2" borderId="1" xfId="0" applyFont="1" applyFill="1" applyBorder="1"/>
    <xf numFmtId="0" fontId="22" fillId="0" borderId="1" xfId="0" applyFont="1" applyBorder="1"/>
    <xf numFmtId="0" fontId="24" fillId="0" borderId="1" xfId="0" applyFont="1" applyBorder="1" applyAlignment="1">
      <alignment wrapText="1"/>
    </xf>
    <xf numFmtId="0" fontId="24" fillId="0" borderId="1" xfId="0" applyFont="1" applyBorder="1"/>
    <xf numFmtId="0" fontId="1" fillId="2" borderId="1" xfId="0" applyFont="1" applyFill="1" applyBorder="1" applyAlignment="1">
      <alignment wrapText="1"/>
    </xf>
    <xf numFmtId="0" fontId="0" fillId="0" borderId="1" xfId="0" applyBorder="1" applyAlignment="1">
      <alignment wrapText="1"/>
    </xf>
    <xf numFmtId="0" fontId="25" fillId="2" borderId="1" xfId="0" applyFont="1" applyFill="1" applyBorder="1" applyAlignment="1">
      <alignment wrapText="1"/>
    </xf>
    <xf numFmtId="0" fontId="26" fillId="7" borderId="1" xfId="0" applyFont="1" applyFill="1" applyBorder="1" applyAlignment="1">
      <alignment wrapText="1"/>
    </xf>
    <xf numFmtId="0" fontId="24" fillId="2" borderId="1" xfId="0" applyFont="1" applyFill="1" applyBorder="1" applyAlignment="1">
      <alignment wrapText="1"/>
    </xf>
    <xf numFmtId="2" fontId="4" fillId="0" borderId="1" xfId="0" applyNumberFormat="1" applyFont="1" applyBorder="1"/>
    <xf numFmtId="0" fontId="21" fillId="7" borderId="1" xfId="0" applyFont="1" applyFill="1" applyBorder="1" applyAlignment="1">
      <alignment wrapText="1"/>
    </xf>
    <xf numFmtId="0" fontId="0" fillId="0" borderId="1" xfId="0" applyBorder="1" applyAlignment="1">
      <alignment horizontal="left"/>
    </xf>
    <xf numFmtId="0" fontId="10" fillId="0" borderId="1" xfId="0" applyFont="1" applyBorder="1" applyAlignment="1">
      <alignment horizontal="right"/>
    </xf>
    <xf numFmtId="0" fontId="4" fillId="2" borderId="1" xfId="0" applyFont="1" applyFill="1" applyBorder="1" applyAlignment="1">
      <alignment horizontal="left"/>
    </xf>
    <xf numFmtId="0" fontId="4" fillId="0" borderId="1" xfId="0" applyFont="1" applyBorder="1" applyAlignment="1">
      <alignment horizontal="left" wrapText="1"/>
    </xf>
    <xf numFmtId="0" fontId="8" fillId="0" borderId="1" xfId="0" applyFont="1" applyBorder="1" applyAlignment="1">
      <alignment horizontal="left" wrapText="1"/>
    </xf>
    <xf numFmtId="0" fontId="8" fillId="0" borderId="1" xfId="0" applyFont="1" applyBorder="1" applyAlignment="1">
      <alignment horizontal="left"/>
    </xf>
    <xf numFmtId="0" fontId="8" fillId="2" borderId="1" xfId="0" applyFont="1" applyFill="1" applyBorder="1" applyAlignment="1">
      <alignment horizontal="left"/>
    </xf>
    <xf numFmtId="0" fontId="12" fillId="2" borderId="1" xfId="0" applyFont="1" applyFill="1" applyBorder="1" applyAlignment="1">
      <alignment horizontal="left"/>
    </xf>
    <xf numFmtId="0" fontId="4" fillId="2" borderId="1" xfId="0" applyFont="1" applyFill="1" applyBorder="1" applyAlignment="1">
      <alignment horizontal="left" wrapText="1"/>
    </xf>
    <xf numFmtId="0" fontId="3" fillId="0" borderId="1" xfId="0" applyFont="1" applyBorder="1" applyAlignment="1">
      <alignment horizontal="left" wrapText="1"/>
    </xf>
    <xf numFmtId="0" fontId="11" fillId="2" borderId="1" xfId="0" applyFont="1" applyFill="1" applyBorder="1" applyAlignment="1">
      <alignment horizontal="left"/>
    </xf>
    <xf numFmtId="0" fontId="12" fillId="0" borderId="1" xfId="0" applyFont="1" applyBorder="1" applyAlignment="1">
      <alignment horizontal="left" wrapText="1"/>
    </xf>
    <xf numFmtId="0" fontId="12" fillId="0" borderId="1" xfId="0" applyFont="1" applyBorder="1" applyAlignment="1">
      <alignment horizontal="left"/>
    </xf>
    <xf numFmtId="0" fontId="8" fillId="2" borderId="1" xfId="0" applyFont="1" applyFill="1" applyBorder="1" applyAlignment="1">
      <alignment horizontal="left" readingOrder="1"/>
    </xf>
    <xf numFmtId="0" fontId="4" fillId="2" borderId="1" xfId="0" applyFont="1" applyFill="1" applyBorder="1" applyAlignment="1">
      <alignment horizontal="left" readingOrder="1"/>
    </xf>
    <xf numFmtId="0" fontId="1" fillId="2" borderId="1" xfId="0" applyFont="1" applyFill="1" applyBorder="1" applyAlignment="1">
      <alignment horizontal="left"/>
    </xf>
    <xf numFmtId="0" fontId="19" fillId="2" borderId="1" xfId="0" applyFont="1" applyFill="1" applyBorder="1" applyAlignment="1">
      <alignment horizontal="left"/>
    </xf>
    <xf numFmtId="0" fontId="19" fillId="0" borderId="1" xfId="0" applyFont="1" applyBorder="1" applyAlignment="1">
      <alignment horizontal="left"/>
    </xf>
    <xf numFmtId="0" fontId="21" fillId="0" borderId="1" xfId="0" applyFont="1" applyBorder="1" applyAlignment="1">
      <alignment horizontal="left"/>
    </xf>
    <xf numFmtId="0" fontId="22" fillId="2" borderId="1" xfId="0" applyFont="1" applyFill="1" applyBorder="1" applyAlignment="1">
      <alignment horizontal="left"/>
    </xf>
    <xf numFmtId="0" fontId="23" fillId="2" borderId="1" xfId="0" applyFont="1" applyFill="1" applyBorder="1" applyAlignment="1">
      <alignment horizontal="left"/>
    </xf>
    <xf numFmtId="0" fontId="24" fillId="0" borderId="1" xfId="0" applyFont="1" applyBorder="1" applyAlignment="1">
      <alignment horizontal="left" wrapText="1"/>
    </xf>
    <xf numFmtId="0" fontId="24" fillId="0" borderId="1" xfId="0" applyFont="1" applyBorder="1" applyAlignment="1">
      <alignment horizontal="left"/>
    </xf>
    <xf numFmtId="0" fontId="23" fillId="2" borderId="1" xfId="0" applyFont="1" applyFill="1" applyBorder="1" applyAlignment="1">
      <alignment horizontal="left" readingOrder="1"/>
    </xf>
    <xf numFmtId="0" fontId="24" fillId="2" borderId="1" xfId="0" applyFont="1" applyFill="1" applyBorder="1" applyAlignment="1">
      <alignment horizontal="left"/>
    </xf>
    <xf numFmtId="0" fontId="10" fillId="0" borderId="1" xfId="0" applyFont="1" applyBorder="1" applyAlignment="1">
      <alignment horizontal="left"/>
    </xf>
    <xf numFmtId="0" fontId="5" fillId="10" borderId="1" xfId="0" applyFont="1" applyFill="1" applyBorder="1" applyAlignment="1">
      <alignment wrapText="1"/>
    </xf>
    <xf numFmtId="0" fontId="7" fillId="2" borderId="1" xfId="0" applyFont="1" applyFill="1" applyBorder="1"/>
    <xf numFmtId="0" fontId="23" fillId="2" borderId="1" xfId="0" applyFont="1" applyFill="1" applyBorder="1"/>
    <xf numFmtId="49" fontId="0" fillId="0" borderId="1" xfId="0" applyNumberFormat="1" applyBorder="1"/>
    <xf numFmtId="0" fontId="19" fillId="2" borderId="1" xfId="0" applyFont="1" applyFill="1" applyBorder="1"/>
    <xf numFmtId="0" fontId="28" fillId="0" borderId="1" xfId="0" applyFont="1" applyBorder="1"/>
    <xf numFmtId="0" fontId="4" fillId="8" borderId="1" xfId="0" applyFont="1" applyFill="1" applyBorder="1" applyAlignment="1">
      <alignment horizontal="left"/>
    </xf>
    <xf numFmtId="0" fontId="4" fillId="3" borderId="1" xfId="0" applyFont="1" applyFill="1" applyBorder="1" applyAlignment="1">
      <alignment horizontal="left"/>
    </xf>
    <xf numFmtId="0" fontId="4" fillId="11" borderId="1" xfId="0" applyFont="1" applyFill="1" applyBorder="1" applyAlignment="1">
      <alignment horizontal="left"/>
    </xf>
    <xf numFmtId="0" fontId="4" fillId="12" borderId="1" xfId="0" applyFont="1" applyFill="1" applyBorder="1" applyAlignment="1">
      <alignment horizontal="left"/>
    </xf>
    <xf numFmtId="0" fontId="4" fillId="8" borderId="1" xfId="0" applyFont="1" applyFill="1" applyBorder="1" applyAlignment="1">
      <alignment horizontal="left" wrapText="1"/>
    </xf>
    <xf numFmtId="0" fontId="11" fillId="0" borderId="1" xfId="0" applyFont="1" applyBorder="1" applyAlignment="1">
      <alignment horizontal="left"/>
    </xf>
    <xf numFmtId="0" fontId="12" fillId="12" borderId="1" xfId="0" applyFont="1" applyFill="1" applyBorder="1" applyAlignment="1">
      <alignment horizontal="left"/>
    </xf>
    <xf numFmtId="0" fontId="12" fillId="11" borderId="1" xfId="0" applyFont="1" applyFill="1" applyBorder="1" applyAlignment="1">
      <alignment horizontal="left"/>
    </xf>
    <xf numFmtId="0" fontId="12" fillId="3" borderId="1" xfId="0" applyFont="1" applyFill="1" applyBorder="1" applyAlignment="1">
      <alignment horizontal="left"/>
    </xf>
    <xf numFmtId="0" fontId="14" fillId="0" borderId="1" xfId="0" applyFont="1" applyBorder="1" applyAlignment="1">
      <alignment horizontal="left"/>
    </xf>
    <xf numFmtId="0" fontId="14" fillId="0" borderId="1" xfId="0" applyFont="1" applyBorder="1" applyAlignment="1">
      <alignment horizontal="left" wrapText="1"/>
    </xf>
    <xf numFmtId="0" fontId="3" fillId="11" borderId="1" xfId="0" applyFont="1" applyFill="1" applyBorder="1" applyAlignment="1">
      <alignment horizontal="left"/>
    </xf>
    <xf numFmtId="0" fontId="3" fillId="3" borderId="1" xfId="0" applyFont="1" applyFill="1" applyBorder="1" applyAlignment="1">
      <alignment horizontal="left"/>
    </xf>
    <xf numFmtId="0" fontId="8" fillId="0" borderId="1" xfId="0" applyFont="1" applyBorder="1" applyAlignment="1">
      <alignment horizontal="left" readingOrder="1"/>
    </xf>
    <xf numFmtId="0" fontId="17" fillId="0" borderId="1" xfId="0" applyFont="1" applyBorder="1" applyAlignment="1">
      <alignment horizontal="left" wrapText="1"/>
    </xf>
    <xf numFmtId="0" fontId="4" fillId="0" borderId="1" xfId="0" applyFont="1" applyBorder="1" applyAlignment="1">
      <alignment horizontal="left" readingOrder="1"/>
    </xf>
    <xf numFmtId="0" fontId="1" fillId="0" borderId="1" xfId="0" applyFont="1" applyBorder="1" applyAlignment="1">
      <alignment horizontal="left" readingOrder="1"/>
    </xf>
    <xf numFmtId="0" fontId="0" fillId="11" borderId="1" xfId="0" applyFill="1" applyBorder="1" applyAlignment="1">
      <alignment horizontal="left"/>
    </xf>
    <xf numFmtId="0" fontId="0" fillId="3" borderId="1" xfId="0" applyFill="1" applyBorder="1" applyAlignment="1">
      <alignment horizontal="left"/>
    </xf>
    <xf numFmtId="0" fontId="0" fillId="8" borderId="1" xfId="0" applyFill="1" applyBorder="1" applyAlignment="1">
      <alignment horizontal="left"/>
    </xf>
    <xf numFmtId="0" fontId="0" fillId="9" borderId="1" xfId="0" applyFill="1" applyBorder="1" applyAlignment="1">
      <alignment horizontal="left"/>
    </xf>
    <xf numFmtId="0" fontId="1" fillId="0" borderId="1" xfId="0" applyFont="1" applyBorder="1" applyAlignment="1">
      <alignment horizontal="left"/>
    </xf>
    <xf numFmtId="0" fontId="22" fillId="0" borderId="1" xfId="0" applyFont="1" applyBorder="1" applyAlignment="1">
      <alignment horizontal="left"/>
    </xf>
    <xf numFmtId="0" fontId="6" fillId="0" borderId="1" xfId="0" applyFont="1" applyBorder="1" applyAlignment="1">
      <alignment horizontal="left"/>
    </xf>
    <xf numFmtId="0" fontId="1" fillId="11" borderId="1" xfId="0" applyFont="1" applyFill="1" applyBorder="1" applyAlignment="1">
      <alignment horizontal="left"/>
    </xf>
    <xf numFmtId="0" fontId="26" fillId="0" borderId="1" xfId="0" applyFont="1" applyBorder="1" applyAlignment="1">
      <alignment horizontal="left" wrapText="1"/>
    </xf>
    <xf numFmtId="0" fontId="1" fillId="9" borderId="1" xfId="0" applyFont="1" applyFill="1" applyBorder="1" applyAlignment="1">
      <alignment horizontal="left"/>
    </xf>
    <xf numFmtId="0" fontId="1" fillId="3" borderId="1" xfId="0" applyFont="1" applyFill="1" applyBorder="1" applyAlignment="1">
      <alignment horizontal="left"/>
    </xf>
    <xf numFmtId="0" fontId="21" fillId="7" borderId="1" xfId="0" applyFont="1" applyFill="1" applyBorder="1" applyAlignment="1">
      <alignment horizontal="left" wrapText="1"/>
    </xf>
    <xf numFmtId="0" fontId="10" fillId="7" borderId="1" xfId="0" applyFont="1" applyFill="1" applyBorder="1" applyAlignment="1">
      <alignment horizontal="left" wrapText="1"/>
    </xf>
    <xf numFmtId="0" fontId="1" fillId="2" borderId="1" xfId="0" applyFont="1" applyFill="1" applyBorder="1" applyAlignment="1">
      <alignment readingOrder="1"/>
    </xf>
    <xf numFmtId="0" fontId="0" fillId="13" borderId="1" xfId="0" applyFill="1" applyBorder="1"/>
    <xf numFmtId="0" fontId="0" fillId="0" borderId="3" xfId="0" applyBorder="1" applyAlignment="1">
      <alignment horizontal="left"/>
    </xf>
    <xf numFmtId="0" fontId="0" fillId="0" borderId="4" xfId="0" applyBorder="1"/>
    <xf numFmtId="0" fontId="0" fillId="0" borderId="2" xfId="0" applyBorder="1"/>
    <xf numFmtId="0" fontId="0" fillId="0" borderId="6" xfId="0" applyBorder="1" applyAlignment="1">
      <alignment horizontal="left"/>
    </xf>
    <xf numFmtId="0" fontId="4" fillId="0" borderId="3" xfId="0" applyFont="1" applyBorder="1"/>
    <xf numFmtId="0" fontId="0" fillId="0" borderId="2" xfId="0" applyBorder="1" applyAlignment="1">
      <alignment horizontal="left"/>
    </xf>
    <xf numFmtId="0" fontId="2" fillId="0" borderId="0" xfId="0" applyFont="1"/>
    <xf numFmtId="0" fontId="8" fillId="2" borderId="5" xfId="0" applyFont="1" applyFill="1" applyBorder="1" applyAlignment="1">
      <alignment readingOrder="1"/>
    </xf>
  </cellXfs>
  <cellStyles count="1">
    <cellStyle name="Normal" xfId="0" builtinId="0"/>
  </cellStyles>
  <dxfs count="11">
    <dxf>
      <fill>
        <patternFill patternType="solid">
          <fgColor rgb="FFFFEB9C"/>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Medium9"/>
  <colors>
    <mruColors>
      <color rgb="FF000000"/>
      <color rgb="FF2414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unior Engineer Senior Engineer Engineer Senior Engineer" id="{0350B393-8C57-411D-BA19-CEB53DB854B6}"/>
  <namedSheetView name="View1" id="{46B5BBA5-552B-4E1E-8C7B-3926B2CFF62F}"/>
  <namedSheetView name="View2" id="{E2AD4CD2-4925-474F-88B6-DB523C15D17A}"/>
  <namedSheetView name="View3" id="{DC4573FB-7D2E-4E23-B5DB-4897DC514025}"/>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hyperlink" Target="mailto:vamsikrishnareddy3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C5AE-76C1-4002-9DA3-C741E09F3E16}">
  <dimension ref="A1:AM118"/>
  <sheetViews>
    <sheetView workbookViewId="0">
      <selection activeCell="C10" sqref="C10"/>
    </sheetView>
  </sheetViews>
  <sheetFormatPr defaultRowHeight="14.4"/>
  <cols>
    <col min="1" max="1" width="7.109375" bestFit="1" customWidth="1"/>
    <col min="2" max="2" width="9.33203125" bestFit="1" customWidth="1"/>
    <col min="3" max="3" width="16.33203125" bestFit="1" customWidth="1"/>
    <col min="4" max="4" width="13.6640625" bestFit="1" customWidth="1"/>
    <col min="5" max="5" width="12" bestFit="1" customWidth="1"/>
    <col min="6" max="6" width="33.6640625" bestFit="1" customWidth="1"/>
    <col min="7" max="8" width="11.44140625" bestFit="1" customWidth="1"/>
    <col min="9" max="9" width="48.33203125" bestFit="1" customWidth="1"/>
    <col min="10" max="10" width="18.33203125" bestFit="1" customWidth="1"/>
    <col min="11" max="11" width="8.44140625" bestFit="1" customWidth="1"/>
    <col min="12" max="12" width="8.5546875" bestFit="1" customWidth="1"/>
    <col min="13" max="13" width="13" bestFit="1" customWidth="1"/>
    <col min="14" max="17" width="11.44140625" bestFit="1" customWidth="1"/>
    <col min="18" max="18" width="8.6640625" bestFit="1" customWidth="1"/>
    <col min="19" max="21" width="11.44140625" bestFit="1" customWidth="1"/>
    <col min="22" max="22" width="7.88671875" bestFit="1" customWidth="1"/>
    <col min="23" max="39" width="11.44140625" bestFit="1" customWidth="1"/>
  </cols>
  <sheetData>
    <row r="1" spans="1:39" ht="57.6">
      <c r="A1" s="8" t="s">
        <v>0</v>
      </c>
      <c r="B1" s="8" t="s">
        <v>1</v>
      </c>
      <c r="C1" s="20" t="s">
        <v>2</v>
      </c>
      <c r="D1" s="20" t="s">
        <v>3</v>
      </c>
      <c r="E1" s="8" t="s">
        <v>4</v>
      </c>
      <c r="F1" s="8" t="s">
        <v>5</v>
      </c>
      <c r="G1" s="8" t="s">
        <v>6</v>
      </c>
      <c r="H1" s="8" t="s">
        <v>7</v>
      </c>
      <c r="I1" s="8" t="s">
        <v>8</v>
      </c>
      <c r="J1" s="8" t="s">
        <v>9</v>
      </c>
      <c r="K1" s="8" t="s">
        <v>10</v>
      </c>
      <c r="L1" s="8"/>
      <c r="M1" s="8" t="s">
        <v>11</v>
      </c>
      <c r="N1" s="9" t="s">
        <v>12</v>
      </c>
      <c r="O1" s="9" t="s">
        <v>13</v>
      </c>
      <c r="P1" s="9" t="s">
        <v>14</v>
      </c>
      <c r="Q1" s="9" t="s">
        <v>15</v>
      </c>
      <c r="R1" s="9" t="s">
        <v>16</v>
      </c>
      <c r="S1" s="9" t="s">
        <v>17</v>
      </c>
      <c r="T1" s="9" t="s">
        <v>18</v>
      </c>
      <c r="U1" s="9" t="s">
        <v>19</v>
      </c>
      <c r="V1" s="9" t="s">
        <v>20</v>
      </c>
      <c r="W1" s="10" t="s">
        <v>21</v>
      </c>
      <c r="X1" s="10" t="s">
        <v>22</v>
      </c>
      <c r="Y1" s="11" t="s">
        <v>23</v>
      </c>
      <c r="Z1" s="12" t="s">
        <v>24</v>
      </c>
      <c r="AA1" s="12" t="s">
        <v>25</v>
      </c>
      <c r="AB1" s="13" t="s">
        <v>26</v>
      </c>
      <c r="AC1" s="13" t="s">
        <v>27</v>
      </c>
      <c r="AD1" s="13" t="s">
        <v>28</v>
      </c>
      <c r="AE1" s="13" t="s">
        <v>29</v>
      </c>
      <c r="AF1" s="13" t="s">
        <v>30</v>
      </c>
      <c r="AG1" s="13" t="s">
        <v>31</v>
      </c>
      <c r="AH1" s="13" t="s">
        <v>32</v>
      </c>
      <c r="AI1" s="15" t="s">
        <v>33</v>
      </c>
      <c r="AJ1" s="15" t="s">
        <v>34</v>
      </c>
      <c r="AK1" s="15" t="s">
        <v>35</v>
      </c>
      <c r="AL1" s="15" t="s">
        <v>36</v>
      </c>
      <c r="AM1" s="15" t="s">
        <v>37</v>
      </c>
    </row>
    <row r="2" spans="1:39">
      <c r="A2" s="3">
        <f t="shared" ref="A2:A33" si="0">ROW()-1</f>
        <v>1</v>
      </c>
      <c r="B2" s="17" t="s">
        <v>38</v>
      </c>
      <c r="C2" s="17" t="s">
        <v>39</v>
      </c>
      <c r="D2" s="17"/>
      <c r="E2" s="34">
        <v>45745</v>
      </c>
      <c r="F2" s="3" t="s">
        <v>40</v>
      </c>
      <c r="G2" s="3">
        <v>2</v>
      </c>
      <c r="H2" s="16">
        <v>45777</v>
      </c>
      <c r="I2" s="17" t="s">
        <v>41</v>
      </c>
      <c r="J2" s="3" t="s">
        <v>42</v>
      </c>
      <c r="K2" s="17" t="s">
        <v>43</v>
      </c>
      <c r="L2" s="17" t="s">
        <v>44</v>
      </c>
      <c r="M2" s="4" t="s">
        <v>45</v>
      </c>
      <c r="N2" s="47">
        <f>COUNTIFS('Profiles Tracker'!E:E,#REF!,'Profiles Tracker'!G:G,"Profile shared with Interviewer")</f>
        <v>0</v>
      </c>
      <c r="O2" s="3">
        <f>COUNTIFS('Profiles Tracker'!E:E,#REF!,'Profiles Tracker'!G:G,"Shortlisted for next round of interview")</f>
        <v>0</v>
      </c>
      <c r="P2" s="3">
        <f>COUNTIFS('Profiles Tracker'!E:E,#REF!,'Profiles Tracker'!G:G,P$1)</f>
        <v>0</v>
      </c>
      <c r="Q2" s="3">
        <f>COUNTIFS('Profiles Tracker'!E:E,#REF!,'Profiles Tracker'!G:G,Q$1)</f>
        <v>0</v>
      </c>
      <c r="R2" s="3">
        <f>COUNTIFS('Profiles Tracker'!E:E,#REF!,'Profiles Tracker'!G:G,R$1)</f>
        <v>0</v>
      </c>
      <c r="S2" s="3">
        <f>COUNTIFS('Profiles Tracker'!E:E,#REF!,'Profiles Tracker'!G:G,"Interview Done",'Profiles Tracker'!O:O,"Rejected")</f>
        <v>0</v>
      </c>
      <c r="T2" s="3">
        <f>COUNTIFS('Profiles Tracker'!E:E,#REF!,'Profiles Tracker'!G:G,T$1)</f>
        <v>0</v>
      </c>
      <c r="U2" s="3">
        <f>N2+P2+Q2+R2+S2+T2</f>
        <v>0</v>
      </c>
      <c r="V2" s="3">
        <f>IF((G2-R2-Q2)&lt;1,0,G2-R2-Q2)</f>
        <v>2</v>
      </c>
      <c r="W2" s="3">
        <f>FLOOR(G2,1)</f>
        <v>2</v>
      </c>
      <c r="X2" s="3">
        <f>FLOOR(W2,1)</f>
        <v>2</v>
      </c>
      <c r="Y2" s="3">
        <f>X2*3</f>
        <v>6</v>
      </c>
      <c r="Z2" s="3">
        <f>IF(W2-SUM(Q2:R2)&lt;1,0,W2-SUM(Q2:R2))</f>
        <v>2</v>
      </c>
      <c r="AA2" s="3">
        <f>IF(X2-SUM(P2:R2)&lt;1,0,X2-SUM(P2:R2))</f>
        <v>2</v>
      </c>
      <c r="AB2" s="3">
        <f>IF(AA2*3-N2&lt;1,0,AA2*3-N2)</f>
        <v>6</v>
      </c>
      <c r="AC2" s="16">
        <f>IF(M2="APM Below",H2-45,IF(M2="APM &amp; Above", H2-60,H2-90))</f>
        <v>45717</v>
      </c>
      <c r="AD2" s="16">
        <f>IFERROR(AC2-5,"NA")</f>
        <v>45712</v>
      </c>
      <c r="AE2" s="16">
        <f>IFERROR(AD2-7,"NA")</f>
        <v>45705</v>
      </c>
      <c r="AF2" s="18">
        <f t="shared" ref="AF2:AH6" ca="1" si="1">CEILING((AC2-TODAY())/7,1)</f>
        <v>-56</v>
      </c>
      <c r="AG2" s="18">
        <f t="shared" ca="1" si="1"/>
        <v>-57</v>
      </c>
      <c r="AH2" s="18">
        <f t="shared" ca="1" si="1"/>
        <v>-58</v>
      </c>
      <c r="AI2" s="53" t="e">
        <f>COUNTIFS('Profiles Tracker'!E:E,#REF!,'Profiles Tracker'!G:G,Q$1,'Profiles Tracker'!#REF!,"Week 14")</f>
        <v>#REF!</v>
      </c>
      <c r="AJ2" s="52" t="e">
        <f>COUNTIFS('Profiles Tracker'!E:E,#REF!,'Profiles Tracker'!G:G,Q$1,'Profiles Tracker'!#REF!,"Week 15")</f>
        <v>#REF!</v>
      </c>
      <c r="AK2" s="52" t="e">
        <f>COUNTIFS('Profiles Tracker'!E:E,#REF!,'Profiles Tracker'!G:G,Q$1,'Profiles Tracker'!#REF!,"Week 16")</f>
        <v>#REF!</v>
      </c>
      <c r="AL2" s="52" t="e">
        <f>COUNTIFS('Profiles Tracker'!E:E,#REF!,'Profiles Tracker'!G:G,Q$1,'Profiles Tracker'!#REF!,"Week 17")</f>
        <v>#REF!</v>
      </c>
      <c r="AM2" s="52" t="e">
        <f>COUNTIFS('Profiles Tracker'!E:E,#REF!,'Profiles Tracker'!G:G,Q$1,'Profiles Tracker'!#REF!,"Week 18")</f>
        <v>#REF!</v>
      </c>
    </row>
    <row r="3" spans="1:39">
      <c r="A3" s="3">
        <f t="shared" si="0"/>
        <v>2</v>
      </c>
      <c r="B3" s="17" t="s">
        <v>38</v>
      </c>
      <c r="C3" s="17" t="s">
        <v>39</v>
      </c>
      <c r="D3" s="17"/>
      <c r="E3" s="5">
        <v>45668</v>
      </c>
      <c r="F3" s="3" t="s">
        <v>46</v>
      </c>
      <c r="G3" s="3">
        <v>1</v>
      </c>
      <c r="H3" s="16">
        <v>45716</v>
      </c>
      <c r="I3" s="3" t="s">
        <v>41</v>
      </c>
      <c r="J3" s="3" t="s">
        <v>42</v>
      </c>
      <c r="K3" s="17" t="s">
        <v>47</v>
      </c>
      <c r="L3" s="17" t="s">
        <v>48</v>
      </c>
      <c r="M3" s="4" t="s">
        <v>45</v>
      </c>
      <c r="N3" s="3">
        <f>COUNTIFS('Profiles Tracker'!E:E,#REF!,'Profiles Tracker'!G:G,"Profile shared with Interviewer")</f>
        <v>0</v>
      </c>
      <c r="O3" s="3">
        <f>COUNTIFS('Profiles Tracker'!E:E,#REF!,'Profiles Tracker'!G:G,"Shortlisted for next round of interview")</f>
        <v>0</v>
      </c>
      <c r="P3" s="3">
        <f>COUNTIFS('Profiles Tracker'!E:E,#REF!,'Profiles Tracker'!G:G,P$1)</f>
        <v>0</v>
      </c>
      <c r="Q3" s="3">
        <f>COUNTIFS('Profiles Tracker'!E:E,#REF!,'Profiles Tracker'!G:G,Q$1)</f>
        <v>0</v>
      </c>
      <c r="R3" s="3">
        <f>COUNTIFS('Profiles Tracker'!E:E,#REF!,'Profiles Tracker'!G:G,R$1)</f>
        <v>0</v>
      </c>
      <c r="S3" s="3">
        <f>COUNTIFS('Profiles Tracker'!E:E,#REF!,'Profiles Tracker'!G:G,"Interview Done",'Profiles Tracker'!O:O,"Rejected")</f>
        <v>0</v>
      </c>
      <c r="T3" s="3">
        <f>COUNTIFS('Profiles Tracker'!E:E,#REF!,'Profiles Tracker'!G:G,T$1)</f>
        <v>0</v>
      </c>
      <c r="U3" s="3">
        <f>N3+P3+Q3+R3+S3+T3</f>
        <v>0</v>
      </c>
      <c r="V3" s="3">
        <f>IF((G3-R3-Q3)&lt;1,0,G3-R3-Q3)</f>
        <v>1</v>
      </c>
      <c r="W3" s="3">
        <f>FLOOR(G3,1)</f>
        <v>1</v>
      </c>
      <c r="X3" s="3">
        <f>FLOOR(W3,1)</f>
        <v>1</v>
      </c>
      <c r="Y3" s="3">
        <f>X3*3</f>
        <v>3</v>
      </c>
      <c r="Z3" s="3">
        <f>IF(W3-SUM(Q3:R3)&lt;1,0,W3-SUM(Q3:R3))</f>
        <v>1</v>
      </c>
      <c r="AA3" s="3">
        <f>IF(X3-SUM(P3:R3)&lt;1,0,X3-SUM(P3:R3))</f>
        <v>1</v>
      </c>
      <c r="AB3" s="3">
        <f>IF(AA3*3-N3&lt;1,0,AA3*3-N3)</f>
        <v>3</v>
      </c>
      <c r="AC3" s="16">
        <f>IF(M3="APM Below",H3-45,IF(M3="APM &amp; Above", H3-60,H3-90))</f>
        <v>45656</v>
      </c>
      <c r="AD3" s="16">
        <f>IFERROR(AC3-5,"NA")</f>
        <v>45651</v>
      </c>
      <c r="AE3" s="16">
        <f>IFERROR(AD3-7,"NA")</f>
        <v>45644</v>
      </c>
      <c r="AF3" s="18">
        <f t="shared" ca="1" si="1"/>
        <v>-65</v>
      </c>
      <c r="AG3" s="18">
        <f t="shared" ca="1" si="1"/>
        <v>-66</v>
      </c>
      <c r="AH3" s="18">
        <f t="shared" ca="1" si="1"/>
        <v>-67</v>
      </c>
      <c r="AI3" s="53" t="e">
        <f>COUNTIFS('Profiles Tracker'!E:E,#REF!,'Profiles Tracker'!G:G,Q$1,'Profiles Tracker'!#REF!,"Week 14")</f>
        <v>#REF!</v>
      </c>
      <c r="AJ3" s="52" t="e">
        <f>COUNTIFS('Profiles Tracker'!E:E,#REF!,'Profiles Tracker'!G:G,Q$1,'Profiles Tracker'!#REF!,"Week 15")</f>
        <v>#REF!</v>
      </c>
      <c r="AK3" s="52" t="e">
        <f>COUNTIFS('Profiles Tracker'!E:E,#REF!,'Profiles Tracker'!G:G,Q$1,'Profiles Tracker'!#REF!,"Week 16")</f>
        <v>#REF!</v>
      </c>
      <c r="AL3" s="52" t="e">
        <f>COUNTIFS('Profiles Tracker'!E:E,#REF!,'Profiles Tracker'!G:G,Q$1,'Profiles Tracker'!#REF!,"Week 17")</f>
        <v>#REF!</v>
      </c>
      <c r="AM3" s="52" t="e">
        <f>COUNTIFS('Profiles Tracker'!E:E,#REF!,'Profiles Tracker'!G:G,Q$1,'Profiles Tracker'!#REF!,"Week 18")</f>
        <v>#REF!</v>
      </c>
    </row>
    <row r="4" spans="1:39">
      <c r="A4" s="3">
        <f t="shared" si="0"/>
        <v>3</v>
      </c>
      <c r="B4" s="17" t="s">
        <v>38</v>
      </c>
      <c r="C4" s="17" t="s">
        <v>49</v>
      </c>
      <c r="D4" s="17"/>
      <c r="E4" s="5">
        <v>45668</v>
      </c>
      <c r="F4" s="3" t="s">
        <v>50</v>
      </c>
      <c r="G4" s="3">
        <v>9</v>
      </c>
      <c r="H4" s="16">
        <v>45716</v>
      </c>
      <c r="I4" s="3" t="s">
        <v>41</v>
      </c>
      <c r="J4" s="3" t="s">
        <v>42</v>
      </c>
      <c r="K4" s="17" t="s">
        <v>51</v>
      </c>
      <c r="L4" s="17" t="s">
        <v>52</v>
      </c>
      <c r="M4" s="4" t="s">
        <v>45</v>
      </c>
      <c r="N4" s="3">
        <f>COUNTIFS('Profiles Tracker'!E:E,#REF!,'Profiles Tracker'!G:G,"Profile shared with Interviewer")</f>
        <v>0</v>
      </c>
      <c r="O4" s="3">
        <f>COUNTIFS('Profiles Tracker'!E:E,#REF!,'Profiles Tracker'!G:G,"Shortlisted for next round of interview")</f>
        <v>0</v>
      </c>
      <c r="P4" s="3">
        <f>COUNTIFS('Profiles Tracker'!E:E,#REF!,'Profiles Tracker'!G:G,P$1)</f>
        <v>0</v>
      </c>
      <c r="Q4" s="3">
        <f>COUNTIFS('Profiles Tracker'!E:E,#REF!,'Profiles Tracker'!G:G,Q$1)</f>
        <v>0</v>
      </c>
      <c r="R4" s="3">
        <f>COUNTIFS('Profiles Tracker'!E:E,#REF!,'Profiles Tracker'!G:G,R$1)</f>
        <v>0</v>
      </c>
      <c r="S4" s="3">
        <f>COUNTIFS('Profiles Tracker'!E:E,#REF!,'Profiles Tracker'!G:G,"Interview Done",'Profiles Tracker'!O:O,"Rejected")</f>
        <v>0</v>
      </c>
      <c r="T4" s="3">
        <f>COUNTIFS('Profiles Tracker'!E:E,#REF!,'Profiles Tracker'!G:G,T$1)</f>
        <v>0</v>
      </c>
      <c r="U4" s="3">
        <f>N4+P4+Q4+R4+S4+T4</f>
        <v>0</v>
      </c>
      <c r="V4" s="3">
        <f>IF((G4-R4-Q4)&lt;1,0,G4-R4-Q4)</f>
        <v>9</v>
      </c>
      <c r="W4" s="3">
        <f>FLOOR(G4,1)</f>
        <v>9</v>
      </c>
      <c r="X4" s="3">
        <f>FLOOR(W4,1)</f>
        <v>9</v>
      </c>
      <c r="Y4" s="3">
        <f>X4*3</f>
        <v>27</v>
      </c>
      <c r="Z4" s="3">
        <f>IF(W4-SUM(Q4:R4)&lt;1,0,W4-SUM(Q4:R4))</f>
        <v>9</v>
      </c>
      <c r="AA4" s="3">
        <f>IF(X4-SUM(P4:R4)&lt;1,0,X4-SUM(P4:R4))</f>
        <v>9</v>
      </c>
      <c r="AB4" s="3">
        <f>IF(AA4*3-N4&lt;1,0,AA4*3-N4)</f>
        <v>27</v>
      </c>
      <c r="AC4" s="16">
        <f>IF(M4="APM Below",H4-45,IF(M4="APM &amp; Above", H4-60,H4-90))</f>
        <v>45656</v>
      </c>
      <c r="AD4" s="16">
        <f>IFERROR(AC4-5,"NA")</f>
        <v>45651</v>
      </c>
      <c r="AE4" s="16">
        <f>IFERROR(AD4-7,"NA")</f>
        <v>45644</v>
      </c>
      <c r="AF4" s="18">
        <f t="shared" ca="1" si="1"/>
        <v>-65</v>
      </c>
      <c r="AG4" s="18">
        <f t="shared" ca="1" si="1"/>
        <v>-66</v>
      </c>
      <c r="AH4" s="18">
        <f t="shared" ca="1" si="1"/>
        <v>-67</v>
      </c>
      <c r="AI4" s="53" t="e">
        <f>COUNTIFS('Profiles Tracker'!E:E,#REF!,'Profiles Tracker'!G:G,Q$1,'Profiles Tracker'!#REF!,"Week 14")</f>
        <v>#REF!</v>
      </c>
      <c r="AJ4" s="52" t="e">
        <f>COUNTIFS('Profiles Tracker'!E:E,#REF!,'Profiles Tracker'!G:G,Q$1,'Profiles Tracker'!#REF!,"Week 15")</f>
        <v>#REF!</v>
      </c>
      <c r="AK4" s="52" t="e">
        <f>COUNTIFS('Profiles Tracker'!E:E,#REF!,'Profiles Tracker'!G:G,Q$1,'Profiles Tracker'!#REF!,"Week 16")</f>
        <v>#REF!</v>
      </c>
      <c r="AL4" s="52" t="e">
        <f>COUNTIFS('Profiles Tracker'!E:E,#REF!,'Profiles Tracker'!G:G,Q$1,'Profiles Tracker'!#REF!,"Week 17")</f>
        <v>#REF!</v>
      </c>
      <c r="AM4" s="52" t="e">
        <f>COUNTIFS('Profiles Tracker'!E:E,#REF!,'Profiles Tracker'!G:G,Q$1,'Profiles Tracker'!#REF!,"Week 18")</f>
        <v>#REF!</v>
      </c>
    </row>
    <row r="5" spans="1:39">
      <c r="A5" s="3">
        <f t="shared" si="0"/>
        <v>4</v>
      </c>
      <c r="B5" s="17" t="s">
        <v>38</v>
      </c>
      <c r="C5" s="17" t="s">
        <v>53</v>
      </c>
      <c r="D5" s="17"/>
      <c r="E5" s="5">
        <v>45668</v>
      </c>
      <c r="F5" s="3" t="s">
        <v>54</v>
      </c>
      <c r="G5" s="3">
        <v>11</v>
      </c>
      <c r="H5" s="16">
        <v>45716</v>
      </c>
      <c r="I5" s="3" t="s">
        <v>41</v>
      </c>
      <c r="J5" s="3" t="s">
        <v>42</v>
      </c>
      <c r="K5" s="17" t="s">
        <v>55</v>
      </c>
      <c r="L5" s="17" t="s">
        <v>56</v>
      </c>
      <c r="M5" s="4" t="s">
        <v>45</v>
      </c>
      <c r="N5" s="3">
        <f>COUNTIFS('Profiles Tracker'!E:E,#REF!,'Profiles Tracker'!G:G,"Profile shared with Interviewer")</f>
        <v>0</v>
      </c>
      <c r="O5" s="3">
        <f>COUNTIFS('Profiles Tracker'!E:E,#REF!,'Profiles Tracker'!G:G,"Shortlisted for next round of interview")</f>
        <v>0</v>
      </c>
      <c r="P5" s="3">
        <f>COUNTIFS('Profiles Tracker'!E:E,#REF!,'Profiles Tracker'!G:G,P$1)</f>
        <v>0</v>
      </c>
      <c r="Q5" s="3">
        <f>COUNTIFS('Profiles Tracker'!E:E,#REF!,'Profiles Tracker'!G:G,Q$1)</f>
        <v>0</v>
      </c>
      <c r="R5" s="3">
        <f>COUNTIFS('Profiles Tracker'!E:E,#REF!,'Profiles Tracker'!G:G,R$1)</f>
        <v>0</v>
      </c>
      <c r="S5" s="3">
        <f>COUNTIFS('Profiles Tracker'!E:E,#REF!,'Profiles Tracker'!G:G,"Interview Done",'Profiles Tracker'!O:O,"Rejected")</f>
        <v>0</v>
      </c>
      <c r="T5" s="3">
        <f>COUNTIFS('Profiles Tracker'!E:E,#REF!,'Profiles Tracker'!G:G,T$1)</f>
        <v>0</v>
      </c>
      <c r="U5" s="3">
        <f>N5+P5+Q5+R5+S5+T5</f>
        <v>0</v>
      </c>
      <c r="V5" s="3">
        <f>IF((G5-R5-Q5)&lt;1,0,G5-R5-Q5)</f>
        <v>11</v>
      </c>
      <c r="W5" s="3">
        <f>FLOOR(G5,1)</f>
        <v>11</v>
      </c>
      <c r="X5" s="3">
        <f>FLOOR(W5,1)</f>
        <v>11</v>
      </c>
      <c r="Y5" s="3">
        <f>X5*3</f>
        <v>33</v>
      </c>
      <c r="Z5" s="3">
        <f>IF(W5-SUM(Q5:R5)&lt;1,0,W5-SUM(Q5:R5))</f>
        <v>11</v>
      </c>
      <c r="AA5" s="3">
        <f>IF(X5-SUM(P5:R5)&lt;1,0,X5-SUM(P5:R5))</f>
        <v>11</v>
      </c>
      <c r="AB5" s="3">
        <f>IF(AA5*3-N5&lt;1,0,AA5*3-N5)</f>
        <v>33</v>
      </c>
      <c r="AC5" s="16">
        <f>IF(M5="APM Below",H5-45,IF(M5="APM &amp; Above", H5-60,H5-90))</f>
        <v>45656</v>
      </c>
      <c r="AD5" s="16">
        <f>IFERROR(AC5-5,"NA")</f>
        <v>45651</v>
      </c>
      <c r="AE5" s="16">
        <f>IFERROR(AD5-7,"NA")</f>
        <v>45644</v>
      </c>
      <c r="AF5" s="18">
        <f t="shared" ca="1" si="1"/>
        <v>-65</v>
      </c>
      <c r="AG5" s="18">
        <f t="shared" ca="1" si="1"/>
        <v>-66</v>
      </c>
      <c r="AH5" s="18">
        <f t="shared" ca="1" si="1"/>
        <v>-67</v>
      </c>
      <c r="AI5" s="53" t="e">
        <f>COUNTIFS('Profiles Tracker'!E:E,#REF!,'Profiles Tracker'!G:G,Q$1,'Profiles Tracker'!#REF!,"Week 14")</f>
        <v>#REF!</v>
      </c>
      <c r="AJ5" s="52" t="e">
        <f>COUNTIFS('Profiles Tracker'!E:E,#REF!,'Profiles Tracker'!G:G,Q$1,'Profiles Tracker'!#REF!,"Week 15")</f>
        <v>#REF!</v>
      </c>
      <c r="AK5" s="52" t="e">
        <f>COUNTIFS('Profiles Tracker'!E:E,#REF!,'Profiles Tracker'!G:G,Q$1,'Profiles Tracker'!#REF!,"Week 16")</f>
        <v>#REF!</v>
      </c>
      <c r="AL5" s="52" t="e">
        <f>COUNTIFS('Profiles Tracker'!E:E,#REF!,'Profiles Tracker'!G:G,Q$1,'Profiles Tracker'!#REF!,"Week 17")</f>
        <v>#REF!</v>
      </c>
      <c r="AM5" s="52" t="e">
        <f>COUNTIFS('Profiles Tracker'!E:E,#REF!,'Profiles Tracker'!G:G,Q$1,'Profiles Tracker'!#REF!,"Week 18")</f>
        <v>#REF!</v>
      </c>
    </row>
    <row r="6" spans="1:39">
      <c r="A6" s="3">
        <f t="shared" si="0"/>
        <v>5</v>
      </c>
      <c r="B6" s="17" t="s">
        <v>38</v>
      </c>
      <c r="C6" s="17" t="s">
        <v>49</v>
      </c>
      <c r="D6" s="17"/>
      <c r="E6" s="5">
        <v>45668</v>
      </c>
      <c r="F6" s="3" t="s">
        <v>57</v>
      </c>
      <c r="G6" s="3">
        <v>13</v>
      </c>
      <c r="H6" s="16">
        <v>45716</v>
      </c>
      <c r="I6" s="3" t="s">
        <v>41</v>
      </c>
      <c r="J6" s="3" t="s">
        <v>42</v>
      </c>
      <c r="K6" s="17" t="s">
        <v>58</v>
      </c>
      <c r="L6" s="17" t="s">
        <v>59</v>
      </c>
      <c r="M6" s="4" t="s">
        <v>45</v>
      </c>
      <c r="N6" s="3">
        <f>COUNTIFS('Profiles Tracker'!E:E,#REF!,'Profiles Tracker'!G:G,"Profile shared with Interviewer")</f>
        <v>0</v>
      </c>
      <c r="O6" s="3">
        <f>COUNTIFS('Profiles Tracker'!E:E,#REF!,'Profiles Tracker'!G:G,"Shortlisted for next round of interview")</f>
        <v>0</v>
      </c>
      <c r="P6" s="3">
        <f>COUNTIFS('Profiles Tracker'!E:E,#REF!,'Profiles Tracker'!G:G,P$1)</f>
        <v>0</v>
      </c>
      <c r="Q6" s="3">
        <f>COUNTIFS('Profiles Tracker'!E:E,#REF!,'Profiles Tracker'!G:G,Q$1)</f>
        <v>0</v>
      </c>
      <c r="R6" s="3">
        <f>COUNTIFS('Profiles Tracker'!E:E,#REF!,'Profiles Tracker'!G:G,R$1)</f>
        <v>0</v>
      </c>
      <c r="S6" s="3">
        <f>COUNTIFS('Profiles Tracker'!E:E,#REF!,'Profiles Tracker'!G:G,"Interview Done",'Profiles Tracker'!O:O,"Rejected")</f>
        <v>0</v>
      </c>
      <c r="T6" s="3">
        <f>COUNTIFS('Profiles Tracker'!E:E,#REF!,'Profiles Tracker'!G:G,T$1)</f>
        <v>0</v>
      </c>
      <c r="U6" s="3">
        <f>N6+P6+Q6+R6+S6+T6</f>
        <v>0</v>
      </c>
      <c r="V6" s="3">
        <f>IF((G6-R6-Q6)&lt;1,0,G6-R6-Q6)</f>
        <v>13</v>
      </c>
      <c r="W6" s="3">
        <f>FLOOR(G6,1)</f>
        <v>13</v>
      </c>
      <c r="X6" s="3">
        <f>FLOOR(W6,1)</f>
        <v>13</v>
      </c>
      <c r="Y6" s="3">
        <f>X6*3</f>
        <v>39</v>
      </c>
      <c r="Z6" s="3">
        <f>IF(W6-SUM(Q6:R6)&lt;1,0,W6-SUM(Q6:R6))</f>
        <v>13</v>
      </c>
      <c r="AA6" s="3">
        <f>IF(X6-SUM(P6:R6)&lt;1,0,X6-SUM(P6:R6))</f>
        <v>13</v>
      </c>
      <c r="AB6" s="3">
        <f>IF(AA6*3-N6&lt;1,0,AA6*3-N6)</f>
        <v>39</v>
      </c>
      <c r="AC6" s="16">
        <f>IF(M6="APM Below",H6-45,IF(M6="APM &amp; Above", H6-60,H6-90))</f>
        <v>45656</v>
      </c>
      <c r="AD6" s="16">
        <f>IFERROR(AC6-5,"NA")</f>
        <v>45651</v>
      </c>
      <c r="AE6" s="16">
        <f>IFERROR(AD6-7,"NA")</f>
        <v>45644</v>
      </c>
      <c r="AF6" s="18">
        <f t="shared" ca="1" si="1"/>
        <v>-65</v>
      </c>
      <c r="AG6" s="18">
        <f t="shared" ca="1" si="1"/>
        <v>-66</v>
      </c>
      <c r="AH6" s="18">
        <f t="shared" ca="1" si="1"/>
        <v>-67</v>
      </c>
      <c r="AI6" s="53" t="e">
        <f>COUNTIFS('Profiles Tracker'!E:E,#REF!,'Profiles Tracker'!G:G,Q$1,'Profiles Tracker'!#REF!,"Week 14")</f>
        <v>#REF!</v>
      </c>
      <c r="AJ6" s="52" t="e">
        <f>COUNTIFS('Profiles Tracker'!E:E,#REF!,'Profiles Tracker'!G:G,Q$1,'Profiles Tracker'!#REF!,"Week 15")</f>
        <v>#REF!</v>
      </c>
      <c r="AK6" s="52" t="e">
        <f>COUNTIFS('Profiles Tracker'!E:E,#REF!,'Profiles Tracker'!G:G,Q$1,'Profiles Tracker'!#REF!,"Week 16")</f>
        <v>#REF!</v>
      </c>
      <c r="AL6" s="52" t="e">
        <f>COUNTIFS('Profiles Tracker'!E:E,#REF!,'Profiles Tracker'!G:G,Q$1,'Profiles Tracker'!#REF!,"Week 17")</f>
        <v>#REF!</v>
      </c>
      <c r="AM6" s="52" t="e">
        <f>COUNTIFS('Profiles Tracker'!E:E,#REF!,'Profiles Tracker'!G:G,Q$1,'Profiles Tracker'!#REF!,"Week 18")</f>
        <v>#REF!</v>
      </c>
    </row>
    <row r="7" spans="1:39">
      <c r="A7" s="3">
        <f t="shared" si="0"/>
        <v>6</v>
      </c>
      <c r="B7" s="17" t="s">
        <v>38</v>
      </c>
      <c r="C7" s="17" t="s">
        <v>60</v>
      </c>
      <c r="D7" s="17"/>
      <c r="E7" s="5">
        <v>45668</v>
      </c>
      <c r="F7" s="3" t="s">
        <v>61</v>
      </c>
      <c r="G7" s="3">
        <v>1</v>
      </c>
      <c r="H7" s="16">
        <v>45716</v>
      </c>
      <c r="I7" s="3" t="s">
        <v>41</v>
      </c>
      <c r="J7" s="3" t="s">
        <v>42</v>
      </c>
      <c r="K7" s="17" t="s">
        <v>62</v>
      </c>
      <c r="L7" s="17" t="s">
        <v>63</v>
      </c>
      <c r="M7" s="4" t="s">
        <v>45</v>
      </c>
      <c r="N7" s="3"/>
      <c r="O7" s="3"/>
      <c r="P7" s="3"/>
      <c r="Q7" s="3"/>
      <c r="R7" s="3"/>
      <c r="S7" s="3"/>
      <c r="T7" s="3"/>
      <c r="U7" s="3"/>
      <c r="V7" s="3"/>
      <c r="W7" s="3"/>
      <c r="X7" s="3"/>
      <c r="Y7" s="3"/>
      <c r="Z7" s="3"/>
      <c r="AA7" s="3"/>
      <c r="AB7" s="3"/>
      <c r="AC7" s="16"/>
      <c r="AD7" s="16"/>
      <c r="AE7" s="16"/>
      <c r="AF7" s="18"/>
      <c r="AG7" s="18"/>
      <c r="AH7" s="18"/>
      <c r="AI7" s="53"/>
      <c r="AJ7" s="52"/>
      <c r="AK7" s="52"/>
      <c r="AL7" s="52"/>
      <c r="AM7" s="52"/>
    </row>
    <row r="8" spans="1:39">
      <c r="A8" s="3">
        <f t="shared" si="0"/>
        <v>7</v>
      </c>
      <c r="B8" s="17" t="s">
        <v>38</v>
      </c>
      <c r="C8" s="17" t="s">
        <v>53</v>
      </c>
      <c r="D8" s="17"/>
      <c r="E8" s="5">
        <v>45668</v>
      </c>
      <c r="F8" s="3" t="s">
        <v>64</v>
      </c>
      <c r="G8" s="3">
        <v>14</v>
      </c>
      <c r="H8" s="16">
        <v>45716</v>
      </c>
      <c r="I8" s="3" t="s">
        <v>65</v>
      </c>
      <c r="J8" s="3" t="s">
        <v>42</v>
      </c>
      <c r="K8" s="17" t="s">
        <v>66</v>
      </c>
      <c r="L8" s="17" t="s">
        <v>67</v>
      </c>
      <c r="M8" s="4" t="s">
        <v>68</v>
      </c>
      <c r="N8" s="3">
        <f>COUNTIFS('Profiles Tracker'!E:E,#REF!,'Profiles Tracker'!G:G,"Profile shared with Interviewer")</f>
        <v>0</v>
      </c>
      <c r="O8" s="3">
        <f>COUNTIFS('Profiles Tracker'!E:E,#REF!,'Profiles Tracker'!G:G,"Shortlisted for next round of interview")</f>
        <v>0</v>
      </c>
      <c r="P8" s="3">
        <f>COUNTIFS('Profiles Tracker'!E:E,#REF!,'Profiles Tracker'!G:G,P$1)</f>
        <v>0</v>
      </c>
      <c r="Q8" s="3">
        <f>COUNTIFS('Profiles Tracker'!E:E,#REF!,'Profiles Tracker'!G:G,Q$1)</f>
        <v>0</v>
      </c>
      <c r="R8" s="3">
        <f>COUNTIFS('Profiles Tracker'!E:E,#REF!,'Profiles Tracker'!G:G,R$1)</f>
        <v>0</v>
      </c>
      <c r="S8" s="3">
        <f>COUNTIFS('Profiles Tracker'!E:E,#REF!,'Profiles Tracker'!G:G,"Interview Done",'Profiles Tracker'!O:O,"Rejected")</f>
        <v>0</v>
      </c>
      <c r="T8" s="3">
        <f>COUNTIFS('Profiles Tracker'!E:E,#REF!,'Profiles Tracker'!G:G,T$1)</f>
        <v>0</v>
      </c>
      <c r="U8" s="3">
        <f t="shared" ref="U8:U39" si="2">N8+P8+Q8+R8+S8+T8</f>
        <v>0</v>
      </c>
      <c r="V8" s="3">
        <f t="shared" ref="V8:V39" si="3">IF((G8-R8-Q8)&lt;1,0,G8-R8-Q8)</f>
        <v>14</v>
      </c>
      <c r="W8" s="3">
        <f t="shared" ref="W8:W39" si="4">FLOOR(G8,1)</f>
        <v>14</v>
      </c>
      <c r="X8" s="3">
        <f t="shared" ref="X8:X39" si="5">FLOOR(W8,1)</f>
        <v>14</v>
      </c>
      <c r="Y8" s="3">
        <f t="shared" ref="Y8:Y39" si="6">X8*3</f>
        <v>42</v>
      </c>
      <c r="Z8" s="3">
        <f t="shared" ref="Z8:Z39" si="7">IF(W8-SUM(Q8:R8)&lt;1,0,W8-SUM(Q8:R8))</f>
        <v>14</v>
      </c>
      <c r="AA8" s="3">
        <f t="shared" ref="AA8:AA39" si="8">IF(X8-SUM(P8:R8)&lt;1,0,X8-SUM(P8:R8))</f>
        <v>14</v>
      </c>
      <c r="AB8" s="3">
        <f t="shared" ref="AB8:AB39" si="9">IF(AA8*3-N8&lt;1,0,AA8*3-N8)</f>
        <v>42</v>
      </c>
      <c r="AC8" s="16">
        <f t="shared" ref="AC8:AC39" si="10">IF(M8="APM Below",H8-45,IF(M8="APM &amp; Above", H8-60,H8-90))</f>
        <v>45671</v>
      </c>
      <c r="AD8" s="16">
        <f t="shared" ref="AD8:AD39" si="11">IFERROR(AC8-5,"NA")</f>
        <v>45666</v>
      </c>
      <c r="AE8" s="16">
        <f t="shared" ref="AE8:AE39" si="12">IFERROR(AD8-7,"NA")</f>
        <v>45659</v>
      </c>
      <c r="AF8" s="18">
        <f t="shared" ref="AF8:AF39" ca="1" si="13">CEILING((AC8-TODAY())/7,1)</f>
        <v>-63</v>
      </c>
      <c r="AG8" s="18">
        <f t="shared" ref="AG8:AG39" ca="1" si="14">CEILING((AD8-TODAY())/7,1)</f>
        <v>-64</v>
      </c>
      <c r="AH8" s="18">
        <f t="shared" ref="AH8:AH39" ca="1" si="15">CEILING((AE8-TODAY())/7,1)</f>
        <v>-65</v>
      </c>
      <c r="AI8" s="53" t="e">
        <f>COUNTIFS('Profiles Tracker'!E:E,#REF!,'Profiles Tracker'!G:G,Q$1,'Profiles Tracker'!#REF!,"Week 14")</f>
        <v>#REF!</v>
      </c>
      <c r="AJ8" s="52" t="e">
        <f>COUNTIFS('Profiles Tracker'!E:E,#REF!,'Profiles Tracker'!G:G,Q$1,'Profiles Tracker'!#REF!,"Week 15")</f>
        <v>#REF!</v>
      </c>
      <c r="AK8" s="52" t="e">
        <f>COUNTIFS('Profiles Tracker'!E:E,#REF!,'Profiles Tracker'!G:G,Q$1,'Profiles Tracker'!#REF!,"Week 16")</f>
        <v>#REF!</v>
      </c>
      <c r="AL8" s="52" t="e">
        <f>COUNTIFS('Profiles Tracker'!E:E,#REF!,'Profiles Tracker'!G:G,Q$1,'Profiles Tracker'!#REF!,"Week 17")</f>
        <v>#REF!</v>
      </c>
      <c r="AM8" s="52" t="e">
        <f>COUNTIFS('Profiles Tracker'!E:E,#REF!,'Profiles Tracker'!G:G,Q$1,'Profiles Tracker'!#REF!,"Week 18")</f>
        <v>#REF!</v>
      </c>
    </row>
    <row r="9" spans="1:39">
      <c r="A9" s="3">
        <f t="shared" si="0"/>
        <v>8</v>
      </c>
      <c r="B9" s="17" t="s">
        <v>38</v>
      </c>
      <c r="C9" s="17" t="s">
        <v>49</v>
      </c>
      <c r="D9" s="17"/>
      <c r="E9" s="5">
        <v>45668</v>
      </c>
      <c r="F9" s="3" t="s">
        <v>69</v>
      </c>
      <c r="G9" s="3">
        <v>26</v>
      </c>
      <c r="H9" s="16">
        <v>45716</v>
      </c>
      <c r="I9" s="3" t="s">
        <v>70</v>
      </c>
      <c r="J9" s="3" t="s">
        <v>42</v>
      </c>
      <c r="K9" s="17" t="s">
        <v>71</v>
      </c>
      <c r="L9" s="17" t="s">
        <v>72</v>
      </c>
      <c r="M9" s="4" t="s">
        <v>68</v>
      </c>
      <c r="N9" s="3">
        <f>COUNTIFS('Profiles Tracker'!E:E,#REF!,'Profiles Tracker'!G:G,"Profile shared with Interviewer")</f>
        <v>0</v>
      </c>
      <c r="O9" s="3">
        <f>COUNTIFS('Profiles Tracker'!E:E,#REF!,'Profiles Tracker'!G:G,"Shortlisted for next round of interview")</f>
        <v>0</v>
      </c>
      <c r="P9" s="3">
        <f>COUNTIFS('Profiles Tracker'!E:E,#REF!,'Profiles Tracker'!G:G,P$1)</f>
        <v>0</v>
      </c>
      <c r="Q9" s="3">
        <f>COUNTIFS('Profiles Tracker'!E:E,#REF!,'Profiles Tracker'!G:G,Q$1)</f>
        <v>0</v>
      </c>
      <c r="R9" s="3">
        <f>COUNTIFS('Profiles Tracker'!E:E,#REF!,'Profiles Tracker'!G:G,R$1)</f>
        <v>0</v>
      </c>
      <c r="S9" s="3">
        <f>COUNTIFS('Profiles Tracker'!E:E,#REF!,'Profiles Tracker'!G:G,"Interview Done",'Profiles Tracker'!O:O,"Rejected")</f>
        <v>0</v>
      </c>
      <c r="T9" s="3">
        <f>COUNTIFS('Profiles Tracker'!E:E,#REF!,'Profiles Tracker'!G:G,T$1)</f>
        <v>0</v>
      </c>
      <c r="U9" s="3">
        <f t="shared" si="2"/>
        <v>0</v>
      </c>
      <c r="V9" s="3">
        <f t="shared" si="3"/>
        <v>26</v>
      </c>
      <c r="W9" s="3">
        <f t="shared" si="4"/>
        <v>26</v>
      </c>
      <c r="X9" s="3">
        <f t="shared" si="5"/>
        <v>26</v>
      </c>
      <c r="Y9" s="3">
        <f t="shared" si="6"/>
        <v>78</v>
      </c>
      <c r="Z9" s="3">
        <f t="shared" si="7"/>
        <v>26</v>
      </c>
      <c r="AA9" s="3">
        <f t="shared" si="8"/>
        <v>26</v>
      </c>
      <c r="AB9" s="3">
        <f t="shared" si="9"/>
        <v>78</v>
      </c>
      <c r="AC9" s="16">
        <f t="shared" si="10"/>
        <v>45671</v>
      </c>
      <c r="AD9" s="16">
        <f t="shared" si="11"/>
        <v>45666</v>
      </c>
      <c r="AE9" s="16">
        <f t="shared" si="12"/>
        <v>45659</v>
      </c>
      <c r="AF9" s="18">
        <f t="shared" ca="1" si="13"/>
        <v>-63</v>
      </c>
      <c r="AG9" s="18">
        <f t="shared" ca="1" si="14"/>
        <v>-64</v>
      </c>
      <c r="AH9" s="18">
        <f t="shared" ca="1" si="15"/>
        <v>-65</v>
      </c>
      <c r="AI9" s="53" t="e">
        <f>COUNTIFS('Profiles Tracker'!E:E,#REF!,'Profiles Tracker'!G:G,Q$1,'Profiles Tracker'!#REF!,"Week 14")</f>
        <v>#REF!</v>
      </c>
      <c r="AJ9" s="52" t="e">
        <f>COUNTIFS('Profiles Tracker'!E:E,#REF!,'Profiles Tracker'!G:G,Q$1,'Profiles Tracker'!#REF!,"Week 15")</f>
        <v>#REF!</v>
      </c>
      <c r="AK9" s="52" t="e">
        <f>COUNTIFS('Profiles Tracker'!E:E,#REF!,'Profiles Tracker'!G:G,Q$1,'Profiles Tracker'!#REF!,"Week 16")</f>
        <v>#REF!</v>
      </c>
      <c r="AL9" s="52" t="e">
        <f>COUNTIFS('Profiles Tracker'!E:E,#REF!,'Profiles Tracker'!G:G,Q$1,'Profiles Tracker'!#REF!,"Week 17")</f>
        <v>#REF!</v>
      </c>
      <c r="AM9" s="52" t="e">
        <f>COUNTIFS('Profiles Tracker'!E:E,#REF!,'Profiles Tracker'!G:G,Q$1,'Profiles Tracker'!#REF!,"Week 18")</f>
        <v>#REF!</v>
      </c>
    </row>
    <row r="10" spans="1:39">
      <c r="A10" s="3">
        <f t="shared" si="0"/>
        <v>9</v>
      </c>
      <c r="B10" s="17" t="s">
        <v>38</v>
      </c>
      <c r="C10" s="17" t="s">
        <v>53</v>
      </c>
      <c r="D10" s="17"/>
      <c r="E10" s="5">
        <v>45668</v>
      </c>
      <c r="F10" s="3" t="s">
        <v>73</v>
      </c>
      <c r="G10" s="3">
        <v>18</v>
      </c>
      <c r="H10" s="16">
        <v>45716</v>
      </c>
      <c r="I10" s="3" t="s">
        <v>65</v>
      </c>
      <c r="J10" s="3" t="s">
        <v>42</v>
      </c>
      <c r="K10" s="17" t="s">
        <v>74</v>
      </c>
      <c r="L10" s="17" t="s">
        <v>75</v>
      </c>
      <c r="M10" s="4" t="s">
        <v>68</v>
      </c>
      <c r="N10" s="3">
        <f>COUNTIFS('Profiles Tracker'!E:E,#REF!,'Profiles Tracker'!G:G,"Profile shared with Interviewer")</f>
        <v>0</v>
      </c>
      <c r="O10" s="3">
        <f>COUNTIFS('Profiles Tracker'!E:E,#REF!,'Profiles Tracker'!G:G,"Shortlisted for next round of interview")</f>
        <v>0</v>
      </c>
      <c r="P10" s="3">
        <f>COUNTIFS('Profiles Tracker'!E:E,#REF!,'Profiles Tracker'!G:G,P$1)</f>
        <v>0</v>
      </c>
      <c r="Q10" s="3">
        <f>COUNTIFS('Profiles Tracker'!E:E,#REF!,'Profiles Tracker'!G:G,Q$1)</f>
        <v>0</v>
      </c>
      <c r="R10" s="3">
        <f>COUNTIFS('Profiles Tracker'!E:E,#REF!,'Profiles Tracker'!G:G,R$1)</f>
        <v>0</v>
      </c>
      <c r="S10" s="3">
        <f>COUNTIFS('Profiles Tracker'!E:E,#REF!,'Profiles Tracker'!G:G,"Interview Done",'Profiles Tracker'!O:O,"Rejected")</f>
        <v>0</v>
      </c>
      <c r="T10" s="3">
        <f>COUNTIFS('Profiles Tracker'!E:E,#REF!,'Profiles Tracker'!G:G,T$1)</f>
        <v>0</v>
      </c>
      <c r="U10" s="3">
        <f t="shared" si="2"/>
        <v>0</v>
      </c>
      <c r="V10" s="3">
        <f t="shared" si="3"/>
        <v>18</v>
      </c>
      <c r="W10" s="3">
        <f t="shared" si="4"/>
        <v>18</v>
      </c>
      <c r="X10" s="3">
        <f t="shared" si="5"/>
        <v>18</v>
      </c>
      <c r="Y10" s="3">
        <f t="shared" si="6"/>
        <v>54</v>
      </c>
      <c r="Z10" s="3">
        <f t="shared" si="7"/>
        <v>18</v>
      </c>
      <c r="AA10" s="3">
        <f t="shared" si="8"/>
        <v>18</v>
      </c>
      <c r="AB10" s="3">
        <f t="shared" si="9"/>
        <v>54</v>
      </c>
      <c r="AC10" s="16">
        <f t="shared" si="10"/>
        <v>45671</v>
      </c>
      <c r="AD10" s="16">
        <f t="shared" si="11"/>
        <v>45666</v>
      </c>
      <c r="AE10" s="16">
        <f t="shared" si="12"/>
        <v>45659</v>
      </c>
      <c r="AF10" s="18">
        <f t="shared" ca="1" si="13"/>
        <v>-63</v>
      </c>
      <c r="AG10" s="18">
        <f t="shared" ca="1" si="14"/>
        <v>-64</v>
      </c>
      <c r="AH10" s="18">
        <f t="shared" ca="1" si="15"/>
        <v>-65</v>
      </c>
      <c r="AI10" s="53" t="e">
        <f>COUNTIFS('Profiles Tracker'!E:E,#REF!,'Profiles Tracker'!G:G,Q$1,'Profiles Tracker'!#REF!,"Week 14")</f>
        <v>#REF!</v>
      </c>
      <c r="AJ10" s="52" t="e">
        <f>COUNTIFS('Profiles Tracker'!E:E,#REF!,'Profiles Tracker'!G:G,Q$1,'Profiles Tracker'!#REF!,"Week 15")</f>
        <v>#REF!</v>
      </c>
      <c r="AK10" s="52" t="e">
        <f>COUNTIFS('Profiles Tracker'!E:E,#REF!,'Profiles Tracker'!G:G,Q$1,'Profiles Tracker'!#REF!,"Week 16")</f>
        <v>#REF!</v>
      </c>
      <c r="AL10" s="52" t="e">
        <f>COUNTIFS('Profiles Tracker'!E:E,#REF!,'Profiles Tracker'!G:G,Q$1,'Profiles Tracker'!#REF!,"Week 17")</f>
        <v>#REF!</v>
      </c>
      <c r="AM10" s="52" t="e">
        <f>COUNTIFS('Profiles Tracker'!E:E,#REF!,'Profiles Tracker'!G:G,Q$1,'Profiles Tracker'!#REF!,"Week 18")</f>
        <v>#REF!</v>
      </c>
    </row>
    <row r="11" spans="1:39">
      <c r="A11" s="3">
        <f t="shared" si="0"/>
        <v>10</v>
      </c>
      <c r="B11" s="17" t="s">
        <v>38</v>
      </c>
      <c r="C11" s="17" t="s">
        <v>49</v>
      </c>
      <c r="D11" s="17"/>
      <c r="E11" s="5">
        <v>45668</v>
      </c>
      <c r="F11" s="3" t="s">
        <v>76</v>
      </c>
      <c r="G11" s="3">
        <v>18</v>
      </c>
      <c r="H11" s="16">
        <v>45716</v>
      </c>
      <c r="I11" s="2" t="s">
        <v>77</v>
      </c>
      <c r="J11" s="3" t="s">
        <v>42</v>
      </c>
      <c r="K11" s="17" t="s">
        <v>78</v>
      </c>
      <c r="L11" s="17" t="s">
        <v>79</v>
      </c>
      <c r="M11" s="4" t="s">
        <v>68</v>
      </c>
      <c r="N11" s="3">
        <f>COUNTIFS('Profiles Tracker'!E:E,#REF!,'Profiles Tracker'!G:G,"Profile shared with Interviewer")</f>
        <v>0</v>
      </c>
      <c r="O11" s="3">
        <f>COUNTIFS('Profiles Tracker'!E:E,#REF!,'Profiles Tracker'!G:G,"Shortlisted for next round of interview")</f>
        <v>0</v>
      </c>
      <c r="P11" s="3">
        <f>COUNTIFS('Profiles Tracker'!E:E,#REF!,'Profiles Tracker'!G:G,P$1)</f>
        <v>0</v>
      </c>
      <c r="Q11" s="3">
        <f>COUNTIFS('Profiles Tracker'!E:E,#REF!,'Profiles Tracker'!G:G,Q$1)</f>
        <v>0</v>
      </c>
      <c r="R11" s="3">
        <f>COUNTIFS('Profiles Tracker'!E:E,#REF!,'Profiles Tracker'!G:G,R$1)</f>
        <v>0</v>
      </c>
      <c r="S11" s="3">
        <f>COUNTIFS('Profiles Tracker'!E:E,#REF!,'Profiles Tracker'!G:G,"Interview Done",'Profiles Tracker'!O:O,"Rejected")</f>
        <v>0</v>
      </c>
      <c r="T11" s="3">
        <f>COUNTIFS('Profiles Tracker'!E:E,#REF!,'Profiles Tracker'!G:G,T$1)</f>
        <v>0</v>
      </c>
      <c r="U11" s="3">
        <f t="shared" si="2"/>
        <v>0</v>
      </c>
      <c r="V11" s="3">
        <f t="shared" si="3"/>
        <v>18</v>
      </c>
      <c r="W11" s="3">
        <f t="shared" si="4"/>
        <v>18</v>
      </c>
      <c r="X11" s="3">
        <f t="shared" si="5"/>
        <v>18</v>
      </c>
      <c r="Y11" s="3">
        <f t="shared" si="6"/>
        <v>54</v>
      </c>
      <c r="Z11" s="3">
        <f t="shared" si="7"/>
        <v>18</v>
      </c>
      <c r="AA11" s="3">
        <f t="shared" si="8"/>
        <v>18</v>
      </c>
      <c r="AB11" s="3">
        <f t="shared" si="9"/>
        <v>54</v>
      </c>
      <c r="AC11" s="16">
        <f t="shared" si="10"/>
        <v>45671</v>
      </c>
      <c r="AD11" s="16">
        <f t="shared" si="11"/>
        <v>45666</v>
      </c>
      <c r="AE11" s="16">
        <f t="shared" si="12"/>
        <v>45659</v>
      </c>
      <c r="AF11" s="18">
        <f t="shared" ca="1" si="13"/>
        <v>-63</v>
      </c>
      <c r="AG11" s="18">
        <f t="shared" ca="1" si="14"/>
        <v>-64</v>
      </c>
      <c r="AH11" s="18">
        <f t="shared" ca="1" si="15"/>
        <v>-65</v>
      </c>
      <c r="AI11" s="53" t="e">
        <f>COUNTIFS('Profiles Tracker'!E:E,#REF!,'Profiles Tracker'!G:G,Q$1,'Profiles Tracker'!#REF!,"Week 14")</f>
        <v>#REF!</v>
      </c>
      <c r="AJ11" s="52" t="e">
        <f>COUNTIFS('Profiles Tracker'!E:E,#REF!,'Profiles Tracker'!G:G,Q$1,'Profiles Tracker'!#REF!,"Week 15")</f>
        <v>#REF!</v>
      </c>
      <c r="AK11" s="52" t="e">
        <f>COUNTIFS('Profiles Tracker'!E:E,#REF!,'Profiles Tracker'!G:G,Q$1,'Profiles Tracker'!#REF!,"Week 16")</f>
        <v>#REF!</v>
      </c>
      <c r="AL11" s="52" t="e">
        <f>COUNTIFS('Profiles Tracker'!E:E,#REF!,'Profiles Tracker'!G:G,Q$1,'Profiles Tracker'!#REF!,"Week 17")</f>
        <v>#REF!</v>
      </c>
      <c r="AM11" s="52" t="e">
        <f>COUNTIFS('Profiles Tracker'!E:E,#REF!,'Profiles Tracker'!G:G,Q$1,'Profiles Tracker'!#REF!,"Week 18")</f>
        <v>#REF!</v>
      </c>
    </row>
    <row r="12" spans="1:39">
      <c r="A12" s="3">
        <f t="shared" si="0"/>
        <v>11</v>
      </c>
      <c r="B12" s="17" t="s">
        <v>38</v>
      </c>
      <c r="C12" s="17" t="s">
        <v>53</v>
      </c>
      <c r="D12" s="17"/>
      <c r="E12" s="5">
        <v>45668</v>
      </c>
      <c r="F12" s="3" t="s">
        <v>80</v>
      </c>
      <c r="G12" s="3">
        <v>14</v>
      </c>
      <c r="H12" s="16">
        <v>45716</v>
      </c>
      <c r="I12" s="3" t="s">
        <v>65</v>
      </c>
      <c r="J12" s="3" t="s">
        <v>42</v>
      </c>
      <c r="K12" s="17" t="s">
        <v>81</v>
      </c>
      <c r="L12" s="17" t="s">
        <v>82</v>
      </c>
      <c r="M12" s="4" t="s">
        <v>68</v>
      </c>
      <c r="N12" s="3">
        <f>COUNTIFS('Profiles Tracker'!E:E,#REF!,'Profiles Tracker'!G:G,"Profile shared with Interviewer")</f>
        <v>0</v>
      </c>
      <c r="O12" s="3">
        <f>COUNTIFS('Profiles Tracker'!E:E,#REF!,'Profiles Tracker'!G:G,"Shortlisted for next round of interview")</f>
        <v>0</v>
      </c>
      <c r="P12" s="3">
        <f>COUNTIFS('Profiles Tracker'!E:E,#REF!,'Profiles Tracker'!G:G,P$1)</f>
        <v>0</v>
      </c>
      <c r="Q12" s="3">
        <f>COUNTIFS('Profiles Tracker'!E:E,#REF!,'Profiles Tracker'!G:G,Q$1)</f>
        <v>0</v>
      </c>
      <c r="R12" s="3">
        <f>COUNTIFS('Profiles Tracker'!E:E,#REF!,'Profiles Tracker'!G:G,R$1)</f>
        <v>0</v>
      </c>
      <c r="S12" s="3">
        <f>COUNTIFS('Profiles Tracker'!E:E,#REF!,'Profiles Tracker'!G:G,"Interview Done",'Profiles Tracker'!O:O,"Rejected")</f>
        <v>0</v>
      </c>
      <c r="T12" s="3">
        <f>COUNTIFS('Profiles Tracker'!E:E,#REF!,'Profiles Tracker'!G:G,T$1)</f>
        <v>0</v>
      </c>
      <c r="U12" s="3">
        <f t="shared" si="2"/>
        <v>0</v>
      </c>
      <c r="V12" s="3">
        <f t="shared" si="3"/>
        <v>14</v>
      </c>
      <c r="W12" s="3">
        <f t="shared" si="4"/>
        <v>14</v>
      </c>
      <c r="X12" s="3">
        <f t="shared" si="5"/>
        <v>14</v>
      </c>
      <c r="Y12" s="3">
        <f t="shared" si="6"/>
        <v>42</v>
      </c>
      <c r="Z12" s="3">
        <f t="shared" si="7"/>
        <v>14</v>
      </c>
      <c r="AA12" s="3">
        <f t="shared" si="8"/>
        <v>14</v>
      </c>
      <c r="AB12" s="3">
        <f t="shared" si="9"/>
        <v>42</v>
      </c>
      <c r="AC12" s="16">
        <f t="shared" si="10"/>
        <v>45671</v>
      </c>
      <c r="AD12" s="16">
        <f t="shared" si="11"/>
        <v>45666</v>
      </c>
      <c r="AE12" s="16">
        <f t="shared" si="12"/>
        <v>45659</v>
      </c>
      <c r="AF12" s="18">
        <f t="shared" ca="1" si="13"/>
        <v>-63</v>
      </c>
      <c r="AG12" s="18">
        <f t="shared" ca="1" si="14"/>
        <v>-64</v>
      </c>
      <c r="AH12" s="18">
        <f t="shared" ca="1" si="15"/>
        <v>-65</v>
      </c>
      <c r="AI12" s="53" t="e">
        <f>COUNTIFS('Profiles Tracker'!E:E,#REF!,'Profiles Tracker'!G:G,Q$1,'Profiles Tracker'!#REF!,"Week 14")</f>
        <v>#REF!</v>
      </c>
      <c r="AJ12" s="52" t="e">
        <f>COUNTIFS('Profiles Tracker'!E:E,#REF!,'Profiles Tracker'!G:G,Q$1,'Profiles Tracker'!#REF!,"Week 15")</f>
        <v>#REF!</v>
      </c>
      <c r="AK12" s="52" t="e">
        <f>COUNTIFS('Profiles Tracker'!E:E,#REF!,'Profiles Tracker'!G:G,Q$1,'Profiles Tracker'!#REF!,"Week 16")</f>
        <v>#REF!</v>
      </c>
      <c r="AL12" s="52" t="e">
        <f>COUNTIFS('Profiles Tracker'!E:E,#REF!,'Profiles Tracker'!G:G,Q$1,'Profiles Tracker'!#REF!,"Week 17")</f>
        <v>#REF!</v>
      </c>
      <c r="AM12" s="52" t="e">
        <f>COUNTIFS('Profiles Tracker'!E:E,#REF!,'Profiles Tracker'!G:G,Q$1,'Profiles Tracker'!#REF!,"Week 18")</f>
        <v>#REF!</v>
      </c>
    </row>
    <row r="13" spans="1:39">
      <c r="A13" s="3">
        <f t="shared" si="0"/>
        <v>12</v>
      </c>
      <c r="B13" s="17" t="s">
        <v>38</v>
      </c>
      <c r="C13" s="17" t="s">
        <v>49</v>
      </c>
      <c r="D13" s="17"/>
      <c r="E13" s="5">
        <v>45668</v>
      </c>
      <c r="F13" s="3" t="s">
        <v>83</v>
      </c>
      <c r="G13" s="3">
        <v>14</v>
      </c>
      <c r="H13" s="16">
        <v>45716</v>
      </c>
      <c r="I13" s="2" t="s">
        <v>77</v>
      </c>
      <c r="J13" s="3" t="s">
        <v>42</v>
      </c>
      <c r="K13" s="17" t="s">
        <v>84</v>
      </c>
      <c r="L13" s="17" t="s">
        <v>85</v>
      </c>
      <c r="M13" s="4" t="s">
        <v>68</v>
      </c>
      <c r="N13" s="3">
        <f>COUNTIFS('Profiles Tracker'!E:E,#REF!,'Profiles Tracker'!G:G,"Profile shared with Interviewer")</f>
        <v>0</v>
      </c>
      <c r="O13" s="3">
        <f>COUNTIFS('Profiles Tracker'!E:E,#REF!,'Profiles Tracker'!G:G,"Shortlisted for next round of interview")</f>
        <v>0</v>
      </c>
      <c r="P13" s="3">
        <f>COUNTIFS('Profiles Tracker'!E:E,#REF!,'Profiles Tracker'!G:G,P$1)</f>
        <v>0</v>
      </c>
      <c r="Q13" s="3">
        <f>COUNTIFS('Profiles Tracker'!E:E,#REF!,'Profiles Tracker'!G:G,Q$1)</f>
        <v>0</v>
      </c>
      <c r="R13" s="3">
        <f>COUNTIFS('Profiles Tracker'!E:E,#REF!,'Profiles Tracker'!G:G,R$1)</f>
        <v>0</v>
      </c>
      <c r="S13" s="3">
        <f>COUNTIFS('Profiles Tracker'!E:E,#REF!,'Profiles Tracker'!G:G,"Interview Done",'Profiles Tracker'!O:O,"Rejected")</f>
        <v>0</v>
      </c>
      <c r="T13" s="3">
        <f>COUNTIFS('Profiles Tracker'!E:E,#REF!,'Profiles Tracker'!G:G,T$1)</f>
        <v>0</v>
      </c>
      <c r="U13" s="3">
        <f t="shared" si="2"/>
        <v>0</v>
      </c>
      <c r="V13" s="3">
        <f t="shared" si="3"/>
        <v>14</v>
      </c>
      <c r="W13" s="3">
        <f t="shared" si="4"/>
        <v>14</v>
      </c>
      <c r="X13" s="3">
        <f t="shared" si="5"/>
        <v>14</v>
      </c>
      <c r="Y13" s="3">
        <f t="shared" si="6"/>
        <v>42</v>
      </c>
      <c r="Z13" s="3">
        <f t="shared" si="7"/>
        <v>14</v>
      </c>
      <c r="AA13" s="3">
        <f t="shared" si="8"/>
        <v>14</v>
      </c>
      <c r="AB13" s="3">
        <f t="shared" si="9"/>
        <v>42</v>
      </c>
      <c r="AC13" s="16">
        <f t="shared" si="10"/>
        <v>45671</v>
      </c>
      <c r="AD13" s="16">
        <f t="shared" si="11"/>
        <v>45666</v>
      </c>
      <c r="AE13" s="16">
        <f t="shared" si="12"/>
        <v>45659</v>
      </c>
      <c r="AF13" s="18">
        <f t="shared" ca="1" si="13"/>
        <v>-63</v>
      </c>
      <c r="AG13" s="18">
        <f t="shared" ca="1" si="14"/>
        <v>-64</v>
      </c>
      <c r="AH13" s="18">
        <f t="shared" ca="1" si="15"/>
        <v>-65</v>
      </c>
      <c r="AI13" s="53" t="e">
        <f>COUNTIFS('Profiles Tracker'!E:E,#REF!,'Profiles Tracker'!G:G,Q$1,'Profiles Tracker'!#REF!,"Week 14")</f>
        <v>#REF!</v>
      </c>
      <c r="AJ13" s="52" t="e">
        <f>COUNTIFS('Profiles Tracker'!E:E,#REF!,'Profiles Tracker'!G:G,Q$1,'Profiles Tracker'!#REF!,"Week 15")</f>
        <v>#REF!</v>
      </c>
      <c r="AK13" s="52" t="e">
        <f>COUNTIFS('Profiles Tracker'!E:E,#REF!,'Profiles Tracker'!G:G,Q$1,'Profiles Tracker'!#REF!,"Week 16")</f>
        <v>#REF!</v>
      </c>
      <c r="AL13" s="52" t="e">
        <f>COUNTIFS('Profiles Tracker'!E:E,#REF!,'Profiles Tracker'!G:G,Q$1,'Profiles Tracker'!#REF!,"Week 17")</f>
        <v>#REF!</v>
      </c>
      <c r="AM13" s="52" t="e">
        <f>COUNTIFS('Profiles Tracker'!E:E,#REF!,'Profiles Tracker'!G:G,Q$1,'Profiles Tracker'!#REF!,"Week 18")</f>
        <v>#REF!</v>
      </c>
    </row>
    <row r="14" spans="1:39">
      <c r="A14" s="3">
        <f t="shared" si="0"/>
        <v>13</v>
      </c>
      <c r="B14" s="17" t="s">
        <v>38</v>
      </c>
      <c r="C14" s="17"/>
      <c r="D14" s="17"/>
      <c r="E14" s="5">
        <v>45668</v>
      </c>
      <c r="F14" s="3" t="s">
        <v>86</v>
      </c>
      <c r="G14" s="3">
        <v>28</v>
      </c>
      <c r="H14" s="16">
        <v>45716</v>
      </c>
      <c r="I14" s="3" t="s">
        <v>87</v>
      </c>
      <c r="J14" s="3" t="s">
        <v>88</v>
      </c>
      <c r="K14" s="17" t="s">
        <v>89</v>
      </c>
      <c r="L14" s="17" t="s">
        <v>90</v>
      </c>
      <c r="M14" s="4" t="s">
        <v>68</v>
      </c>
      <c r="N14" s="3">
        <f>COUNTIFS('Profiles Tracker'!E:E,#REF!,'Profiles Tracker'!G:G,"Profile shared with Interviewer")</f>
        <v>0</v>
      </c>
      <c r="O14" s="3">
        <f>COUNTIFS('Profiles Tracker'!E:E,#REF!,'Profiles Tracker'!G:G,"Shortlisted for next round of interview")</f>
        <v>0</v>
      </c>
      <c r="P14" s="3">
        <f>COUNTIFS('Profiles Tracker'!E:E,#REF!,'Profiles Tracker'!G:G,P$1)</f>
        <v>0</v>
      </c>
      <c r="Q14" s="3">
        <f>COUNTIFS('Profiles Tracker'!E:E,#REF!,'Profiles Tracker'!G:G,Q$1)</f>
        <v>0</v>
      </c>
      <c r="R14" s="3">
        <f>COUNTIFS('Profiles Tracker'!E:E,#REF!,'Profiles Tracker'!G:G,R$1)</f>
        <v>0</v>
      </c>
      <c r="S14" s="3">
        <f>COUNTIFS('Profiles Tracker'!E:E,#REF!,'Profiles Tracker'!G:G,"Interview Done",'Profiles Tracker'!O:O,"Rejected")</f>
        <v>0</v>
      </c>
      <c r="T14" s="3">
        <f>COUNTIFS('Profiles Tracker'!E:E,#REF!,'Profiles Tracker'!G:G,T$1)</f>
        <v>0</v>
      </c>
      <c r="U14" s="3">
        <f t="shared" si="2"/>
        <v>0</v>
      </c>
      <c r="V14" s="3">
        <f t="shared" si="3"/>
        <v>28</v>
      </c>
      <c r="W14" s="3">
        <f t="shared" si="4"/>
        <v>28</v>
      </c>
      <c r="X14" s="3">
        <f t="shared" si="5"/>
        <v>28</v>
      </c>
      <c r="Y14" s="3">
        <f t="shared" si="6"/>
        <v>84</v>
      </c>
      <c r="Z14" s="3">
        <f t="shared" si="7"/>
        <v>28</v>
      </c>
      <c r="AA14" s="3">
        <f t="shared" si="8"/>
        <v>28</v>
      </c>
      <c r="AB14" s="3">
        <f t="shared" si="9"/>
        <v>84</v>
      </c>
      <c r="AC14" s="16">
        <f t="shared" si="10"/>
        <v>45671</v>
      </c>
      <c r="AD14" s="16">
        <f t="shared" si="11"/>
        <v>45666</v>
      </c>
      <c r="AE14" s="16">
        <f t="shared" si="12"/>
        <v>45659</v>
      </c>
      <c r="AF14" s="18">
        <f t="shared" ca="1" si="13"/>
        <v>-63</v>
      </c>
      <c r="AG14" s="18">
        <f t="shared" ca="1" si="14"/>
        <v>-64</v>
      </c>
      <c r="AH14" s="18">
        <f t="shared" ca="1" si="15"/>
        <v>-65</v>
      </c>
      <c r="AI14" s="53" t="e">
        <f>COUNTIFS('Profiles Tracker'!E:E,#REF!,'Profiles Tracker'!G:G,Q$1,'Profiles Tracker'!#REF!,"Week 14")</f>
        <v>#REF!</v>
      </c>
      <c r="AJ14" s="52" t="e">
        <f>COUNTIFS('Profiles Tracker'!E:E,#REF!,'Profiles Tracker'!G:G,Q$1,'Profiles Tracker'!#REF!,"Week 15")</f>
        <v>#REF!</v>
      </c>
      <c r="AK14" s="52" t="e">
        <f>COUNTIFS('Profiles Tracker'!E:E,#REF!,'Profiles Tracker'!G:G,Q$1,'Profiles Tracker'!#REF!,"Week 16")</f>
        <v>#REF!</v>
      </c>
      <c r="AL14" s="52" t="e">
        <f>COUNTIFS('Profiles Tracker'!E:E,#REF!,'Profiles Tracker'!G:G,Q$1,'Profiles Tracker'!#REF!,"Week 17")</f>
        <v>#REF!</v>
      </c>
      <c r="AM14" s="52" t="e">
        <f>COUNTIFS('Profiles Tracker'!E:E,#REF!,'Profiles Tracker'!G:G,Q$1,'Profiles Tracker'!#REF!,"Week 18")</f>
        <v>#REF!</v>
      </c>
    </row>
    <row r="15" spans="1:39">
      <c r="A15" s="3">
        <f t="shared" si="0"/>
        <v>14</v>
      </c>
      <c r="B15" s="17" t="s">
        <v>38</v>
      </c>
      <c r="C15" s="17" t="s">
        <v>91</v>
      </c>
      <c r="D15" s="17"/>
      <c r="E15" s="5">
        <v>45668</v>
      </c>
      <c r="F15" s="3" t="s">
        <v>92</v>
      </c>
      <c r="G15" s="3">
        <v>14</v>
      </c>
      <c r="H15" s="16">
        <v>45747</v>
      </c>
      <c r="I15" s="3" t="s">
        <v>93</v>
      </c>
      <c r="J15" s="3" t="s">
        <v>94</v>
      </c>
      <c r="K15" s="17" t="s">
        <v>95</v>
      </c>
      <c r="L15" t="s">
        <v>96</v>
      </c>
      <c r="M15" s="4" t="s">
        <v>68</v>
      </c>
      <c r="N15" s="3">
        <f>COUNTIFS('Profiles Tracker'!E:E,#REF!,'Profiles Tracker'!G:G,"Profile shared with Interviewer")</f>
        <v>0</v>
      </c>
      <c r="O15" s="3">
        <f>COUNTIFS('Profiles Tracker'!E:E,#REF!,'Profiles Tracker'!G:G,"Shortlisted for next round of interview")</f>
        <v>0</v>
      </c>
      <c r="P15" s="3">
        <f>COUNTIFS('Profiles Tracker'!E:E,#REF!,'Profiles Tracker'!G:G,P$1)</f>
        <v>0</v>
      </c>
      <c r="Q15" s="3">
        <f>COUNTIFS('Profiles Tracker'!E:E,#REF!,'Profiles Tracker'!G:G,Q$1)</f>
        <v>0</v>
      </c>
      <c r="R15" s="3">
        <f>COUNTIFS('Profiles Tracker'!E:E,#REF!,'Profiles Tracker'!G:G,R$1)</f>
        <v>0</v>
      </c>
      <c r="S15" s="3">
        <f>COUNTIFS('Profiles Tracker'!E:E,#REF!,'Profiles Tracker'!G:G,"Interview Done",'Profiles Tracker'!O:O,"Rejected")</f>
        <v>0</v>
      </c>
      <c r="T15" s="3">
        <f>COUNTIFS('Profiles Tracker'!E:E,#REF!,'Profiles Tracker'!G:G,T$1)</f>
        <v>0</v>
      </c>
      <c r="U15" s="3">
        <f t="shared" si="2"/>
        <v>0</v>
      </c>
      <c r="V15" s="3">
        <f t="shared" si="3"/>
        <v>14</v>
      </c>
      <c r="W15" s="3">
        <f t="shared" si="4"/>
        <v>14</v>
      </c>
      <c r="X15" s="3">
        <f t="shared" si="5"/>
        <v>14</v>
      </c>
      <c r="Y15" s="3">
        <f t="shared" si="6"/>
        <v>42</v>
      </c>
      <c r="Z15" s="3">
        <f t="shared" si="7"/>
        <v>14</v>
      </c>
      <c r="AA15" s="3">
        <f t="shared" si="8"/>
        <v>14</v>
      </c>
      <c r="AB15" s="3">
        <f t="shared" si="9"/>
        <v>42</v>
      </c>
      <c r="AC15" s="16">
        <f t="shared" si="10"/>
        <v>45702</v>
      </c>
      <c r="AD15" s="16">
        <f t="shared" si="11"/>
        <v>45697</v>
      </c>
      <c r="AE15" s="16">
        <f t="shared" si="12"/>
        <v>45690</v>
      </c>
      <c r="AF15" s="18">
        <f t="shared" ca="1" si="13"/>
        <v>-59</v>
      </c>
      <c r="AG15" s="18">
        <f t="shared" ca="1" si="14"/>
        <v>-59</v>
      </c>
      <c r="AH15" s="18">
        <f t="shared" ca="1" si="15"/>
        <v>-60</v>
      </c>
      <c r="AI15" s="53" t="e">
        <f>COUNTIFS('Profiles Tracker'!E:E,#REF!,'Profiles Tracker'!G:G,Q$1,'Profiles Tracker'!#REF!,"Week 14")</f>
        <v>#REF!</v>
      </c>
      <c r="AJ15" s="52" t="e">
        <f>COUNTIFS('Profiles Tracker'!E:E,#REF!,'Profiles Tracker'!G:G,Q$1,'Profiles Tracker'!#REF!,"Week 15")</f>
        <v>#REF!</v>
      </c>
      <c r="AK15" s="52" t="e">
        <f>COUNTIFS('Profiles Tracker'!E:E,#REF!,'Profiles Tracker'!G:G,Q$1,'Profiles Tracker'!#REF!,"Week 16")</f>
        <v>#REF!</v>
      </c>
      <c r="AL15" s="52" t="e">
        <f>COUNTIFS('Profiles Tracker'!E:E,#REF!,'Profiles Tracker'!G:G,Q$1,'Profiles Tracker'!#REF!,"Week 17")</f>
        <v>#REF!</v>
      </c>
      <c r="AM15" s="52" t="e">
        <f>COUNTIFS('Profiles Tracker'!E:E,#REF!,'Profiles Tracker'!G:G,Q$1,'Profiles Tracker'!#REF!,"Week 18")</f>
        <v>#REF!</v>
      </c>
    </row>
    <row r="16" spans="1:39">
      <c r="A16" s="3">
        <f t="shared" si="0"/>
        <v>15</v>
      </c>
      <c r="B16" s="17" t="s">
        <v>38</v>
      </c>
      <c r="C16" s="17" t="s">
        <v>91</v>
      </c>
      <c r="D16" s="17"/>
      <c r="E16" s="5">
        <v>45668</v>
      </c>
      <c r="F16" s="3" t="s">
        <v>97</v>
      </c>
      <c r="G16" s="3">
        <v>14</v>
      </c>
      <c r="H16" s="16">
        <v>45716</v>
      </c>
      <c r="I16" s="3" t="s">
        <v>93</v>
      </c>
      <c r="J16" s="3" t="s">
        <v>94</v>
      </c>
      <c r="K16" s="17" t="s">
        <v>98</v>
      </c>
      <c r="L16" s="17" t="s">
        <v>99</v>
      </c>
      <c r="M16" s="4" t="s">
        <v>68</v>
      </c>
      <c r="N16" s="3">
        <f>COUNTIFS('Profiles Tracker'!E:E,#REF!,'Profiles Tracker'!G:G,"Profile shared with Interviewer")</f>
        <v>0</v>
      </c>
      <c r="O16" s="3">
        <f>COUNTIFS('Profiles Tracker'!E:E,#REF!,'Profiles Tracker'!G:G,"Shortlisted for next round of interview")</f>
        <v>0</v>
      </c>
      <c r="P16" s="3">
        <f>COUNTIFS('Profiles Tracker'!E:E,#REF!,'Profiles Tracker'!G:G,P$1)</f>
        <v>0</v>
      </c>
      <c r="Q16" s="3">
        <f>COUNTIFS('Profiles Tracker'!E:E,#REF!,'Profiles Tracker'!G:G,Q$1)</f>
        <v>0</v>
      </c>
      <c r="R16" s="3">
        <f>COUNTIFS('Profiles Tracker'!E:E,#REF!,'Profiles Tracker'!G:G,R$1)</f>
        <v>0</v>
      </c>
      <c r="S16" s="3">
        <f>COUNTIFS('Profiles Tracker'!E:E,#REF!,'Profiles Tracker'!G:G,"Interview Done",'Profiles Tracker'!O:O,"Rejected")</f>
        <v>0</v>
      </c>
      <c r="T16" s="3">
        <f>COUNTIFS('Profiles Tracker'!E:E,#REF!,'Profiles Tracker'!G:G,T$1)</f>
        <v>0</v>
      </c>
      <c r="U16" s="3">
        <f t="shared" si="2"/>
        <v>0</v>
      </c>
      <c r="V16" s="3">
        <f t="shared" si="3"/>
        <v>14</v>
      </c>
      <c r="W16" s="3">
        <f t="shared" si="4"/>
        <v>14</v>
      </c>
      <c r="X16" s="3">
        <f t="shared" si="5"/>
        <v>14</v>
      </c>
      <c r="Y16" s="3">
        <f t="shared" si="6"/>
        <v>42</v>
      </c>
      <c r="Z16" s="3">
        <f t="shared" si="7"/>
        <v>14</v>
      </c>
      <c r="AA16" s="3">
        <f t="shared" si="8"/>
        <v>14</v>
      </c>
      <c r="AB16" s="3">
        <f t="shared" si="9"/>
        <v>42</v>
      </c>
      <c r="AC16" s="16">
        <f t="shared" si="10"/>
        <v>45671</v>
      </c>
      <c r="AD16" s="16">
        <f t="shared" si="11"/>
        <v>45666</v>
      </c>
      <c r="AE16" s="16">
        <f t="shared" si="12"/>
        <v>45659</v>
      </c>
      <c r="AF16" s="18">
        <f t="shared" ca="1" si="13"/>
        <v>-63</v>
      </c>
      <c r="AG16" s="18">
        <f t="shared" ca="1" si="14"/>
        <v>-64</v>
      </c>
      <c r="AH16" s="18">
        <f t="shared" ca="1" si="15"/>
        <v>-65</v>
      </c>
      <c r="AI16" s="53" t="e">
        <f>COUNTIFS('Profiles Tracker'!E:E,#REF!,'Profiles Tracker'!G:G,Q$1,'Profiles Tracker'!#REF!,"Week 14")</f>
        <v>#REF!</v>
      </c>
      <c r="AJ16" s="52" t="e">
        <f>COUNTIFS('Profiles Tracker'!E:E,#REF!,'Profiles Tracker'!G:G,Q$1,'Profiles Tracker'!#REF!,"Week 15")</f>
        <v>#REF!</v>
      </c>
      <c r="AK16" s="52" t="e">
        <f>COUNTIFS('Profiles Tracker'!E:E,#REF!,'Profiles Tracker'!G:G,Q$1,'Profiles Tracker'!#REF!,"Week 16")</f>
        <v>#REF!</v>
      </c>
      <c r="AL16" s="52" t="e">
        <f>COUNTIFS('Profiles Tracker'!E:E,#REF!,'Profiles Tracker'!G:G,Q$1,'Profiles Tracker'!#REF!,"Week 17")</f>
        <v>#REF!</v>
      </c>
      <c r="AM16" s="52" t="e">
        <f>COUNTIFS('Profiles Tracker'!E:E,#REF!,'Profiles Tracker'!G:G,Q$1,'Profiles Tracker'!#REF!,"Week 18")</f>
        <v>#REF!</v>
      </c>
    </row>
    <row r="17" spans="1:39">
      <c r="A17" s="3">
        <f t="shared" si="0"/>
        <v>16</v>
      </c>
      <c r="B17" s="17" t="s">
        <v>38</v>
      </c>
      <c r="C17" s="17" t="s">
        <v>100</v>
      </c>
      <c r="D17" s="17"/>
      <c r="E17" s="5">
        <v>45668</v>
      </c>
      <c r="F17" s="3" t="s">
        <v>101</v>
      </c>
      <c r="G17" s="3">
        <v>5</v>
      </c>
      <c r="H17" s="16">
        <v>45716</v>
      </c>
      <c r="I17" s="22" t="s">
        <v>102</v>
      </c>
      <c r="J17" s="3" t="s">
        <v>42</v>
      </c>
      <c r="K17" s="17" t="s">
        <v>103</v>
      </c>
      <c r="L17" s="17" t="s">
        <v>104</v>
      </c>
      <c r="M17" s="4" t="s">
        <v>45</v>
      </c>
      <c r="N17" s="3">
        <f>COUNTIFS('Profiles Tracker'!E:E,#REF!,'Profiles Tracker'!G:G,"Profile shared with Interviewer")</f>
        <v>0</v>
      </c>
      <c r="O17" s="3">
        <f>COUNTIFS('Profiles Tracker'!E:E,#REF!,'Profiles Tracker'!G:G,"Shortlisted for next round of interview")</f>
        <v>0</v>
      </c>
      <c r="P17" s="3">
        <f>COUNTIFS('Profiles Tracker'!E:E,#REF!,'Profiles Tracker'!G:G,P$1)</f>
        <v>0</v>
      </c>
      <c r="Q17" s="3">
        <f>COUNTIFS('Profiles Tracker'!E:E,#REF!,'Profiles Tracker'!G:G,Q$1)</f>
        <v>0</v>
      </c>
      <c r="R17" s="3">
        <f>COUNTIFS('Profiles Tracker'!E:E,#REF!,'Profiles Tracker'!G:G,R$1)</f>
        <v>0</v>
      </c>
      <c r="S17" s="3">
        <f>COUNTIFS('Profiles Tracker'!E:E,#REF!,'Profiles Tracker'!G:G,"Interview Done",'Profiles Tracker'!O:O,"Rejected")</f>
        <v>0</v>
      </c>
      <c r="T17" s="3">
        <f>COUNTIFS('Profiles Tracker'!E:E,#REF!,'Profiles Tracker'!G:G,T$1)</f>
        <v>0</v>
      </c>
      <c r="U17" s="3">
        <f t="shared" si="2"/>
        <v>0</v>
      </c>
      <c r="V17" s="3">
        <f t="shared" si="3"/>
        <v>5</v>
      </c>
      <c r="W17" s="3">
        <f t="shared" si="4"/>
        <v>5</v>
      </c>
      <c r="X17" s="3">
        <f t="shared" si="5"/>
        <v>5</v>
      </c>
      <c r="Y17" s="3">
        <f t="shared" si="6"/>
        <v>15</v>
      </c>
      <c r="Z17" s="3">
        <f t="shared" si="7"/>
        <v>5</v>
      </c>
      <c r="AA17" s="3">
        <f t="shared" si="8"/>
        <v>5</v>
      </c>
      <c r="AB17" s="3">
        <f t="shared" si="9"/>
        <v>15</v>
      </c>
      <c r="AC17" s="16">
        <f t="shared" si="10"/>
        <v>45656</v>
      </c>
      <c r="AD17" s="16">
        <f t="shared" si="11"/>
        <v>45651</v>
      </c>
      <c r="AE17" s="16">
        <f t="shared" si="12"/>
        <v>45644</v>
      </c>
      <c r="AF17" s="18">
        <f t="shared" ca="1" si="13"/>
        <v>-65</v>
      </c>
      <c r="AG17" s="18">
        <f t="shared" ca="1" si="14"/>
        <v>-66</v>
      </c>
      <c r="AH17" s="18">
        <f t="shared" ca="1" si="15"/>
        <v>-67</v>
      </c>
      <c r="AI17" s="53" t="e">
        <f>COUNTIFS('Profiles Tracker'!E:E,#REF!,'Profiles Tracker'!G:G,Q$1,'Profiles Tracker'!#REF!,"Week 14")</f>
        <v>#REF!</v>
      </c>
      <c r="AJ17" s="52" t="e">
        <f>COUNTIFS('Profiles Tracker'!E:E,#REF!,'Profiles Tracker'!G:G,Q$1,'Profiles Tracker'!#REF!,"Week 15")</f>
        <v>#REF!</v>
      </c>
      <c r="AK17" s="52" t="e">
        <f>COUNTIFS('Profiles Tracker'!E:E,#REF!,'Profiles Tracker'!G:G,Q$1,'Profiles Tracker'!#REF!,"Week 16")</f>
        <v>#REF!</v>
      </c>
      <c r="AL17" s="52" t="e">
        <f>COUNTIFS('Profiles Tracker'!E:E,#REF!,'Profiles Tracker'!G:G,Q$1,'Profiles Tracker'!#REF!,"Week 17")</f>
        <v>#REF!</v>
      </c>
      <c r="AM17" s="52" t="e">
        <f>COUNTIFS('Profiles Tracker'!E:E,#REF!,'Profiles Tracker'!G:G,Q$1,'Profiles Tracker'!#REF!,"Week 18")</f>
        <v>#REF!</v>
      </c>
    </row>
    <row r="18" spans="1:39">
      <c r="A18" s="3">
        <f t="shared" si="0"/>
        <v>17</v>
      </c>
      <c r="B18" s="17" t="s">
        <v>38</v>
      </c>
      <c r="C18" s="17" t="s">
        <v>100</v>
      </c>
      <c r="D18" s="17"/>
      <c r="E18" s="5">
        <v>45668</v>
      </c>
      <c r="F18" s="3" t="s">
        <v>105</v>
      </c>
      <c r="G18" s="3">
        <v>10</v>
      </c>
      <c r="H18" s="16">
        <v>45716</v>
      </c>
      <c r="I18" s="22" t="s">
        <v>102</v>
      </c>
      <c r="J18" s="3" t="s">
        <v>42</v>
      </c>
      <c r="K18" s="17" t="s">
        <v>106</v>
      </c>
      <c r="L18" s="17" t="s">
        <v>107</v>
      </c>
      <c r="M18" s="4" t="s">
        <v>68</v>
      </c>
      <c r="N18" s="3">
        <f>COUNTIFS('Profiles Tracker'!E:E,#REF!,'Profiles Tracker'!G:G,"Profile shared with Interviewer")</f>
        <v>0</v>
      </c>
      <c r="O18" s="3">
        <f>COUNTIFS('Profiles Tracker'!E:E,#REF!,'Profiles Tracker'!G:G,"Shortlisted for next round of interview")</f>
        <v>0</v>
      </c>
      <c r="P18" s="3">
        <f>COUNTIFS('Profiles Tracker'!E:E,#REF!,'Profiles Tracker'!G:G,P$1)</f>
        <v>0</v>
      </c>
      <c r="Q18" s="3">
        <f>COUNTIFS('Profiles Tracker'!E:E,#REF!,'Profiles Tracker'!G:G,Q$1)</f>
        <v>0</v>
      </c>
      <c r="R18" s="3">
        <f>COUNTIFS('Profiles Tracker'!E:E,#REF!,'Profiles Tracker'!G:G,R$1)</f>
        <v>0</v>
      </c>
      <c r="S18" s="3">
        <f>COUNTIFS('Profiles Tracker'!E:E,#REF!,'Profiles Tracker'!G:G,"Interview Done",'Profiles Tracker'!O:O,"Rejected")</f>
        <v>0</v>
      </c>
      <c r="T18" s="3">
        <f>COUNTIFS('Profiles Tracker'!E:E,#REF!,'Profiles Tracker'!G:G,T$1)</f>
        <v>0</v>
      </c>
      <c r="U18" s="3">
        <f t="shared" si="2"/>
        <v>0</v>
      </c>
      <c r="V18" s="3">
        <f t="shared" si="3"/>
        <v>10</v>
      </c>
      <c r="W18" s="3">
        <f t="shared" si="4"/>
        <v>10</v>
      </c>
      <c r="X18" s="3">
        <f t="shared" si="5"/>
        <v>10</v>
      </c>
      <c r="Y18" s="3">
        <f t="shared" si="6"/>
        <v>30</v>
      </c>
      <c r="Z18" s="3">
        <f t="shared" si="7"/>
        <v>10</v>
      </c>
      <c r="AA18" s="3">
        <f t="shared" si="8"/>
        <v>10</v>
      </c>
      <c r="AB18" s="3">
        <f t="shared" si="9"/>
        <v>30</v>
      </c>
      <c r="AC18" s="16">
        <f t="shared" si="10"/>
        <v>45671</v>
      </c>
      <c r="AD18" s="16">
        <f t="shared" si="11"/>
        <v>45666</v>
      </c>
      <c r="AE18" s="16">
        <f t="shared" si="12"/>
        <v>45659</v>
      </c>
      <c r="AF18" s="18">
        <f t="shared" ca="1" si="13"/>
        <v>-63</v>
      </c>
      <c r="AG18" s="18">
        <f t="shared" ca="1" si="14"/>
        <v>-64</v>
      </c>
      <c r="AH18" s="18">
        <f t="shared" ca="1" si="15"/>
        <v>-65</v>
      </c>
      <c r="AI18" s="53" t="e">
        <f>COUNTIFS('Profiles Tracker'!E:E,#REF!,'Profiles Tracker'!G:G,Q$1,'Profiles Tracker'!#REF!,"Week 14")</f>
        <v>#REF!</v>
      </c>
      <c r="AJ18" s="52" t="e">
        <f>COUNTIFS('Profiles Tracker'!E:E,#REF!,'Profiles Tracker'!G:G,Q$1,'Profiles Tracker'!#REF!,"Week 15")</f>
        <v>#REF!</v>
      </c>
      <c r="AK18" s="52" t="e">
        <f>COUNTIFS('Profiles Tracker'!E:E,#REF!,'Profiles Tracker'!G:G,Q$1,'Profiles Tracker'!#REF!,"Week 16")</f>
        <v>#REF!</v>
      </c>
      <c r="AL18" s="52" t="e">
        <f>COUNTIFS('Profiles Tracker'!E:E,#REF!,'Profiles Tracker'!G:G,Q$1,'Profiles Tracker'!#REF!,"Week 17")</f>
        <v>#REF!</v>
      </c>
      <c r="AM18" s="52" t="e">
        <f>COUNTIFS('Profiles Tracker'!E:E,#REF!,'Profiles Tracker'!G:G,Q$1,'Profiles Tracker'!#REF!,"Week 18")</f>
        <v>#REF!</v>
      </c>
    </row>
    <row r="19" spans="1:39">
      <c r="A19" s="3">
        <f t="shared" si="0"/>
        <v>18</v>
      </c>
      <c r="B19" s="17" t="s">
        <v>38</v>
      </c>
      <c r="C19" s="17" t="s">
        <v>100</v>
      </c>
      <c r="D19" s="17"/>
      <c r="E19" s="5">
        <v>45668</v>
      </c>
      <c r="F19" s="3" t="s">
        <v>108</v>
      </c>
      <c r="G19" s="3">
        <v>23</v>
      </c>
      <c r="H19" s="16">
        <v>45716</v>
      </c>
      <c r="I19" s="22" t="s">
        <v>102</v>
      </c>
      <c r="J19" s="3" t="s">
        <v>42</v>
      </c>
      <c r="K19" s="17" t="s">
        <v>109</v>
      </c>
      <c r="L19" s="17" t="s">
        <v>110</v>
      </c>
      <c r="M19" s="4" t="s">
        <v>68</v>
      </c>
      <c r="N19" s="3">
        <f>COUNTIFS('Profiles Tracker'!E:E,#REF!,'Profiles Tracker'!G:G,"Profile shared with Interviewer")</f>
        <v>0</v>
      </c>
      <c r="O19" s="3">
        <f>COUNTIFS('Profiles Tracker'!E:E,#REF!,'Profiles Tracker'!G:G,"Shortlisted for next round of interview")</f>
        <v>0</v>
      </c>
      <c r="P19" s="3">
        <f>COUNTIFS('Profiles Tracker'!E:E,#REF!,'Profiles Tracker'!G:G,P$1)</f>
        <v>0</v>
      </c>
      <c r="Q19" s="3">
        <f>COUNTIFS('Profiles Tracker'!E:E,#REF!,'Profiles Tracker'!G:G,Q$1)</f>
        <v>0</v>
      </c>
      <c r="R19" s="3">
        <f>COUNTIFS('Profiles Tracker'!E:E,#REF!,'Profiles Tracker'!G:G,R$1)</f>
        <v>0</v>
      </c>
      <c r="S19" s="3">
        <f>COUNTIFS('Profiles Tracker'!E:E,#REF!,'Profiles Tracker'!G:G,"Interview Done",'Profiles Tracker'!O:O,"Rejected")</f>
        <v>0</v>
      </c>
      <c r="T19" s="3">
        <f>COUNTIFS('Profiles Tracker'!E:E,#REF!,'Profiles Tracker'!G:G,T$1)</f>
        <v>0</v>
      </c>
      <c r="U19" s="3">
        <f t="shared" si="2"/>
        <v>0</v>
      </c>
      <c r="V19" s="3">
        <f t="shared" si="3"/>
        <v>23</v>
      </c>
      <c r="W19" s="3">
        <f t="shared" si="4"/>
        <v>23</v>
      </c>
      <c r="X19" s="3">
        <f t="shared" si="5"/>
        <v>23</v>
      </c>
      <c r="Y19" s="3">
        <f t="shared" si="6"/>
        <v>69</v>
      </c>
      <c r="Z19" s="3">
        <f t="shared" si="7"/>
        <v>23</v>
      </c>
      <c r="AA19" s="3">
        <f t="shared" si="8"/>
        <v>23</v>
      </c>
      <c r="AB19" s="3">
        <f t="shared" si="9"/>
        <v>69</v>
      </c>
      <c r="AC19" s="16">
        <f t="shared" si="10"/>
        <v>45671</v>
      </c>
      <c r="AD19" s="16">
        <f t="shared" si="11"/>
        <v>45666</v>
      </c>
      <c r="AE19" s="16">
        <f t="shared" si="12"/>
        <v>45659</v>
      </c>
      <c r="AF19" s="18">
        <f t="shared" ca="1" si="13"/>
        <v>-63</v>
      </c>
      <c r="AG19" s="18">
        <f t="shared" ca="1" si="14"/>
        <v>-64</v>
      </c>
      <c r="AH19" s="18">
        <f t="shared" ca="1" si="15"/>
        <v>-65</v>
      </c>
      <c r="AI19" s="53" t="e">
        <f>COUNTIFS('Profiles Tracker'!E:E,#REF!,'Profiles Tracker'!G:G,Q$1,'Profiles Tracker'!#REF!,"Week 14")</f>
        <v>#REF!</v>
      </c>
      <c r="AJ19" s="52" t="e">
        <f>COUNTIFS('Profiles Tracker'!E:E,#REF!,'Profiles Tracker'!G:G,Q$1,'Profiles Tracker'!#REF!,"Week 15")</f>
        <v>#REF!</v>
      </c>
      <c r="AK19" s="52" t="e">
        <f>COUNTIFS('Profiles Tracker'!E:E,#REF!,'Profiles Tracker'!G:G,Q$1,'Profiles Tracker'!#REF!,"Week 16")</f>
        <v>#REF!</v>
      </c>
      <c r="AL19" s="52" t="e">
        <f>COUNTIFS('Profiles Tracker'!E:E,#REF!,'Profiles Tracker'!G:G,Q$1,'Profiles Tracker'!#REF!,"Week 17")</f>
        <v>#REF!</v>
      </c>
      <c r="AM19" s="52" t="e">
        <f>COUNTIFS('Profiles Tracker'!E:E,#REF!,'Profiles Tracker'!G:G,Q$1,'Profiles Tracker'!#REF!,"Week 18")</f>
        <v>#REF!</v>
      </c>
    </row>
    <row r="20" spans="1:39">
      <c r="A20" s="3">
        <f t="shared" si="0"/>
        <v>19</v>
      </c>
      <c r="B20" s="17" t="s">
        <v>38</v>
      </c>
      <c r="C20" s="17" t="s">
        <v>100</v>
      </c>
      <c r="D20" s="17"/>
      <c r="E20" s="5">
        <v>45668</v>
      </c>
      <c r="F20" s="3" t="s">
        <v>111</v>
      </c>
      <c r="G20" s="3">
        <v>18</v>
      </c>
      <c r="H20" s="16">
        <v>45716</v>
      </c>
      <c r="I20" s="22" t="s">
        <v>102</v>
      </c>
      <c r="J20" s="3" t="s">
        <v>42</v>
      </c>
      <c r="K20" s="17" t="s">
        <v>112</v>
      </c>
      <c r="L20" s="17" t="s">
        <v>113</v>
      </c>
      <c r="M20" s="4" t="s">
        <v>68</v>
      </c>
      <c r="N20" s="3">
        <f>COUNTIFS('Profiles Tracker'!E:E,#REF!,'Profiles Tracker'!G:G,"Profile shared with Interviewer")</f>
        <v>0</v>
      </c>
      <c r="O20" s="3">
        <f>COUNTIFS('Profiles Tracker'!E:E,#REF!,'Profiles Tracker'!G:G,"Shortlisted for next round of interview")</f>
        <v>0</v>
      </c>
      <c r="P20" s="3">
        <f>COUNTIFS('Profiles Tracker'!E:E,#REF!,'Profiles Tracker'!G:G,P$1)</f>
        <v>0</v>
      </c>
      <c r="Q20" s="3">
        <f>COUNTIFS('Profiles Tracker'!E:E,#REF!,'Profiles Tracker'!G:G,Q$1)</f>
        <v>0</v>
      </c>
      <c r="R20" s="3">
        <f>COUNTIFS('Profiles Tracker'!E:E,#REF!,'Profiles Tracker'!G:G,R$1)</f>
        <v>0</v>
      </c>
      <c r="S20" s="3">
        <f>COUNTIFS('Profiles Tracker'!E:E,#REF!,'Profiles Tracker'!G:G,"Interview Done",'Profiles Tracker'!O:O,"Rejected")</f>
        <v>0</v>
      </c>
      <c r="T20" s="3">
        <f>COUNTIFS('Profiles Tracker'!E:E,#REF!,'Profiles Tracker'!G:G,T$1)</f>
        <v>0</v>
      </c>
      <c r="U20" s="3">
        <f t="shared" si="2"/>
        <v>0</v>
      </c>
      <c r="V20" s="3">
        <f t="shared" si="3"/>
        <v>18</v>
      </c>
      <c r="W20" s="3">
        <f t="shared" si="4"/>
        <v>18</v>
      </c>
      <c r="X20" s="3">
        <f t="shared" si="5"/>
        <v>18</v>
      </c>
      <c r="Y20" s="3">
        <f t="shared" si="6"/>
        <v>54</v>
      </c>
      <c r="Z20" s="3">
        <f t="shared" si="7"/>
        <v>18</v>
      </c>
      <c r="AA20" s="3">
        <f t="shared" si="8"/>
        <v>18</v>
      </c>
      <c r="AB20" s="3">
        <f t="shared" si="9"/>
        <v>54</v>
      </c>
      <c r="AC20" s="16">
        <f t="shared" si="10"/>
        <v>45671</v>
      </c>
      <c r="AD20" s="16">
        <f t="shared" si="11"/>
        <v>45666</v>
      </c>
      <c r="AE20" s="16">
        <f t="shared" si="12"/>
        <v>45659</v>
      </c>
      <c r="AF20" s="18">
        <f t="shared" ca="1" si="13"/>
        <v>-63</v>
      </c>
      <c r="AG20" s="18">
        <f t="shared" ca="1" si="14"/>
        <v>-64</v>
      </c>
      <c r="AH20" s="18">
        <f t="shared" ca="1" si="15"/>
        <v>-65</v>
      </c>
      <c r="AI20" s="53" t="e">
        <f>COUNTIFS('Profiles Tracker'!E:E,#REF!,'Profiles Tracker'!G:G,Q$1,'Profiles Tracker'!#REF!,"Week 14")</f>
        <v>#REF!</v>
      </c>
      <c r="AJ20" s="52" t="e">
        <f>COUNTIFS('Profiles Tracker'!E:E,#REF!,'Profiles Tracker'!G:G,Q$1,'Profiles Tracker'!#REF!,"Week 15")</f>
        <v>#REF!</v>
      </c>
      <c r="AK20" s="52" t="e">
        <f>COUNTIFS('Profiles Tracker'!E:E,#REF!,'Profiles Tracker'!G:G,Q$1,'Profiles Tracker'!#REF!,"Week 16")</f>
        <v>#REF!</v>
      </c>
      <c r="AL20" s="52" t="e">
        <f>COUNTIFS('Profiles Tracker'!E:E,#REF!,'Profiles Tracker'!G:G,Q$1,'Profiles Tracker'!#REF!,"Week 17")</f>
        <v>#REF!</v>
      </c>
      <c r="AM20" s="52" t="e">
        <f>COUNTIFS('Profiles Tracker'!E:E,#REF!,'Profiles Tracker'!G:G,Q$1,'Profiles Tracker'!#REF!,"Week 18")</f>
        <v>#REF!</v>
      </c>
    </row>
    <row r="21" spans="1:39">
      <c r="A21" s="3">
        <f t="shared" si="0"/>
        <v>20</v>
      </c>
      <c r="B21" s="17" t="s">
        <v>38</v>
      </c>
      <c r="C21" s="17" t="s">
        <v>114</v>
      </c>
      <c r="D21" s="17"/>
      <c r="E21" s="5">
        <v>45668</v>
      </c>
      <c r="F21" s="3" t="s">
        <v>115</v>
      </c>
      <c r="G21" s="3">
        <v>1</v>
      </c>
      <c r="H21" s="16">
        <v>45716</v>
      </c>
      <c r="I21" s="3" t="s">
        <v>116</v>
      </c>
      <c r="J21" s="3" t="s">
        <v>42</v>
      </c>
      <c r="K21" s="17" t="s">
        <v>117</v>
      </c>
      <c r="L21" s="17" t="s">
        <v>118</v>
      </c>
      <c r="M21" s="4" t="s">
        <v>45</v>
      </c>
      <c r="N21" s="3">
        <f>COUNTIFS('Profiles Tracker'!E:E,#REF!,'Profiles Tracker'!G:G,"Profile shared with Interviewer")</f>
        <v>0</v>
      </c>
      <c r="O21" s="3">
        <f>COUNTIFS('Profiles Tracker'!E:E,#REF!,'Profiles Tracker'!G:G,"Shortlisted for next round of interview")</f>
        <v>0</v>
      </c>
      <c r="P21" s="3">
        <f>COUNTIFS('Profiles Tracker'!E:E,#REF!,'Profiles Tracker'!G:G,P$1)</f>
        <v>0</v>
      </c>
      <c r="Q21" s="3">
        <f>COUNTIFS('Profiles Tracker'!E:E,#REF!,'Profiles Tracker'!G:G,Q$1)</f>
        <v>0</v>
      </c>
      <c r="R21" s="3">
        <f>COUNTIFS('Profiles Tracker'!E:E,#REF!,'Profiles Tracker'!G:G,R$1)</f>
        <v>0</v>
      </c>
      <c r="S21" s="3">
        <f>COUNTIFS('Profiles Tracker'!E:E,#REF!,'Profiles Tracker'!G:G,"Interview Done",'Profiles Tracker'!O:O,"Rejected")</f>
        <v>0</v>
      </c>
      <c r="T21" s="3">
        <f>COUNTIFS('Profiles Tracker'!E:E,#REF!,'Profiles Tracker'!G:G,T$1)</f>
        <v>0</v>
      </c>
      <c r="U21" s="3">
        <f t="shared" si="2"/>
        <v>0</v>
      </c>
      <c r="V21" s="3">
        <f t="shared" si="3"/>
        <v>1</v>
      </c>
      <c r="W21" s="3">
        <f t="shared" si="4"/>
        <v>1</v>
      </c>
      <c r="X21" s="3">
        <f t="shared" si="5"/>
        <v>1</v>
      </c>
      <c r="Y21" s="3">
        <f t="shared" si="6"/>
        <v>3</v>
      </c>
      <c r="Z21" s="3">
        <f t="shared" si="7"/>
        <v>1</v>
      </c>
      <c r="AA21" s="3">
        <f t="shared" si="8"/>
        <v>1</v>
      </c>
      <c r="AB21" s="3">
        <f t="shared" si="9"/>
        <v>3</v>
      </c>
      <c r="AC21" s="16">
        <f t="shared" si="10"/>
        <v>45656</v>
      </c>
      <c r="AD21" s="16">
        <f t="shared" si="11"/>
        <v>45651</v>
      </c>
      <c r="AE21" s="16">
        <f t="shared" si="12"/>
        <v>45644</v>
      </c>
      <c r="AF21" s="18">
        <f t="shared" ca="1" si="13"/>
        <v>-65</v>
      </c>
      <c r="AG21" s="18">
        <f t="shared" ca="1" si="14"/>
        <v>-66</v>
      </c>
      <c r="AH21" s="18">
        <f t="shared" ca="1" si="15"/>
        <v>-67</v>
      </c>
      <c r="AI21" s="53" t="e">
        <f>COUNTIFS('Profiles Tracker'!E:E,#REF!,'Profiles Tracker'!G:G,Q$1,'Profiles Tracker'!#REF!,"Week 14")</f>
        <v>#REF!</v>
      </c>
      <c r="AJ21" s="52" t="e">
        <f>COUNTIFS('Profiles Tracker'!E:E,#REF!,'Profiles Tracker'!G:G,Q$1,'Profiles Tracker'!#REF!,"Week 15")</f>
        <v>#REF!</v>
      </c>
      <c r="AK21" s="52" t="e">
        <f>COUNTIFS('Profiles Tracker'!E:E,#REF!,'Profiles Tracker'!G:G,Q$1,'Profiles Tracker'!#REF!,"Week 16")</f>
        <v>#REF!</v>
      </c>
      <c r="AL21" s="52" t="e">
        <f>COUNTIFS('Profiles Tracker'!E:E,#REF!,'Profiles Tracker'!G:G,Q$1,'Profiles Tracker'!#REF!,"Week 17")</f>
        <v>#REF!</v>
      </c>
      <c r="AM21" s="52" t="e">
        <f>COUNTIFS('Profiles Tracker'!E:E,#REF!,'Profiles Tracker'!G:G,Q$1,'Profiles Tracker'!#REF!,"Week 18")</f>
        <v>#REF!</v>
      </c>
    </row>
    <row r="22" spans="1:39">
      <c r="A22" s="3">
        <f t="shared" si="0"/>
        <v>21</v>
      </c>
      <c r="B22" s="17" t="s">
        <v>38</v>
      </c>
      <c r="C22" s="17" t="s">
        <v>114</v>
      </c>
      <c r="D22" s="17"/>
      <c r="E22" s="5">
        <v>45668</v>
      </c>
      <c r="F22" s="3" t="s">
        <v>119</v>
      </c>
      <c r="G22" s="3">
        <v>8</v>
      </c>
      <c r="H22" s="16">
        <v>45716</v>
      </c>
      <c r="I22" s="3" t="s">
        <v>116</v>
      </c>
      <c r="J22" s="3" t="s">
        <v>42</v>
      </c>
      <c r="K22" s="17" t="s">
        <v>120</v>
      </c>
      <c r="L22" s="17" t="s">
        <v>121</v>
      </c>
      <c r="M22" s="4" t="s">
        <v>45</v>
      </c>
      <c r="N22" s="3">
        <f>COUNTIFS('Profiles Tracker'!E:E,#REF!,'Profiles Tracker'!G:G,"Profile shared with Interviewer")</f>
        <v>0</v>
      </c>
      <c r="O22" s="3">
        <f>COUNTIFS('Profiles Tracker'!E:E,#REF!,'Profiles Tracker'!G:G,"Shortlisted for next round of interview")</f>
        <v>0</v>
      </c>
      <c r="P22" s="3">
        <f>COUNTIFS('Profiles Tracker'!E:E,#REF!,'Profiles Tracker'!G:G,P$1)</f>
        <v>0</v>
      </c>
      <c r="Q22" s="3">
        <f>COUNTIFS('Profiles Tracker'!E:E,#REF!,'Profiles Tracker'!G:G,Q$1)</f>
        <v>0</v>
      </c>
      <c r="R22" s="3">
        <f>COUNTIFS('Profiles Tracker'!E:E,#REF!,'Profiles Tracker'!G:G,R$1)</f>
        <v>0</v>
      </c>
      <c r="S22" s="3">
        <f>COUNTIFS('Profiles Tracker'!E:E,#REF!,'Profiles Tracker'!G:G,"Interview Done",'Profiles Tracker'!O:O,"Rejected")</f>
        <v>0</v>
      </c>
      <c r="T22" s="3">
        <f>COUNTIFS('Profiles Tracker'!E:E,#REF!,'Profiles Tracker'!G:G,T$1)</f>
        <v>0</v>
      </c>
      <c r="U22" s="3">
        <f t="shared" si="2"/>
        <v>0</v>
      </c>
      <c r="V22" s="3">
        <f t="shared" si="3"/>
        <v>8</v>
      </c>
      <c r="W22" s="3">
        <f t="shared" si="4"/>
        <v>8</v>
      </c>
      <c r="X22" s="3">
        <f t="shared" si="5"/>
        <v>8</v>
      </c>
      <c r="Y22" s="3">
        <f t="shared" si="6"/>
        <v>24</v>
      </c>
      <c r="Z22" s="3">
        <f t="shared" si="7"/>
        <v>8</v>
      </c>
      <c r="AA22" s="3">
        <f t="shared" si="8"/>
        <v>8</v>
      </c>
      <c r="AB22" s="3">
        <f t="shared" si="9"/>
        <v>24</v>
      </c>
      <c r="AC22" s="16">
        <f t="shared" si="10"/>
        <v>45656</v>
      </c>
      <c r="AD22" s="16">
        <f t="shared" si="11"/>
        <v>45651</v>
      </c>
      <c r="AE22" s="16">
        <f t="shared" si="12"/>
        <v>45644</v>
      </c>
      <c r="AF22" s="18">
        <f t="shared" ca="1" si="13"/>
        <v>-65</v>
      </c>
      <c r="AG22" s="18">
        <f t="shared" ca="1" si="14"/>
        <v>-66</v>
      </c>
      <c r="AH22" s="18">
        <f t="shared" ca="1" si="15"/>
        <v>-67</v>
      </c>
      <c r="AI22" s="53" t="e">
        <f>COUNTIFS('Profiles Tracker'!E:E,#REF!,'Profiles Tracker'!G:G,Q$1,'Profiles Tracker'!#REF!,"Week 14")</f>
        <v>#REF!</v>
      </c>
      <c r="AJ22" s="52" t="e">
        <f>COUNTIFS('Profiles Tracker'!E:E,#REF!,'Profiles Tracker'!G:G,Q$1,'Profiles Tracker'!#REF!,"Week 15")</f>
        <v>#REF!</v>
      </c>
      <c r="AK22" s="52" t="e">
        <f>COUNTIFS('Profiles Tracker'!E:E,#REF!,'Profiles Tracker'!G:G,Q$1,'Profiles Tracker'!#REF!,"Week 16")</f>
        <v>#REF!</v>
      </c>
      <c r="AL22" s="52" t="e">
        <f>COUNTIFS('Profiles Tracker'!E:E,#REF!,'Profiles Tracker'!G:G,Q$1,'Profiles Tracker'!#REF!,"Week 17")</f>
        <v>#REF!</v>
      </c>
      <c r="AM22" s="52" t="e">
        <f>COUNTIFS('Profiles Tracker'!E:E,#REF!,'Profiles Tracker'!G:G,Q$1,'Profiles Tracker'!#REF!,"Week 18")</f>
        <v>#REF!</v>
      </c>
    </row>
    <row r="23" spans="1:39">
      <c r="A23" s="3">
        <f t="shared" si="0"/>
        <v>22</v>
      </c>
      <c r="B23" s="17" t="s">
        <v>38</v>
      </c>
      <c r="C23" s="17" t="s">
        <v>114</v>
      </c>
      <c r="D23" s="17"/>
      <c r="E23" s="5">
        <v>45668</v>
      </c>
      <c r="F23" s="3" t="s">
        <v>122</v>
      </c>
      <c r="G23" s="3">
        <v>18</v>
      </c>
      <c r="H23" s="16">
        <v>45716</v>
      </c>
      <c r="I23" s="3" t="s">
        <v>116</v>
      </c>
      <c r="J23" s="3" t="s">
        <v>42</v>
      </c>
      <c r="K23" s="17" t="s">
        <v>123</v>
      </c>
      <c r="L23" s="17" t="s">
        <v>124</v>
      </c>
      <c r="M23" s="4" t="s">
        <v>68</v>
      </c>
      <c r="N23" s="3">
        <f>COUNTIFS('Profiles Tracker'!E:E,#REF!,'Profiles Tracker'!G:G,"Profile shared with Interviewer")</f>
        <v>0</v>
      </c>
      <c r="O23" s="3">
        <f>COUNTIFS('Profiles Tracker'!E:E,#REF!,'Profiles Tracker'!G:G,"Shortlisted for next round of interview")</f>
        <v>0</v>
      </c>
      <c r="P23" s="3">
        <f>COUNTIFS('Profiles Tracker'!E:E,#REF!,'Profiles Tracker'!G:G,P$1)</f>
        <v>0</v>
      </c>
      <c r="Q23" s="3">
        <f>COUNTIFS('Profiles Tracker'!E:E,#REF!,'Profiles Tracker'!G:G,Q$1)</f>
        <v>0</v>
      </c>
      <c r="R23" s="3">
        <f>COUNTIFS('Profiles Tracker'!E:E,#REF!,'Profiles Tracker'!G:G,R$1)</f>
        <v>0</v>
      </c>
      <c r="S23" s="3">
        <f>COUNTIFS('Profiles Tracker'!E:E,#REF!,'Profiles Tracker'!G:G,"Interview Done",'Profiles Tracker'!O:O,"Rejected")</f>
        <v>0</v>
      </c>
      <c r="T23" s="3">
        <f>COUNTIFS('Profiles Tracker'!E:E,#REF!,'Profiles Tracker'!G:G,T$1)</f>
        <v>0</v>
      </c>
      <c r="U23" s="3">
        <f t="shared" si="2"/>
        <v>0</v>
      </c>
      <c r="V23" s="3">
        <f t="shared" si="3"/>
        <v>18</v>
      </c>
      <c r="W23" s="3">
        <f t="shared" si="4"/>
        <v>18</v>
      </c>
      <c r="X23" s="3">
        <f t="shared" si="5"/>
        <v>18</v>
      </c>
      <c r="Y23" s="3">
        <f t="shared" si="6"/>
        <v>54</v>
      </c>
      <c r="Z23" s="3">
        <f t="shared" si="7"/>
        <v>18</v>
      </c>
      <c r="AA23" s="3">
        <f t="shared" si="8"/>
        <v>18</v>
      </c>
      <c r="AB23" s="3">
        <f t="shared" si="9"/>
        <v>54</v>
      </c>
      <c r="AC23" s="16">
        <f t="shared" si="10"/>
        <v>45671</v>
      </c>
      <c r="AD23" s="16">
        <f t="shared" si="11"/>
        <v>45666</v>
      </c>
      <c r="AE23" s="16">
        <f t="shared" si="12"/>
        <v>45659</v>
      </c>
      <c r="AF23" s="18">
        <f t="shared" ca="1" si="13"/>
        <v>-63</v>
      </c>
      <c r="AG23" s="18">
        <f t="shared" ca="1" si="14"/>
        <v>-64</v>
      </c>
      <c r="AH23" s="18">
        <f t="shared" ca="1" si="15"/>
        <v>-65</v>
      </c>
      <c r="AI23" s="53" t="e">
        <f>COUNTIFS('Profiles Tracker'!E:E,#REF!,'Profiles Tracker'!G:G,Q$1,'Profiles Tracker'!#REF!,"Week 14")</f>
        <v>#REF!</v>
      </c>
      <c r="AJ23" s="52" t="e">
        <f>COUNTIFS('Profiles Tracker'!E:E,#REF!,'Profiles Tracker'!G:G,Q$1,'Profiles Tracker'!#REF!,"Week 15")</f>
        <v>#REF!</v>
      </c>
      <c r="AK23" s="52" t="e">
        <f>COUNTIFS('Profiles Tracker'!E:E,#REF!,'Profiles Tracker'!G:G,Q$1,'Profiles Tracker'!#REF!,"Week 16")</f>
        <v>#REF!</v>
      </c>
      <c r="AL23" s="52" t="e">
        <f>COUNTIFS('Profiles Tracker'!E:E,#REF!,'Profiles Tracker'!G:G,Q$1,'Profiles Tracker'!#REF!,"Week 17")</f>
        <v>#REF!</v>
      </c>
      <c r="AM23" s="52" t="e">
        <f>COUNTIFS('Profiles Tracker'!E:E,#REF!,'Profiles Tracker'!G:G,Q$1,'Profiles Tracker'!#REF!,"Week 18")</f>
        <v>#REF!</v>
      </c>
    </row>
    <row r="24" spans="1:39">
      <c r="A24" s="3">
        <f t="shared" si="0"/>
        <v>23</v>
      </c>
      <c r="B24" s="17" t="s">
        <v>38</v>
      </c>
      <c r="C24" s="17" t="s">
        <v>114</v>
      </c>
      <c r="D24" s="17"/>
      <c r="E24" s="5">
        <v>45668</v>
      </c>
      <c r="F24" s="3" t="s">
        <v>125</v>
      </c>
      <c r="G24" s="3">
        <v>20</v>
      </c>
      <c r="H24" s="16">
        <v>45716</v>
      </c>
      <c r="I24" s="3" t="s">
        <v>116</v>
      </c>
      <c r="J24" s="3" t="s">
        <v>42</v>
      </c>
      <c r="K24" s="17" t="s">
        <v>126</v>
      </c>
      <c r="L24" s="17" t="s">
        <v>127</v>
      </c>
      <c r="M24" s="4" t="s">
        <v>68</v>
      </c>
      <c r="N24" s="3">
        <f>COUNTIFS('Profiles Tracker'!E:E,#REF!,'Profiles Tracker'!G:G,"Profile shared with Interviewer")</f>
        <v>0</v>
      </c>
      <c r="O24" s="3">
        <f>COUNTIFS('Profiles Tracker'!E:E,#REF!,'Profiles Tracker'!G:G,"Shortlisted for next round of interview")</f>
        <v>0</v>
      </c>
      <c r="P24" s="3">
        <f>COUNTIFS('Profiles Tracker'!E:E,#REF!,'Profiles Tracker'!G:G,P$1)</f>
        <v>0</v>
      </c>
      <c r="Q24" s="3">
        <f>COUNTIFS('Profiles Tracker'!E:E,#REF!,'Profiles Tracker'!G:G,Q$1)</f>
        <v>0</v>
      </c>
      <c r="R24" s="3">
        <f>COUNTIFS('Profiles Tracker'!E:E,#REF!,'Profiles Tracker'!G:G,R$1)</f>
        <v>0</v>
      </c>
      <c r="S24" s="3">
        <f>COUNTIFS('Profiles Tracker'!E:E,#REF!,'Profiles Tracker'!G:G,"Interview Done",'Profiles Tracker'!O:O,"Rejected")</f>
        <v>0</v>
      </c>
      <c r="T24" s="3">
        <f>COUNTIFS('Profiles Tracker'!E:E,#REF!,'Profiles Tracker'!G:G,T$1)</f>
        <v>0</v>
      </c>
      <c r="U24" s="3">
        <f t="shared" si="2"/>
        <v>0</v>
      </c>
      <c r="V24" s="3">
        <f t="shared" si="3"/>
        <v>20</v>
      </c>
      <c r="W24" s="3">
        <f t="shared" si="4"/>
        <v>20</v>
      </c>
      <c r="X24" s="3">
        <f t="shared" si="5"/>
        <v>20</v>
      </c>
      <c r="Y24" s="3">
        <f t="shared" si="6"/>
        <v>60</v>
      </c>
      <c r="Z24" s="3">
        <f t="shared" si="7"/>
        <v>20</v>
      </c>
      <c r="AA24" s="3">
        <f t="shared" si="8"/>
        <v>20</v>
      </c>
      <c r="AB24" s="3">
        <f t="shared" si="9"/>
        <v>60</v>
      </c>
      <c r="AC24" s="16">
        <f t="shared" si="10"/>
        <v>45671</v>
      </c>
      <c r="AD24" s="16">
        <f t="shared" si="11"/>
        <v>45666</v>
      </c>
      <c r="AE24" s="16">
        <f t="shared" si="12"/>
        <v>45659</v>
      </c>
      <c r="AF24" s="18">
        <f t="shared" ca="1" si="13"/>
        <v>-63</v>
      </c>
      <c r="AG24" s="18">
        <f t="shared" ca="1" si="14"/>
        <v>-64</v>
      </c>
      <c r="AH24" s="18">
        <f t="shared" ca="1" si="15"/>
        <v>-65</v>
      </c>
      <c r="AI24" s="53" t="e">
        <f>COUNTIFS('Profiles Tracker'!E:E,#REF!,'Profiles Tracker'!G:G,Q$1,'Profiles Tracker'!#REF!,"Week 14")</f>
        <v>#REF!</v>
      </c>
      <c r="AJ24" s="52" t="e">
        <f>COUNTIFS('Profiles Tracker'!E:E,#REF!,'Profiles Tracker'!G:G,Q$1,'Profiles Tracker'!#REF!,"Week 15")</f>
        <v>#REF!</v>
      </c>
      <c r="AK24" s="52" t="e">
        <f>COUNTIFS('Profiles Tracker'!E:E,#REF!,'Profiles Tracker'!G:G,Q$1,'Profiles Tracker'!#REF!,"Week 16")</f>
        <v>#REF!</v>
      </c>
      <c r="AL24" s="52" t="e">
        <f>COUNTIFS('Profiles Tracker'!E:E,#REF!,'Profiles Tracker'!G:G,Q$1,'Profiles Tracker'!#REF!,"Week 17")</f>
        <v>#REF!</v>
      </c>
      <c r="AM24" s="52" t="e">
        <f>COUNTIFS('Profiles Tracker'!E:E,#REF!,'Profiles Tracker'!G:G,Q$1,'Profiles Tracker'!#REF!,"Week 18")</f>
        <v>#REF!</v>
      </c>
    </row>
    <row r="25" spans="1:39">
      <c r="A25" s="3">
        <f t="shared" si="0"/>
        <v>24</v>
      </c>
      <c r="B25" s="17" t="s">
        <v>38</v>
      </c>
      <c r="C25" s="17" t="s">
        <v>128</v>
      </c>
      <c r="D25" s="17"/>
      <c r="E25" s="5">
        <v>45668</v>
      </c>
      <c r="F25" s="3" t="s">
        <v>129</v>
      </c>
      <c r="G25" s="3">
        <v>1</v>
      </c>
      <c r="H25" s="16">
        <v>45716</v>
      </c>
      <c r="I25" s="1" t="s">
        <v>130</v>
      </c>
      <c r="J25" s="3" t="s">
        <v>42</v>
      </c>
      <c r="K25" s="17" t="s">
        <v>131</v>
      </c>
      <c r="L25" s="17" t="s">
        <v>132</v>
      </c>
      <c r="M25" s="4" t="s">
        <v>45</v>
      </c>
      <c r="N25" s="3">
        <f>COUNTIFS('Profiles Tracker'!E:E,#REF!,'Profiles Tracker'!G:G,"Profile shared with Interviewer")</f>
        <v>0</v>
      </c>
      <c r="O25" s="3">
        <f>COUNTIFS('Profiles Tracker'!E:E,#REF!,'Profiles Tracker'!G:G,"Shortlisted for next round of interview")</f>
        <v>0</v>
      </c>
      <c r="P25" s="3">
        <f>COUNTIFS('Profiles Tracker'!E:E,#REF!,'Profiles Tracker'!G:G,P$1)</f>
        <v>0</v>
      </c>
      <c r="Q25" s="3">
        <f>COUNTIFS('Profiles Tracker'!E:E,#REF!,'Profiles Tracker'!G:G,Q$1)</f>
        <v>0</v>
      </c>
      <c r="R25" s="3">
        <f>COUNTIFS('Profiles Tracker'!E:E,#REF!,'Profiles Tracker'!G:G,R$1)</f>
        <v>0</v>
      </c>
      <c r="S25" s="3">
        <f>COUNTIFS('Profiles Tracker'!E:E,#REF!,'Profiles Tracker'!G:G,"Interview Done",'Profiles Tracker'!O:O,"Rejected")</f>
        <v>0</v>
      </c>
      <c r="T25" s="3">
        <f>COUNTIFS('Profiles Tracker'!E:E,#REF!,'Profiles Tracker'!G:G,T$1)</f>
        <v>0</v>
      </c>
      <c r="U25" s="3">
        <f t="shared" si="2"/>
        <v>0</v>
      </c>
      <c r="V25" s="3">
        <f t="shared" si="3"/>
        <v>1</v>
      </c>
      <c r="W25" s="3">
        <f t="shared" si="4"/>
        <v>1</v>
      </c>
      <c r="X25" s="3">
        <f t="shared" si="5"/>
        <v>1</v>
      </c>
      <c r="Y25" s="3">
        <f t="shared" si="6"/>
        <v>3</v>
      </c>
      <c r="Z25" s="3">
        <f t="shared" si="7"/>
        <v>1</v>
      </c>
      <c r="AA25" s="3">
        <f t="shared" si="8"/>
        <v>1</v>
      </c>
      <c r="AB25" s="3">
        <f t="shared" si="9"/>
        <v>3</v>
      </c>
      <c r="AC25" s="16">
        <f t="shared" si="10"/>
        <v>45656</v>
      </c>
      <c r="AD25" s="16">
        <f t="shared" si="11"/>
        <v>45651</v>
      </c>
      <c r="AE25" s="16">
        <f t="shared" si="12"/>
        <v>45644</v>
      </c>
      <c r="AF25" s="18">
        <f t="shared" ca="1" si="13"/>
        <v>-65</v>
      </c>
      <c r="AG25" s="18">
        <f t="shared" ca="1" si="14"/>
        <v>-66</v>
      </c>
      <c r="AH25" s="18">
        <f t="shared" ca="1" si="15"/>
        <v>-67</v>
      </c>
      <c r="AI25" s="53" t="e">
        <f>COUNTIFS('Profiles Tracker'!E:E,#REF!,'Profiles Tracker'!G:G,Q$1,'Profiles Tracker'!#REF!,"Week 14")</f>
        <v>#REF!</v>
      </c>
      <c r="AJ25" s="52" t="e">
        <f>COUNTIFS('Profiles Tracker'!E:E,#REF!,'Profiles Tracker'!G:G,Q$1,'Profiles Tracker'!#REF!,"Week 15")</f>
        <v>#REF!</v>
      </c>
      <c r="AK25" s="52" t="e">
        <f>COUNTIFS('Profiles Tracker'!E:E,#REF!,'Profiles Tracker'!G:G,Q$1,'Profiles Tracker'!#REF!,"Week 16")</f>
        <v>#REF!</v>
      </c>
      <c r="AL25" s="52" t="e">
        <f>COUNTIFS('Profiles Tracker'!E:E,#REF!,'Profiles Tracker'!G:G,Q$1,'Profiles Tracker'!#REF!,"Week 17")</f>
        <v>#REF!</v>
      </c>
      <c r="AM25" s="52" t="e">
        <f>COUNTIFS('Profiles Tracker'!E:E,#REF!,'Profiles Tracker'!G:G,Q$1,'Profiles Tracker'!#REF!,"Week 18")</f>
        <v>#REF!</v>
      </c>
    </row>
    <row r="26" spans="1:39">
      <c r="A26" s="3">
        <f t="shared" si="0"/>
        <v>25</v>
      </c>
      <c r="B26" s="17" t="s">
        <v>38</v>
      </c>
      <c r="C26" s="17" t="s">
        <v>128</v>
      </c>
      <c r="D26" s="17"/>
      <c r="E26" s="5">
        <v>45668</v>
      </c>
      <c r="F26" s="3" t="s">
        <v>133</v>
      </c>
      <c r="G26" s="3">
        <v>1</v>
      </c>
      <c r="H26" s="16">
        <v>45716</v>
      </c>
      <c r="I26" s="1" t="s">
        <v>130</v>
      </c>
      <c r="J26" s="3" t="s">
        <v>42</v>
      </c>
      <c r="K26" s="17" t="s">
        <v>134</v>
      </c>
      <c r="L26" s="17" t="s">
        <v>135</v>
      </c>
      <c r="M26" s="4" t="s">
        <v>45</v>
      </c>
      <c r="N26" s="3">
        <f>COUNTIFS('Profiles Tracker'!E:E,#REF!,'Profiles Tracker'!G:G,"Profile shared with Interviewer")</f>
        <v>0</v>
      </c>
      <c r="O26" s="3">
        <f>COUNTIFS('Profiles Tracker'!E:E,#REF!,'Profiles Tracker'!G:G,"Shortlisted for next round of interview")</f>
        <v>0</v>
      </c>
      <c r="P26" s="3">
        <f>COUNTIFS('Profiles Tracker'!E:E,#REF!,'Profiles Tracker'!G:G,P$1)</f>
        <v>0</v>
      </c>
      <c r="Q26" s="3">
        <f>COUNTIFS('Profiles Tracker'!E:E,#REF!,'Profiles Tracker'!G:G,Q$1)</f>
        <v>0</v>
      </c>
      <c r="R26" s="3">
        <f>COUNTIFS('Profiles Tracker'!E:E,#REF!,'Profiles Tracker'!G:G,R$1)</f>
        <v>0</v>
      </c>
      <c r="S26" s="3">
        <f>COUNTIFS('Profiles Tracker'!E:E,#REF!,'Profiles Tracker'!G:G,"Interview Done",'Profiles Tracker'!O:O,"Rejected")</f>
        <v>0</v>
      </c>
      <c r="T26" s="3">
        <f>COUNTIFS('Profiles Tracker'!E:E,#REF!,'Profiles Tracker'!G:G,T$1)</f>
        <v>0</v>
      </c>
      <c r="U26" s="3">
        <f t="shared" si="2"/>
        <v>0</v>
      </c>
      <c r="V26" s="3">
        <f t="shared" si="3"/>
        <v>1</v>
      </c>
      <c r="W26" s="3">
        <f t="shared" si="4"/>
        <v>1</v>
      </c>
      <c r="X26" s="3">
        <f t="shared" si="5"/>
        <v>1</v>
      </c>
      <c r="Y26" s="3">
        <f t="shared" si="6"/>
        <v>3</v>
      </c>
      <c r="Z26" s="3">
        <f t="shared" si="7"/>
        <v>1</v>
      </c>
      <c r="AA26" s="3">
        <f t="shared" si="8"/>
        <v>1</v>
      </c>
      <c r="AB26" s="3">
        <f t="shared" si="9"/>
        <v>3</v>
      </c>
      <c r="AC26" s="16">
        <f t="shared" si="10"/>
        <v>45656</v>
      </c>
      <c r="AD26" s="16">
        <f t="shared" si="11"/>
        <v>45651</v>
      </c>
      <c r="AE26" s="16">
        <f t="shared" si="12"/>
        <v>45644</v>
      </c>
      <c r="AF26" s="18">
        <f t="shared" ca="1" si="13"/>
        <v>-65</v>
      </c>
      <c r="AG26" s="18">
        <f t="shared" ca="1" si="14"/>
        <v>-66</v>
      </c>
      <c r="AH26" s="18">
        <f t="shared" ca="1" si="15"/>
        <v>-67</v>
      </c>
      <c r="AI26" s="53" t="e">
        <f>COUNTIFS('Profiles Tracker'!E:E,#REF!,'Profiles Tracker'!G:G,Q$1,'Profiles Tracker'!#REF!,"Week 14")</f>
        <v>#REF!</v>
      </c>
      <c r="AJ26" s="52" t="e">
        <f>COUNTIFS('Profiles Tracker'!E:E,#REF!,'Profiles Tracker'!G:G,Q$1,'Profiles Tracker'!#REF!,"Week 15")</f>
        <v>#REF!</v>
      </c>
      <c r="AK26" s="52" t="e">
        <f>COUNTIFS('Profiles Tracker'!E:E,#REF!,'Profiles Tracker'!G:G,Q$1,'Profiles Tracker'!#REF!,"Week 16")</f>
        <v>#REF!</v>
      </c>
      <c r="AL26" s="52" t="e">
        <f>COUNTIFS('Profiles Tracker'!E:E,#REF!,'Profiles Tracker'!G:G,Q$1,'Profiles Tracker'!#REF!,"Week 17")</f>
        <v>#REF!</v>
      </c>
      <c r="AM26" s="52" t="e">
        <f>COUNTIFS('Profiles Tracker'!E:E,#REF!,'Profiles Tracker'!G:G,Q$1,'Profiles Tracker'!#REF!,"Week 18")</f>
        <v>#REF!</v>
      </c>
    </row>
    <row r="27" spans="1:39">
      <c r="A27" s="3">
        <f t="shared" si="0"/>
        <v>26</v>
      </c>
      <c r="B27" s="17" t="s">
        <v>38</v>
      </c>
      <c r="C27" s="17" t="s">
        <v>128</v>
      </c>
      <c r="D27" s="17"/>
      <c r="E27" s="5">
        <v>45668</v>
      </c>
      <c r="F27" s="3" t="s">
        <v>136</v>
      </c>
      <c r="G27" s="3">
        <v>4</v>
      </c>
      <c r="H27" s="16">
        <v>45716</v>
      </c>
      <c r="I27" s="1" t="s">
        <v>130</v>
      </c>
      <c r="J27" s="3" t="s">
        <v>42</v>
      </c>
      <c r="K27" s="17" t="s">
        <v>137</v>
      </c>
      <c r="L27" s="17" t="s">
        <v>138</v>
      </c>
      <c r="M27" s="4" t="s">
        <v>68</v>
      </c>
      <c r="N27" s="3">
        <f>COUNTIFS('Profiles Tracker'!E:E,#REF!,'Profiles Tracker'!G:G,"Profile shared with Interviewer")</f>
        <v>0</v>
      </c>
      <c r="O27" s="3">
        <f>COUNTIFS('Profiles Tracker'!E:E,#REF!,'Profiles Tracker'!G:G,"Shortlisted for next round of interview")</f>
        <v>0</v>
      </c>
      <c r="P27" s="3">
        <f>COUNTIFS('Profiles Tracker'!E:E,#REF!,'Profiles Tracker'!G:G,P$1)</f>
        <v>0</v>
      </c>
      <c r="Q27" s="3">
        <f>COUNTIFS('Profiles Tracker'!E:E,#REF!,'Profiles Tracker'!G:G,Q$1)</f>
        <v>0</v>
      </c>
      <c r="R27" s="3">
        <f>COUNTIFS('Profiles Tracker'!E:E,#REF!,'Profiles Tracker'!G:G,R$1)</f>
        <v>0</v>
      </c>
      <c r="S27" s="3">
        <f>COUNTIFS('Profiles Tracker'!E:E,#REF!,'Profiles Tracker'!G:G,"Interview Done",'Profiles Tracker'!O:O,"Rejected")</f>
        <v>0</v>
      </c>
      <c r="T27" s="3">
        <f>COUNTIFS('Profiles Tracker'!E:E,#REF!,'Profiles Tracker'!G:G,T$1)</f>
        <v>0</v>
      </c>
      <c r="U27" s="3">
        <f t="shared" si="2"/>
        <v>0</v>
      </c>
      <c r="V27" s="3">
        <f t="shared" si="3"/>
        <v>4</v>
      </c>
      <c r="W27" s="3">
        <f t="shared" si="4"/>
        <v>4</v>
      </c>
      <c r="X27" s="3">
        <f t="shared" si="5"/>
        <v>4</v>
      </c>
      <c r="Y27" s="3">
        <f t="shared" si="6"/>
        <v>12</v>
      </c>
      <c r="Z27" s="3">
        <f t="shared" si="7"/>
        <v>4</v>
      </c>
      <c r="AA27" s="3">
        <f t="shared" si="8"/>
        <v>4</v>
      </c>
      <c r="AB27" s="3">
        <f t="shared" si="9"/>
        <v>12</v>
      </c>
      <c r="AC27" s="16">
        <f t="shared" si="10"/>
        <v>45671</v>
      </c>
      <c r="AD27" s="16">
        <f t="shared" si="11"/>
        <v>45666</v>
      </c>
      <c r="AE27" s="16">
        <f t="shared" si="12"/>
        <v>45659</v>
      </c>
      <c r="AF27" s="18">
        <f t="shared" ca="1" si="13"/>
        <v>-63</v>
      </c>
      <c r="AG27" s="18">
        <f t="shared" ca="1" si="14"/>
        <v>-64</v>
      </c>
      <c r="AH27" s="18">
        <f t="shared" ca="1" si="15"/>
        <v>-65</v>
      </c>
      <c r="AI27" s="53" t="e">
        <f>COUNTIFS('Profiles Tracker'!E:E,#REF!,'Profiles Tracker'!G:G,Q$1,'Profiles Tracker'!#REF!,"Week 14")</f>
        <v>#REF!</v>
      </c>
      <c r="AJ27" s="52" t="e">
        <f>COUNTIFS('Profiles Tracker'!E:E,#REF!,'Profiles Tracker'!G:G,Q$1,'Profiles Tracker'!#REF!,"Week 15")</f>
        <v>#REF!</v>
      </c>
      <c r="AK27" s="52" t="e">
        <f>COUNTIFS('Profiles Tracker'!E:E,#REF!,'Profiles Tracker'!G:G,Q$1,'Profiles Tracker'!#REF!,"Week 16")</f>
        <v>#REF!</v>
      </c>
      <c r="AL27" s="52" t="e">
        <f>COUNTIFS('Profiles Tracker'!E:E,#REF!,'Profiles Tracker'!G:G,Q$1,'Profiles Tracker'!#REF!,"Week 17")</f>
        <v>#REF!</v>
      </c>
      <c r="AM27" s="52" t="e">
        <f>COUNTIFS('Profiles Tracker'!E:E,#REF!,'Profiles Tracker'!G:G,Q$1,'Profiles Tracker'!#REF!,"Week 18")</f>
        <v>#REF!</v>
      </c>
    </row>
    <row r="28" spans="1:39">
      <c r="A28" s="3">
        <f t="shared" si="0"/>
        <v>27</v>
      </c>
      <c r="B28" s="17" t="s">
        <v>38</v>
      </c>
      <c r="C28" s="17" t="s">
        <v>128</v>
      </c>
      <c r="D28" s="17"/>
      <c r="E28" s="5">
        <v>45668</v>
      </c>
      <c r="F28" s="3" t="s">
        <v>139</v>
      </c>
      <c r="G28" s="3">
        <v>2</v>
      </c>
      <c r="H28" s="16">
        <v>45716</v>
      </c>
      <c r="I28" s="1" t="s">
        <v>130</v>
      </c>
      <c r="J28" s="3" t="s">
        <v>88</v>
      </c>
      <c r="K28" s="17" t="s">
        <v>140</v>
      </c>
      <c r="L28" s="17" t="s">
        <v>141</v>
      </c>
      <c r="M28" s="4" t="s">
        <v>68</v>
      </c>
      <c r="N28" s="3">
        <f>COUNTIFS('Profiles Tracker'!E:E,#REF!,'Profiles Tracker'!G:G,"Profile shared with Interviewer")</f>
        <v>0</v>
      </c>
      <c r="O28" s="3">
        <f>COUNTIFS('Profiles Tracker'!E:E,#REF!,'Profiles Tracker'!G:G,"Shortlisted for next round of interview")</f>
        <v>0</v>
      </c>
      <c r="P28" s="3">
        <f>COUNTIFS('Profiles Tracker'!E:E,#REF!,'Profiles Tracker'!G:G,P$1)</f>
        <v>0</v>
      </c>
      <c r="Q28" s="3">
        <f>COUNTIFS('Profiles Tracker'!E:E,#REF!,'Profiles Tracker'!G:G,Q$1)</f>
        <v>0</v>
      </c>
      <c r="R28" s="3">
        <f>COUNTIFS('Profiles Tracker'!E:E,#REF!,'Profiles Tracker'!G:G,R$1)</f>
        <v>0</v>
      </c>
      <c r="S28" s="3">
        <f>COUNTIFS('Profiles Tracker'!E:E,#REF!,'Profiles Tracker'!G:G,"Interview Done",'Profiles Tracker'!O:O,"Rejected")</f>
        <v>0</v>
      </c>
      <c r="T28" s="3">
        <f>COUNTIFS('Profiles Tracker'!E:E,#REF!,'Profiles Tracker'!G:G,T$1)</f>
        <v>0</v>
      </c>
      <c r="U28" s="3">
        <f t="shared" si="2"/>
        <v>0</v>
      </c>
      <c r="V28" s="3">
        <f t="shared" si="3"/>
        <v>2</v>
      </c>
      <c r="W28" s="3">
        <f t="shared" si="4"/>
        <v>2</v>
      </c>
      <c r="X28" s="3">
        <f t="shared" si="5"/>
        <v>2</v>
      </c>
      <c r="Y28" s="3">
        <f t="shared" si="6"/>
        <v>6</v>
      </c>
      <c r="Z28" s="3">
        <f t="shared" si="7"/>
        <v>2</v>
      </c>
      <c r="AA28" s="3">
        <f t="shared" si="8"/>
        <v>2</v>
      </c>
      <c r="AB28" s="3">
        <f t="shared" si="9"/>
        <v>6</v>
      </c>
      <c r="AC28" s="16">
        <f t="shared" si="10"/>
        <v>45671</v>
      </c>
      <c r="AD28" s="16">
        <f t="shared" si="11"/>
        <v>45666</v>
      </c>
      <c r="AE28" s="16">
        <f t="shared" si="12"/>
        <v>45659</v>
      </c>
      <c r="AF28" s="18">
        <f t="shared" ca="1" si="13"/>
        <v>-63</v>
      </c>
      <c r="AG28" s="18">
        <f t="shared" ca="1" si="14"/>
        <v>-64</v>
      </c>
      <c r="AH28" s="18">
        <f t="shared" ca="1" si="15"/>
        <v>-65</v>
      </c>
      <c r="AI28" s="53" t="e">
        <f>COUNTIFS('Profiles Tracker'!E:E,#REF!,'Profiles Tracker'!G:G,Q$1,'Profiles Tracker'!#REF!,"Week 14")</f>
        <v>#REF!</v>
      </c>
      <c r="AJ28" s="52" t="e">
        <f>COUNTIFS('Profiles Tracker'!E:E,#REF!,'Profiles Tracker'!G:G,Q$1,'Profiles Tracker'!#REF!,"Week 15")</f>
        <v>#REF!</v>
      </c>
      <c r="AK28" s="52" t="e">
        <f>COUNTIFS('Profiles Tracker'!E:E,#REF!,'Profiles Tracker'!G:G,Q$1,'Profiles Tracker'!#REF!,"Week 16")</f>
        <v>#REF!</v>
      </c>
      <c r="AL28" s="52" t="e">
        <f>COUNTIFS('Profiles Tracker'!E:E,#REF!,'Profiles Tracker'!G:G,Q$1,'Profiles Tracker'!#REF!,"Week 17")</f>
        <v>#REF!</v>
      </c>
      <c r="AM28" s="52" t="e">
        <f>COUNTIFS('Profiles Tracker'!E:E,#REF!,'Profiles Tracker'!G:G,Q$1,'Profiles Tracker'!#REF!,"Week 18")</f>
        <v>#REF!</v>
      </c>
    </row>
    <row r="29" spans="1:39">
      <c r="A29" s="3">
        <f t="shared" si="0"/>
        <v>28</v>
      </c>
      <c r="B29" s="17" t="s">
        <v>38</v>
      </c>
      <c r="C29" s="17" t="s">
        <v>142</v>
      </c>
      <c r="D29" s="17"/>
      <c r="E29" s="5">
        <v>45668</v>
      </c>
      <c r="F29" s="3" t="s">
        <v>143</v>
      </c>
      <c r="G29" s="3">
        <v>2</v>
      </c>
      <c r="H29" s="16">
        <v>45716</v>
      </c>
      <c r="I29" s="3" t="s">
        <v>42</v>
      </c>
      <c r="J29" s="3" t="s">
        <v>42</v>
      </c>
      <c r="K29" s="17" t="s">
        <v>144</v>
      </c>
      <c r="L29" s="17" t="s">
        <v>145</v>
      </c>
      <c r="M29" s="4" t="s">
        <v>45</v>
      </c>
      <c r="N29" s="3">
        <f>COUNTIFS('Profiles Tracker'!E:E,#REF!,'Profiles Tracker'!G:G,"Profile shared with Interviewer")</f>
        <v>0</v>
      </c>
      <c r="O29" s="3">
        <f>COUNTIFS('Profiles Tracker'!E:E,#REF!,'Profiles Tracker'!G:G,"Shortlisted for next round of interview")</f>
        <v>0</v>
      </c>
      <c r="P29" s="3">
        <f>COUNTIFS('Profiles Tracker'!E:E,#REF!,'Profiles Tracker'!G:G,P$1)</f>
        <v>0</v>
      </c>
      <c r="Q29" s="3">
        <f>COUNTIFS('Profiles Tracker'!E:E,#REF!,'Profiles Tracker'!G:G,Q$1)</f>
        <v>0</v>
      </c>
      <c r="R29" s="3">
        <f>COUNTIFS('Profiles Tracker'!E:E,#REF!,'Profiles Tracker'!G:G,R$1)</f>
        <v>0</v>
      </c>
      <c r="S29" s="3">
        <f>COUNTIFS('Profiles Tracker'!E:E,#REF!,'Profiles Tracker'!G:G,"Interview Done",'Profiles Tracker'!O:O,"Rejected")</f>
        <v>0</v>
      </c>
      <c r="T29" s="3">
        <f>COUNTIFS('Profiles Tracker'!E:E,#REF!,'Profiles Tracker'!G:G,T$1)</f>
        <v>0</v>
      </c>
      <c r="U29" s="3">
        <f t="shared" si="2"/>
        <v>0</v>
      </c>
      <c r="V29" s="3">
        <f t="shared" si="3"/>
        <v>2</v>
      </c>
      <c r="W29" s="3">
        <f t="shared" si="4"/>
        <v>2</v>
      </c>
      <c r="X29" s="3">
        <f t="shared" si="5"/>
        <v>2</v>
      </c>
      <c r="Y29" s="3">
        <f t="shared" si="6"/>
        <v>6</v>
      </c>
      <c r="Z29" s="3">
        <f t="shared" si="7"/>
        <v>2</v>
      </c>
      <c r="AA29" s="3">
        <f t="shared" si="8"/>
        <v>2</v>
      </c>
      <c r="AB29" s="3">
        <f t="shared" si="9"/>
        <v>6</v>
      </c>
      <c r="AC29" s="16">
        <f t="shared" si="10"/>
        <v>45656</v>
      </c>
      <c r="AD29" s="16">
        <f t="shared" si="11"/>
        <v>45651</v>
      </c>
      <c r="AE29" s="16">
        <f t="shared" si="12"/>
        <v>45644</v>
      </c>
      <c r="AF29" s="18">
        <f t="shared" ca="1" si="13"/>
        <v>-65</v>
      </c>
      <c r="AG29" s="18">
        <f t="shared" ca="1" si="14"/>
        <v>-66</v>
      </c>
      <c r="AH29" s="18">
        <f t="shared" ca="1" si="15"/>
        <v>-67</v>
      </c>
      <c r="AI29" s="53" t="e">
        <f>COUNTIFS('Profiles Tracker'!E:E,#REF!,'Profiles Tracker'!G:G,Q$1,'Profiles Tracker'!#REF!,"Week 14")</f>
        <v>#REF!</v>
      </c>
      <c r="AJ29" s="52" t="e">
        <f>COUNTIFS('Profiles Tracker'!E:E,#REF!,'Profiles Tracker'!G:G,Q$1,'Profiles Tracker'!#REF!,"Week 15")</f>
        <v>#REF!</v>
      </c>
      <c r="AK29" s="52" t="e">
        <f>COUNTIFS('Profiles Tracker'!E:E,#REF!,'Profiles Tracker'!G:G,Q$1,'Profiles Tracker'!#REF!,"Week 16")</f>
        <v>#REF!</v>
      </c>
      <c r="AL29" s="52" t="e">
        <f>COUNTIFS('Profiles Tracker'!E:E,#REF!,'Profiles Tracker'!G:G,Q$1,'Profiles Tracker'!#REF!,"Week 17")</f>
        <v>#REF!</v>
      </c>
      <c r="AM29" s="52" t="e">
        <f>COUNTIFS('Profiles Tracker'!E:E,#REF!,'Profiles Tracker'!G:G,Q$1,'Profiles Tracker'!#REF!,"Week 18")</f>
        <v>#REF!</v>
      </c>
    </row>
    <row r="30" spans="1:39">
      <c r="A30" s="3">
        <f t="shared" si="0"/>
        <v>29</v>
      </c>
      <c r="B30" s="17" t="s">
        <v>38</v>
      </c>
      <c r="C30" s="17" t="s">
        <v>142</v>
      </c>
      <c r="D30" s="17"/>
      <c r="E30" s="5">
        <v>45668</v>
      </c>
      <c r="F30" s="3" t="s">
        <v>146</v>
      </c>
      <c r="G30" s="3">
        <v>2</v>
      </c>
      <c r="H30" s="16">
        <v>45716</v>
      </c>
      <c r="I30" s="3" t="s">
        <v>42</v>
      </c>
      <c r="J30" s="3" t="s">
        <v>42</v>
      </c>
      <c r="K30" s="17" t="s">
        <v>147</v>
      </c>
      <c r="L30" s="17" t="s">
        <v>148</v>
      </c>
      <c r="M30" s="4" t="s">
        <v>45</v>
      </c>
      <c r="N30" s="3">
        <f>COUNTIFS('Profiles Tracker'!E:E,#REF!,'Profiles Tracker'!G:G,"Profile shared with Interviewer")</f>
        <v>0</v>
      </c>
      <c r="O30" s="3">
        <f>COUNTIFS('Profiles Tracker'!E:E,#REF!,'Profiles Tracker'!G:G,"Shortlisted for next round of interview")</f>
        <v>0</v>
      </c>
      <c r="P30" s="3">
        <f>COUNTIFS('Profiles Tracker'!E:E,#REF!,'Profiles Tracker'!G:G,P$1)</f>
        <v>0</v>
      </c>
      <c r="Q30" s="3">
        <f>COUNTIFS('Profiles Tracker'!E:E,#REF!,'Profiles Tracker'!G:G,Q$1)</f>
        <v>0</v>
      </c>
      <c r="R30" s="3">
        <f>COUNTIFS('Profiles Tracker'!E:E,#REF!,'Profiles Tracker'!G:G,R$1)</f>
        <v>0</v>
      </c>
      <c r="S30" s="3">
        <f>COUNTIFS('Profiles Tracker'!E:E,#REF!,'Profiles Tracker'!G:G,"Interview Done",'Profiles Tracker'!O:O,"Rejected")</f>
        <v>0</v>
      </c>
      <c r="T30" s="3">
        <f>COUNTIFS('Profiles Tracker'!E:E,#REF!,'Profiles Tracker'!G:G,T$1)</f>
        <v>0</v>
      </c>
      <c r="U30" s="3">
        <f t="shared" si="2"/>
        <v>0</v>
      </c>
      <c r="V30" s="3">
        <f t="shared" si="3"/>
        <v>2</v>
      </c>
      <c r="W30" s="3">
        <f t="shared" si="4"/>
        <v>2</v>
      </c>
      <c r="X30" s="3">
        <f t="shared" si="5"/>
        <v>2</v>
      </c>
      <c r="Y30" s="3">
        <f t="shared" si="6"/>
        <v>6</v>
      </c>
      <c r="Z30" s="3">
        <f t="shared" si="7"/>
        <v>2</v>
      </c>
      <c r="AA30" s="3">
        <f t="shared" si="8"/>
        <v>2</v>
      </c>
      <c r="AB30" s="3">
        <f t="shared" si="9"/>
        <v>6</v>
      </c>
      <c r="AC30" s="16">
        <f t="shared" si="10"/>
        <v>45656</v>
      </c>
      <c r="AD30" s="16">
        <f t="shared" si="11"/>
        <v>45651</v>
      </c>
      <c r="AE30" s="16">
        <f t="shared" si="12"/>
        <v>45644</v>
      </c>
      <c r="AF30" s="18">
        <f t="shared" ca="1" si="13"/>
        <v>-65</v>
      </c>
      <c r="AG30" s="18">
        <f t="shared" ca="1" si="14"/>
        <v>-66</v>
      </c>
      <c r="AH30" s="18">
        <f t="shared" ca="1" si="15"/>
        <v>-67</v>
      </c>
      <c r="AI30" s="53" t="e">
        <f>COUNTIFS('Profiles Tracker'!E:E,#REF!,'Profiles Tracker'!G:G,Q$1,'Profiles Tracker'!#REF!,"Week 14")</f>
        <v>#REF!</v>
      </c>
      <c r="AJ30" s="52" t="e">
        <f>COUNTIFS('Profiles Tracker'!E:E,#REF!,'Profiles Tracker'!G:G,Q$1,'Profiles Tracker'!#REF!,"Week 15")</f>
        <v>#REF!</v>
      </c>
      <c r="AK30" s="52" t="e">
        <f>COUNTIFS('Profiles Tracker'!E:E,#REF!,'Profiles Tracker'!G:G,Q$1,'Profiles Tracker'!#REF!,"Week 16")</f>
        <v>#REF!</v>
      </c>
      <c r="AL30" s="52" t="e">
        <f>COUNTIFS('Profiles Tracker'!E:E,#REF!,'Profiles Tracker'!G:G,Q$1,'Profiles Tracker'!#REF!,"Week 17")</f>
        <v>#REF!</v>
      </c>
      <c r="AM30" s="52" t="e">
        <f>COUNTIFS('Profiles Tracker'!E:E,#REF!,'Profiles Tracker'!G:G,Q$1,'Profiles Tracker'!#REF!,"Week 18")</f>
        <v>#REF!</v>
      </c>
    </row>
    <row r="31" spans="1:39">
      <c r="A31" s="3">
        <f t="shared" si="0"/>
        <v>30</v>
      </c>
      <c r="B31" s="17" t="s">
        <v>38</v>
      </c>
      <c r="C31" s="17" t="s">
        <v>142</v>
      </c>
      <c r="D31" s="17"/>
      <c r="E31" s="5">
        <v>45668</v>
      </c>
      <c r="F31" s="3" t="s">
        <v>149</v>
      </c>
      <c r="G31" s="3">
        <v>4</v>
      </c>
      <c r="H31" s="16">
        <v>45716</v>
      </c>
      <c r="I31" s="3" t="s">
        <v>42</v>
      </c>
      <c r="J31" s="3" t="s">
        <v>88</v>
      </c>
      <c r="K31" s="17" t="s">
        <v>150</v>
      </c>
      <c r="L31" s="17" t="s">
        <v>151</v>
      </c>
      <c r="M31" s="4" t="s">
        <v>68</v>
      </c>
      <c r="N31" s="3">
        <f>COUNTIFS('Profiles Tracker'!E:E,#REF!,'Profiles Tracker'!G:G,"Profile shared with Interviewer")</f>
        <v>0</v>
      </c>
      <c r="O31" s="3">
        <f>COUNTIFS('Profiles Tracker'!E:E,#REF!,'Profiles Tracker'!G:G,"Shortlisted for next round of interview")</f>
        <v>0</v>
      </c>
      <c r="P31" s="3">
        <f>COUNTIFS('Profiles Tracker'!E:E,#REF!,'Profiles Tracker'!G:G,P$1)</f>
        <v>0</v>
      </c>
      <c r="Q31" s="3">
        <f>COUNTIFS('Profiles Tracker'!E:E,#REF!,'Profiles Tracker'!G:G,Q$1)</f>
        <v>0</v>
      </c>
      <c r="R31" s="3">
        <f>COUNTIFS('Profiles Tracker'!E:E,#REF!,'Profiles Tracker'!G:G,R$1)</f>
        <v>0</v>
      </c>
      <c r="S31" s="3">
        <f>COUNTIFS('Profiles Tracker'!E:E,#REF!,'Profiles Tracker'!G:G,"Interview Done",'Profiles Tracker'!O:O,"Rejected")</f>
        <v>0</v>
      </c>
      <c r="T31" s="3">
        <f>COUNTIFS('Profiles Tracker'!E:E,#REF!,'Profiles Tracker'!G:G,T$1)</f>
        <v>0</v>
      </c>
      <c r="U31" s="3">
        <f t="shared" si="2"/>
        <v>0</v>
      </c>
      <c r="V31" s="3">
        <f t="shared" si="3"/>
        <v>4</v>
      </c>
      <c r="W31" s="3">
        <f t="shared" si="4"/>
        <v>4</v>
      </c>
      <c r="X31" s="3">
        <f t="shared" si="5"/>
        <v>4</v>
      </c>
      <c r="Y31" s="3">
        <f t="shared" si="6"/>
        <v>12</v>
      </c>
      <c r="Z31" s="3">
        <f t="shared" si="7"/>
        <v>4</v>
      </c>
      <c r="AA31" s="3">
        <f t="shared" si="8"/>
        <v>4</v>
      </c>
      <c r="AB31" s="3">
        <f t="shared" si="9"/>
        <v>12</v>
      </c>
      <c r="AC31" s="16">
        <f t="shared" si="10"/>
        <v>45671</v>
      </c>
      <c r="AD31" s="16">
        <f t="shared" si="11"/>
        <v>45666</v>
      </c>
      <c r="AE31" s="16">
        <f t="shared" si="12"/>
        <v>45659</v>
      </c>
      <c r="AF31" s="18">
        <f t="shared" ca="1" si="13"/>
        <v>-63</v>
      </c>
      <c r="AG31" s="18">
        <f t="shared" ca="1" si="14"/>
        <v>-64</v>
      </c>
      <c r="AH31" s="18">
        <f t="shared" ca="1" si="15"/>
        <v>-65</v>
      </c>
      <c r="AI31" s="53" t="e">
        <f>COUNTIFS('Profiles Tracker'!E:E,#REF!,'Profiles Tracker'!G:G,Q$1,'Profiles Tracker'!#REF!,"Week 14")</f>
        <v>#REF!</v>
      </c>
      <c r="AJ31" s="52" t="e">
        <f>COUNTIFS('Profiles Tracker'!E:E,#REF!,'Profiles Tracker'!G:G,Q$1,'Profiles Tracker'!#REF!,"Week 15")</f>
        <v>#REF!</v>
      </c>
      <c r="AK31" s="52" t="e">
        <f>COUNTIFS('Profiles Tracker'!E:E,#REF!,'Profiles Tracker'!G:G,Q$1,'Profiles Tracker'!#REF!,"Week 16")</f>
        <v>#REF!</v>
      </c>
      <c r="AL31" s="52" t="e">
        <f>COUNTIFS('Profiles Tracker'!E:E,#REF!,'Profiles Tracker'!G:G,Q$1,'Profiles Tracker'!#REF!,"Week 17")</f>
        <v>#REF!</v>
      </c>
      <c r="AM31" s="52" t="e">
        <f>COUNTIFS('Profiles Tracker'!E:E,#REF!,'Profiles Tracker'!G:G,Q$1,'Profiles Tracker'!#REF!,"Week 18")</f>
        <v>#REF!</v>
      </c>
    </row>
    <row r="32" spans="1:39">
      <c r="A32" s="3">
        <f t="shared" si="0"/>
        <v>31</v>
      </c>
      <c r="B32" s="17" t="s">
        <v>38</v>
      </c>
      <c r="C32" s="17" t="s">
        <v>152</v>
      </c>
      <c r="D32" s="17"/>
      <c r="E32" s="5">
        <v>45668</v>
      </c>
      <c r="F32" s="3" t="s">
        <v>153</v>
      </c>
      <c r="G32" s="3">
        <v>2</v>
      </c>
      <c r="H32" s="16">
        <v>45716</v>
      </c>
      <c r="I32" s="1" t="s">
        <v>154</v>
      </c>
      <c r="J32" s="3" t="s">
        <v>94</v>
      </c>
      <c r="K32" s="17" t="s">
        <v>155</v>
      </c>
      <c r="L32" s="17" t="s">
        <v>156</v>
      </c>
      <c r="M32" s="4" t="s">
        <v>68</v>
      </c>
      <c r="N32" s="3">
        <f>COUNTIFS('Profiles Tracker'!E:E,#REF!,'Profiles Tracker'!G:G,"Profile shared with Interviewer")</f>
        <v>0</v>
      </c>
      <c r="O32" s="3">
        <f>COUNTIFS('Profiles Tracker'!E:E,#REF!,'Profiles Tracker'!G:G,"Shortlisted for next round of interview")</f>
        <v>0</v>
      </c>
      <c r="P32" s="3">
        <f>COUNTIFS('Profiles Tracker'!E:E,#REF!,'Profiles Tracker'!G:G,P$1)</f>
        <v>0</v>
      </c>
      <c r="Q32" s="3">
        <f>COUNTIFS('Profiles Tracker'!E:E,#REF!,'Profiles Tracker'!G:G,Q$1)</f>
        <v>0</v>
      </c>
      <c r="R32" s="3">
        <f>COUNTIFS('Profiles Tracker'!E:E,#REF!,'Profiles Tracker'!G:G,R$1)</f>
        <v>0</v>
      </c>
      <c r="S32" s="3">
        <f>COUNTIFS('Profiles Tracker'!E:E,#REF!,'Profiles Tracker'!G:G,"Interview Done",'Profiles Tracker'!O:O,"Rejected")</f>
        <v>0</v>
      </c>
      <c r="T32" s="3">
        <f>COUNTIFS('Profiles Tracker'!E:E,#REF!,'Profiles Tracker'!G:G,T$1)</f>
        <v>0</v>
      </c>
      <c r="U32" s="3">
        <f t="shared" si="2"/>
        <v>0</v>
      </c>
      <c r="V32" s="3">
        <f t="shared" si="3"/>
        <v>2</v>
      </c>
      <c r="W32" s="3">
        <f t="shared" si="4"/>
        <v>2</v>
      </c>
      <c r="X32" s="3">
        <f t="shared" si="5"/>
        <v>2</v>
      </c>
      <c r="Y32" s="3">
        <f t="shared" si="6"/>
        <v>6</v>
      </c>
      <c r="Z32" s="3">
        <f t="shared" si="7"/>
        <v>2</v>
      </c>
      <c r="AA32" s="3">
        <f t="shared" si="8"/>
        <v>2</v>
      </c>
      <c r="AB32" s="3">
        <f t="shared" si="9"/>
        <v>6</v>
      </c>
      <c r="AC32" s="16">
        <f t="shared" si="10"/>
        <v>45671</v>
      </c>
      <c r="AD32" s="16">
        <f t="shared" si="11"/>
        <v>45666</v>
      </c>
      <c r="AE32" s="16">
        <f t="shared" si="12"/>
        <v>45659</v>
      </c>
      <c r="AF32" s="18">
        <f t="shared" ca="1" si="13"/>
        <v>-63</v>
      </c>
      <c r="AG32" s="18">
        <f t="shared" ca="1" si="14"/>
        <v>-64</v>
      </c>
      <c r="AH32" s="18">
        <f t="shared" ca="1" si="15"/>
        <v>-65</v>
      </c>
      <c r="AI32" s="53" t="e">
        <f>COUNTIFS('Profiles Tracker'!E:E,#REF!,'Profiles Tracker'!G:G,Q$1,'Profiles Tracker'!#REF!,"Week 14")</f>
        <v>#REF!</v>
      </c>
      <c r="AJ32" s="52" t="e">
        <f>COUNTIFS('Profiles Tracker'!E:E,#REF!,'Profiles Tracker'!G:G,Q$1,'Profiles Tracker'!#REF!,"Week 15")</f>
        <v>#REF!</v>
      </c>
      <c r="AK32" s="52" t="e">
        <f>COUNTIFS('Profiles Tracker'!E:E,#REF!,'Profiles Tracker'!G:G,Q$1,'Profiles Tracker'!#REF!,"Week 16")</f>
        <v>#REF!</v>
      </c>
      <c r="AL32" s="52" t="e">
        <f>COUNTIFS('Profiles Tracker'!E:E,#REF!,'Profiles Tracker'!G:G,Q$1,'Profiles Tracker'!#REF!,"Week 17")</f>
        <v>#REF!</v>
      </c>
      <c r="AM32" s="52" t="e">
        <f>COUNTIFS('Profiles Tracker'!E:E,#REF!,'Profiles Tracker'!G:G,Q$1,'Profiles Tracker'!#REF!,"Week 18")</f>
        <v>#REF!</v>
      </c>
    </row>
    <row r="33" spans="1:39">
      <c r="A33" s="3">
        <f t="shared" si="0"/>
        <v>32</v>
      </c>
      <c r="B33" s="17" t="s">
        <v>38</v>
      </c>
      <c r="C33" s="17" t="s">
        <v>152</v>
      </c>
      <c r="D33" s="17"/>
      <c r="E33" s="5">
        <v>45668</v>
      </c>
      <c r="F33" s="3" t="s">
        <v>157</v>
      </c>
      <c r="G33" s="3">
        <v>4</v>
      </c>
      <c r="H33" s="16">
        <v>45747</v>
      </c>
      <c r="I33" s="1" t="s">
        <v>154</v>
      </c>
      <c r="J33" s="3" t="s">
        <v>94</v>
      </c>
      <c r="K33" s="17" t="s">
        <v>158</v>
      </c>
      <c r="L33" s="17" t="s">
        <v>159</v>
      </c>
      <c r="M33" s="4" t="s">
        <v>68</v>
      </c>
      <c r="N33" s="3">
        <f>COUNTIFS('Profiles Tracker'!E:E,#REF!,'Profiles Tracker'!G:G,"Profile shared with Interviewer")</f>
        <v>0</v>
      </c>
      <c r="O33" s="3">
        <f>COUNTIFS('Profiles Tracker'!E:E,#REF!,'Profiles Tracker'!G:G,"Shortlisted for next round of interview")</f>
        <v>0</v>
      </c>
      <c r="P33" s="3">
        <f>COUNTIFS('Profiles Tracker'!E:E,#REF!,'Profiles Tracker'!G:G,P$1)</f>
        <v>0</v>
      </c>
      <c r="Q33" s="3">
        <f>COUNTIFS('Profiles Tracker'!E:E,#REF!,'Profiles Tracker'!G:G,Q$1)</f>
        <v>0</v>
      </c>
      <c r="R33" s="3">
        <f>COUNTIFS('Profiles Tracker'!E:E,#REF!,'Profiles Tracker'!G:G,R$1)</f>
        <v>0</v>
      </c>
      <c r="S33" s="3">
        <f>COUNTIFS('Profiles Tracker'!E:E,#REF!,'Profiles Tracker'!G:G,"Interview Done",'Profiles Tracker'!O:O,"Rejected")</f>
        <v>0</v>
      </c>
      <c r="T33" s="3">
        <f>COUNTIFS('Profiles Tracker'!E:E,#REF!,'Profiles Tracker'!G:G,T$1)</f>
        <v>0</v>
      </c>
      <c r="U33" s="3">
        <f t="shared" si="2"/>
        <v>0</v>
      </c>
      <c r="V33" s="3">
        <f t="shared" si="3"/>
        <v>4</v>
      </c>
      <c r="W33" s="3">
        <f t="shared" si="4"/>
        <v>4</v>
      </c>
      <c r="X33" s="3">
        <f t="shared" si="5"/>
        <v>4</v>
      </c>
      <c r="Y33" s="3">
        <f t="shared" si="6"/>
        <v>12</v>
      </c>
      <c r="Z33" s="3">
        <f t="shared" si="7"/>
        <v>4</v>
      </c>
      <c r="AA33" s="3">
        <f t="shared" si="8"/>
        <v>4</v>
      </c>
      <c r="AB33" s="3">
        <f t="shared" si="9"/>
        <v>12</v>
      </c>
      <c r="AC33" s="16">
        <f t="shared" si="10"/>
        <v>45702</v>
      </c>
      <c r="AD33" s="16">
        <f t="shared" si="11"/>
        <v>45697</v>
      </c>
      <c r="AE33" s="16">
        <f t="shared" si="12"/>
        <v>45690</v>
      </c>
      <c r="AF33" s="18">
        <f t="shared" ca="1" si="13"/>
        <v>-59</v>
      </c>
      <c r="AG33" s="18">
        <f t="shared" ca="1" si="14"/>
        <v>-59</v>
      </c>
      <c r="AH33" s="18">
        <f t="shared" ca="1" si="15"/>
        <v>-60</v>
      </c>
      <c r="AI33" s="53" t="e">
        <f>COUNTIFS('Profiles Tracker'!E:E,#REF!,'Profiles Tracker'!G:G,Q$1,'Profiles Tracker'!#REF!,"Week 14")</f>
        <v>#REF!</v>
      </c>
      <c r="AJ33" s="52" t="e">
        <f>COUNTIFS('Profiles Tracker'!E:E,#REF!,'Profiles Tracker'!G:G,Q$1,'Profiles Tracker'!#REF!,"Week 15")</f>
        <v>#REF!</v>
      </c>
      <c r="AK33" s="52" t="e">
        <f>COUNTIFS('Profiles Tracker'!E:E,#REF!,'Profiles Tracker'!G:G,Q$1,'Profiles Tracker'!#REF!,"Week 16")</f>
        <v>#REF!</v>
      </c>
      <c r="AL33" s="52" t="e">
        <f>COUNTIFS('Profiles Tracker'!E:E,#REF!,'Profiles Tracker'!G:G,Q$1,'Profiles Tracker'!#REF!,"Week 17")</f>
        <v>#REF!</v>
      </c>
      <c r="AM33" s="52" t="e">
        <f>COUNTIFS('Profiles Tracker'!E:E,#REF!,'Profiles Tracker'!G:G,Q$1,'Profiles Tracker'!#REF!,"Week 18")</f>
        <v>#REF!</v>
      </c>
    </row>
    <row r="34" spans="1:39">
      <c r="A34" s="3">
        <f t="shared" ref="A34:A65" si="16">ROW()-1</f>
        <v>33</v>
      </c>
      <c r="B34" s="17" t="s">
        <v>38</v>
      </c>
      <c r="C34" s="17" t="s">
        <v>160</v>
      </c>
      <c r="D34" s="17"/>
      <c r="E34" s="5">
        <v>45668</v>
      </c>
      <c r="F34" s="3" t="s">
        <v>161</v>
      </c>
      <c r="G34" s="3">
        <v>2</v>
      </c>
      <c r="H34" s="16">
        <v>45716</v>
      </c>
      <c r="I34" s="24" t="s">
        <v>162</v>
      </c>
      <c r="J34" s="3" t="s">
        <v>42</v>
      </c>
      <c r="K34" s="17" t="s">
        <v>163</v>
      </c>
      <c r="L34" s="17" t="s">
        <v>164</v>
      </c>
      <c r="M34" s="4" t="s">
        <v>45</v>
      </c>
      <c r="N34" s="3">
        <f>COUNTIFS('Profiles Tracker'!E:E,#REF!,'Profiles Tracker'!G:G,"Profile shared with Interviewer")</f>
        <v>0</v>
      </c>
      <c r="O34" s="3">
        <f>COUNTIFS('Profiles Tracker'!E:E,#REF!,'Profiles Tracker'!G:G,"Shortlisted for next round of interview")</f>
        <v>0</v>
      </c>
      <c r="P34" s="3">
        <f>COUNTIFS('Profiles Tracker'!E:E,#REF!,'Profiles Tracker'!G:G,P$1)</f>
        <v>0</v>
      </c>
      <c r="Q34" s="3">
        <f>COUNTIFS('Profiles Tracker'!E:E,#REF!,'Profiles Tracker'!G:G,Q$1)</f>
        <v>0</v>
      </c>
      <c r="R34" s="3">
        <f>COUNTIFS('Profiles Tracker'!E:E,#REF!,'Profiles Tracker'!G:G,R$1)</f>
        <v>0</v>
      </c>
      <c r="S34" s="3">
        <f>COUNTIFS('Profiles Tracker'!E:E,#REF!,'Profiles Tracker'!G:G,"Interview Done",'Profiles Tracker'!O:O,"Rejected")</f>
        <v>0</v>
      </c>
      <c r="T34" s="3">
        <f>COUNTIFS('Profiles Tracker'!E:E,#REF!,'Profiles Tracker'!G:G,T$1)</f>
        <v>0</v>
      </c>
      <c r="U34" s="3">
        <f t="shared" si="2"/>
        <v>0</v>
      </c>
      <c r="V34" s="3">
        <f t="shared" si="3"/>
        <v>2</v>
      </c>
      <c r="W34" s="3">
        <f t="shared" si="4"/>
        <v>2</v>
      </c>
      <c r="X34" s="3">
        <f t="shared" si="5"/>
        <v>2</v>
      </c>
      <c r="Y34" s="3">
        <f t="shared" si="6"/>
        <v>6</v>
      </c>
      <c r="Z34" s="3">
        <f t="shared" si="7"/>
        <v>2</v>
      </c>
      <c r="AA34" s="3">
        <f t="shared" si="8"/>
        <v>2</v>
      </c>
      <c r="AB34" s="3">
        <f t="shared" si="9"/>
        <v>6</v>
      </c>
      <c r="AC34" s="16">
        <f t="shared" si="10"/>
        <v>45656</v>
      </c>
      <c r="AD34" s="16">
        <f t="shared" si="11"/>
        <v>45651</v>
      </c>
      <c r="AE34" s="16">
        <f t="shared" si="12"/>
        <v>45644</v>
      </c>
      <c r="AF34" s="18">
        <f t="shared" ca="1" si="13"/>
        <v>-65</v>
      </c>
      <c r="AG34" s="18">
        <f t="shared" ca="1" si="14"/>
        <v>-66</v>
      </c>
      <c r="AH34" s="18">
        <f t="shared" ca="1" si="15"/>
        <v>-67</v>
      </c>
      <c r="AI34" s="53" t="e">
        <f>COUNTIFS('Profiles Tracker'!E:E,#REF!,'Profiles Tracker'!G:G,Q$1,'Profiles Tracker'!#REF!,"Week 14")</f>
        <v>#REF!</v>
      </c>
      <c r="AJ34" s="52" t="e">
        <f>COUNTIFS('Profiles Tracker'!E:E,#REF!,'Profiles Tracker'!G:G,Q$1,'Profiles Tracker'!#REF!,"Week 15")</f>
        <v>#REF!</v>
      </c>
      <c r="AK34" s="52" t="e">
        <f>COUNTIFS('Profiles Tracker'!E:E,#REF!,'Profiles Tracker'!G:G,Q$1,'Profiles Tracker'!#REF!,"Week 16")</f>
        <v>#REF!</v>
      </c>
      <c r="AL34" s="52" t="e">
        <f>COUNTIFS('Profiles Tracker'!E:E,#REF!,'Profiles Tracker'!G:G,Q$1,'Profiles Tracker'!#REF!,"Week 17")</f>
        <v>#REF!</v>
      </c>
      <c r="AM34" s="52" t="e">
        <f>COUNTIFS('Profiles Tracker'!E:E,#REF!,'Profiles Tracker'!G:G,Q$1,'Profiles Tracker'!#REF!,"Week 18")</f>
        <v>#REF!</v>
      </c>
    </row>
    <row r="35" spans="1:39">
      <c r="A35" s="3">
        <f t="shared" si="16"/>
        <v>34</v>
      </c>
      <c r="B35" s="17" t="s">
        <v>38</v>
      </c>
      <c r="C35" s="17" t="s">
        <v>160</v>
      </c>
      <c r="D35" s="17"/>
      <c r="E35" s="5">
        <v>45668</v>
      </c>
      <c r="F35" s="3" t="s">
        <v>165</v>
      </c>
      <c r="G35" s="3">
        <v>4</v>
      </c>
      <c r="H35" s="16">
        <v>45716</v>
      </c>
      <c r="I35" s="24" t="s">
        <v>162</v>
      </c>
      <c r="J35" s="3" t="s">
        <v>94</v>
      </c>
      <c r="K35" s="17" t="s">
        <v>166</v>
      </c>
      <c r="L35" s="17" t="s">
        <v>167</v>
      </c>
      <c r="M35" s="4" t="s">
        <v>68</v>
      </c>
      <c r="N35" s="3">
        <f>COUNTIFS('Profiles Tracker'!E:E,#REF!,'Profiles Tracker'!G:G,"Profile shared with Interviewer")</f>
        <v>0</v>
      </c>
      <c r="O35" s="3">
        <f>COUNTIFS('Profiles Tracker'!E:E,#REF!,'Profiles Tracker'!G:G,"Shortlisted for next round of interview")</f>
        <v>0</v>
      </c>
      <c r="P35" s="3">
        <f>COUNTIFS('Profiles Tracker'!E:E,#REF!,'Profiles Tracker'!G:G,P$1)</f>
        <v>0</v>
      </c>
      <c r="Q35" s="3">
        <f>COUNTIFS('Profiles Tracker'!E:E,#REF!,'Profiles Tracker'!G:G,Q$1)</f>
        <v>0</v>
      </c>
      <c r="R35" s="3">
        <f>COUNTIFS('Profiles Tracker'!E:E,#REF!,'Profiles Tracker'!G:G,R$1)</f>
        <v>0</v>
      </c>
      <c r="S35" s="3">
        <f>COUNTIFS('Profiles Tracker'!E:E,#REF!,'Profiles Tracker'!G:G,"Interview Done",'Profiles Tracker'!O:O,"Rejected")</f>
        <v>0</v>
      </c>
      <c r="T35" s="3">
        <f>COUNTIFS('Profiles Tracker'!E:E,#REF!,'Profiles Tracker'!G:G,T$1)</f>
        <v>0</v>
      </c>
      <c r="U35" s="3">
        <f t="shared" si="2"/>
        <v>0</v>
      </c>
      <c r="V35" s="3">
        <f t="shared" si="3"/>
        <v>4</v>
      </c>
      <c r="W35" s="3">
        <f t="shared" si="4"/>
        <v>4</v>
      </c>
      <c r="X35" s="3">
        <f t="shared" si="5"/>
        <v>4</v>
      </c>
      <c r="Y35" s="3">
        <f t="shared" si="6"/>
        <v>12</v>
      </c>
      <c r="Z35" s="3">
        <f t="shared" si="7"/>
        <v>4</v>
      </c>
      <c r="AA35" s="3">
        <f t="shared" si="8"/>
        <v>4</v>
      </c>
      <c r="AB35" s="3">
        <f t="shared" si="9"/>
        <v>12</v>
      </c>
      <c r="AC35" s="16">
        <f t="shared" si="10"/>
        <v>45671</v>
      </c>
      <c r="AD35" s="16">
        <f t="shared" si="11"/>
        <v>45666</v>
      </c>
      <c r="AE35" s="16">
        <f t="shared" si="12"/>
        <v>45659</v>
      </c>
      <c r="AF35" s="18">
        <f t="shared" ca="1" si="13"/>
        <v>-63</v>
      </c>
      <c r="AG35" s="18">
        <f t="shared" ca="1" si="14"/>
        <v>-64</v>
      </c>
      <c r="AH35" s="18">
        <f t="shared" ca="1" si="15"/>
        <v>-65</v>
      </c>
      <c r="AI35" s="53" t="e">
        <f>COUNTIFS('Profiles Tracker'!E:E,#REF!,'Profiles Tracker'!G:G,Q$1,'Profiles Tracker'!#REF!,"Week 14")</f>
        <v>#REF!</v>
      </c>
      <c r="AJ35" s="52" t="e">
        <f>COUNTIFS('Profiles Tracker'!E:E,#REF!,'Profiles Tracker'!G:G,Q$1,'Profiles Tracker'!#REF!,"Week 15")</f>
        <v>#REF!</v>
      </c>
      <c r="AK35" s="52" t="e">
        <f>COUNTIFS('Profiles Tracker'!E:E,#REF!,'Profiles Tracker'!G:G,Q$1,'Profiles Tracker'!#REF!,"Week 16")</f>
        <v>#REF!</v>
      </c>
      <c r="AL35" s="52" t="e">
        <f>COUNTIFS('Profiles Tracker'!E:E,#REF!,'Profiles Tracker'!G:G,Q$1,'Profiles Tracker'!#REF!,"Week 17")</f>
        <v>#REF!</v>
      </c>
      <c r="AM35" s="52" t="e">
        <f>COUNTIFS('Profiles Tracker'!E:E,#REF!,'Profiles Tracker'!G:G,Q$1,'Profiles Tracker'!#REF!,"Week 18")</f>
        <v>#REF!</v>
      </c>
    </row>
    <row r="36" spans="1:39">
      <c r="A36" s="3">
        <f t="shared" si="16"/>
        <v>35</v>
      </c>
      <c r="B36" s="17" t="s">
        <v>38</v>
      </c>
      <c r="C36" s="17" t="s">
        <v>160</v>
      </c>
      <c r="D36" s="17"/>
      <c r="E36" s="5">
        <v>45668</v>
      </c>
      <c r="F36" s="3" t="s">
        <v>168</v>
      </c>
      <c r="G36" s="3">
        <v>8</v>
      </c>
      <c r="H36" s="16">
        <v>45716</v>
      </c>
      <c r="I36" s="24" t="s">
        <v>162</v>
      </c>
      <c r="J36" s="3" t="s">
        <v>94</v>
      </c>
      <c r="K36" s="17" t="s">
        <v>169</v>
      </c>
      <c r="L36" t="s">
        <v>170</v>
      </c>
      <c r="M36" s="4" t="s">
        <v>68</v>
      </c>
      <c r="N36" s="3">
        <f>COUNTIFS('Profiles Tracker'!E:E,#REF!,'Profiles Tracker'!G:G,"Profile shared with Interviewer")</f>
        <v>0</v>
      </c>
      <c r="O36" s="3">
        <f>COUNTIFS('Profiles Tracker'!E:E,#REF!,'Profiles Tracker'!G:G,"Shortlisted for next round of interview")</f>
        <v>0</v>
      </c>
      <c r="P36" s="3">
        <f>COUNTIFS('Profiles Tracker'!E:E,#REF!,'Profiles Tracker'!G:G,P$1)</f>
        <v>0</v>
      </c>
      <c r="Q36" s="3">
        <f>COUNTIFS('Profiles Tracker'!E:E,#REF!,'Profiles Tracker'!G:G,Q$1)</f>
        <v>0</v>
      </c>
      <c r="R36" s="3">
        <f>COUNTIFS('Profiles Tracker'!E:E,#REF!,'Profiles Tracker'!G:G,R$1)</f>
        <v>0</v>
      </c>
      <c r="S36" s="3">
        <f>COUNTIFS('Profiles Tracker'!E:E,#REF!,'Profiles Tracker'!G:G,"Interview Done",'Profiles Tracker'!O:O,"Rejected")</f>
        <v>0</v>
      </c>
      <c r="T36" s="3">
        <f>COUNTIFS('Profiles Tracker'!E:E,#REF!,'Profiles Tracker'!G:G,T$1)</f>
        <v>0</v>
      </c>
      <c r="U36" s="3">
        <f t="shared" si="2"/>
        <v>0</v>
      </c>
      <c r="V36" s="3">
        <f t="shared" si="3"/>
        <v>8</v>
      </c>
      <c r="W36" s="3">
        <f t="shared" si="4"/>
        <v>8</v>
      </c>
      <c r="X36" s="3">
        <f t="shared" si="5"/>
        <v>8</v>
      </c>
      <c r="Y36" s="3">
        <f t="shared" si="6"/>
        <v>24</v>
      </c>
      <c r="Z36" s="3">
        <f t="shared" si="7"/>
        <v>8</v>
      </c>
      <c r="AA36" s="3">
        <f t="shared" si="8"/>
        <v>8</v>
      </c>
      <c r="AB36" s="3">
        <f t="shared" si="9"/>
        <v>24</v>
      </c>
      <c r="AC36" s="16">
        <f t="shared" si="10"/>
        <v>45671</v>
      </c>
      <c r="AD36" s="16">
        <f t="shared" si="11"/>
        <v>45666</v>
      </c>
      <c r="AE36" s="16">
        <f t="shared" si="12"/>
        <v>45659</v>
      </c>
      <c r="AF36" s="18">
        <f t="shared" ca="1" si="13"/>
        <v>-63</v>
      </c>
      <c r="AG36" s="18">
        <f t="shared" ca="1" si="14"/>
        <v>-64</v>
      </c>
      <c r="AH36" s="18">
        <f t="shared" ca="1" si="15"/>
        <v>-65</v>
      </c>
      <c r="AI36" s="53" t="e">
        <f>COUNTIFS('Profiles Tracker'!E:E,#REF!,'Profiles Tracker'!G:G,Q$1,'Profiles Tracker'!#REF!,"Week 14")</f>
        <v>#REF!</v>
      </c>
      <c r="AJ36" s="52" t="e">
        <f>COUNTIFS('Profiles Tracker'!E:E,#REF!,'Profiles Tracker'!G:G,Q$1,'Profiles Tracker'!#REF!,"Week 15")</f>
        <v>#REF!</v>
      </c>
      <c r="AK36" s="52" t="e">
        <f>COUNTIFS('Profiles Tracker'!E:E,#REF!,'Profiles Tracker'!G:G,Q$1,'Profiles Tracker'!#REF!,"Week 16")</f>
        <v>#REF!</v>
      </c>
      <c r="AL36" s="52" t="e">
        <f>COUNTIFS('Profiles Tracker'!E:E,#REF!,'Profiles Tracker'!G:G,Q$1,'Profiles Tracker'!#REF!,"Week 17")</f>
        <v>#REF!</v>
      </c>
      <c r="AM36" s="52" t="e">
        <f>COUNTIFS('Profiles Tracker'!E:E,#REF!,'Profiles Tracker'!G:G,Q$1,'Profiles Tracker'!#REF!,"Week 18")</f>
        <v>#REF!</v>
      </c>
    </row>
    <row r="37" spans="1:39">
      <c r="A37" s="3">
        <f t="shared" si="16"/>
        <v>36</v>
      </c>
      <c r="B37" s="17" t="s">
        <v>38</v>
      </c>
      <c r="C37" s="17" t="s">
        <v>60</v>
      </c>
      <c r="D37" s="17"/>
      <c r="E37" s="5">
        <v>45668</v>
      </c>
      <c r="F37" s="3" t="s">
        <v>171</v>
      </c>
      <c r="G37" s="3">
        <v>1</v>
      </c>
      <c r="H37" s="16">
        <v>45716</v>
      </c>
      <c r="I37" s="3" t="s">
        <v>41</v>
      </c>
      <c r="J37" s="3" t="s">
        <v>42</v>
      </c>
      <c r="K37" s="17" t="s">
        <v>172</v>
      </c>
      <c r="L37" s="17" t="s">
        <v>173</v>
      </c>
      <c r="M37" s="4" t="s">
        <v>45</v>
      </c>
      <c r="N37" s="3">
        <f>COUNTIFS('Profiles Tracker'!E:E,#REF!,'Profiles Tracker'!G:G,"Profile shared with Interviewer")</f>
        <v>0</v>
      </c>
      <c r="O37" s="3">
        <f>COUNTIFS('Profiles Tracker'!E:E,#REF!,'Profiles Tracker'!G:G,"Shortlisted for next round of interview")</f>
        <v>0</v>
      </c>
      <c r="P37" s="3">
        <f>COUNTIFS('Profiles Tracker'!E:E,#REF!,'Profiles Tracker'!G:G,P$1)</f>
        <v>0</v>
      </c>
      <c r="Q37" s="3">
        <f>COUNTIFS('Profiles Tracker'!E:E,#REF!,'Profiles Tracker'!G:G,Q$1)</f>
        <v>0</v>
      </c>
      <c r="R37" s="3">
        <f>COUNTIFS('Profiles Tracker'!E:E,#REF!,'Profiles Tracker'!G:G,R$1)</f>
        <v>0</v>
      </c>
      <c r="S37" s="3">
        <f>COUNTIFS('Profiles Tracker'!E:E,#REF!,'Profiles Tracker'!G:G,"Interview Done",'Profiles Tracker'!O:O,"Rejected")</f>
        <v>0</v>
      </c>
      <c r="T37" s="3">
        <f>COUNTIFS('Profiles Tracker'!E:E,#REF!,'Profiles Tracker'!G:G,T$1)</f>
        <v>0</v>
      </c>
      <c r="U37" s="3">
        <f t="shared" si="2"/>
        <v>0</v>
      </c>
      <c r="V37" s="3">
        <f t="shared" si="3"/>
        <v>1</v>
      </c>
      <c r="W37" s="3">
        <f t="shared" si="4"/>
        <v>1</v>
      </c>
      <c r="X37" s="3">
        <f t="shared" si="5"/>
        <v>1</v>
      </c>
      <c r="Y37" s="3">
        <f t="shared" si="6"/>
        <v>3</v>
      </c>
      <c r="Z37" s="3">
        <f t="shared" si="7"/>
        <v>1</v>
      </c>
      <c r="AA37" s="3">
        <f t="shared" si="8"/>
        <v>1</v>
      </c>
      <c r="AB37" s="3">
        <f t="shared" si="9"/>
        <v>3</v>
      </c>
      <c r="AC37" s="16">
        <f t="shared" si="10"/>
        <v>45656</v>
      </c>
      <c r="AD37" s="16">
        <f t="shared" si="11"/>
        <v>45651</v>
      </c>
      <c r="AE37" s="16">
        <f t="shared" si="12"/>
        <v>45644</v>
      </c>
      <c r="AF37" s="18">
        <f t="shared" ca="1" si="13"/>
        <v>-65</v>
      </c>
      <c r="AG37" s="18">
        <f t="shared" ca="1" si="14"/>
        <v>-66</v>
      </c>
      <c r="AH37" s="18">
        <f t="shared" ca="1" si="15"/>
        <v>-67</v>
      </c>
      <c r="AI37" s="53" t="e">
        <f>COUNTIFS('Profiles Tracker'!E:E,#REF!,'Profiles Tracker'!G:G,Q$1,'Profiles Tracker'!#REF!,"Week 14")</f>
        <v>#REF!</v>
      </c>
      <c r="AJ37" s="52" t="e">
        <f>COUNTIFS('Profiles Tracker'!E:E,#REF!,'Profiles Tracker'!G:G,Q$1,'Profiles Tracker'!#REF!,"Week 15")</f>
        <v>#REF!</v>
      </c>
      <c r="AK37" s="52" t="e">
        <f>COUNTIFS('Profiles Tracker'!E:E,#REF!,'Profiles Tracker'!G:G,Q$1,'Profiles Tracker'!#REF!,"Week 16")</f>
        <v>#REF!</v>
      </c>
      <c r="AL37" s="52" t="e">
        <f>COUNTIFS('Profiles Tracker'!E:E,#REF!,'Profiles Tracker'!G:G,Q$1,'Profiles Tracker'!#REF!,"Week 17")</f>
        <v>#REF!</v>
      </c>
      <c r="AM37" s="52" t="e">
        <f>COUNTIFS('Profiles Tracker'!E:E,#REF!,'Profiles Tracker'!G:G,Q$1,'Profiles Tracker'!#REF!,"Week 18")</f>
        <v>#REF!</v>
      </c>
    </row>
    <row r="38" spans="1:39">
      <c r="A38" s="3">
        <f t="shared" si="16"/>
        <v>37</v>
      </c>
      <c r="B38" s="17" t="s">
        <v>38</v>
      </c>
      <c r="C38" s="17" t="s">
        <v>60</v>
      </c>
      <c r="D38" s="17"/>
      <c r="E38" s="5">
        <v>45668</v>
      </c>
      <c r="F38" s="3" t="s">
        <v>174</v>
      </c>
      <c r="G38" s="3">
        <v>0</v>
      </c>
      <c r="H38" s="16">
        <v>45716</v>
      </c>
      <c r="I38" s="3" t="s">
        <v>41</v>
      </c>
      <c r="J38" s="3" t="s">
        <v>42</v>
      </c>
      <c r="K38" s="17" t="s">
        <v>175</v>
      </c>
      <c r="L38" s="17"/>
      <c r="M38" s="4" t="s">
        <v>68</v>
      </c>
      <c r="N38" s="3">
        <f>COUNTIFS('Profiles Tracker'!E:E,#REF!,'Profiles Tracker'!G:G,"Profile shared with Interviewer")</f>
        <v>0</v>
      </c>
      <c r="O38" s="3">
        <f>COUNTIFS('Profiles Tracker'!E:E,#REF!,'Profiles Tracker'!G:G,"Shortlisted for next round of interview")</f>
        <v>0</v>
      </c>
      <c r="P38" s="3">
        <f>COUNTIFS('Profiles Tracker'!E:E,#REF!,'Profiles Tracker'!G:G,P$1)</f>
        <v>0</v>
      </c>
      <c r="Q38" s="3">
        <f>COUNTIFS('Profiles Tracker'!E:E,#REF!,'Profiles Tracker'!G:G,Q$1)</f>
        <v>0</v>
      </c>
      <c r="R38" s="3">
        <f>COUNTIFS('Profiles Tracker'!E:E,#REF!,'Profiles Tracker'!G:G,R$1)</f>
        <v>0</v>
      </c>
      <c r="S38" s="3">
        <f>COUNTIFS('Profiles Tracker'!E:E,#REF!,'Profiles Tracker'!G:G,"Interview Done",'Profiles Tracker'!O:O,"Rejected")</f>
        <v>0</v>
      </c>
      <c r="T38" s="3">
        <f>COUNTIFS('Profiles Tracker'!E:E,#REF!,'Profiles Tracker'!G:G,T$1)</f>
        <v>0</v>
      </c>
      <c r="U38" s="3">
        <f t="shared" si="2"/>
        <v>0</v>
      </c>
      <c r="V38" s="3">
        <f t="shared" si="3"/>
        <v>0</v>
      </c>
      <c r="W38" s="3">
        <f t="shared" si="4"/>
        <v>0</v>
      </c>
      <c r="X38" s="3">
        <f t="shared" si="5"/>
        <v>0</v>
      </c>
      <c r="Y38" s="3">
        <f t="shared" si="6"/>
        <v>0</v>
      </c>
      <c r="Z38" s="3">
        <f t="shared" si="7"/>
        <v>0</v>
      </c>
      <c r="AA38" s="3">
        <f t="shared" si="8"/>
        <v>0</v>
      </c>
      <c r="AB38" s="3">
        <f t="shared" si="9"/>
        <v>0</v>
      </c>
      <c r="AC38" s="16">
        <f t="shared" si="10"/>
        <v>45671</v>
      </c>
      <c r="AD38" s="16">
        <f t="shared" si="11"/>
        <v>45666</v>
      </c>
      <c r="AE38" s="16">
        <f t="shared" si="12"/>
        <v>45659</v>
      </c>
      <c r="AF38" s="18">
        <f t="shared" ca="1" si="13"/>
        <v>-63</v>
      </c>
      <c r="AG38" s="18">
        <f t="shared" ca="1" si="14"/>
        <v>-64</v>
      </c>
      <c r="AH38" s="18">
        <f t="shared" ca="1" si="15"/>
        <v>-65</v>
      </c>
      <c r="AI38" s="53" t="e">
        <f>COUNTIFS('Profiles Tracker'!E:E,#REF!,'Profiles Tracker'!G:G,Q$1,'Profiles Tracker'!#REF!,"Week 14")</f>
        <v>#REF!</v>
      </c>
      <c r="AJ38" s="52" t="e">
        <f>COUNTIFS('Profiles Tracker'!E:E,#REF!,'Profiles Tracker'!G:G,Q$1,'Profiles Tracker'!#REF!,"Week 15")</f>
        <v>#REF!</v>
      </c>
      <c r="AK38" s="52" t="e">
        <f>COUNTIFS('Profiles Tracker'!E:E,#REF!,'Profiles Tracker'!G:G,Q$1,'Profiles Tracker'!#REF!,"Week 16")</f>
        <v>#REF!</v>
      </c>
      <c r="AL38" s="52" t="e">
        <f>COUNTIFS('Profiles Tracker'!E:E,#REF!,'Profiles Tracker'!G:G,Q$1,'Profiles Tracker'!#REF!,"Week 17")</f>
        <v>#REF!</v>
      </c>
      <c r="AM38" s="52" t="e">
        <f>COUNTIFS('Profiles Tracker'!E:E,#REF!,'Profiles Tracker'!G:G,Q$1,'Profiles Tracker'!#REF!,"Week 18")</f>
        <v>#REF!</v>
      </c>
    </row>
    <row r="39" spans="1:39">
      <c r="A39" s="3">
        <f t="shared" si="16"/>
        <v>38</v>
      </c>
      <c r="B39" s="17" t="s">
        <v>38</v>
      </c>
      <c r="C39" s="17" t="s">
        <v>53</v>
      </c>
      <c r="D39" s="17"/>
      <c r="E39" s="5">
        <v>45668</v>
      </c>
      <c r="F39" s="3" t="s">
        <v>80</v>
      </c>
      <c r="G39" s="3"/>
      <c r="H39" s="16">
        <v>45716</v>
      </c>
      <c r="I39" s="3" t="s">
        <v>65</v>
      </c>
      <c r="J39" s="3" t="s">
        <v>94</v>
      </c>
      <c r="K39" s="17" t="s">
        <v>176</v>
      </c>
      <c r="L39" s="17"/>
      <c r="M39" s="4" t="s">
        <v>68</v>
      </c>
      <c r="N39" s="3">
        <f>COUNTIFS('Profiles Tracker'!E:E,#REF!,'Profiles Tracker'!G:G,"Profile shared with Interviewer")</f>
        <v>0</v>
      </c>
      <c r="O39" s="3">
        <f>COUNTIFS('Profiles Tracker'!E:E,#REF!,'Profiles Tracker'!G:G,"Shortlisted for next round of interview")</f>
        <v>0</v>
      </c>
      <c r="P39" s="3">
        <f>COUNTIFS('Profiles Tracker'!E:E,#REF!,'Profiles Tracker'!G:G,P$1)</f>
        <v>0</v>
      </c>
      <c r="Q39" s="3">
        <f>COUNTIFS('Profiles Tracker'!E:E,#REF!,'Profiles Tracker'!G:G,Q$1)</f>
        <v>0</v>
      </c>
      <c r="R39" s="3">
        <f>COUNTIFS('Profiles Tracker'!E:E,#REF!,'Profiles Tracker'!G:G,R$1)</f>
        <v>0</v>
      </c>
      <c r="S39" s="3">
        <f>COUNTIFS('Profiles Tracker'!E:E,#REF!,'Profiles Tracker'!G:G,"Interview Done",'Profiles Tracker'!O:O,"Rejected")</f>
        <v>0</v>
      </c>
      <c r="T39" s="3">
        <f>COUNTIFS('Profiles Tracker'!E:E,#REF!,'Profiles Tracker'!G:G,T$1)</f>
        <v>0</v>
      </c>
      <c r="U39" s="3">
        <f t="shared" si="2"/>
        <v>0</v>
      </c>
      <c r="V39" s="3">
        <f t="shared" si="3"/>
        <v>0</v>
      </c>
      <c r="W39" s="3">
        <f t="shared" si="4"/>
        <v>0</v>
      </c>
      <c r="X39" s="3">
        <f t="shared" si="5"/>
        <v>0</v>
      </c>
      <c r="Y39" s="3">
        <f t="shared" si="6"/>
        <v>0</v>
      </c>
      <c r="Z39" s="3">
        <f t="shared" si="7"/>
        <v>0</v>
      </c>
      <c r="AA39" s="3">
        <f t="shared" si="8"/>
        <v>0</v>
      </c>
      <c r="AB39" s="3">
        <f t="shared" si="9"/>
        <v>0</v>
      </c>
      <c r="AC39" s="16">
        <f t="shared" si="10"/>
        <v>45671</v>
      </c>
      <c r="AD39" s="16">
        <f t="shared" si="11"/>
        <v>45666</v>
      </c>
      <c r="AE39" s="16">
        <f t="shared" si="12"/>
        <v>45659</v>
      </c>
      <c r="AF39" s="18">
        <f t="shared" ca="1" si="13"/>
        <v>-63</v>
      </c>
      <c r="AG39" s="18">
        <f t="shared" ca="1" si="14"/>
        <v>-64</v>
      </c>
      <c r="AH39" s="18">
        <f t="shared" ca="1" si="15"/>
        <v>-65</v>
      </c>
      <c r="AI39" s="53" t="e">
        <f>COUNTIFS('Profiles Tracker'!E:E,#REF!,'Profiles Tracker'!G:G,Q$1,'Profiles Tracker'!#REF!,"Week 14")</f>
        <v>#REF!</v>
      </c>
      <c r="AJ39" s="52" t="e">
        <f>COUNTIFS('Profiles Tracker'!E:E,#REF!,'Profiles Tracker'!G:G,Q$1,'Profiles Tracker'!#REF!,"Week 15")</f>
        <v>#REF!</v>
      </c>
      <c r="AK39" s="52" t="e">
        <f>COUNTIFS('Profiles Tracker'!E:E,#REF!,'Profiles Tracker'!G:G,Q$1,'Profiles Tracker'!#REF!,"Week 16")</f>
        <v>#REF!</v>
      </c>
      <c r="AL39" s="52" t="e">
        <f>COUNTIFS('Profiles Tracker'!E:E,#REF!,'Profiles Tracker'!G:G,Q$1,'Profiles Tracker'!#REF!,"Week 17")</f>
        <v>#REF!</v>
      </c>
      <c r="AM39" s="52" t="e">
        <f>COUNTIFS('Profiles Tracker'!E:E,#REF!,'Profiles Tracker'!G:G,Q$1,'Profiles Tracker'!#REF!,"Week 18")</f>
        <v>#REF!</v>
      </c>
    </row>
    <row r="40" spans="1:39">
      <c r="A40" s="3">
        <f t="shared" si="16"/>
        <v>39</v>
      </c>
      <c r="B40" s="17" t="s">
        <v>38</v>
      </c>
      <c r="C40" s="17"/>
      <c r="D40" s="17"/>
      <c r="E40" s="5">
        <v>45668</v>
      </c>
      <c r="F40" s="3" t="s">
        <v>177</v>
      </c>
      <c r="G40" s="3">
        <v>2</v>
      </c>
      <c r="H40" s="16">
        <v>45716</v>
      </c>
      <c r="I40" s="2" t="s">
        <v>77</v>
      </c>
      <c r="J40" s="3" t="s">
        <v>42</v>
      </c>
      <c r="K40" s="17" t="s">
        <v>178</v>
      </c>
      <c r="L40" s="17"/>
      <c r="M40" s="4" t="s">
        <v>68</v>
      </c>
      <c r="N40" s="3">
        <f>COUNTIFS('Profiles Tracker'!E:E,#REF!,'Profiles Tracker'!G:G,"Profile shared with Interviewer")</f>
        <v>0</v>
      </c>
      <c r="O40" s="3">
        <f>COUNTIFS('Profiles Tracker'!E:E,#REF!,'Profiles Tracker'!G:G,"Shortlisted for next round of interview")</f>
        <v>0</v>
      </c>
      <c r="P40" s="3">
        <f>COUNTIFS('Profiles Tracker'!E:E,#REF!,'Profiles Tracker'!G:G,P$1)</f>
        <v>0</v>
      </c>
      <c r="Q40" s="3">
        <f>COUNTIFS('Profiles Tracker'!E:E,#REF!,'Profiles Tracker'!G:G,Q$1)</f>
        <v>0</v>
      </c>
      <c r="R40" s="3">
        <f>COUNTIFS('Profiles Tracker'!E:E,#REF!,'Profiles Tracker'!G:G,R$1)</f>
        <v>0</v>
      </c>
      <c r="S40" s="3">
        <f>COUNTIFS('Profiles Tracker'!E:E,#REF!,'Profiles Tracker'!G:G,"Interview Done",'Profiles Tracker'!O:O,"Rejected")</f>
        <v>0</v>
      </c>
      <c r="T40" s="3">
        <f>COUNTIFS('Profiles Tracker'!E:E,#REF!,'Profiles Tracker'!G:G,T$1)</f>
        <v>0</v>
      </c>
      <c r="U40" s="3">
        <f t="shared" ref="U40:U71" si="17">N40+P40+Q40+R40+S40+T40</f>
        <v>0</v>
      </c>
      <c r="V40" s="3">
        <f t="shared" ref="V40:V71" si="18">IF((G40-R40-Q40)&lt;1,0,G40-R40-Q40)</f>
        <v>2</v>
      </c>
      <c r="W40" s="3">
        <f t="shared" ref="W40:W71" si="19">FLOOR(G40,1)</f>
        <v>2</v>
      </c>
      <c r="X40" s="3">
        <f t="shared" ref="X40:X71" si="20">FLOOR(W40,1)</f>
        <v>2</v>
      </c>
      <c r="Y40" s="3">
        <f t="shared" ref="Y40:Y71" si="21">X40*3</f>
        <v>6</v>
      </c>
      <c r="Z40" s="3">
        <f t="shared" ref="Z40:Z71" si="22">IF(W40-SUM(Q40:R40)&lt;1,0,W40-SUM(Q40:R40))</f>
        <v>2</v>
      </c>
      <c r="AA40" s="3">
        <f t="shared" ref="AA40:AA71" si="23">IF(X40-SUM(P40:R40)&lt;1,0,X40-SUM(P40:R40))</f>
        <v>2</v>
      </c>
      <c r="AB40" s="3">
        <f t="shared" ref="AB40:AB71" si="24">IF(AA40*3-N40&lt;1,0,AA40*3-N40)</f>
        <v>6</v>
      </c>
      <c r="AC40" s="16">
        <f t="shared" ref="AC40:AC71" si="25">IF(M40="APM Below",H40-45,IF(M40="APM &amp; Above", H40-60,H40-90))</f>
        <v>45671</v>
      </c>
      <c r="AD40" s="16">
        <f t="shared" ref="AD40:AD71" si="26">IFERROR(AC40-5,"NA")</f>
        <v>45666</v>
      </c>
      <c r="AE40" s="16">
        <f t="shared" ref="AE40:AE71" si="27">IFERROR(AD40-7,"NA")</f>
        <v>45659</v>
      </c>
      <c r="AF40" s="18">
        <f t="shared" ref="AF40:AF71" ca="1" si="28">CEILING((AC40-TODAY())/7,1)</f>
        <v>-63</v>
      </c>
      <c r="AG40" s="18">
        <f t="shared" ref="AG40:AG71" ca="1" si="29">CEILING((AD40-TODAY())/7,1)</f>
        <v>-64</v>
      </c>
      <c r="AH40" s="18">
        <f t="shared" ref="AH40:AH71" ca="1" si="30">CEILING((AE40-TODAY())/7,1)</f>
        <v>-65</v>
      </c>
      <c r="AI40" s="53" t="e">
        <f>COUNTIFS('Profiles Tracker'!E:E,#REF!,'Profiles Tracker'!G:G,Q$1,'Profiles Tracker'!#REF!,"Week 14")</f>
        <v>#REF!</v>
      </c>
      <c r="AJ40" s="52" t="e">
        <f>COUNTIFS('Profiles Tracker'!E:E,#REF!,'Profiles Tracker'!G:G,Q$1,'Profiles Tracker'!#REF!,"Week 15")</f>
        <v>#REF!</v>
      </c>
      <c r="AK40" s="52" t="e">
        <f>COUNTIFS('Profiles Tracker'!E:E,#REF!,'Profiles Tracker'!G:G,Q$1,'Profiles Tracker'!#REF!,"Week 16")</f>
        <v>#REF!</v>
      </c>
      <c r="AL40" s="52" t="e">
        <f>COUNTIFS('Profiles Tracker'!E:E,#REF!,'Profiles Tracker'!G:G,Q$1,'Profiles Tracker'!#REF!,"Week 17")</f>
        <v>#REF!</v>
      </c>
      <c r="AM40" s="52" t="e">
        <f>COUNTIFS('Profiles Tracker'!E:E,#REF!,'Profiles Tracker'!G:G,Q$1,'Profiles Tracker'!#REF!,"Week 18")</f>
        <v>#REF!</v>
      </c>
    </row>
    <row r="41" spans="1:39">
      <c r="A41" s="3">
        <f t="shared" si="16"/>
        <v>40</v>
      </c>
      <c r="B41" s="17" t="s">
        <v>38</v>
      </c>
      <c r="C41" s="17" t="s">
        <v>49</v>
      </c>
      <c r="D41" s="17"/>
      <c r="E41" s="5">
        <v>45668</v>
      </c>
      <c r="F41" s="3" t="s">
        <v>50</v>
      </c>
      <c r="G41" s="3">
        <v>3</v>
      </c>
      <c r="H41" s="16">
        <v>45747</v>
      </c>
      <c r="I41" s="3" t="s">
        <v>41</v>
      </c>
      <c r="J41" s="3" t="s">
        <v>42</v>
      </c>
      <c r="K41" s="17" t="s">
        <v>179</v>
      </c>
      <c r="L41" s="17"/>
      <c r="M41" s="4" t="s">
        <v>45</v>
      </c>
      <c r="N41" s="3">
        <f>COUNTIFS('Profiles Tracker'!E:E,#REF!,'Profiles Tracker'!G:G,"Profile shared with Interviewer")</f>
        <v>0</v>
      </c>
      <c r="O41" s="3">
        <f>COUNTIFS('Profiles Tracker'!E:E,#REF!,'Profiles Tracker'!G:G,"Shortlisted for next round of interview")</f>
        <v>0</v>
      </c>
      <c r="P41" s="3">
        <f>COUNTIFS('Profiles Tracker'!E:E,#REF!,'Profiles Tracker'!G:G,P$1)</f>
        <v>0</v>
      </c>
      <c r="Q41" s="3">
        <f>COUNTIFS('Profiles Tracker'!E:E,#REF!,'Profiles Tracker'!G:G,Q$1)</f>
        <v>0</v>
      </c>
      <c r="R41" s="3">
        <f>COUNTIFS('Profiles Tracker'!E:E,#REF!,'Profiles Tracker'!G:G,R$1)</f>
        <v>0</v>
      </c>
      <c r="S41" s="3">
        <f>COUNTIFS('Profiles Tracker'!E:E,#REF!,'Profiles Tracker'!G:G,"Interview Done",'Profiles Tracker'!O:O,"Rejected")</f>
        <v>0</v>
      </c>
      <c r="T41" s="3">
        <f>COUNTIFS('Profiles Tracker'!E:E,#REF!,'Profiles Tracker'!G:G,T$1)</f>
        <v>0</v>
      </c>
      <c r="U41" s="3">
        <f t="shared" si="17"/>
        <v>0</v>
      </c>
      <c r="V41" s="3">
        <f t="shared" si="18"/>
        <v>3</v>
      </c>
      <c r="W41" s="3">
        <f t="shared" si="19"/>
        <v>3</v>
      </c>
      <c r="X41" s="3">
        <f t="shared" si="20"/>
        <v>3</v>
      </c>
      <c r="Y41" s="3">
        <f t="shared" si="21"/>
        <v>9</v>
      </c>
      <c r="Z41" s="3">
        <f t="shared" si="22"/>
        <v>3</v>
      </c>
      <c r="AA41" s="3">
        <f t="shared" si="23"/>
        <v>3</v>
      </c>
      <c r="AB41" s="3">
        <f t="shared" si="24"/>
        <v>9</v>
      </c>
      <c r="AC41" s="16">
        <f t="shared" si="25"/>
        <v>45687</v>
      </c>
      <c r="AD41" s="16">
        <f t="shared" si="26"/>
        <v>45682</v>
      </c>
      <c r="AE41" s="16">
        <f t="shared" si="27"/>
        <v>45675</v>
      </c>
      <c r="AF41" s="18">
        <f t="shared" ca="1" si="28"/>
        <v>-61</v>
      </c>
      <c r="AG41" s="18">
        <f t="shared" ca="1" si="29"/>
        <v>-61</v>
      </c>
      <c r="AH41" s="18">
        <f t="shared" ca="1" si="30"/>
        <v>-62</v>
      </c>
      <c r="AI41" s="53" t="e">
        <f>COUNTIFS('Profiles Tracker'!E:E,#REF!,'Profiles Tracker'!G:G,Q$1,'Profiles Tracker'!#REF!,"Week 14")</f>
        <v>#REF!</v>
      </c>
      <c r="AJ41" s="52" t="e">
        <f>COUNTIFS('Profiles Tracker'!E:E,#REF!,'Profiles Tracker'!G:G,Q$1,'Profiles Tracker'!#REF!,"Week 15")</f>
        <v>#REF!</v>
      </c>
      <c r="AK41" s="52" t="e">
        <f>COUNTIFS('Profiles Tracker'!E:E,#REF!,'Profiles Tracker'!G:G,Q$1,'Profiles Tracker'!#REF!,"Week 16")</f>
        <v>#REF!</v>
      </c>
      <c r="AL41" s="52" t="e">
        <f>COUNTIFS('Profiles Tracker'!E:E,#REF!,'Profiles Tracker'!G:G,Q$1,'Profiles Tracker'!#REF!,"Week 17")</f>
        <v>#REF!</v>
      </c>
      <c r="AM41" s="52" t="e">
        <f>COUNTIFS('Profiles Tracker'!E:E,#REF!,'Profiles Tracker'!G:G,Q$1,'Profiles Tracker'!#REF!,"Week 18")</f>
        <v>#REF!</v>
      </c>
    </row>
    <row r="42" spans="1:39">
      <c r="A42" s="3">
        <f t="shared" si="16"/>
        <v>41</v>
      </c>
      <c r="B42" s="17" t="s">
        <v>38</v>
      </c>
      <c r="C42" s="17" t="s">
        <v>53</v>
      </c>
      <c r="D42" s="17"/>
      <c r="E42" s="5">
        <v>45668</v>
      </c>
      <c r="F42" s="3" t="s">
        <v>54</v>
      </c>
      <c r="G42" s="3">
        <v>0</v>
      </c>
      <c r="H42" s="16">
        <v>45747</v>
      </c>
      <c r="I42" s="3" t="s">
        <v>41</v>
      </c>
      <c r="J42" s="3" t="s">
        <v>42</v>
      </c>
      <c r="K42" s="17" t="s">
        <v>180</v>
      </c>
      <c r="L42" s="17"/>
      <c r="M42" s="4" t="s">
        <v>45</v>
      </c>
      <c r="N42" s="3">
        <f>COUNTIFS('Profiles Tracker'!E:E,#REF!,'Profiles Tracker'!G:G,"Profile shared with Interviewer")</f>
        <v>0</v>
      </c>
      <c r="O42" s="3">
        <f>COUNTIFS('Profiles Tracker'!E:E,#REF!,'Profiles Tracker'!G:G,"Shortlisted for next round of interview")</f>
        <v>0</v>
      </c>
      <c r="P42" s="3">
        <f>COUNTIFS('Profiles Tracker'!E:E,#REF!,'Profiles Tracker'!G:G,P$1)</f>
        <v>0</v>
      </c>
      <c r="Q42" s="3">
        <f>COUNTIFS('Profiles Tracker'!E:E,#REF!,'Profiles Tracker'!G:G,Q$1)</f>
        <v>0</v>
      </c>
      <c r="R42" s="3">
        <f>COUNTIFS('Profiles Tracker'!E:E,#REF!,'Profiles Tracker'!G:G,R$1)</f>
        <v>0</v>
      </c>
      <c r="S42" s="3">
        <f>COUNTIFS('Profiles Tracker'!E:E,#REF!,'Profiles Tracker'!G:G,"Interview Done",'Profiles Tracker'!O:O,"Rejected")</f>
        <v>0</v>
      </c>
      <c r="T42" s="3">
        <f>COUNTIFS('Profiles Tracker'!E:E,#REF!,'Profiles Tracker'!G:G,T$1)</f>
        <v>0</v>
      </c>
      <c r="U42" s="3">
        <f t="shared" si="17"/>
        <v>0</v>
      </c>
      <c r="V42" s="3">
        <f t="shared" si="18"/>
        <v>0</v>
      </c>
      <c r="W42" s="3">
        <f t="shared" si="19"/>
        <v>0</v>
      </c>
      <c r="X42" s="3">
        <f t="shared" si="20"/>
        <v>0</v>
      </c>
      <c r="Y42" s="3">
        <f t="shared" si="21"/>
        <v>0</v>
      </c>
      <c r="Z42" s="3">
        <f t="shared" si="22"/>
        <v>0</v>
      </c>
      <c r="AA42" s="3">
        <f t="shared" si="23"/>
        <v>0</v>
      </c>
      <c r="AB42" s="3">
        <f t="shared" si="24"/>
        <v>0</v>
      </c>
      <c r="AC42" s="16">
        <f t="shared" si="25"/>
        <v>45687</v>
      </c>
      <c r="AD42" s="16">
        <f t="shared" si="26"/>
        <v>45682</v>
      </c>
      <c r="AE42" s="16">
        <f t="shared" si="27"/>
        <v>45675</v>
      </c>
      <c r="AF42" s="18">
        <f t="shared" ca="1" si="28"/>
        <v>-61</v>
      </c>
      <c r="AG42" s="18">
        <f t="shared" ca="1" si="29"/>
        <v>-61</v>
      </c>
      <c r="AH42" s="18">
        <f t="shared" ca="1" si="30"/>
        <v>-62</v>
      </c>
      <c r="AI42" s="53" t="e">
        <f>COUNTIFS('Profiles Tracker'!E:E,#REF!,'Profiles Tracker'!G:G,Q$1,'Profiles Tracker'!#REF!,"Week 14")</f>
        <v>#REF!</v>
      </c>
      <c r="AJ42" s="52" t="e">
        <f>COUNTIFS('Profiles Tracker'!E:E,#REF!,'Profiles Tracker'!G:G,Q$1,'Profiles Tracker'!#REF!,"Week 15")</f>
        <v>#REF!</v>
      </c>
      <c r="AK42" s="52" t="e">
        <f>COUNTIFS('Profiles Tracker'!E:E,#REF!,'Profiles Tracker'!G:G,Q$1,'Profiles Tracker'!#REF!,"Week 16")</f>
        <v>#REF!</v>
      </c>
      <c r="AL42" s="52" t="e">
        <f>COUNTIFS('Profiles Tracker'!E:E,#REF!,'Profiles Tracker'!G:G,Q$1,'Profiles Tracker'!#REF!,"Week 17")</f>
        <v>#REF!</v>
      </c>
      <c r="AM42" s="52" t="e">
        <f>COUNTIFS('Profiles Tracker'!E:E,#REF!,'Profiles Tracker'!G:G,Q$1,'Profiles Tracker'!#REF!,"Week 18")</f>
        <v>#REF!</v>
      </c>
    </row>
    <row r="43" spans="1:39">
      <c r="A43" s="3">
        <f t="shared" si="16"/>
        <v>42</v>
      </c>
      <c r="B43" s="17" t="s">
        <v>38</v>
      </c>
      <c r="C43" s="17" t="s">
        <v>49</v>
      </c>
      <c r="D43" s="17"/>
      <c r="E43" s="5">
        <v>45668</v>
      </c>
      <c r="F43" s="3" t="s">
        <v>57</v>
      </c>
      <c r="G43" s="3">
        <v>0</v>
      </c>
      <c r="H43" s="16">
        <v>45747</v>
      </c>
      <c r="I43" s="3" t="s">
        <v>41</v>
      </c>
      <c r="J43" s="3" t="s">
        <v>42</v>
      </c>
      <c r="K43" s="17" t="s">
        <v>181</v>
      </c>
      <c r="L43" s="17"/>
      <c r="M43" s="4" t="s">
        <v>45</v>
      </c>
      <c r="N43" s="3">
        <f>COUNTIFS('Profiles Tracker'!E:E,#REF!,'Profiles Tracker'!G:G,"Profile shared with Interviewer")</f>
        <v>0</v>
      </c>
      <c r="O43" s="3">
        <f>COUNTIFS('Profiles Tracker'!E:E,#REF!,'Profiles Tracker'!G:G,"Shortlisted for next round of interview")</f>
        <v>0</v>
      </c>
      <c r="P43" s="3">
        <f>COUNTIFS('Profiles Tracker'!E:E,#REF!,'Profiles Tracker'!G:G,P$1)</f>
        <v>0</v>
      </c>
      <c r="Q43" s="3">
        <f>COUNTIFS('Profiles Tracker'!E:E,#REF!,'Profiles Tracker'!G:G,Q$1)</f>
        <v>0</v>
      </c>
      <c r="R43" s="3">
        <f>COUNTIFS('Profiles Tracker'!E:E,#REF!,'Profiles Tracker'!G:G,R$1)</f>
        <v>0</v>
      </c>
      <c r="S43" s="3">
        <f>COUNTIFS('Profiles Tracker'!E:E,#REF!,'Profiles Tracker'!G:G,"Interview Done",'Profiles Tracker'!O:O,"Rejected")</f>
        <v>0</v>
      </c>
      <c r="T43" s="3">
        <f>COUNTIFS('Profiles Tracker'!E:E,#REF!,'Profiles Tracker'!G:G,T$1)</f>
        <v>0</v>
      </c>
      <c r="U43" s="3">
        <f t="shared" si="17"/>
        <v>0</v>
      </c>
      <c r="V43" s="3">
        <f t="shared" si="18"/>
        <v>0</v>
      </c>
      <c r="W43" s="3">
        <f t="shared" si="19"/>
        <v>0</v>
      </c>
      <c r="X43" s="3">
        <f t="shared" si="20"/>
        <v>0</v>
      </c>
      <c r="Y43" s="3">
        <f t="shared" si="21"/>
        <v>0</v>
      </c>
      <c r="Z43" s="3">
        <f t="shared" si="22"/>
        <v>0</v>
      </c>
      <c r="AA43" s="3">
        <f t="shared" si="23"/>
        <v>0</v>
      </c>
      <c r="AB43" s="3">
        <f t="shared" si="24"/>
        <v>0</v>
      </c>
      <c r="AC43" s="16">
        <f t="shared" si="25"/>
        <v>45687</v>
      </c>
      <c r="AD43" s="16">
        <f t="shared" si="26"/>
        <v>45682</v>
      </c>
      <c r="AE43" s="16">
        <f t="shared" si="27"/>
        <v>45675</v>
      </c>
      <c r="AF43" s="18">
        <f t="shared" ca="1" si="28"/>
        <v>-61</v>
      </c>
      <c r="AG43" s="18">
        <f t="shared" ca="1" si="29"/>
        <v>-61</v>
      </c>
      <c r="AH43" s="18">
        <f t="shared" ca="1" si="30"/>
        <v>-62</v>
      </c>
      <c r="AI43" s="53" t="e">
        <f>COUNTIFS('Profiles Tracker'!E:E,#REF!,'Profiles Tracker'!G:G,Q$1,'Profiles Tracker'!#REF!,"Week 14")</f>
        <v>#REF!</v>
      </c>
      <c r="AJ43" s="52" t="e">
        <f>COUNTIFS('Profiles Tracker'!E:E,#REF!,'Profiles Tracker'!G:G,Q$1,'Profiles Tracker'!#REF!,"Week 15")</f>
        <v>#REF!</v>
      </c>
      <c r="AK43" s="52" t="e">
        <f>COUNTIFS('Profiles Tracker'!E:E,#REF!,'Profiles Tracker'!G:G,Q$1,'Profiles Tracker'!#REF!,"Week 16")</f>
        <v>#REF!</v>
      </c>
      <c r="AL43" s="52" t="e">
        <f>COUNTIFS('Profiles Tracker'!E:E,#REF!,'Profiles Tracker'!G:G,Q$1,'Profiles Tracker'!#REF!,"Week 17")</f>
        <v>#REF!</v>
      </c>
      <c r="AM43" s="52" t="e">
        <f>COUNTIFS('Profiles Tracker'!E:E,#REF!,'Profiles Tracker'!G:G,Q$1,'Profiles Tracker'!#REF!,"Week 18")</f>
        <v>#REF!</v>
      </c>
    </row>
    <row r="44" spans="1:39">
      <c r="A44" s="3">
        <f t="shared" si="16"/>
        <v>43</v>
      </c>
      <c r="B44" s="17" t="s">
        <v>38</v>
      </c>
      <c r="C44" s="17" t="s">
        <v>49</v>
      </c>
      <c r="D44" s="17"/>
      <c r="E44" s="5">
        <v>45668</v>
      </c>
      <c r="F44" s="3" t="s">
        <v>69</v>
      </c>
      <c r="G44" s="3">
        <v>0</v>
      </c>
      <c r="H44" s="16">
        <v>45747</v>
      </c>
      <c r="I44" s="3" t="s">
        <v>70</v>
      </c>
      <c r="J44" s="3" t="s">
        <v>42</v>
      </c>
      <c r="K44" s="17" t="s">
        <v>182</v>
      </c>
      <c r="L44" s="17"/>
      <c r="M44" s="4" t="s">
        <v>68</v>
      </c>
      <c r="N44" s="3">
        <f>COUNTIFS('Profiles Tracker'!E:E,#REF!,'Profiles Tracker'!G:G,"Profile shared with Interviewer")</f>
        <v>0</v>
      </c>
      <c r="O44" s="3">
        <f>COUNTIFS('Profiles Tracker'!E:E,#REF!,'Profiles Tracker'!G:G,"Shortlisted for next round of interview")</f>
        <v>0</v>
      </c>
      <c r="P44" s="3">
        <f>COUNTIFS('Profiles Tracker'!E:E,#REF!,'Profiles Tracker'!G:G,P$1)</f>
        <v>0</v>
      </c>
      <c r="Q44" s="3">
        <f>COUNTIFS('Profiles Tracker'!E:E,#REF!,'Profiles Tracker'!G:G,Q$1)</f>
        <v>0</v>
      </c>
      <c r="R44" s="3">
        <f>COUNTIFS('Profiles Tracker'!E:E,#REF!,'Profiles Tracker'!G:G,R$1)</f>
        <v>0</v>
      </c>
      <c r="S44" s="3">
        <f>COUNTIFS('Profiles Tracker'!E:E,#REF!,'Profiles Tracker'!G:G,"Interview Done",'Profiles Tracker'!O:O,"Rejected")</f>
        <v>0</v>
      </c>
      <c r="T44" s="3">
        <f>COUNTIFS('Profiles Tracker'!E:E,#REF!,'Profiles Tracker'!G:G,T$1)</f>
        <v>0</v>
      </c>
      <c r="U44" s="3">
        <f t="shared" si="17"/>
        <v>0</v>
      </c>
      <c r="V44" s="3">
        <f t="shared" si="18"/>
        <v>0</v>
      </c>
      <c r="W44" s="3">
        <f t="shared" si="19"/>
        <v>0</v>
      </c>
      <c r="X44" s="3">
        <f t="shared" si="20"/>
        <v>0</v>
      </c>
      <c r="Y44" s="3">
        <f t="shared" si="21"/>
        <v>0</v>
      </c>
      <c r="Z44" s="3">
        <f t="shared" si="22"/>
        <v>0</v>
      </c>
      <c r="AA44" s="3">
        <f t="shared" si="23"/>
        <v>0</v>
      </c>
      <c r="AB44" s="3">
        <f t="shared" si="24"/>
        <v>0</v>
      </c>
      <c r="AC44" s="16">
        <f t="shared" si="25"/>
        <v>45702</v>
      </c>
      <c r="AD44" s="16">
        <f t="shared" si="26"/>
        <v>45697</v>
      </c>
      <c r="AE44" s="16">
        <f t="shared" si="27"/>
        <v>45690</v>
      </c>
      <c r="AF44" s="18">
        <f t="shared" ca="1" si="28"/>
        <v>-59</v>
      </c>
      <c r="AG44" s="18">
        <f t="shared" ca="1" si="29"/>
        <v>-59</v>
      </c>
      <c r="AH44" s="18">
        <f t="shared" ca="1" si="30"/>
        <v>-60</v>
      </c>
      <c r="AI44" s="53" t="e">
        <f>COUNTIFS('Profiles Tracker'!E:E,#REF!,'Profiles Tracker'!G:G,Q$1,'Profiles Tracker'!#REF!,"Week 14")</f>
        <v>#REF!</v>
      </c>
      <c r="AJ44" s="52" t="e">
        <f>COUNTIFS('Profiles Tracker'!E:E,#REF!,'Profiles Tracker'!G:G,Q$1,'Profiles Tracker'!#REF!,"Week 15")</f>
        <v>#REF!</v>
      </c>
      <c r="AK44" s="52" t="e">
        <f>COUNTIFS('Profiles Tracker'!E:E,#REF!,'Profiles Tracker'!G:G,Q$1,'Profiles Tracker'!#REF!,"Week 16")</f>
        <v>#REF!</v>
      </c>
      <c r="AL44" s="52" t="e">
        <f>COUNTIFS('Profiles Tracker'!E:E,#REF!,'Profiles Tracker'!G:G,Q$1,'Profiles Tracker'!#REF!,"Week 17")</f>
        <v>#REF!</v>
      </c>
      <c r="AM44" s="52" t="e">
        <f>COUNTIFS('Profiles Tracker'!E:E,#REF!,'Profiles Tracker'!G:G,Q$1,'Profiles Tracker'!#REF!,"Week 18")</f>
        <v>#REF!</v>
      </c>
    </row>
    <row r="45" spans="1:39">
      <c r="A45" s="3">
        <f t="shared" si="16"/>
        <v>44</v>
      </c>
      <c r="B45" s="17" t="s">
        <v>38</v>
      </c>
      <c r="C45" s="17" t="s">
        <v>49</v>
      </c>
      <c r="D45" s="17"/>
      <c r="E45" s="5">
        <v>45668</v>
      </c>
      <c r="F45" s="3" t="s">
        <v>76</v>
      </c>
      <c r="G45" s="3"/>
      <c r="H45" s="16">
        <v>45747</v>
      </c>
      <c r="I45" s="3" t="s">
        <v>70</v>
      </c>
      <c r="J45" s="3" t="s">
        <v>42</v>
      </c>
      <c r="K45" s="17" t="s">
        <v>183</v>
      </c>
      <c r="L45" s="17"/>
      <c r="M45" s="4" t="s">
        <v>68</v>
      </c>
      <c r="N45" s="3">
        <f>COUNTIFS('Profiles Tracker'!E:E,#REF!,'Profiles Tracker'!G:G,"Profile shared with Interviewer")</f>
        <v>0</v>
      </c>
      <c r="O45" s="3">
        <f>COUNTIFS('Profiles Tracker'!E:E,#REF!,'Profiles Tracker'!G:G,"Shortlisted for next round of interview")</f>
        <v>0</v>
      </c>
      <c r="P45" s="3">
        <f>COUNTIFS('Profiles Tracker'!E:E,#REF!,'Profiles Tracker'!G:G,P$1)</f>
        <v>0</v>
      </c>
      <c r="Q45" s="3">
        <f>COUNTIFS('Profiles Tracker'!E:E,#REF!,'Profiles Tracker'!G:G,Q$1)</f>
        <v>0</v>
      </c>
      <c r="R45" s="3">
        <f>COUNTIFS('Profiles Tracker'!E:E,#REF!,'Profiles Tracker'!G:G,R$1)</f>
        <v>0</v>
      </c>
      <c r="S45" s="3">
        <f>COUNTIFS('Profiles Tracker'!E:E,#REF!,'Profiles Tracker'!G:G,"Interview Done",'Profiles Tracker'!O:O,"Rejected")</f>
        <v>0</v>
      </c>
      <c r="T45" s="3">
        <f>COUNTIFS('Profiles Tracker'!E:E,#REF!,'Profiles Tracker'!G:G,T$1)</f>
        <v>0</v>
      </c>
      <c r="U45" s="3">
        <f t="shared" si="17"/>
        <v>0</v>
      </c>
      <c r="V45" s="3">
        <f t="shared" si="18"/>
        <v>0</v>
      </c>
      <c r="W45" s="3">
        <f t="shared" si="19"/>
        <v>0</v>
      </c>
      <c r="X45" s="3">
        <f t="shared" si="20"/>
        <v>0</v>
      </c>
      <c r="Y45" s="3">
        <f t="shared" si="21"/>
        <v>0</v>
      </c>
      <c r="Z45" s="3">
        <f t="shared" si="22"/>
        <v>0</v>
      </c>
      <c r="AA45" s="3">
        <f t="shared" si="23"/>
        <v>0</v>
      </c>
      <c r="AB45" s="3">
        <f t="shared" si="24"/>
        <v>0</v>
      </c>
      <c r="AC45" s="16">
        <f t="shared" si="25"/>
        <v>45702</v>
      </c>
      <c r="AD45" s="16">
        <f t="shared" si="26"/>
        <v>45697</v>
      </c>
      <c r="AE45" s="16">
        <f t="shared" si="27"/>
        <v>45690</v>
      </c>
      <c r="AF45" s="18">
        <f t="shared" ca="1" si="28"/>
        <v>-59</v>
      </c>
      <c r="AG45" s="18">
        <f t="shared" ca="1" si="29"/>
        <v>-59</v>
      </c>
      <c r="AH45" s="18">
        <f t="shared" ca="1" si="30"/>
        <v>-60</v>
      </c>
      <c r="AI45" s="53" t="e">
        <f>COUNTIFS('Profiles Tracker'!E:E,#REF!,'Profiles Tracker'!G:G,Q$1,'Profiles Tracker'!#REF!,"Week 14")</f>
        <v>#REF!</v>
      </c>
      <c r="AJ45" s="52" t="e">
        <f>COUNTIFS('Profiles Tracker'!E:E,#REF!,'Profiles Tracker'!G:G,Q$1,'Profiles Tracker'!#REF!,"Week 15")</f>
        <v>#REF!</v>
      </c>
      <c r="AK45" s="52" t="e">
        <f>COUNTIFS('Profiles Tracker'!E:E,#REF!,'Profiles Tracker'!G:G,Q$1,'Profiles Tracker'!#REF!,"Week 16")</f>
        <v>#REF!</v>
      </c>
      <c r="AL45" s="52" t="e">
        <f>COUNTIFS('Profiles Tracker'!E:E,#REF!,'Profiles Tracker'!G:G,Q$1,'Profiles Tracker'!#REF!,"Week 17")</f>
        <v>#REF!</v>
      </c>
      <c r="AM45" s="52" t="e">
        <f>COUNTIFS('Profiles Tracker'!E:E,#REF!,'Profiles Tracker'!G:G,Q$1,'Profiles Tracker'!#REF!,"Week 18")</f>
        <v>#REF!</v>
      </c>
    </row>
    <row r="46" spans="1:39">
      <c r="A46" s="3">
        <f t="shared" si="16"/>
        <v>45</v>
      </c>
      <c r="B46" s="17" t="s">
        <v>38</v>
      </c>
      <c r="C46" s="17" t="s">
        <v>53</v>
      </c>
      <c r="D46" s="17"/>
      <c r="E46" s="5">
        <v>45668</v>
      </c>
      <c r="F46" s="3" t="s">
        <v>80</v>
      </c>
      <c r="G46" s="3"/>
      <c r="H46" s="16">
        <v>45747</v>
      </c>
      <c r="I46" s="3" t="s">
        <v>65</v>
      </c>
      <c r="J46" s="3" t="s">
        <v>94</v>
      </c>
      <c r="K46" s="17" t="s">
        <v>184</v>
      </c>
      <c r="L46" s="17"/>
      <c r="M46" s="4" t="s">
        <v>68</v>
      </c>
      <c r="N46" s="3">
        <f>COUNTIFS('Profiles Tracker'!E:E,#REF!,'Profiles Tracker'!G:G,"Profile shared with Interviewer")</f>
        <v>0</v>
      </c>
      <c r="O46" s="3">
        <f>COUNTIFS('Profiles Tracker'!E:E,#REF!,'Profiles Tracker'!G:G,"Shortlisted for next round of interview")</f>
        <v>0</v>
      </c>
      <c r="P46" s="3">
        <f>COUNTIFS('Profiles Tracker'!E:E,#REF!,'Profiles Tracker'!G:G,P$1)</f>
        <v>0</v>
      </c>
      <c r="Q46" s="3">
        <f>COUNTIFS('Profiles Tracker'!E:E,#REF!,'Profiles Tracker'!G:G,Q$1)</f>
        <v>0</v>
      </c>
      <c r="R46" s="3">
        <f>COUNTIFS('Profiles Tracker'!E:E,#REF!,'Profiles Tracker'!G:G,R$1)</f>
        <v>0</v>
      </c>
      <c r="S46" s="3">
        <f>COUNTIFS('Profiles Tracker'!E:E,#REF!,'Profiles Tracker'!G:G,"Interview Done",'Profiles Tracker'!O:O,"Rejected")</f>
        <v>0</v>
      </c>
      <c r="T46" s="3">
        <f>COUNTIFS('Profiles Tracker'!E:E,#REF!,'Profiles Tracker'!G:G,T$1)</f>
        <v>0</v>
      </c>
      <c r="U46" s="3">
        <f t="shared" si="17"/>
        <v>0</v>
      </c>
      <c r="V46" s="3">
        <f t="shared" si="18"/>
        <v>0</v>
      </c>
      <c r="W46" s="3">
        <f t="shared" si="19"/>
        <v>0</v>
      </c>
      <c r="X46" s="3">
        <f t="shared" si="20"/>
        <v>0</v>
      </c>
      <c r="Y46" s="3">
        <f t="shared" si="21"/>
        <v>0</v>
      </c>
      <c r="Z46" s="3">
        <f t="shared" si="22"/>
        <v>0</v>
      </c>
      <c r="AA46" s="3">
        <f t="shared" si="23"/>
        <v>0</v>
      </c>
      <c r="AB46" s="3">
        <f t="shared" si="24"/>
        <v>0</v>
      </c>
      <c r="AC46" s="16">
        <f t="shared" si="25"/>
        <v>45702</v>
      </c>
      <c r="AD46" s="16">
        <f t="shared" si="26"/>
        <v>45697</v>
      </c>
      <c r="AE46" s="16">
        <f t="shared" si="27"/>
        <v>45690</v>
      </c>
      <c r="AF46" s="18">
        <f t="shared" ca="1" si="28"/>
        <v>-59</v>
      </c>
      <c r="AG46" s="18">
        <f t="shared" ca="1" si="29"/>
        <v>-59</v>
      </c>
      <c r="AH46" s="18">
        <f t="shared" ca="1" si="30"/>
        <v>-60</v>
      </c>
      <c r="AI46" s="53" t="e">
        <f>COUNTIFS('Profiles Tracker'!E:E,#REF!,'Profiles Tracker'!G:G,Q$1,'Profiles Tracker'!#REF!,"Week 14")</f>
        <v>#REF!</v>
      </c>
      <c r="AJ46" s="52" t="e">
        <f>COUNTIFS('Profiles Tracker'!E:E,#REF!,'Profiles Tracker'!G:G,Q$1,'Profiles Tracker'!#REF!,"Week 15")</f>
        <v>#REF!</v>
      </c>
      <c r="AK46" s="52" t="e">
        <f>COUNTIFS('Profiles Tracker'!E:E,#REF!,'Profiles Tracker'!G:G,Q$1,'Profiles Tracker'!#REF!,"Week 16")</f>
        <v>#REF!</v>
      </c>
      <c r="AL46" s="52" t="e">
        <f>COUNTIFS('Profiles Tracker'!E:E,#REF!,'Profiles Tracker'!G:G,Q$1,'Profiles Tracker'!#REF!,"Week 17")</f>
        <v>#REF!</v>
      </c>
      <c r="AM46" s="52" t="e">
        <f>COUNTIFS('Profiles Tracker'!E:E,#REF!,'Profiles Tracker'!G:G,Q$1,'Profiles Tracker'!#REF!,"Week 18")</f>
        <v>#REF!</v>
      </c>
    </row>
    <row r="47" spans="1:39">
      <c r="A47" s="3">
        <f t="shared" si="16"/>
        <v>46</v>
      </c>
      <c r="B47" s="17" t="s">
        <v>38</v>
      </c>
      <c r="C47" s="17" t="s">
        <v>49</v>
      </c>
      <c r="D47" s="17"/>
      <c r="E47" s="5">
        <v>45668</v>
      </c>
      <c r="F47" s="3" t="s">
        <v>83</v>
      </c>
      <c r="G47" s="3"/>
      <c r="H47" s="16">
        <v>45747</v>
      </c>
      <c r="I47" s="3" t="s">
        <v>70</v>
      </c>
      <c r="J47" s="3" t="s">
        <v>42</v>
      </c>
      <c r="K47" s="17" t="s">
        <v>185</v>
      </c>
      <c r="L47" s="17"/>
      <c r="M47" s="4" t="s">
        <v>68</v>
      </c>
      <c r="N47" s="3">
        <f>COUNTIFS('Profiles Tracker'!E:E,#REF!,'Profiles Tracker'!G:G,"Profile shared with Interviewer")</f>
        <v>0</v>
      </c>
      <c r="O47" s="3">
        <f>COUNTIFS('Profiles Tracker'!E:E,#REF!,'Profiles Tracker'!G:G,"Shortlisted for next round of interview")</f>
        <v>0</v>
      </c>
      <c r="P47" s="3">
        <f>COUNTIFS('Profiles Tracker'!E:E,#REF!,'Profiles Tracker'!G:G,P$1)</f>
        <v>0</v>
      </c>
      <c r="Q47" s="3">
        <f>COUNTIFS('Profiles Tracker'!E:E,#REF!,'Profiles Tracker'!G:G,Q$1)</f>
        <v>0</v>
      </c>
      <c r="R47" s="3">
        <f>COUNTIFS('Profiles Tracker'!E:E,#REF!,'Profiles Tracker'!G:G,R$1)</f>
        <v>0</v>
      </c>
      <c r="S47" s="3">
        <f>COUNTIFS('Profiles Tracker'!E:E,#REF!,'Profiles Tracker'!G:G,"Interview Done",'Profiles Tracker'!O:O,"Rejected")</f>
        <v>0</v>
      </c>
      <c r="T47" s="3">
        <f>COUNTIFS('Profiles Tracker'!E:E,#REF!,'Profiles Tracker'!G:G,T$1)</f>
        <v>0</v>
      </c>
      <c r="U47" s="3">
        <f t="shared" si="17"/>
        <v>0</v>
      </c>
      <c r="V47" s="3">
        <f t="shared" si="18"/>
        <v>0</v>
      </c>
      <c r="W47" s="3">
        <f t="shared" si="19"/>
        <v>0</v>
      </c>
      <c r="X47" s="3">
        <f t="shared" si="20"/>
        <v>0</v>
      </c>
      <c r="Y47" s="3">
        <f t="shared" si="21"/>
        <v>0</v>
      </c>
      <c r="Z47" s="3">
        <f t="shared" si="22"/>
        <v>0</v>
      </c>
      <c r="AA47" s="3">
        <f t="shared" si="23"/>
        <v>0</v>
      </c>
      <c r="AB47" s="3">
        <f t="shared" si="24"/>
        <v>0</v>
      </c>
      <c r="AC47" s="16">
        <f t="shared" si="25"/>
        <v>45702</v>
      </c>
      <c r="AD47" s="16">
        <f t="shared" si="26"/>
        <v>45697</v>
      </c>
      <c r="AE47" s="16">
        <f t="shared" si="27"/>
        <v>45690</v>
      </c>
      <c r="AF47" s="18">
        <f t="shared" ca="1" si="28"/>
        <v>-59</v>
      </c>
      <c r="AG47" s="18">
        <f t="shared" ca="1" si="29"/>
        <v>-59</v>
      </c>
      <c r="AH47" s="18">
        <f t="shared" ca="1" si="30"/>
        <v>-60</v>
      </c>
      <c r="AI47" s="53" t="e">
        <f>COUNTIFS('Profiles Tracker'!E:E,#REF!,'Profiles Tracker'!G:G,Q$1,'Profiles Tracker'!#REF!,"Week 14")</f>
        <v>#REF!</v>
      </c>
      <c r="AJ47" s="52" t="e">
        <f>COUNTIFS('Profiles Tracker'!E:E,#REF!,'Profiles Tracker'!G:G,Q$1,'Profiles Tracker'!#REF!,"Week 15")</f>
        <v>#REF!</v>
      </c>
      <c r="AK47" s="52" t="e">
        <f>COUNTIFS('Profiles Tracker'!E:E,#REF!,'Profiles Tracker'!G:G,Q$1,'Profiles Tracker'!#REF!,"Week 16")</f>
        <v>#REF!</v>
      </c>
      <c r="AL47" s="52" t="e">
        <f>COUNTIFS('Profiles Tracker'!E:E,#REF!,'Profiles Tracker'!G:G,Q$1,'Profiles Tracker'!#REF!,"Week 17")</f>
        <v>#REF!</v>
      </c>
      <c r="AM47" s="52" t="e">
        <f>COUNTIFS('Profiles Tracker'!E:E,#REF!,'Profiles Tracker'!G:G,Q$1,'Profiles Tracker'!#REF!,"Week 18")</f>
        <v>#REF!</v>
      </c>
    </row>
    <row r="48" spans="1:39">
      <c r="A48" s="3">
        <f t="shared" si="16"/>
        <v>47</v>
      </c>
      <c r="B48" s="17" t="s">
        <v>38</v>
      </c>
      <c r="C48" s="17"/>
      <c r="D48" s="17"/>
      <c r="E48" s="5">
        <v>45668</v>
      </c>
      <c r="F48" s="3" t="s">
        <v>86</v>
      </c>
      <c r="G48" s="3"/>
      <c r="H48" s="16">
        <v>45747</v>
      </c>
      <c r="I48" s="3" t="s">
        <v>87</v>
      </c>
      <c r="J48" s="3" t="s">
        <v>88</v>
      </c>
      <c r="K48" s="17" t="s">
        <v>186</v>
      </c>
      <c r="L48" s="17"/>
      <c r="M48" s="4" t="s">
        <v>68</v>
      </c>
      <c r="N48" s="3">
        <f>COUNTIFS('Profiles Tracker'!E:E,#REF!,'Profiles Tracker'!G:G,"Profile shared with Interviewer")</f>
        <v>0</v>
      </c>
      <c r="O48" s="3">
        <f>COUNTIFS('Profiles Tracker'!E:E,#REF!,'Profiles Tracker'!G:G,"Shortlisted for next round of interview")</f>
        <v>0</v>
      </c>
      <c r="P48" s="3">
        <f>COUNTIFS('Profiles Tracker'!E:E,#REF!,'Profiles Tracker'!G:G,P$1)</f>
        <v>0</v>
      </c>
      <c r="Q48" s="3">
        <f>COUNTIFS('Profiles Tracker'!E:E,#REF!,'Profiles Tracker'!G:G,Q$1)</f>
        <v>0</v>
      </c>
      <c r="R48" s="3">
        <f>COUNTIFS('Profiles Tracker'!E:E,#REF!,'Profiles Tracker'!G:G,R$1)</f>
        <v>0</v>
      </c>
      <c r="S48" s="3">
        <f>COUNTIFS('Profiles Tracker'!E:E,#REF!,'Profiles Tracker'!G:G,"Interview Done",'Profiles Tracker'!O:O,"Rejected")</f>
        <v>0</v>
      </c>
      <c r="T48" s="3">
        <f>COUNTIFS('Profiles Tracker'!E:E,#REF!,'Profiles Tracker'!G:G,T$1)</f>
        <v>0</v>
      </c>
      <c r="U48" s="3">
        <f t="shared" si="17"/>
        <v>0</v>
      </c>
      <c r="V48" s="3">
        <f t="shared" si="18"/>
        <v>0</v>
      </c>
      <c r="W48" s="3">
        <f t="shared" si="19"/>
        <v>0</v>
      </c>
      <c r="X48" s="3">
        <f t="shared" si="20"/>
        <v>0</v>
      </c>
      <c r="Y48" s="3">
        <f t="shared" si="21"/>
        <v>0</v>
      </c>
      <c r="Z48" s="3">
        <f t="shared" si="22"/>
        <v>0</v>
      </c>
      <c r="AA48" s="3">
        <f t="shared" si="23"/>
        <v>0</v>
      </c>
      <c r="AB48" s="3">
        <f t="shared" si="24"/>
        <v>0</v>
      </c>
      <c r="AC48" s="16">
        <f t="shared" si="25"/>
        <v>45702</v>
      </c>
      <c r="AD48" s="16">
        <f t="shared" si="26"/>
        <v>45697</v>
      </c>
      <c r="AE48" s="16">
        <f t="shared" si="27"/>
        <v>45690</v>
      </c>
      <c r="AF48" s="18">
        <f t="shared" ca="1" si="28"/>
        <v>-59</v>
      </c>
      <c r="AG48" s="18">
        <f t="shared" ca="1" si="29"/>
        <v>-59</v>
      </c>
      <c r="AH48" s="18">
        <f t="shared" ca="1" si="30"/>
        <v>-60</v>
      </c>
      <c r="AI48" s="53" t="e">
        <f>COUNTIFS('Profiles Tracker'!E:E,#REF!,'Profiles Tracker'!G:G,Q$1,'Profiles Tracker'!#REF!,"Week 14")</f>
        <v>#REF!</v>
      </c>
      <c r="AJ48" s="52" t="e">
        <f>COUNTIFS('Profiles Tracker'!E:E,#REF!,'Profiles Tracker'!G:G,Q$1,'Profiles Tracker'!#REF!,"Week 15")</f>
        <v>#REF!</v>
      </c>
      <c r="AK48" s="52" t="e">
        <f>COUNTIFS('Profiles Tracker'!E:E,#REF!,'Profiles Tracker'!G:G,Q$1,'Profiles Tracker'!#REF!,"Week 16")</f>
        <v>#REF!</v>
      </c>
      <c r="AL48" s="52" t="e">
        <f>COUNTIFS('Profiles Tracker'!E:E,#REF!,'Profiles Tracker'!G:G,Q$1,'Profiles Tracker'!#REF!,"Week 17")</f>
        <v>#REF!</v>
      </c>
      <c r="AM48" s="52" t="e">
        <f>COUNTIFS('Profiles Tracker'!E:E,#REF!,'Profiles Tracker'!G:G,Q$1,'Profiles Tracker'!#REF!,"Week 18")</f>
        <v>#REF!</v>
      </c>
    </row>
    <row r="49" spans="1:39">
      <c r="A49" s="3">
        <f t="shared" si="16"/>
        <v>48</v>
      </c>
      <c r="B49" s="17" t="s">
        <v>38</v>
      </c>
      <c r="C49" s="17"/>
      <c r="D49" s="17"/>
      <c r="E49" s="5">
        <v>45668</v>
      </c>
      <c r="F49" s="3" t="s">
        <v>177</v>
      </c>
      <c r="G49" s="3">
        <v>6</v>
      </c>
      <c r="H49" s="16">
        <v>45747</v>
      </c>
      <c r="I49" s="3" t="s">
        <v>70</v>
      </c>
      <c r="J49" s="3" t="s">
        <v>42</v>
      </c>
      <c r="K49" s="17" t="s">
        <v>187</v>
      </c>
      <c r="L49" s="17"/>
      <c r="M49" s="4" t="s">
        <v>68</v>
      </c>
      <c r="N49" s="3">
        <f>COUNTIFS('Profiles Tracker'!E:E,#REF!,'Profiles Tracker'!G:G,"Profile shared with Interviewer")</f>
        <v>0</v>
      </c>
      <c r="O49" s="3">
        <f>COUNTIFS('Profiles Tracker'!E:E,#REF!,'Profiles Tracker'!G:G,"Shortlisted for next round of interview")</f>
        <v>0</v>
      </c>
      <c r="P49" s="3">
        <f>COUNTIFS('Profiles Tracker'!E:E,#REF!,'Profiles Tracker'!G:G,P$1)</f>
        <v>0</v>
      </c>
      <c r="Q49" s="3">
        <f>COUNTIFS('Profiles Tracker'!E:E,#REF!,'Profiles Tracker'!G:G,Q$1)</f>
        <v>0</v>
      </c>
      <c r="R49" s="3">
        <f>COUNTIFS('Profiles Tracker'!E:E,#REF!,'Profiles Tracker'!G:G,R$1)</f>
        <v>0</v>
      </c>
      <c r="S49" s="3">
        <f>COUNTIFS('Profiles Tracker'!E:E,#REF!,'Profiles Tracker'!G:G,"Interview Done",'Profiles Tracker'!O:O,"Rejected")</f>
        <v>0</v>
      </c>
      <c r="T49" s="3">
        <f>COUNTIFS('Profiles Tracker'!E:E,#REF!,'Profiles Tracker'!G:G,T$1)</f>
        <v>0</v>
      </c>
      <c r="U49" s="3">
        <f t="shared" si="17"/>
        <v>0</v>
      </c>
      <c r="V49" s="3">
        <f t="shared" si="18"/>
        <v>6</v>
      </c>
      <c r="W49" s="3">
        <f t="shared" si="19"/>
        <v>6</v>
      </c>
      <c r="X49" s="3">
        <f t="shared" si="20"/>
        <v>6</v>
      </c>
      <c r="Y49" s="3">
        <f t="shared" si="21"/>
        <v>18</v>
      </c>
      <c r="Z49" s="3">
        <f t="shared" si="22"/>
        <v>6</v>
      </c>
      <c r="AA49" s="3">
        <f t="shared" si="23"/>
        <v>6</v>
      </c>
      <c r="AB49" s="3">
        <f t="shared" si="24"/>
        <v>18</v>
      </c>
      <c r="AC49" s="16">
        <f t="shared" si="25"/>
        <v>45702</v>
      </c>
      <c r="AD49" s="16">
        <f t="shared" si="26"/>
        <v>45697</v>
      </c>
      <c r="AE49" s="16">
        <f t="shared" si="27"/>
        <v>45690</v>
      </c>
      <c r="AF49" s="18">
        <f t="shared" ca="1" si="28"/>
        <v>-59</v>
      </c>
      <c r="AG49" s="18">
        <f t="shared" ca="1" si="29"/>
        <v>-59</v>
      </c>
      <c r="AH49" s="18">
        <f t="shared" ca="1" si="30"/>
        <v>-60</v>
      </c>
      <c r="AI49" s="53" t="e">
        <f>COUNTIFS('Profiles Tracker'!E:E,#REF!,'Profiles Tracker'!G:G,Q$1,'Profiles Tracker'!#REF!,"Week 14")</f>
        <v>#REF!</v>
      </c>
      <c r="AJ49" s="52" t="e">
        <f>COUNTIFS('Profiles Tracker'!E:E,#REF!,'Profiles Tracker'!G:G,Q$1,'Profiles Tracker'!#REF!,"Week 15")</f>
        <v>#REF!</v>
      </c>
      <c r="AK49" s="52" t="e">
        <f>COUNTIFS('Profiles Tracker'!E:E,#REF!,'Profiles Tracker'!G:G,Q$1,'Profiles Tracker'!#REF!,"Week 16")</f>
        <v>#REF!</v>
      </c>
      <c r="AL49" s="52" t="e">
        <f>COUNTIFS('Profiles Tracker'!E:E,#REF!,'Profiles Tracker'!G:G,Q$1,'Profiles Tracker'!#REF!,"Week 17")</f>
        <v>#REF!</v>
      </c>
      <c r="AM49" s="52" t="e">
        <f>COUNTIFS('Profiles Tracker'!E:E,#REF!,'Profiles Tracker'!G:G,Q$1,'Profiles Tracker'!#REF!,"Week 18")</f>
        <v>#REF!</v>
      </c>
    </row>
    <row r="50" spans="1:39">
      <c r="A50" s="3">
        <f t="shared" si="16"/>
        <v>49</v>
      </c>
      <c r="B50" s="17" t="s">
        <v>38</v>
      </c>
      <c r="C50" s="17" t="s">
        <v>91</v>
      </c>
      <c r="D50" s="17"/>
      <c r="E50" s="5">
        <v>45668</v>
      </c>
      <c r="F50" s="3" t="s">
        <v>97</v>
      </c>
      <c r="G50" s="3"/>
      <c r="H50" s="16">
        <v>45747</v>
      </c>
      <c r="I50" s="3" t="s">
        <v>93</v>
      </c>
      <c r="J50" s="3" t="s">
        <v>42</v>
      </c>
      <c r="K50" s="17" t="s">
        <v>188</v>
      </c>
      <c r="L50" s="17"/>
      <c r="M50" s="4" t="s">
        <v>68</v>
      </c>
      <c r="N50" s="3">
        <f>COUNTIFS('Profiles Tracker'!E:E,#REF!,'Profiles Tracker'!G:G,"Profile shared with Interviewer")</f>
        <v>0</v>
      </c>
      <c r="O50" s="3">
        <f>COUNTIFS('Profiles Tracker'!E:E,#REF!,'Profiles Tracker'!G:G,"Shortlisted for next round of interview")</f>
        <v>0</v>
      </c>
      <c r="P50" s="3">
        <f>COUNTIFS('Profiles Tracker'!E:E,#REF!,'Profiles Tracker'!G:G,P$1)</f>
        <v>0</v>
      </c>
      <c r="Q50" s="3">
        <f>COUNTIFS('Profiles Tracker'!E:E,#REF!,'Profiles Tracker'!G:G,Q$1)</f>
        <v>0</v>
      </c>
      <c r="R50" s="3">
        <f>COUNTIFS('Profiles Tracker'!E:E,#REF!,'Profiles Tracker'!G:G,R$1)</f>
        <v>0</v>
      </c>
      <c r="S50" s="3">
        <f>COUNTIFS('Profiles Tracker'!E:E,#REF!,'Profiles Tracker'!G:G,"Interview Done",'Profiles Tracker'!O:O,"Rejected")</f>
        <v>0</v>
      </c>
      <c r="T50" s="3">
        <f>COUNTIFS('Profiles Tracker'!E:E,#REF!,'Profiles Tracker'!G:G,T$1)</f>
        <v>0</v>
      </c>
      <c r="U50" s="3">
        <f t="shared" si="17"/>
        <v>0</v>
      </c>
      <c r="V50" s="3">
        <f t="shared" si="18"/>
        <v>0</v>
      </c>
      <c r="W50" s="3">
        <f t="shared" si="19"/>
        <v>0</v>
      </c>
      <c r="X50" s="3">
        <f t="shared" si="20"/>
        <v>0</v>
      </c>
      <c r="Y50" s="3">
        <f t="shared" si="21"/>
        <v>0</v>
      </c>
      <c r="Z50" s="3">
        <f t="shared" si="22"/>
        <v>0</v>
      </c>
      <c r="AA50" s="3">
        <f t="shared" si="23"/>
        <v>0</v>
      </c>
      <c r="AB50" s="3">
        <f t="shared" si="24"/>
        <v>0</v>
      </c>
      <c r="AC50" s="16">
        <f t="shared" si="25"/>
        <v>45702</v>
      </c>
      <c r="AD50" s="16">
        <f t="shared" si="26"/>
        <v>45697</v>
      </c>
      <c r="AE50" s="16">
        <f t="shared" si="27"/>
        <v>45690</v>
      </c>
      <c r="AF50" s="18">
        <f t="shared" ca="1" si="28"/>
        <v>-59</v>
      </c>
      <c r="AG50" s="18">
        <f t="shared" ca="1" si="29"/>
        <v>-59</v>
      </c>
      <c r="AH50" s="18">
        <f t="shared" ca="1" si="30"/>
        <v>-60</v>
      </c>
      <c r="AI50" s="53" t="e">
        <f>COUNTIFS('Profiles Tracker'!E:E,#REF!,'Profiles Tracker'!G:G,Q$1,'Profiles Tracker'!#REF!,"Week 14")</f>
        <v>#REF!</v>
      </c>
      <c r="AJ50" s="52" t="e">
        <f>COUNTIFS('Profiles Tracker'!E:E,#REF!,'Profiles Tracker'!G:G,Q$1,'Profiles Tracker'!#REF!,"Week 15")</f>
        <v>#REF!</v>
      </c>
      <c r="AK50" s="52" t="e">
        <f>COUNTIFS('Profiles Tracker'!E:E,#REF!,'Profiles Tracker'!G:G,Q$1,'Profiles Tracker'!#REF!,"Week 16")</f>
        <v>#REF!</v>
      </c>
      <c r="AL50" s="52" t="e">
        <f>COUNTIFS('Profiles Tracker'!E:E,#REF!,'Profiles Tracker'!G:G,Q$1,'Profiles Tracker'!#REF!,"Week 17")</f>
        <v>#REF!</v>
      </c>
      <c r="AM50" s="52" t="e">
        <f>COUNTIFS('Profiles Tracker'!E:E,#REF!,'Profiles Tracker'!G:G,Q$1,'Profiles Tracker'!#REF!,"Week 18")</f>
        <v>#REF!</v>
      </c>
    </row>
    <row r="51" spans="1:39">
      <c r="A51" s="3">
        <f t="shared" si="16"/>
        <v>50</v>
      </c>
      <c r="B51" s="17" t="s">
        <v>38</v>
      </c>
      <c r="C51" s="17" t="s">
        <v>100</v>
      </c>
      <c r="D51" s="17"/>
      <c r="E51" s="5">
        <v>45668</v>
      </c>
      <c r="F51" s="3" t="s">
        <v>189</v>
      </c>
      <c r="G51" s="3"/>
      <c r="H51" s="16">
        <v>45747</v>
      </c>
      <c r="I51" s="22" t="s">
        <v>190</v>
      </c>
      <c r="J51" s="3" t="s">
        <v>42</v>
      </c>
      <c r="K51" s="17" t="s">
        <v>191</v>
      </c>
      <c r="L51" s="17"/>
      <c r="M51" s="4" t="s">
        <v>68</v>
      </c>
      <c r="N51" s="3">
        <f>COUNTIFS('Profiles Tracker'!E:E,#REF!,'Profiles Tracker'!G:G,"Profile shared with Interviewer")</f>
        <v>0</v>
      </c>
      <c r="O51" s="3">
        <f>COUNTIFS('Profiles Tracker'!E:E,#REF!,'Profiles Tracker'!G:G,"Shortlisted for next round of interview")</f>
        <v>0</v>
      </c>
      <c r="P51" s="3">
        <f>COUNTIFS('Profiles Tracker'!E:E,#REF!,'Profiles Tracker'!G:G,P$1)</f>
        <v>0</v>
      </c>
      <c r="Q51" s="3">
        <f>COUNTIFS('Profiles Tracker'!E:E,#REF!,'Profiles Tracker'!G:G,Q$1)</f>
        <v>0</v>
      </c>
      <c r="R51" s="3">
        <f>COUNTIFS('Profiles Tracker'!E:E,#REF!,'Profiles Tracker'!G:G,R$1)</f>
        <v>0</v>
      </c>
      <c r="S51" s="3">
        <f>COUNTIFS('Profiles Tracker'!E:E,#REF!,'Profiles Tracker'!G:G,"Interview Done",'Profiles Tracker'!O:O,"Rejected")</f>
        <v>0</v>
      </c>
      <c r="T51" s="3">
        <f>COUNTIFS('Profiles Tracker'!E:E,#REF!,'Profiles Tracker'!G:G,T$1)</f>
        <v>0</v>
      </c>
      <c r="U51" s="3">
        <f t="shared" si="17"/>
        <v>0</v>
      </c>
      <c r="V51" s="3">
        <f t="shared" si="18"/>
        <v>0</v>
      </c>
      <c r="W51" s="3">
        <f t="shared" si="19"/>
        <v>0</v>
      </c>
      <c r="X51" s="3">
        <f t="shared" si="20"/>
        <v>0</v>
      </c>
      <c r="Y51" s="3">
        <f t="shared" si="21"/>
        <v>0</v>
      </c>
      <c r="Z51" s="3">
        <f t="shared" si="22"/>
        <v>0</v>
      </c>
      <c r="AA51" s="3">
        <f t="shared" si="23"/>
        <v>0</v>
      </c>
      <c r="AB51" s="3">
        <f t="shared" si="24"/>
        <v>0</v>
      </c>
      <c r="AC51" s="16">
        <f t="shared" si="25"/>
        <v>45702</v>
      </c>
      <c r="AD51" s="16">
        <f t="shared" si="26"/>
        <v>45697</v>
      </c>
      <c r="AE51" s="16">
        <f t="shared" si="27"/>
        <v>45690</v>
      </c>
      <c r="AF51" s="18">
        <f t="shared" ca="1" si="28"/>
        <v>-59</v>
      </c>
      <c r="AG51" s="18">
        <f t="shared" ca="1" si="29"/>
        <v>-59</v>
      </c>
      <c r="AH51" s="18">
        <f t="shared" ca="1" si="30"/>
        <v>-60</v>
      </c>
      <c r="AI51" s="53" t="e">
        <f>COUNTIFS('Profiles Tracker'!E:E,#REF!,'Profiles Tracker'!G:G,Q$1,'Profiles Tracker'!#REF!,"Week 14")</f>
        <v>#REF!</v>
      </c>
      <c r="AJ51" s="52" t="e">
        <f>COUNTIFS('Profiles Tracker'!E:E,#REF!,'Profiles Tracker'!G:G,Q$1,'Profiles Tracker'!#REF!,"Week 15")</f>
        <v>#REF!</v>
      </c>
      <c r="AK51" s="52" t="e">
        <f>COUNTIFS('Profiles Tracker'!E:E,#REF!,'Profiles Tracker'!G:G,Q$1,'Profiles Tracker'!#REF!,"Week 16")</f>
        <v>#REF!</v>
      </c>
      <c r="AL51" s="52" t="e">
        <f>COUNTIFS('Profiles Tracker'!E:E,#REF!,'Profiles Tracker'!G:G,Q$1,'Profiles Tracker'!#REF!,"Week 17")</f>
        <v>#REF!</v>
      </c>
      <c r="AM51" s="52" t="e">
        <f>COUNTIFS('Profiles Tracker'!E:E,#REF!,'Profiles Tracker'!G:G,Q$1,'Profiles Tracker'!#REF!,"Week 18")</f>
        <v>#REF!</v>
      </c>
    </row>
    <row r="52" spans="1:39">
      <c r="A52" s="3">
        <f t="shared" si="16"/>
        <v>51</v>
      </c>
      <c r="B52" s="17" t="s">
        <v>38</v>
      </c>
      <c r="C52" s="17" t="s">
        <v>100</v>
      </c>
      <c r="D52" s="17"/>
      <c r="E52" s="5">
        <v>45668</v>
      </c>
      <c r="F52" s="3" t="s">
        <v>111</v>
      </c>
      <c r="G52" s="3"/>
      <c r="H52" s="16">
        <v>45747</v>
      </c>
      <c r="I52" s="22" t="s">
        <v>190</v>
      </c>
      <c r="J52" s="3" t="s">
        <v>42</v>
      </c>
      <c r="K52" s="17" t="s">
        <v>192</v>
      </c>
      <c r="L52" s="17"/>
      <c r="M52" s="4" t="s">
        <v>68</v>
      </c>
      <c r="N52" s="3">
        <f>COUNTIFS('Profiles Tracker'!E:E,#REF!,'Profiles Tracker'!G:G,"Profile shared with Interviewer")</f>
        <v>0</v>
      </c>
      <c r="O52" s="3">
        <f>COUNTIFS('Profiles Tracker'!E:E,#REF!,'Profiles Tracker'!G:G,"Shortlisted for next round of interview")</f>
        <v>0</v>
      </c>
      <c r="P52" s="3">
        <f>COUNTIFS('Profiles Tracker'!E:E,#REF!,'Profiles Tracker'!G:G,P$1)</f>
        <v>0</v>
      </c>
      <c r="Q52" s="3">
        <f>COUNTIFS('Profiles Tracker'!E:E,#REF!,'Profiles Tracker'!G:G,Q$1)</f>
        <v>0</v>
      </c>
      <c r="R52" s="3">
        <f>COUNTIFS('Profiles Tracker'!E:E,#REF!,'Profiles Tracker'!G:G,R$1)</f>
        <v>0</v>
      </c>
      <c r="S52" s="3">
        <f>COUNTIFS('Profiles Tracker'!E:E,#REF!,'Profiles Tracker'!G:G,"Interview Done",'Profiles Tracker'!O:O,"Rejected")</f>
        <v>0</v>
      </c>
      <c r="T52" s="3">
        <f>COUNTIFS('Profiles Tracker'!E:E,#REF!,'Profiles Tracker'!G:G,T$1)</f>
        <v>0</v>
      </c>
      <c r="U52" s="3">
        <f t="shared" si="17"/>
        <v>0</v>
      </c>
      <c r="V52" s="3">
        <f t="shared" si="18"/>
        <v>0</v>
      </c>
      <c r="W52" s="3">
        <f t="shared" si="19"/>
        <v>0</v>
      </c>
      <c r="X52" s="3">
        <f t="shared" si="20"/>
        <v>0</v>
      </c>
      <c r="Y52" s="3">
        <f t="shared" si="21"/>
        <v>0</v>
      </c>
      <c r="Z52" s="3">
        <f t="shared" si="22"/>
        <v>0</v>
      </c>
      <c r="AA52" s="3">
        <f t="shared" si="23"/>
        <v>0</v>
      </c>
      <c r="AB52" s="3">
        <f t="shared" si="24"/>
        <v>0</v>
      </c>
      <c r="AC52" s="16">
        <f t="shared" si="25"/>
        <v>45702</v>
      </c>
      <c r="AD52" s="16">
        <f t="shared" si="26"/>
        <v>45697</v>
      </c>
      <c r="AE52" s="16">
        <f t="shared" si="27"/>
        <v>45690</v>
      </c>
      <c r="AF52" s="18">
        <f t="shared" ca="1" si="28"/>
        <v>-59</v>
      </c>
      <c r="AG52" s="18">
        <f t="shared" ca="1" si="29"/>
        <v>-59</v>
      </c>
      <c r="AH52" s="18">
        <f t="shared" ca="1" si="30"/>
        <v>-60</v>
      </c>
      <c r="AI52" s="53" t="e">
        <f>COUNTIFS('Profiles Tracker'!E:E,#REF!,'Profiles Tracker'!G:G,Q$1,'Profiles Tracker'!#REF!,"Week 14")</f>
        <v>#REF!</v>
      </c>
      <c r="AJ52" s="52" t="e">
        <f>COUNTIFS('Profiles Tracker'!E:E,#REF!,'Profiles Tracker'!G:G,Q$1,'Profiles Tracker'!#REF!,"Week 15")</f>
        <v>#REF!</v>
      </c>
      <c r="AK52" s="52" t="e">
        <f>COUNTIFS('Profiles Tracker'!E:E,#REF!,'Profiles Tracker'!G:G,Q$1,'Profiles Tracker'!#REF!,"Week 16")</f>
        <v>#REF!</v>
      </c>
      <c r="AL52" s="52" t="e">
        <f>COUNTIFS('Profiles Tracker'!E:E,#REF!,'Profiles Tracker'!G:G,Q$1,'Profiles Tracker'!#REF!,"Week 17")</f>
        <v>#REF!</v>
      </c>
      <c r="AM52" s="52" t="e">
        <f>COUNTIFS('Profiles Tracker'!E:E,#REF!,'Profiles Tracker'!G:G,Q$1,'Profiles Tracker'!#REF!,"Week 18")</f>
        <v>#REF!</v>
      </c>
    </row>
    <row r="53" spans="1:39">
      <c r="A53" s="3">
        <f t="shared" si="16"/>
        <v>52</v>
      </c>
      <c r="B53" s="17" t="s">
        <v>38</v>
      </c>
      <c r="C53" s="17" t="s">
        <v>114</v>
      </c>
      <c r="D53" s="17"/>
      <c r="E53" s="5">
        <v>45668</v>
      </c>
      <c r="F53" s="3" t="s">
        <v>119</v>
      </c>
      <c r="G53" s="3"/>
      <c r="H53" s="16">
        <v>45747</v>
      </c>
      <c r="I53" s="3" t="s">
        <v>116</v>
      </c>
      <c r="J53" s="3" t="s">
        <v>42</v>
      </c>
      <c r="K53" s="17" t="s">
        <v>193</v>
      </c>
      <c r="L53" s="17"/>
      <c r="M53" s="4" t="s">
        <v>45</v>
      </c>
      <c r="N53" s="3">
        <f>COUNTIFS('Profiles Tracker'!E:E,#REF!,'Profiles Tracker'!G:G,"Profile shared with Interviewer")</f>
        <v>0</v>
      </c>
      <c r="O53" s="3">
        <f>COUNTIFS('Profiles Tracker'!E:E,#REF!,'Profiles Tracker'!G:G,"Shortlisted for next round of interview")</f>
        <v>0</v>
      </c>
      <c r="P53" s="3">
        <f>COUNTIFS('Profiles Tracker'!E:E,#REF!,'Profiles Tracker'!G:G,P$1)</f>
        <v>0</v>
      </c>
      <c r="Q53" s="3">
        <f>COUNTIFS('Profiles Tracker'!E:E,#REF!,'Profiles Tracker'!G:G,Q$1)</f>
        <v>0</v>
      </c>
      <c r="R53" s="3">
        <f>COUNTIFS('Profiles Tracker'!E:E,#REF!,'Profiles Tracker'!G:G,R$1)</f>
        <v>0</v>
      </c>
      <c r="S53" s="3">
        <f>COUNTIFS('Profiles Tracker'!E:E,#REF!,'Profiles Tracker'!G:G,"Interview Done",'Profiles Tracker'!O:O,"Rejected")</f>
        <v>0</v>
      </c>
      <c r="T53" s="3">
        <f>COUNTIFS('Profiles Tracker'!E:E,#REF!,'Profiles Tracker'!G:G,T$1)</f>
        <v>0</v>
      </c>
      <c r="U53" s="3">
        <f t="shared" si="17"/>
        <v>0</v>
      </c>
      <c r="V53" s="3">
        <f t="shared" si="18"/>
        <v>0</v>
      </c>
      <c r="W53" s="3">
        <f t="shared" si="19"/>
        <v>0</v>
      </c>
      <c r="X53" s="3">
        <f t="shared" si="20"/>
        <v>0</v>
      </c>
      <c r="Y53" s="3">
        <f t="shared" si="21"/>
        <v>0</v>
      </c>
      <c r="Z53" s="3">
        <f t="shared" si="22"/>
        <v>0</v>
      </c>
      <c r="AA53" s="3">
        <f t="shared" si="23"/>
        <v>0</v>
      </c>
      <c r="AB53" s="3">
        <f t="shared" si="24"/>
        <v>0</v>
      </c>
      <c r="AC53" s="16">
        <f t="shared" si="25"/>
        <v>45687</v>
      </c>
      <c r="AD53" s="16">
        <f t="shared" si="26"/>
        <v>45682</v>
      </c>
      <c r="AE53" s="16">
        <f t="shared" si="27"/>
        <v>45675</v>
      </c>
      <c r="AF53" s="18">
        <f t="shared" ca="1" si="28"/>
        <v>-61</v>
      </c>
      <c r="AG53" s="18">
        <f t="shared" ca="1" si="29"/>
        <v>-61</v>
      </c>
      <c r="AH53" s="18">
        <f t="shared" ca="1" si="30"/>
        <v>-62</v>
      </c>
      <c r="AI53" s="53" t="e">
        <f>COUNTIFS('Profiles Tracker'!E:E,#REF!,'Profiles Tracker'!G:G,Q$1,'Profiles Tracker'!#REF!,"Week 14")</f>
        <v>#REF!</v>
      </c>
      <c r="AJ53" s="52" t="e">
        <f>COUNTIFS('Profiles Tracker'!E:E,#REF!,'Profiles Tracker'!G:G,Q$1,'Profiles Tracker'!#REF!,"Week 15")</f>
        <v>#REF!</v>
      </c>
      <c r="AK53" s="52" t="e">
        <f>COUNTIFS('Profiles Tracker'!E:E,#REF!,'Profiles Tracker'!G:G,Q$1,'Profiles Tracker'!#REF!,"Week 16")</f>
        <v>#REF!</v>
      </c>
      <c r="AL53" s="52" t="e">
        <f>COUNTIFS('Profiles Tracker'!E:E,#REF!,'Profiles Tracker'!G:G,Q$1,'Profiles Tracker'!#REF!,"Week 17")</f>
        <v>#REF!</v>
      </c>
      <c r="AM53" s="52" t="e">
        <f>COUNTIFS('Profiles Tracker'!E:E,#REF!,'Profiles Tracker'!G:G,Q$1,'Profiles Tracker'!#REF!,"Week 18")</f>
        <v>#REF!</v>
      </c>
    </row>
    <row r="54" spans="1:39">
      <c r="A54" s="3">
        <f t="shared" si="16"/>
        <v>53</v>
      </c>
      <c r="B54" s="17" t="s">
        <v>38</v>
      </c>
      <c r="C54" s="17" t="s">
        <v>114</v>
      </c>
      <c r="D54" s="17"/>
      <c r="E54" s="5">
        <v>45668</v>
      </c>
      <c r="F54" s="3" t="s">
        <v>122</v>
      </c>
      <c r="G54" s="3"/>
      <c r="H54" s="16">
        <v>45747</v>
      </c>
      <c r="I54" s="3" t="s">
        <v>116</v>
      </c>
      <c r="J54" s="3" t="s">
        <v>88</v>
      </c>
      <c r="K54" s="17" t="s">
        <v>194</v>
      </c>
      <c r="L54" s="17"/>
      <c r="M54" s="4" t="s">
        <v>68</v>
      </c>
      <c r="N54" s="3">
        <f>COUNTIFS('Profiles Tracker'!E:E,#REF!,'Profiles Tracker'!G:G,"Profile shared with Interviewer")</f>
        <v>0</v>
      </c>
      <c r="O54" s="3">
        <f>COUNTIFS('Profiles Tracker'!E:E,#REF!,'Profiles Tracker'!G:G,"Shortlisted for next round of interview")</f>
        <v>0</v>
      </c>
      <c r="P54" s="3">
        <f>COUNTIFS('Profiles Tracker'!E:E,#REF!,'Profiles Tracker'!G:G,P$1)</f>
        <v>0</v>
      </c>
      <c r="Q54" s="3">
        <f>COUNTIFS('Profiles Tracker'!E:E,#REF!,'Profiles Tracker'!G:G,Q$1)</f>
        <v>0</v>
      </c>
      <c r="R54" s="3">
        <f>COUNTIFS('Profiles Tracker'!E:E,#REF!,'Profiles Tracker'!G:G,R$1)</f>
        <v>0</v>
      </c>
      <c r="S54" s="3">
        <f>COUNTIFS('Profiles Tracker'!E:E,#REF!,'Profiles Tracker'!G:G,"Interview Done",'Profiles Tracker'!O:O,"Rejected")</f>
        <v>0</v>
      </c>
      <c r="T54" s="3">
        <f>COUNTIFS('Profiles Tracker'!E:E,#REF!,'Profiles Tracker'!G:G,T$1)</f>
        <v>0</v>
      </c>
      <c r="U54" s="3">
        <f t="shared" si="17"/>
        <v>0</v>
      </c>
      <c r="V54" s="3">
        <f t="shared" si="18"/>
        <v>0</v>
      </c>
      <c r="W54" s="3">
        <f t="shared" si="19"/>
        <v>0</v>
      </c>
      <c r="X54" s="3">
        <f t="shared" si="20"/>
        <v>0</v>
      </c>
      <c r="Y54" s="3">
        <f t="shared" si="21"/>
        <v>0</v>
      </c>
      <c r="Z54" s="3">
        <f t="shared" si="22"/>
        <v>0</v>
      </c>
      <c r="AA54" s="3">
        <f t="shared" si="23"/>
        <v>0</v>
      </c>
      <c r="AB54" s="3">
        <f t="shared" si="24"/>
        <v>0</v>
      </c>
      <c r="AC54" s="16">
        <f t="shared" si="25"/>
        <v>45702</v>
      </c>
      <c r="AD54" s="16">
        <f t="shared" si="26"/>
        <v>45697</v>
      </c>
      <c r="AE54" s="16">
        <f t="shared" si="27"/>
        <v>45690</v>
      </c>
      <c r="AF54" s="18">
        <f t="shared" ca="1" si="28"/>
        <v>-59</v>
      </c>
      <c r="AG54" s="18">
        <f t="shared" ca="1" si="29"/>
        <v>-59</v>
      </c>
      <c r="AH54" s="18">
        <f t="shared" ca="1" si="30"/>
        <v>-60</v>
      </c>
      <c r="AI54" s="53" t="e">
        <f>COUNTIFS('Profiles Tracker'!E:E,#REF!,'Profiles Tracker'!G:G,Q$1,'Profiles Tracker'!#REF!,"Week 14")</f>
        <v>#REF!</v>
      </c>
      <c r="AJ54" s="52" t="e">
        <f>COUNTIFS('Profiles Tracker'!E:E,#REF!,'Profiles Tracker'!G:G,Q$1,'Profiles Tracker'!#REF!,"Week 15")</f>
        <v>#REF!</v>
      </c>
      <c r="AK54" s="52" t="e">
        <f>COUNTIFS('Profiles Tracker'!E:E,#REF!,'Profiles Tracker'!G:G,Q$1,'Profiles Tracker'!#REF!,"Week 16")</f>
        <v>#REF!</v>
      </c>
      <c r="AL54" s="52" t="e">
        <f>COUNTIFS('Profiles Tracker'!E:E,#REF!,'Profiles Tracker'!G:G,Q$1,'Profiles Tracker'!#REF!,"Week 17")</f>
        <v>#REF!</v>
      </c>
      <c r="AM54" s="52" t="e">
        <f>COUNTIFS('Profiles Tracker'!E:E,#REF!,'Profiles Tracker'!G:G,Q$1,'Profiles Tracker'!#REF!,"Week 18")</f>
        <v>#REF!</v>
      </c>
    </row>
    <row r="55" spans="1:39">
      <c r="A55" s="3">
        <f t="shared" si="16"/>
        <v>54</v>
      </c>
      <c r="B55" s="17" t="s">
        <v>38</v>
      </c>
      <c r="C55" s="17" t="s">
        <v>114</v>
      </c>
      <c r="D55" s="17"/>
      <c r="E55" s="5">
        <v>45668</v>
      </c>
      <c r="F55" s="3" t="s">
        <v>125</v>
      </c>
      <c r="G55" s="3"/>
      <c r="H55" s="16">
        <v>45747</v>
      </c>
      <c r="I55" s="3" t="s">
        <v>116</v>
      </c>
      <c r="J55" s="3" t="s">
        <v>88</v>
      </c>
      <c r="K55" s="17" t="s">
        <v>195</v>
      </c>
      <c r="L55" s="17"/>
      <c r="M55" s="4" t="s">
        <v>68</v>
      </c>
      <c r="N55" s="3">
        <f>COUNTIFS('Profiles Tracker'!E:E,#REF!,'Profiles Tracker'!G:G,"Profile shared with Interviewer")</f>
        <v>0</v>
      </c>
      <c r="O55" s="3">
        <f>COUNTIFS('Profiles Tracker'!E:E,#REF!,'Profiles Tracker'!G:G,"Shortlisted for next round of interview")</f>
        <v>0</v>
      </c>
      <c r="P55" s="3">
        <f>COUNTIFS('Profiles Tracker'!E:E,#REF!,'Profiles Tracker'!G:G,P$1)</f>
        <v>0</v>
      </c>
      <c r="Q55" s="3">
        <f>COUNTIFS('Profiles Tracker'!E:E,#REF!,'Profiles Tracker'!G:G,Q$1)</f>
        <v>0</v>
      </c>
      <c r="R55" s="3">
        <f>COUNTIFS('Profiles Tracker'!E:E,#REF!,'Profiles Tracker'!G:G,R$1)</f>
        <v>0</v>
      </c>
      <c r="S55" s="3">
        <f>COUNTIFS('Profiles Tracker'!E:E,#REF!,'Profiles Tracker'!G:G,"Interview Done",'Profiles Tracker'!O:O,"Rejected")</f>
        <v>0</v>
      </c>
      <c r="T55" s="3">
        <f>COUNTIFS('Profiles Tracker'!E:E,#REF!,'Profiles Tracker'!G:G,T$1)</f>
        <v>0</v>
      </c>
      <c r="U55" s="3">
        <f t="shared" si="17"/>
        <v>0</v>
      </c>
      <c r="V55" s="3">
        <f t="shared" si="18"/>
        <v>0</v>
      </c>
      <c r="W55" s="3">
        <f t="shared" si="19"/>
        <v>0</v>
      </c>
      <c r="X55" s="3">
        <f t="shared" si="20"/>
        <v>0</v>
      </c>
      <c r="Y55" s="3">
        <f t="shared" si="21"/>
        <v>0</v>
      </c>
      <c r="Z55" s="3">
        <f t="shared" si="22"/>
        <v>0</v>
      </c>
      <c r="AA55" s="3">
        <f t="shared" si="23"/>
        <v>0</v>
      </c>
      <c r="AB55" s="3">
        <f t="shared" si="24"/>
        <v>0</v>
      </c>
      <c r="AC55" s="16">
        <f t="shared" si="25"/>
        <v>45702</v>
      </c>
      <c r="AD55" s="16">
        <f t="shared" si="26"/>
        <v>45697</v>
      </c>
      <c r="AE55" s="16">
        <f t="shared" si="27"/>
        <v>45690</v>
      </c>
      <c r="AF55" s="18">
        <f t="shared" ca="1" si="28"/>
        <v>-59</v>
      </c>
      <c r="AG55" s="18">
        <f t="shared" ca="1" si="29"/>
        <v>-59</v>
      </c>
      <c r="AH55" s="18">
        <f t="shared" ca="1" si="30"/>
        <v>-60</v>
      </c>
      <c r="AI55" s="53" t="e">
        <f>COUNTIFS('Profiles Tracker'!E:E,#REF!,'Profiles Tracker'!G:G,Q$1,'Profiles Tracker'!#REF!,"Week 14")</f>
        <v>#REF!</v>
      </c>
      <c r="AJ55" s="52" t="e">
        <f>COUNTIFS('Profiles Tracker'!E:E,#REF!,'Profiles Tracker'!G:G,Q$1,'Profiles Tracker'!#REF!,"Week 15")</f>
        <v>#REF!</v>
      </c>
      <c r="AK55" s="52" t="e">
        <f>COUNTIFS('Profiles Tracker'!E:E,#REF!,'Profiles Tracker'!G:G,Q$1,'Profiles Tracker'!#REF!,"Week 16")</f>
        <v>#REF!</v>
      </c>
      <c r="AL55" s="52" t="e">
        <f>COUNTIFS('Profiles Tracker'!E:E,#REF!,'Profiles Tracker'!G:G,Q$1,'Profiles Tracker'!#REF!,"Week 17")</f>
        <v>#REF!</v>
      </c>
      <c r="AM55" s="52" t="e">
        <f>COUNTIFS('Profiles Tracker'!E:E,#REF!,'Profiles Tracker'!G:G,Q$1,'Profiles Tracker'!#REF!,"Week 18")</f>
        <v>#REF!</v>
      </c>
    </row>
    <row r="56" spans="1:39">
      <c r="A56" s="3">
        <f t="shared" si="16"/>
        <v>55</v>
      </c>
      <c r="B56" s="17" t="s">
        <v>38</v>
      </c>
      <c r="C56" s="17" t="s">
        <v>128</v>
      </c>
      <c r="D56" s="17"/>
      <c r="E56" s="5">
        <v>45668</v>
      </c>
      <c r="F56" s="3" t="s">
        <v>133</v>
      </c>
      <c r="G56" s="3">
        <v>0</v>
      </c>
      <c r="H56" s="16">
        <v>45747</v>
      </c>
      <c r="I56" s="1" t="s">
        <v>130</v>
      </c>
      <c r="J56" s="3" t="s">
        <v>42</v>
      </c>
      <c r="K56" s="17" t="s">
        <v>196</v>
      </c>
      <c r="L56" s="17"/>
      <c r="M56" s="4" t="s">
        <v>45</v>
      </c>
      <c r="N56" s="3">
        <f>COUNTIFS('Profiles Tracker'!E:E,#REF!,'Profiles Tracker'!G:G,"Profile shared with Interviewer")</f>
        <v>0</v>
      </c>
      <c r="O56" s="3">
        <f>COUNTIFS('Profiles Tracker'!E:E,#REF!,'Profiles Tracker'!G:G,"Shortlisted for next round of interview")</f>
        <v>0</v>
      </c>
      <c r="P56" s="3">
        <f>COUNTIFS('Profiles Tracker'!E:E,#REF!,'Profiles Tracker'!G:G,P$1)</f>
        <v>0</v>
      </c>
      <c r="Q56" s="3">
        <f>COUNTIFS('Profiles Tracker'!E:E,#REF!,'Profiles Tracker'!G:G,Q$1)</f>
        <v>0</v>
      </c>
      <c r="R56" s="3">
        <f>COUNTIFS('Profiles Tracker'!E:E,#REF!,'Profiles Tracker'!G:G,R$1)</f>
        <v>0</v>
      </c>
      <c r="S56" s="3">
        <f>COUNTIFS('Profiles Tracker'!E:E,#REF!,'Profiles Tracker'!G:G,"Interview Done",'Profiles Tracker'!O:O,"Rejected")</f>
        <v>0</v>
      </c>
      <c r="T56" s="3">
        <f>COUNTIFS('Profiles Tracker'!E:E,#REF!,'Profiles Tracker'!G:G,T$1)</f>
        <v>0</v>
      </c>
      <c r="U56" s="3">
        <f t="shared" si="17"/>
        <v>0</v>
      </c>
      <c r="V56" s="3">
        <f t="shared" si="18"/>
        <v>0</v>
      </c>
      <c r="W56" s="3">
        <f t="shared" si="19"/>
        <v>0</v>
      </c>
      <c r="X56" s="3">
        <f t="shared" si="20"/>
        <v>0</v>
      </c>
      <c r="Y56" s="3">
        <f t="shared" si="21"/>
        <v>0</v>
      </c>
      <c r="Z56" s="3">
        <f t="shared" si="22"/>
        <v>0</v>
      </c>
      <c r="AA56" s="3">
        <f t="shared" si="23"/>
        <v>0</v>
      </c>
      <c r="AB56" s="3">
        <f t="shared" si="24"/>
        <v>0</v>
      </c>
      <c r="AC56" s="16">
        <f t="shared" si="25"/>
        <v>45687</v>
      </c>
      <c r="AD56" s="16">
        <f t="shared" si="26"/>
        <v>45682</v>
      </c>
      <c r="AE56" s="16">
        <f t="shared" si="27"/>
        <v>45675</v>
      </c>
      <c r="AF56" s="18">
        <f t="shared" ca="1" si="28"/>
        <v>-61</v>
      </c>
      <c r="AG56" s="18">
        <f t="shared" ca="1" si="29"/>
        <v>-61</v>
      </c>
      <c r="AH56" s="18">
        <f t="shared" ca="1" si="30"/>
        <v>-62</v>
      </c>
      <c r="AI56" s="53" t="e">
        <f>COUNTIFS('Profiles Tracker'!E:E,#REF!,'Profiles Tracker'!G:G,Q$1,'Profiles Tracker'!#REF!,"Week 14")</f>
        <v>#REF!</v>
      </c>
      <c r="AJ56" s="52" t="e">
        <f>COUNTIFS('Profiles Tracker'!E:E,#REF!,'Profiles Tracker'!G:G,Q$1,'Profiles Tracker'!#REF!,"Week 15")</f>
        <v>#REF!</v>
      </c>
      <c r="AK56" s="52" t="e">
        <f>COUNTIFS('Profiles Tracker'!E:E,#REF!,'Profiles Tracker'!G:G,Q$1,'Profiles Tracker'!#REF!,"Week 16")</f>
        <v>#REF!</v>
      </c>
      <c r="AL56" s="52" t="e">
        <f>COUNTIFS('Profiles Tracker'!E:E,#REF!,'Profiles Tracker'!G:G,Q$1,'Profiles Tracker'!#REF!,"Week 17")</f>
        <v>#REF!</v>
      </c>
      <c r="AM56" s="52" t="e">
        <f>COUNTIFS('Profiles Tracker'!E:E,#REF!,'Profiles Tracker'!G:G,Q$1,'Profiles Tracker'!#REF!,"Week 18")</f>
        <v>#REF!</v>
      </c>
    </row>
    <row r="57" spans="1:39">
      <c r="A57" s="3">
        <f t="shared" si="16"/>
        <v>56</v>
      </c>
      <c r="B57" s="17" t="s">
        <v>38</v>
      </c>
      <c r="C57" s="17" t="s">
        <v>128</v>
      </c>
      <c r="D57" s="17"/>
      <c r="E57" s="5">
        <v>45668</v>
      </c>
      <c r="F57" s="3" t="s">
        <v>136</v>
      </c>
      <c r="G57" s="3">
        <v>0</v>
      </c>
      <c r="H57" s="16">
        <v>45747</v>
      </c>
      <c r="I57" s="1" t="s">
        <v>130</v>
      </c>
      <c r="J57" s="3" t="s">
        <v>42</v>
      </c>
      <c r="K57" s="17" t="s">
        <v>197</v>
      </c>
      <c r="L57" s="17"/>
      <c r="M57" s="4" t="s">
        <v>68</v>
      </c>
      <c r="N57" s="3">
        <f>COUNTIFS('Profiles Tracker'!E:E,#REF!,'Profiles Tracker'!G:G,"Profile shared with Interviewer")</f>
        <v>0</v>
      </c>
      <c r="O57" s="3">
        <f>COUNTIFS('Profiles Tracker'!E:E,#REF!,'Profiles Tracker'!G:G,"Shortlisted for next round of interview")</f>
        <v>0</v>
      </c>
      <c r="P57" s="3">
        <f>COUNTIFS('Profiles Tracker'!E:E,#REF!,'Profiles Tracker'!G:G,P$1)</f>
        <v>0</v>
      </c>
      <c r="Q57" s="3">
        <f>COUNTIFS('Profiles Tracker'!E:E,#REF!,'Profiles Tracker'!G:G,Q$1)</f>
        <v>0</v>
      </c>
      <c r="R57" s="3">
        <f>COUNTIFS('Profiles Tracker'!E:E,#REF!,'Profiles Tracker'!G:G,R$1)</f>
        <v>0</v>
      </c>
      <c r="S57" s="3">
        <f>COUNTIFS('Profiles Tracker'!E:E,#REF!,'Profiles Tracker'!G:G,"Interview Done",'Profiles Tracker'!O:O,"Rejected")</f>
        <v>0</v>
      </c>
      <c r="T57" s="3">
        <f>COUNTIFS('Profiles Tracker'!E:E,#REF!,'Profiles Tracker'!G:G,T$1)</f>
        <v>0</v>
      </c>
      <c r="U57" s="3">
        <f t="shared" si="17"/>
        <v>0</v>
      </c>
      <c r="V57" s="3">
        <f t="shared" si="18"/>
        <v>0</v>
      </c>
      <c r="W57" s="3">
        <f t="shared" si="19"/>
        <v>0</v>
      </c>
      <c r="X57" s="3">
        <f t="shared" si="20"/>
        <v>0</v>
      </c>
      <c r="Y57" s="3">
        <f t="shared" si="21"/>
        <v>0</v>
      </c>
      <c r="Z57" s="3">
        <f t="shared" si="22"/>
        <v>0</v>
      </c>
      <c r="AA57" s="3">
        <f t="shared" si="23"/>
        <v>0</v>
      </c>
      <c r="AB57" s="3">
        <f t="shared" si="24"/>
        <v>0</v>
      </c>
      <c r="AC57" s="16">
        <f t="shared" si="25"/>
        <v>45702</v>
      </c>
      <c r="AD57" s="16">
        <f t="shared" si="26"/>
        <v>45697</v>
      </c>
      <c r="AE57" s="16">
        <f t="shared" si="27"/>
        <v>45690</v>
      </c>
      <c r="AF57" s="18">
        <f t="shared" ca="1" si="28"/>
        <v>-59</v>
      </c>
      <c r="AG57" s="18">
        <f t="shared" ca="1" si="29"/>
        <v>-59</v>
      </c>
      <c r="AH57" s="18">
        <f t="shared" ca="1" si="30"/>
        <v>-60</v>
      </c>
      <c r="AI57" s="53" t="e">
        <f>COUNTIFS('Profiles Tracker'!E:E,#REF!,'Profiles Tracker'!G:G,Q$1,'Profiles Tracker'!#REF!,"Week 14")</f>
        <v>#REF!</v>
      </c>
      <c r="AJ57" s="52" t="e">
        <f>COUNTIFS('Profiles Tracker'!E:E,#REF!,'Profiles Tracker'!G:G,Q$1,'Profiles Tracker'!#REF!,"Week 15")</f>
        <v>#REF!</v>
      </c>
      <c r="AK57" s="52" t="e">
        <f>COUNTIFS('Profiles Tracker'!E:E,#REF!,'Profiles Tracker'!G:G,Q$1,'Profiles Tracker'!#REF!,"Week 16")</f>
        <v>#REF!</v>
      </c>
      <c r="AL57" s="52" t="e">
        <f>COUNTIFS('Profiles Tracker'!E:E,#REF!,'Profiles Tracker'!G:G,Q$1,'Profiles Tracker'!#REF!,"Week 17")</f>
        <v>#REF!</v>
      </c>
      <c r="AM57" s="52" t="e">
        <f>COUNTIFS('Profiles Tracker'!E:E,#REF!,'Profiles Tracker'!G:G,Q$1,'Profiles Tracker'!#REF!,"Week 18")</f>
        <v>#REF!</v>
      </c>
    </row>
    <row r="58" spans="1:39">
      <c r="A58" s="3">
        <f t="shared" si="16"/>
        <v>57</v>
      </c>
      <c r="B58" s="17" t="s">
        <v>38</v>
      </c>
      <c r="C58" s="17" t="s">
        <v>128</v>
      </c>
      <c r="D58" s="17"/>
      <c r="E58" s="5">
        <v>45668</v>
      </c>
      <c r="F58" s="3" t="s">
        <v>139</v>
      </c>
      <c r="G58" s="3">
        <v>2</v>
      </c>
      <c r="H58" s="16">
        <v>45747</v>
      </c>
      <c r="I58" s="1" t="s">
        <v>130</v>
      </c>
      <c r="J58" s="3" t="s">
        <v>88</v>
      </c>
      <c r="K58" s="17" t="s">
        <v>198</v>
      </c>
      <c r="L58" s="17"/>
      <c r="M58" s="4" t="s">
        <v>68</v>
      </c>
      <c r="N58" s="3">
        <f>COUNTIFS('Profiles Tracker'!E:E,#REF!,'Profiles Tracker'!G:G,"Profile shared with Interviewer")</f>
        <v>0</v>
      </c>
      <c r="O58" s="3">
        <f>COUNTIFS('Profiles Tracker'!E:E,#REF!,'Profiles Tracker'!G:G,"Shortlisted for next round of interview")</f>
        <v>0</v>
      </c>
      <c r="P58" s="3">
        <f>COUNTIFS('Profiles Tracker'!E:E,#REF!,'Profiles Tracker'!G:G,P$1)</f>
        <v>0</v>
      </c>
      <c r="Q58" s="3">
        <f>COUNTIFS('Profiles Tracker'!E:E,#REF!,'Profiles Tracker'!G:G,Q$1)</f>
        <v>0</v>
      </c>
      <c r="R58" s="3">
        <f>COUNTIFS('Profiles Tracker'!E:E,#REF!,'Profiles Tracker'!G:G,R$1)</f>
        <v>0</v>
      </c>
      <c r="S58" s="3">
        <f>COUNTIFS('Profiles Tracker'!E:E,#REF!,'Profiles Tracker'!G:G,"Interview Done",'Profiles Tracker'!O:O,"Rejected")</f>
        <v>0</v>
      </c>
      <c r="T58" s="3">
        <f>COUNTIFS('Profiles Tracker'!E:E,#REF!,'Profiles Tracker'!G:G,T$1)</f>
        <v>0</v>
      </c>
      <c r="U58" s="3">
        <f t="shared" si="17"/>
        <v>0</v>
      </c>
      <c r="V58" s="3">
        <f t="shared" si="18"/>
        <v>2</v>
      </c>
      <c r="W58" s="3">
        <f t="shared" si="19"/>
        <v>2</v>
      </c>
      <c r="X58" s="3">
        <f t="shared" si="20"/>
        <v>2</v>
      </c>
      <c r="Y58" s="3">
        <f t="shared" si="21"/>
        <v>6</v>
      </c>
      <c r="Z58" s="3">
        <f t="shared" si="22"/>
        <v>2</v>
      </c>
      <c r="AA58" s="3">
        <f t="shared" si="23"/>
        <v>2</v>
      </c>
      <c r="AB58" s="3">
        <f t="shared" si="24"/>
        <v>6</v>
      </c>
      <c r="AC58" s="16">
        <f t="shared" si="25"/>
        <v>45702</v>
      </c>
      <c r="AD58" s="16">
        <f t="shared" si="26"/>
        <v>45697</v>
      </c>
      <c r="AE58" s="16">
        <f t="shared" si="27"/>
        <v>45690</v>
      </c>
      <c r="AF58" s="18">
        <f t="shared" ca="1" si="28"/>
        <v>-59</v>
      </c>
      <c r="AG58" s="18">
        <f t="shared" ca="1" si="29"/>
        <v>-59</v>
      </c>
      <c r="AH58" s="18">
        <f t="shared" ca="1" si="30"/>
        <v>-60</v>
      </c>
      <c r="AI58" s="53" t="e">
        <f>COUNTIFS('Profiles Tracker'!E:E,#REF!,'Profiles Tracker'!G:G,Q$1,'Profiles Tracker'!#REF!,"Week 14")</f>
        <v>#REF!</v>
      </c>
      <c r="AJ58" s="52" t="e">
        <f>COUNTIFS('Profiles Tracker'!E:E,#REF!,'Profiles Tracker'!G:G,Q$1,'Profiles Tracker'!#REF!,"Week 15")</f>
        <v>#REF!</v>
      </c>
      <c r="AK58" s="52" t="e">
        <f>COUNTIFS('Profiles Tracker'!E:E,#REF!,'Profiles Tracker'!G:G,Q$1,'Profiles Tracker'!#REF!,"Week 16")</f>
        <v>#REF!</v>
      </c>
      <c r="AL58" s="52" t="e">
        <f>COUNTIFS('Profiles Tracker'!E:E,#REF!,'Profiles Tracker'!G:G,Q$1,'Profiles Tracker'!#REF!,"Week 17")</f>
        <v>#REF!</v>
      </c>
      <c r="AM58" s="52" t="e">
        <f>COUNTIFS('Profiles Tracker'!E:E,#REF!,'Profiles Tracker'!G:G,Q$1,'Profiles Tracker'!#REF!,"Week 18")</f>
        <v>#REF!</v>
      </c>
    </row>
    <row r="59" spans="1:39">
      <c r="A59" s="3">
        <f t="shared" si="16"/>
        <v>58</v>
      </c>
      <c r="B59" s="17" t="s">
        <v>38</v>
      </c>
      <c r="C59" s="17" t="s">
        <v>142</v>
      </c>
      <c r="D59" s="17"/>
      <c r="E59" s="5">
        <v>45668</v>
      </c>
      <c r="F59" s="3" t="s">
        <v>146</v>
      </c>
      <c r="G59" s="3"/>
      <c r="H59" s="16">
        <v>45747</v>
      </c>
      <c r="I59" s="3" t="s">
        <v>42</v>
      </c>
      <c r="J59" s="3" t="s">
        <v>42</v>
      </c>
      <c r="K59" s="17" t="s">
        <v>199</v>
      </c>
      <c r="L59" s="17"/>
      <c r="M59" s="4" t="s">
        <v>45</v>
      </c>
      <c r="N59" s="3">
        <f>COUNTIFS('Profiles Tracker'!E:E,#REF!,'Profiles Tracker'!G:G,"Profile shared with Interviewer")</f>
        <v>0</v>
      </c>
      <c r="O59" s="3">
        <f>COUNTIFS('Profiles Tracker'!E:E,#REF!,'Profiles Tracker'!G:G,"Shortlisted for next round of interview")</f>
        <v>0</v>
      </c>
      <c r="P59" s="3">
        <f>COUNTIFS('Profiles Tracker'!E:E,#REF!,'Profiles Tracker'!G:G,P$1)</f>
        <v>0</v>
      </c>
      <c r="Q59" s="3">
        <f>COUNTIFS('Profiles Tracker'!E:E,#REF!,'Profiles Tracker'!G:G,Q$1)</f>
        <v>0</v>
      </c>
      <c r="R59" s="3">
        <f>COUNTIFS('Profiles Tracker'!E:E,#REF!,'Profiles Tracker'!G:G,R$1)</f>
        <v>0</v>
      </c>
      <c r="S59" s="3">
        <f>COUNTIFS('Profiles Tracker'!E:E,#REF!,'Profiles Tracker'!G:G,"Interview Done",'Profiles Tracker'!O:O,"Rejected")</f>
        <v>0</v>
      </c>
      <c r="T59" s="3">
        <f>COUNTIFS('Profiles Tracker'!E:E,#REF!,'Profiles Tracker'!G:G,T$1)</f>
        <v>0</v>
      </c>
      <c r="U59" s="3">
        <f t="shared" si="17"/>
        <v>0</v>
      </c>
      <c r="V59" s="3">
        <f t="shared" si="18"/>
        <v>0</v>
      </c>
      <c r="W59" s="3">
        <f t="shared" si="19"/>
        <v>0</v>
      </c>
      <c r="X59" s="3">
        <f t="shared" si="20"/>
        <v>0</v>
      </c>
      <c r="Y59" s="3">
        <f t="shared" si="21"/>
        <v>0</v>
      </c>
      <c r="Z59" s="3">
        <f t="shared" si="22"/>
        <v>0</v>
      </c>
      <c r="AA59" s="3">
        <f t="shared" si="23"/>
        <v>0</v>
      </c>
      <c r="AB59" s="3">
        <f t="shared" si="24"/>
        <v>0</v>
      </c>
      <c r="AC59" s="16">
        <f t="shared" si="25"/>
        <v>45687</v>
      </c>
      <c r="AD59" s="16">
        <f t="shared" si="26"/>
        <v>45682</v>
      </c>
      <c r="AE59" s="16">
        <f t="shared" si="27"/>
        <v>45675</v>
      </c>
      <c r="AF59" s="18">
        <f t="shared" ca="1" si="28"/>
        <v>-61</v>
      </c>
      <c r="AG59" s="18">
        <f t="shared" ca="1" si="29"/>
        <v>-61</v>
      </c>
      <c r="AH59" s="18">
        <f t="shared" ca="1" si="30"/>
        <v>-62</v>
      </c>
      <c r="AI59" s="53" t="e">
        <f>COUNTIFS('Profiles Tracker'!E:E,#REF!,'Profiles Tracker'!G:G,Q$1,'Profiles Tracker'!#REF!,"Week 14")</f>
        <v>#REF!</v>
      </c>
      <c r="AJ59" s="52" t="e">
        <f>COUNTIFS('Profiles Tracker'!E:E,#REF!,'Profiles Tracker'!G:G,Q$1,'Profiles Tracker'!#REF!,"Week 15")</f>
        <v>#REF!</v>
      </c>
      <c r="AK59" s="52" t="e">
        <f>COUNTIFS('Profiles Tracker'!E:E,#REF!,'Profiles Tracker'!G:G,Q$1,'Profiles Tracker'!#REF!,"Week 16")</f>
        <v>#REF!</v>
      </c>
      <c r="AL59" s="52" t="e">
        <f>COUNTIFS('Profiles Tracker'!E:E,#REF!,'Profiles Tracker'!G:G,Q$1,'Profiles Tracker'!#REF!,"Week 17")</f>
        <v>#REF!</v>
      </c>
      <c r="AM59" s="52" t="e">
        <f>COUNTIFS('Profiles Tracker'!E:E,#REF!,'Profiles Tracker'!G:G,Q$1,'Profiles Tracker'!#REF!,"Week 18")</f>
        <v>#REF!</v>
      </c>
    </row>
    <row r="60" spans="1:39">
      <c r="A60" s="3">
        <f t="shared" si="16"/>
        <v>59</v>
      </c>
      <c r="B60" s="17" t="s">
        <v>38</v>
      </c>
      <c r="C60" s="17" t="s">
        <v>142</v>
      </c>
      <c r="D60" s="17"/>
      <c r="E60" s="5">
        <v>45668</v>
      </c>
      <c r="F60" s="3" t="s">
        <v>200</v>
      </c>
      <c r="G60" s="3"/>
      <c r="H60" s="16">
        <v>45747</v>
      </c>
      <c r="I60" s="3" t="s">
        <v>42</v>
      </c>
      <c r="J60" s="3" t="s">
        <v>88</v>
      </c>
      <c r="K60" s="17" t="s">
        <v>201</v>
      </c>
      <c r="L60" s="17"/>
      <c r="M60" s="4" t="s">
        <v>68</v>
      </c>
      <c r="N60" s="3">
        <f>COUNTIFS('Profiles Tracker'!E:E,#REF!,'Profiles Tracker'!G:G,"Profile shared with Interviewer")</f>
        <v>0</v>
      </c>
      <c r="O60" s="3">
        <f>COUNTIFS('Profiles Tracker'!E:E,#REF!,'Profiles Tracker'!G:G,"Shortlisted for next round of interview")</f>
        <v>0</v>
      </c>
      <c r="P60" s="3">
        <f>COUNTIFS('Profiles Tracker'!E:E,#REF!,'Profiles Tracker'!G:G,P$1)</f>
        <v>0</v>
      </c>
      <c r="Q60" s="3">
        <f>COUNTIFS('Profiles Tracker'!E:E,#REF!,'Profiles Tracker'!G:G,Q$1)</f>
        <v>0</v>
      </c>
      <c r="R60" s="3">
        <f>COUNTIFS('Profiles Tracker'!E:E,#REF!,'Profiles Tracker'!G:G,R$1)</f>
        <v>0</v>
      </c>
      <c r="S60" s="3">
        <f>COUNTIFS('Profiles Tracker'!E:E,#REF!,'Profiles Tracker'!G:G,"Interview Done",'Profiles Tracker'!O:O,"Rejected")</f>
        <v>0</v>
      </c>
      <c r="T60" s="3">
        <f>COUNTIFS('Profiles Tracker'!E:E,#REF!,'Profiles Tracker'!G:G,T$1)</f>
        <v>0</v>
      </c>
      <c r="U60" s="3">
        <f t="shared" si="17"/>
        <v>0</v>
      </c>
      <c r="V60" s="3">
        <f t="shared" si="18"/>
        <v>0</v>
      </c>
      <c r="W60" s="3">
        <f t="shared" si="19"/>
        <v>0</v>
      </c>
      <c r="X60" s="3">
        <f t="shared" si="20"/>
        <v>0</v>
      </c>
      <c r="Y60" s="3">
        <f t="shared" si="21"/>
        <v>0</v>
      </c>
      <c r="Z60" s="3">
        <f t="shared" si="22"/>
        <v>0</v>
      </c>
      <c r="AA60" s="3">
        <f t="shared" si="23"/>
        <v>0</v>
      </c>
      <c r="AB60" s="3">
        <f t="shared" si="24"/>
        <v>0</v>
      </c>
      <c r="AC60" s="16">
        <f t="shared" si="25"/>
        <v>45702</v>
      </c>
      <c r="AD60" s="16">
        <f t="shared" si="26"/>
        <v>45697</v>
      </c>
      <c r="AE60" s="16">
        <f t="shared" si="27"/>
        <v>45690</v>
      </c>
      <c r="AF60" s="18">
        <f t="shared" ca="1" si="28"/>
        <v>-59</v>
      </c>
      <c r="AG60" s="18">
        <f t="shared" ca="1" si="29"/>
        <v>-59</v>
      </c>
      <c r="AH60" s="18">
        <f t="shared" ca="1" si="30"/>
        <v>-60</v>
      </c>
      <c r="AI60" s="53" t="e">
        <f>COUNTIFS('Profiles Tracker'!E:E,#REF!,'Profiles Tracker'!G:G,Q$1,'Profiles Tracker'!#REF!,"Week 14")</f>
        <v>#REF!</v>
      </c>
      <c r="AJ60" s="52" t="e">
        <f>COUNTIFS('Profiles Tracker'!E:E,#REF!,'Profiles Tracker'!G:G,Q$1,'Profiles Tracker'!#REF!,"Week 15")</f>
        <v>#REF!</v>
      </c>
      <c r="AK60" s="52" t="e">
        <f>COUNTIFS('Profiles Tracker'!E:E,#REF!,'Profiles Tracker'!G:G,Q$1,'Profiles Tracker'!#REF!,"Week 16")</f>
        <v>#REF!</v>
      </c>
      <c r="AL60" s="52" t="e">
        <f>COUNTIFS('Profiles Tracker'!E:E,#REF!,'Profiles Tracker'!G:G,Q$1,'Profiles Tracker'!#REF!,"Week 17")</f>
        <v>#REF!</v>
      </c>
      <c r="AM60" s="52" t="e">
        <f>COUNTIFS('Profiles Tracker'!E:E,#REF!,'Profiles Tracker'!G:G,Q$1,'Profiles Tracker'!#REF!,"Week 18")</f>
        <v>#REF!</v>
      </c>
    </row>
    <row r="61" spans="1:39">
      <c r="A61" s="3">
        <f t="shared" si="16"/>
        <v>60</v>
      </c>
      <c r="B61" s="17" t="s">
        <v>38</v>
      </c>
      <c r="C61" s="17" t="s">
        <v>152</v>
      </c>
      <c r="D61" s="17"/>
      <c r="E61" s="5">
        <v>45668</v>
      </c>
      <c r="F61" s="3" t="s">
        <v>153</v>
      </c>
      <c r="G61" s="3">
        <v>1</v>
      </c>
      <c r="H61" s="16">
        <v>45747</v>
      </c>
      <c r="I61" s="1" t="s">
        <v>154</v>
      </c>
      <c r="J61" s="3" t="s">
        <v>94</v>
      </c>
      <c r="K61" s="17" t="s">
        <v>202</v>
      </c>
      <c r="L61" s="17"/>
      <c r="M61" s="4" t="s">
        <v>68</v>
      </c>
      <c r="N61" s="3">
        <f>COUNTIFS('Profiles Tracker'!E:E,#REF!,'Profiles Tracker'!G:G,"Profile shared with Interviewer")</f>
        <v>0</v>
      </c>
      <c r="O61" s="3">
        <f>COUNTIFS('Profiles Tracker'!E:E,#REF!,'Profiles Tracker'!G:G,"Shortlisted for next round of interview")</f>
        <v>0</v>
      </c>
      <c r="P61" s="3">
        <f>COUNTIFS('Profiles Tracker'!E:E,#REF!,'Profiles Tracker'!G:G,P$1)</f>
        <v>0</v>
      </c>
      <c r="Q61" s="3">
        <f>COUNTIFS('Profiles Tracker'!E:E,#REF!,'Profiles Tracker'!G:G,Q$1)</f>
        <v>0</v>
      </c>
      <c r="R61" s="3">
        <f>COUNTIFS('Profiles Tracker'!E:E,#REF!,'Profiles Tracker'!G:G,R$1)</f>
        <v>0</v>
      </c>
      <c r="S61" s="3">
        <f>COUNTIFS('Profiles Tracker'!E:E,#REF!,'Profiles Tracker'!G:G,"Interview Done",'Profiles Tracker'!O:O,"Rejected")</f>
        <v>0</v>
      </c>
      <c r="T61" s="3">
        <f>COUNTIFS('Profiles Tracker'!E:E,#REF!,'Profiles Tracker'!G:G,T$1)</f>
        <v>0</v>
      </c>
      <c r="U61" s="3">
        <f t="shared" si="17"/>
        <v>0</v>
      </c>
      <c r="V61" s="3">
        <f t="shared" si="18"/>
        <v>1</v>
      </c>
      <c r="W61" s="3">
        <f t="shared" si="19"/>
        <v>1</v>
      </c>
      <c r="X61" s="3">
        <f t="shared" si="20"/>
        <v>1</v>
      </c>
      <c r="Y61" s="3">
        <f t="shared" si="21"/>
        <v>3</v>
      </c>
      <c r="Z61" s="3">
        <f t="shared" si="22"/>
        <v>1</v>
      </c>
      <c r="AA61" s="3">
        <f t="shared" si="23"/>
        <v>1</v>
      </c>
      <c r="AB61" s="3">
        <f t="shared" si="24"/>
        <v>3</v>
      </c>
      <c r="AC61" s="16">
        <f t="shared" si="25"/>
        <v>45702</v>
      </c>
      <c r="AD61" s="16">
        <f t="shared" si="26"/>
        <v>45697</v>
      </c>
      <c r="AE61" s="16">
        <f t="shared" si="27"/>
        <v>45690</v>
      </c>
      <c r="AF61" s="18">
        <f t="shared" ca="1" si="28"/>
        <v>-59</v>
      </c>
      <c r="AG61" s="18">
        <f t="shared" ca="1" si="29"/>
        <v>-59</v>
      </c>
      <c r="AH61" s="18">
        <f t="shared" ca="1" si="30"/>
        <v>-60</v>
      </c>
      <c r="AI61" s="53" t="e">
        <f>COUNTIFS('Profiles Tracker'!E:E,#REF!,'Profiles Tracker'!G:G,Q$1,'Profiles Tracker'!#REF!,"Week 14")</f>
        <v>#REF!</v>
      </c>
      <c r="AJ61" s="52" t="e">
        <f>COUNTIFS('Profiles Tracker'!E:E,#REF!,'Profiles Tracker'!G:G,Q$1,'Profiles Tracker'!#REF!,"Week 15")</f>
        <v>#REF!</v>
      </c>
      <c r="AK61" s="52" t="e">
        <f>COUNTIFS('Profiles Tracker'!E:E,#REF!,'Profiles Tracker'!G:G,Q$1,'Profiles Tracker'!#REF!,"Week 16")</f>
        <v>#REF!</v>
      </c>
      <c r="AL61" s="52" t="e">
        <f>COUNTIFS('Profiles Tracker'!E:E,#REF!,'Profiles Tracker'!G:G,Q$1,'Profiles Tracker'!#REF!,"Week 17")</f>
        <v>#REF!</v>
      </c>
      <c r="AM61" s="52" t="e">
        <f>COUNTIFS('Profiles Tracker'!E:E,#REF!,'Profiles Tracker'!G:G,Q$1,'Profiles Tracker'!#REF!,"Week 18")</f>
        <v>#REF!</v>
      </c>
    </row>
    <row r="62" spans="1:39">
      <c r="A62" s="3">
        <f t="shared" si="16"/>
        <v>61</v>
      </c>
      <c r="B62" s="17" t="s">
        <v>38</v>
      </c>
      <c r="C62" s="17" t="s">
        <v>160</v>
      </c>
      <c r="D62" s="17"/>
      <c r="E62" s="5">
        <v>45668</v>
      </c>
      <c r="F62" s="3" t="s">
        <v>161</v>
      </c>
      <c r="G62" s="3">
        <v>0</v>
      </c>
      <c r="H62" s="16">
        <v>45747</v>
      </c>
      <c r="I62" s="24" t="s">
        <v>162</v>
      </c>
      <c r="J62" s="3" t="s">
        <v>42</v>
      </c>
      <c r="K62" s="17" t="s">
        <v>203</v>
      </c>
      <c r="L62" s="17"/>
      <c r="M62" s="4" t="s">
        <v>45</v>
      </c>
      <c r="N62" s="3">
        <f>COUNTIFS('Profiles Tracker'!E:E,#REF!,'Profiles Tracker'!G:G,"Profile shared with Interviewer")</f>
        <v>0</v>
      </c>
      <c r="O62" s="3">
        <f>COUNTIFS('Profiles Tracker'!E:E,#REF!,'Profiles Tracker'!G:G,"Shortlisted for next round of interview")</f>
        <v>0</v>
      </c>
      <c r="P62" s="3">
        <f>COUNTIFS('Profiles Tracker'!E:E,#REF!,'Profiles Tracker'!G:G,P$1)</f>
        <v>0</v>
      </c>
      <c r="Q62" s="3">
        <f>COUNTIFS('Profiles Tracker'!E:E,#REF!,'Profiles Tracker'!G:G,Q$1)</f>
        <v>0</v>
      </c>
      <c r="R62" s="3">
        <f>COUNTIFS('Profiles Tracker'!E:E,#REF!,'Profiles Tracker'!G:G,R$1)</f>
        <v>0</v>
      </c>
      <c r="S62" s="3">
        <f>COUNTIFS('Profiles Tracker'!E:E,#REF!,'Profiles Tracker'!G:G,"Interview Done",'Profiles Tracker'!O:O,"Rejected")</f>
        <v>0</v>
      </c>
      <c r="T62" s="3">
        <f>COUNTIFS('Profiles Tracker'!E:E,#REF!,'Profiles Tracker'!G:G,T$1)</f>
        <v>0</v>
      </c>
      <c r="U62" s="3">
        <f t="shared" si="17"/>
        <v>0</v>
      </c>
      <c r="V62" s="3">
        <f t="shared" si="18"/>
        <v>0</v>
      </c>
      <c r="W62" s="3">
        <f t="shared" si="19"/>
        <v>0</v>
      </c>
      <c r="X62" s="3">
        <f t="shared" si="20"/>
        <v>0</v>
      </c>
      <c r="Y62" s="3">
        <f t="shared" si="21"/>
        <v>0</v>
      </c>
      <c r="Z62" s="3">
        <f t="shared" si="22"/>
        <v>0</v>
      </c>
      <c r="AA62" s="3">
        <f t="shared" si="23"/>
        <v>0</v>
      </c>
      <c r="AB62" s="3">
        <f t="shared" si="24"/>
        <v>0</v>
      </c>
      <c r="AC62" s="16">
        <f t="shared" si="25"/>
        <v>45687</v>
      </c>
      <c r="AD62" s="16">
        <f t="shared" si="26"/>
        <v>45682</v>
      </c>
      <c r="AE62" s="16">
        <f t="shared" si="27"/>
        <v>45675</v>
      </c>
      <c r="AF62" s="18">
        <f t="shared" ca="1" si="28"/>
        <v>-61</v>
      </c>
      <c r="AG62" s="18">
        <f t="shared" ca="1" si="29"/>
        <v>-61</v>
      </c>
      <c r="AH62" s="18">
        <f t="shared" ca="1" si="30"/>
        <v>-62</v>
      </c>
      <c r="AI62" s="53" t="e">
        <f>COUNTIFS('Profiles Tracker'!E:E,#REF!,'Profiles Tracker'!G:G,Q$1,'Profiles Tracker'!#REF!,"Week 14")</f>
        <v>#REF!</v>
      </c>
      <c r="AJ62" s="52" t="e">
        <f>COUNTIFS('Profiles Tracker'!E:E,#REF!,'Profiles Tracker'!G:G,Q$1,'Profiles Tracker'!#REF!,"Week 15")</f>
        <v>#REF!</v>
      </c>
      <c r="AK62" s="52" t="e">
        <f>COUNTIFS('Profiles Tracker'!E:E,#REF!,'Profiles Tracker'!G:G,Q$1,'Profiles Tracker'!#REF!,"Week 16")</f>
        <v>#REF!</v>
      </c>
      <c r="AL62" s="52" t="e">
        <f>COUNTIFS('Profiles Tracker'!E:E,#REF!,'Profiles Tracker'!G:G,Q$1,'Profiles Tracker'!#REF!,"Week 17")</f>
        <v>#REF!</v>
      </c>
      <c r="AM62" s="52" t="e">
        <f>COUNTIFS('Profiles Tracker'!E:E,#REF!,'Profiles Tracker'!G:G,Q$1,'Profiles Tracker'!#REF!,"Week 18")</f>
        <v>#REF!</v>
      </c>
    </row>
    <row r="63" spans="1:39">
      <c r="A63" s="3">
        <f t="shared" si="16"/>
        <v>62</v>
      </c>
      <c r="B63" s="17" t="s">
        <v>38</v>
      </c>
      <c r="C63" s="17" t="s">
        <v>160</v>
      </c>
      <c r="D63" s="17"/>
      <c r="E63" s="5">
        <v>45668</v>
      </c>
      <c r="F63" s="3" t="s">
        <v>165</v>
      </c>
      <c r="G63" s="3">
        <v>0</v>
      </c>
      <c r="H63" s="16">
        <v>45747</v>
      </c>
      <c r="I63" s="24" t="s">
        <v>162</v>
      </c>
      <c r="J63" s="3" t="s">
        <v>94</v>
      </c>
      <c r="K63" s="17" t="s">
        <v>204</v>
      </c>
      <c r="L63" s="17"/>
      <c r="M63" s="4" t="s">
        <v>68</v>
      </c>
      <c r="N63" s="3">
        <f>COUNTIFS('Profiles Tracker'!E:E,#REF!,'Profiles Tracker'!G:G,"Profile shared with Interviewer")</f>
        <v>0</v>
      </c>
      <c r="O63" s="3">
        <f>COUNTIFS('Profiles Tracker'!E:E,#REF!,'Profiles Tracker'!G:G,"Shortlisted for next round of interview")</f>
        <v>0</v>
      </c>
      <c r="P63" s="3">
        <f>COUNTIFS('Profiles Tracker'!E:E,#REF!,'Profiles Tracker'!G:G,P$1)</f>
        <v>0</v>
      </c>
      <c r="Q63" s="3">
        <f>COUNTIFS('Profiles Tracker'!E:E,#REF!,'Profiles Tracker'!G:G,Q$1)</f>
        <v>0</v>
      </c>
      <c r="R63" s="3">
        <f>COUNTIFS('Profiles Tracker'!E:E,#REF!,'Profiles Tracker'!G:G,R$1)</f>
        <v>0</v>
      </c>
      <c r="S63" s="3">
        <f>COUNTIFS('Profiles Tracker'!E:E,#REF!,'Profiles Tracker'!G:G,"Interview Done",'Profiles Tracker'!O:O,"Rejected")</f>
        <v>0</v>
      </c>
      <c r="T63" s="3">
        <f>COUNTIFS('Profiles Tracker'!E:E,#REF!,'Profiles Tracker'!G:G,T$1)</f>
        <v>0</v>
      </c>
      <c r="U63" s="3">
        <f t="shared" si="17"/>
        <v>0</v>
      </c>
      <c r="V63" s="3">
        <f t="shared" si="18"/>
        <v>0</v>
      </c>
      <c r="W63" s="3">
        <f t="shared" si="19"/>
        <v>0</v>
      </c>
      <c r="X63" s="3">
        <f t="shared" si="20"/>
        <v>0</v>
      </c>
      <c r="Y63" s="3">
        <f t="shared" si="21"/>
        <v>0</v>
      </c>
      <c r="Z63" s="3">
        <f t="shared" si="22"/>
        <v>0</v>
      </c>
      <c r="AA63" s="3">
        <f t="shared" si="23"/>
        <v>0</v>
      </c>
      <c r="AB63" s="3">
        <f t="shared" si="24"/>
        <v>0</v>
      </c>
      <c r="AC63" s="16">
        <f t="shared" si="25"/>
        <v>45702</v>
      </c>
      <c r="AD63" s="16">
        <f t="shared" si="26"/>
        <v>45697</v>
      </c>
      <c r="AE63" s="16">
        <f t="shared" si="27"/>
        <v>45690</v>
      </c>
      <c r="AF63" s="18">
        <f t="shared" ca="1" si="28"/>
        <v>-59</v>
      </c>
      <c r="AG63" s="18">
        <f t="shared" ca="1" si="29"/>
        <v>-59</v>
      </c>
      <c r="AH63" s="18">
        <f t="shared" ca="1" si="30"/>
        <v>-60</v>
      </c>
      <c r="AI63" s="53" t="e">
        <f>COUNTIFS('Profiles Tracker'!E:E,#REF!,'Profiles Tracker'!G:G,Q$1,'Profiles Tracker'!#REF!,"Week 14")</f>
        <v>#REF!</v>
      </c>
      <c r="AJ63" s="52" t="e">
        <f>COUNTIFS('Profiles Tracker'!E:E,#REF!,'Profiles Tracker'!G:G,Q$1,'Profiles Tracker'!#REF!,"Week 15")</f>
        <v>#REF!</v>
      </c>
      <c r="AK63" s="52" t="e">
        <f>COUNTIFS('Profiles Tracker'!E:E,#REF!,'Profiles Tracker'!G:G,Q$1,'Profiles Tracker'!#REF!,"Week 16")</f>
        <v>#REF!</v>
      </c>
      <c r="AL63" s="52" t="e">
        <f>COUNTIFS('Profiles Tracker'!E:E,#REF!,'Profiles Tracker'!G:G,Q$1,'Profiles Tracker'!#REF!,"Week 17")</f>
        <v>#REF!</v>
      </c>
      <c r="AM63" s="52" t="e">
        <f>COUNTIFS('Profiles Tracker'!E:E,#REF!,'Profiles Tracker'!G:G,Q$1,'Profiles Tracker'!#REF!,"Week 18")</f>
        <v>#REF!</v>
      </c>
    </row>
    <row r="64" spans="1:39">
      <c r="A64" s="3">
        <f t="shared" si="16"/>
        <v>63</v>
      </c>
      <c r="B64" s="17" t="s">
        <v>38</v>
      </c>
      <c r="C64" s="17" t="s">
        <v>60</v>
      </c>
      <c r="D64" s="17"/>
      <c r="E64" s="5">
        <v>45668</v>
      </c>
      <c r="F64" s="3" t="s">
        <v>174</v>
      </c>
      <c r="G64" s="3">
        <v>0</v>
      </c>
      <c r="H64" s="16">
        <v>45747</v>
      </c>
      <c r="I64" s="3" t="s">
        <v>41</v>
      </c>
      <c r="J64" s="3" t="s">
        <v>42</v>
      </c>
      <c r="K64" s="17" t="s">
        <v>205</v>
      </c>
      <c r="L64" s="17"/>
      <c r="M64" s="4" t="s">
        <v>68</v>
      </c>
      <c r="N64" s="3">
        <f>COUNTIFS('Profiles Tracker'!E:E,#REF!,'Profiles Tracker'!G:G,"Profile shared with Interviewer")</f>
        <v>0</v>
      </c>
      <c r="O64" s="3">
        <f>COUNTIFS('Profiles Tracker'!E:E,#REF!,'Profiles Tracker'!G:G,"Shortlisted for next round of interview")</f>
        <v>0</v>
      </c>
      <c r="P64" s="3">
        <f>COUNTIFS('Profiles Tracker'!E:E,#REF!,'Profiles Tracker'!G:G,P$1)</f>
        <v>0</v>
      </c>
      <c r="Q64" s="3">
        <f>COUNTIFS('Profiles Tracker'!E:E,#REF!,'Profiles Tracker'!G:G,Q$1)</f>
        <v>0</v>
      </c>
      <c r="R64" s="3">
        <f>COUNTIFS('Profiles Tracker'!E:E,#REF!,'Profiles Tracker'!G:G,R$1)</f>
        <v>0</v>
      </c>
      <c r="S64" s="3">
        <f>COUNTIFS('Profiles Tracker'!E:E,#REF!,'Profiles Tracker'!G:G,"Interview Done",'Profiles Tracker'!O:O,"Rejected")</f>
        <v>0</v>
      </c>
      <c r="T64" s="3">
        <f>COUNTIFS('Profiles Tracker'!E:E,#REF!,'Profiles Tracker'!G:G,T$1)</f>
        <v>0</v>
      </c>
      <c r="U64" s="3">
        <f t="shared" si="17"/>
        <v>0</v>
      </c>
      <c r="V64" s="3">
        <f t="shared" si="18"/>
        <v>0</v>
      </c>
      <c r="W64" s="3">
        <f t="shared" si="19"/>
        <v>0</v>
      </c>
      <c r="X64" s="3">
        <f t="shared" si="20"/>
        <v>0</v>
      </c>
      <c r="Y64" s="3">
        <f t="shared" si="21"/>
        <v>0</v>
      </c>
      <c r="Z64" s="3">
        <f t="shared" si="22"/>
        <v>0</v>
      </c>
      <c r="AA64" s="3">
        <f t="shared" si="23"/>
        <v>0</v>
      </c>
      <c r="AB64" s="3">
        <f t="shared" si="24"/>
        <v>0</v>
      </c>
      <c r="AC64" s="16">
        <f t="shared" si="25"/>
        <v>45702</v>
      </c>
      <c r="AD64" s="16">
        <f t="shared" si="26"/>
        <v>45697</v>
      </c>
      <c r="AE64" s="16">
        <f t="shared" si="27"/>
        <v>45690</v>
      </c>
      <c r="AF64" s="18">
        <f t="shared" ca="1" si="28"/>
        <v>-59</v>
      </c>
      <c r="AG64" s="18">
        <f t="shared" ca="1" si="29"/>
        <v>-59</v>
      </c>
      <c r="AH64" s="18">
        <f t="shared" ca="1" si="30"/>
        <v>-60</v>
      </c>
      <c r="AI64" s="53" t="e">
        <f>COUNTIFS('Profiles Tracker'!E:E,#REF!,'Profiles Tracker'!G:G,Q$1,'Profiles Tracker'!#REF!,"Week 14")</f>
        <v>#REF!</v>
      </c>
      <c r="AJ64" s="52" t="e">
        <f>COUNTIFS('Profiles Tracker'!E:E,#REF!,'Profiles Tracker'!G:G,Q$1,'Profiles Tracker'!#REF!,"Week 15")</f>
        <v>#REF!</v>
      </c>
      <c r="AK64" s="52" t="e">
        <f>COUNTIFS('Profiles Tracker'!E:E,#REF!,'Profiles Tracker'!G:G,Q$1,'Profiles Tracker'!#REF!,"Week 16")</f>
        <v>#REF!</v>
      </c>
      <c r="AL64" s="52" t="e">
        <f>COUNTIFS('Profiles Tracker'!E:E,#REF!,'Profiles Tracker'!G:G,Q$1,'Profiles Tracker'!#REF!,"Week 17")</f>
        <v>#REF!</v>
      </c>
      <c r="AM64" s="52" t="e">
        <f>COUNTIFS('Profiles Tracker'!E:E,#REF!,'Profiles Tracker'!G:G,Q$1,'Profiles Tracker'!#REF!,"Week 18")</f>
        <v>#REF!</v>
      </c>
    </row>
    <row r="65" spans="1:39">
      <c r="A65" s="3">
        <f t="shared" si="16"/>
        <v>64</v>
      </c>
      <c r="B65" s="17" t="s">
        <v>38</v>
      </c>
      <c r="C65" s="17" t="s">
        <v>53</v>
      </c>
      <c r="D65" s="17"/>
      <c r="E65" s="5">
        <v>45668</v>
      </c>
      <c r="F65" s="3" t="s">
        <v>80</v>
      </c>
      <c r="G65" s="3"/>
      <c r="H65" s="16">
        <v>45747</v>
      </c>
      <c r="I65" s="3" t="s">
        <v>65</v>
      </c>
      <c r="J65" s="3" t="s">
        <v>94</v>
      </c>
      <c r="K65" s="17" t="s">
        <v>206</v>
      </c>
      <c r="L65" s="17"/>
      <c r="M65" s="4" t="s">
        <v>68</v>
      </c>
      <c r="N65" s="3">
        <f>COUNTIFS('Profiles Tracker'!E:E,#REF!,'Profiles Tracker'!G:G,"Profile shared with Interviewer")</f>
        <v>0</v>
      </c>
      <c r="O65" s="3">
        <f>COUNTIFS('Profiles Tracker'!E:E,#REF!,'Profiles Tracker'!G:G,"Shortlisted for next round of interview")</f>
        <v>0</v>
      </c>
      <c r="P65" s="3">
        <f>COUNTIFS('Profiles Tracker'!E:E,#REF!,'Profiles Tracker'!G:G,P$1)</f>
        <v>0</v>
      </c>
      <c r="Q65" s="3">
        <f>COUNTIFS('Profiles Tracker'!E:E,#REF!,'Profiles Tracker'!G:G,Q$1)</f>
        <v>0</v>
      </c>
      <c r="R65" s="3">
        <f>COUNTIFS('Profiles Tracker'!E:E,#REF!,'Profiles Tracker'!G:G,R$1)</f>
        <v>0</v>
      </c>
      <c r="S65" s="3">
        <f>COUNTIFS('Profiles Tracker'!E:E,#REF!,'Profiles Tracker'!G:G,"Interview Done",'Profiles Tracker'!O:O,"Rejected")</f>
        <v>0</v>
      </c>
      <c r="T65" s="3">
        <f>COUNTIFS('Profiles Tracker'!E:E,#REF!,'Profiles Tracker'!G:G,T$1)</f>
        <v>0</v>
      </c>
      <c r="U65" s="3">
        <f t="shared" si="17"/>
        <v>0</v>
      </c>
      <c r="V65" s="3">
        <f t="shared" si="18"/>
        <v>0</v>
      </c>
      <c r="W65" s="3">
        <f t="shared" si="19"/>
        <v>0</v>
      </c>
      <c r="X65" s="3">
        <f t="shared" si="20"/>
        <v>0</v>
      </c>
      <c r="Y65" s="3">
        <f t="shared" si="21"/>
        <v>0</v>
      </c>
      <c r="Z65" s="3">
        <f t="shared" si="22"/>
        <v>0</v>
      </c>
      <c r="AA65" s="3">
        <f t="shared" si="23"/>
        <v>0</v>
      </c>
      <c r="AB65" s="3">
        <f t="shared" si="24"/>
        <v>0</v>
      </c>
      <c r="AC65" s="16">
        <f t="shared" si="25"/>
        <v>45702</v>
      </c>
      <c r="AD65" s="16">
        <f t="shared" si="26"/>
        <v>45697</v>
      </c>
      <c r="AE65" s="16">
        <f t="shared" si="27"/>
        <v>45690</v>
      </c>
      <c r="AF65" s="18">
        <f t="shared" ca="1" si="28"/>
        <v>-59</v>
      </c>
      <c r="AG65" s="18">
        <f t="shared" ca="1" si="29"/>
        <v>-59</v>
      </c>
      <c r="AH65" s="18">
        <f t="shared" ca="1" si="30"/>
        <v>-60</v>
      </c>
      <c r="AI65" s="53" t="e">
        <f>COUNTIFS('Profiles Tracker'!E:E,#REF!,'Profiles Tracker'!G:G,Q$1,'Profiles Tracker'!#REF!,"Week 14")</f>
        <v>#REF!</v>
      </c>
      <c r="AJ65" s="52" t="e">
        <f>COUNTIFS('Profiles Tracker'!E:E,#REF!,'Profiles Tracker'!G:G,Q$1,'Profiles Tracker'!#REF!,"Week 15")</f>
        <v>#REF!</v>
      </c>
      <c r="AK65" s="52" t="e">
        <f>COUNTIFS('Profiles Tracker'!E:E,#REF!,'Profiles Tracker'!G:G,Q$1,'Profiles Tracker'!#REF!,"Week 16")</f>
        <v>#REF!</v>
      </c>
      <c r="AL65" s="52" t="e">
        <f>COUNTIFS('Profiles Tracker'!E:E,#REF!,'Profiles Tracker'!G:G,Q$1,'Profiles Tracker'!#REF!,"Week 17")</f>
        <v>#REF!</v>
      </c>
      <c r="AM65" s="52" t="e">
        <f>COUNTIFS('Profiles Tracker'!E:E,#REF!,'Profiles Tracker'!G:G,Q$1,'Profiles Tracker'!#REF!,"Week 18")</f>
        <v>#REF!</v>
      </c>
    </row>
    <row r="66" spans="1:39">
      <c r="A66" s="3">
        <f t="shared" ref="A66:A97" si="31">ROW()-1</f>
        <v>65</v>
      </c>
      <c r="B66" s="17" t="s">
        <v>38</v>
      </c>
      <c r="C66" s="17"/>
      <c r="D66" s="17"/>
      <c r="E66" s="5">
        <v>45668</v>
      </c>
      <c r="F66" s="3" t="s">
        <v>177</v>
      </c>
      <c r="G66" s="3">
        <v>2</v>
      </c>
      <c r="H66" s="16">
        <v>45747</v>
      </c>
      <c r="I66" s="3" t="s">
        <v>70</v>
      </c>
      <c r="J66" s="3" t="s">
        <v>42</v>
      </c>
      <c r="K66" s="17" t="s">
        <v>207</v>
      </c>
      <c r="L66" s="17"/>
      <c r="M66" s="4" t="s">
        <v>68</v>
      </c>
      <c r="N66" s="3">
        <f>COUNTIFS('Profiles Tracker'!E:E,#REF!,'Profiles Tracker'!G:G,"Profile shared with Interviewer")</f>
        <v>0</v>
      </c>
      <c r="O66" s="3">
        <f>COUNTIFS('Profiles Tracker'!E:E,#REF!,'Profiles Tracker'!G:G,"Shortlisted for next round of interview")</f>
        <v>0</v>
      </c>
      <c r="P66" s="3">
        <f>COUNTIFS('Profiles Tracker'!E:E,#REF!,'Profiles Tracker'!G:G,P$1)</f>
        <v>0</v>
      </c>
      <c r="Q66" s="3">
        <f>COUNTIFS('Profiles Tracker'!E:E,#REF!,'Profiles Tracker'!G:G,Q$1)</f>
        <v>0</v>
      </c>
      <c r="R66" s="3">
        <f>COUNTIFS('Profiles Tracker'!E:E,#REF!,'Profiles Tracker'!G:G,R$1)</f>
        <v>0</v>
      </c>
      <c r="S66" s="3">
        <f>COUNTIFS('Profiles Tracker'!E:E,#REF!,'Profiles Tracker'!G:G,"Interview Done",'Profiles Tracker'!O:O,"Rejected")</f>
        <v>0</v>
      </c>
      <c r="T66" s="3">
        <f>COUNTIFS('Profiles Tracker'!E:E,#REF!,'Profiles Tracker'!G:G,T$1)</f>
        <v>0</v>
      </c>
      <c r="U66" s="3">
        <f t="shared" si="17"/>
        <v>0</v>
      </c>
      <c r="V66" s="3">
        <f t="shared" si="18"/>
        <v>2</v>
      </c>
      <c r="W66" s="3">
        <f t="shared" si="19"/>
        <v>2</v>
      </c>
      <c r="X66" s="3">
        <f t="shared" si="20"/>
        <v>2</v>
      </c>
      <c r="Y66" s="3">
        <f t="shared" si="21"/>
        <v>6</v>
      </c>
      <c r="Z66" s="3">
        <f t="shared" si="22"/>
        <v>2</v>
      </c>
      <c r="AA66" s="3">
        <f t="shared" si="23"/>
        <v>2</v>
      </c>
      <c r="AB66" s="3">
        <f t="shared" si="24"/>
        <v>6</v>
      </c>
      <c r="AC66" s="16">
        <f t="shared" si="25"/>
        <v>45702</v>
      </c>
      <c r="AD66" s="16">
        <f t="shared" si="26"/>
        <v>45697</v>
      </c>
      <c r="AE66" s="16">
        <f t="shared" si="27"/>
        <v>45690</v>
      </c>
      <c r="AF66" s="18">
        <f t="shared" ca="1" si="28"/>
        <v>-59</v>
      </c>
      <c r="AG66" s="18">
        <f t="shared" ca="1" si="29"/>
        <v>-59</v>
      </c>
      <c r="AH66" s="18">
        <f t="shared" ca="1" si="30"/>
        <v>-60</v>
      </c>
      <c r="AI66" s="53" t="e">
        <f>COUNTIFS('Profiles Tracker'!E:E,#REF!,'Profiles Tracker'!G:G,Q$1,'Profiles Tracker'!#REF!,"Week 14")</f>
        <v>#REF!</v>
      </c>
      <c r="AJ66" s="52" t="e">
        <f>COUNTIFS('Profiles Tracker'!E:E,#REF!,'Profiles Tracker'!G:G,Q$1,'Profiles Tracker'!#REF!,"Week 15")</f>
        <v>#REF!</v>
      </c>
      <c r="AK66" s="52" t="e">
        <f>COUNTIFS('Profiles Tracker'!E:E,#REF!,'Profiles Tracker'!G:G,Q$1,'Profiles Tracker'!#REF!,"Week 16")</f>
        <v>#REF!</v>
      </c>
      <c r="AL66" s="52" t="e">
        <f>COUNTIFS('Profiles Tracker'!E:E,#REF!,'Profiles Tracker'!G:G,Q$1,'Profiles Tracker'!#REF!,"Week 17")</f>
        <v>#REF!</v>
      </c>
      <c r="AM66" s="52" t="e">
        <f>COUNTIFS('Profiles Tracker'!E:E,#REF!,'Profiles Tracker'!G:G,Q$1,'Profiles Tracker'!#REF!,"Week 18")</f>
        <v>#REF!</v>
      </c>
    </row>
    <row r="67" spans="1:39">
      <c r="A67" s="3">
        <f t="shared" si="31"/>
        <v>66</v>
      </c>
      <c r="B67" s="17" t="s">
        <v>38</v>
      </c>
      <c r="C67" s="17" t="s">
        <v>49</v>
      </c>
      <c r="D67" s="17"/>
      <c r="E67" s="5">
        <v>45668</v>
      </c>
      <c r="F67" s="3" t="s">
        <v>50</v>
      </c>
      <c r="G67" s="3">
        <v>3</v>
      </c>
      <c r="H67" s="16">
        <v>45777</v>
      </c>
      <c r="I67" s="3" t="s">
        <v>41</v>
      </c>
      <c r="J67" s="3" t="s">
        <v>42</v>
      </c>
      <c r="K67" s="17" t="s">
        <v>208</v>
      </c>
      <c r="L67" s="17"/>
      <c r="M67" s="4" t="s">
        <v>45</v>
      </c>
      <c r="N67" s="3">
        <f>COUNTIFS('Profiles Tracker'!E:E,#REF!,'Profiles Tracker'!G:G,"Profile shared with Interviewer")</f>
        <v>0</v>
      </c>
      <c r="O67" s="3">
        <f>COUNTIFS('Profiles Tracker'!E:E,#REF!,'Profiles Tracker'!G:G,"Shortlisted for next round of interview")</f>
        <v>0</v>
      </c>
      <c r="P67" s="3">
        <f>COUNTIFS('Profiles Tracker'!E:E,#REF!,'Profiles Tracker'!G:G,P$1)</f>
        <v>0</v>
      </c>
      <c r="Q67" s="3">
        <f>COUNTIFS('Profiles Tracker'!E:E,#REF!,'Profiles Tracker'!G:G,Q$1)</f>
        <v>0</v>
      </c>
      <c r="R67" s="3">
        <f>COUNTIFS('Profiles Tracker'!E:E,#REF!,'Profiles Tracker'!G:G,R$1)</f>
        <v>0</v>
      </c>
      <c r="S67" s="3">
        <f>COUNTIFS('Profiles Tracker'!E:E,#REF!,'Profiles Tracker'!G:G,"Interview Done",'Profiles Tracker'!O:O,"Rejected")</f>
        <v>0</v>
      </c>
      <c r="T67" s="3">
        <f>COUNTIFS('Profiles Tracker'!E:E,#REF!,'Profiles Tracker'!G:G,T$1)</f>
        <v>0</v>
      </c>
      <c r="U67" s="3">
        <f t="shared" si="17"/>
        <v>0</v>
      </c>
      <c r="V67" s="3">
        <f t="shared" si="18"/>
        <v>3</v>
      </c>
      <c r="W67" s="3">
        <f t="shared" si="19"/>
        <v>3</v>
      </c>
      <c r="X67" s="3">
        <f t="shared" si="20"/>
        <v>3</v>
      </c>
      <c r="Y67" s="3">
        <f t="shared" si="21"/>
        <v>9</v>
      </c>
      <c r="Z67" s="3">
        <f t="shared" si="22"/>
        <v>3</v>
      </c>
      <c r="AA67" s="3">
        <f t="shared" si="23"/>
        <v>3</v>
      </c>
      <c r="AB67" s="3">
        <f t="shared" si="24"/>
        <v>9</v>
      </c>
      <c r="AC67" s="16">
        <f t="shared" si="25"/>
        <v>45717</v>
      </c>
      <c r="AD67" s="16">
        <f t="shared" si="26"/>
        <v>45712</v>
      </c>
      <c r="AE67" s="16">
        <f t="shared" si="27"/>
        <v>45705</v>
      </c>
      <c r="AF67" s="18">
        <f t="shared" ca="1" si="28"/>
        <v>-56</v>
      </c>
      <c r="AG67" s="18">
        <f t="shared" ca="1" si="29"/>
        <v>-57</v>
      </c>
      <c r="AH67" s="18">
        <f t="shared" ca="1" si="30"/>
        <v>-58</v>
      </c>
      <c r="AI67" s="53" t="e">
        <f>COUNTIFS('Profiles Tracker'!E:E,#REF!,'Profiles Tracker'!G:G,Q$1,'Profiles Tracker'!#REF!,"Week 14")</f>
        <v>#REF!</v>
      </c>
      <c r="AJ67" s="52" t="e">
        <f>COUNTIFS('Profiles Tracker'!E:E,#REF!,'Profiles Tracker'!G:G,Q$1,'Profiles Tracker'!#REF!,"Week 15")</f>
        <v>#REF!</v>
      </c>
      <c r="AK67" s="52" t="e">
        <f>COUNTIFS('Profiles Tracker'!E:E,#REF!,'Profiles Tracker'!G:G,Q$1,'Profiles Tracker'!#REF!,"Week 16")</f>
        <v>#REF!</v>
      </c>
      <c r="AL67" s="52" t="e">
        <f>COUNTIFS('Profiles Tracker'!E:E,#REF!,'Profiles Tracker'!G:G,Q$1,'Profiles Tracker'!#REF!,"Week 17")</f>
        <v>#REF!</v>
      </c>
      <c r="AM67" s="52" t="e">
        <f>COUNTIFS('Profiles Tracker'!E:E,#REF!,'Profiles Tracker'!G:G,Q$1,'Profiles Tracker'!#REF!,"Week 18")</f>
        <v>#REF!</v>
      </c>
    </row>
    <row r="68" spans="1:39">
      <c r="A68" s="3">
        <f t="shared" si="31"/>
        <v>67</v>
      </c>
      <c r="B68" s="17" t="s">
        <v>38</v>
      </c>
      <c r="C68" s="17" t="s">
        <v>53</v>
      </c>
      <c r="D68" s="17"/>
      <c r="E68" s="5">
        <v>45668</v>
      </c>
      <c r="F68" s="3" t="s">
        <v>54</v>
      </c>
      <c r="G68" s="3">
        <v>0</v>
      </c>
      <c r="H68" s="16">
        <v>45777</v>
      </c>
      <c r="I68" s="3" t="s">
        <v>41</v>
      </c>
      <c r="J68" s="3" t="s">
        <v>42</v>
      </c>
      <c r="K68" s="17" t="s">
        <v>209</v>
      </c>
      <c r="L68" s="17"/>
      <c r="M68" s="4" t="s">
        <v>45</v>
      </c>
      <c r="N68" s="3">
        <f>COUNTIFS('Profiles Tracker'!E:E,#REF!,'Profiles Tracker'!G:G,"Profile shared with Interviewer")</f>
        <v>0</v>
      </c>
      <c r="O68" s="3">
        <f>COUNTIFS('Profiles Tracker'!E:E,#REF!,'Profiles Tracker'!G:G,"Shortlisted for next round of interview")</f>
        <v>0</v>
      </c>
      <c r="P68" s="3">
        <f>COUNTIFS('Profiles Tracker'!E:E,#REF!,'Profiles Tracker'!G:G,P$1)</f>
        <v>0</v>
      </c>
      <c r="Q68" s="3">
        <f>COUNTIFS('Profiles Tracker'!E:E,#REF!,'Profiles Tracker'!G:G,Q$1)</f>
        <v>0</v>
      </c>
      <c r="R68" s="3">
        <f>COUNTIFS('Profiles Tracker'!E:E,#REF!,'Profiles Tracker'!G:G,R$1)</f>
        <v>0</v>
      </c>
      <c r="S68" s="3">
        <f>COUNTIFS('Profiles Tracker'!E:E,#REF!,'Profiles Tracker'!G:G,"Interview Done",'Profiles Tracker'!O:O,"Rejected")</f>
        <v>0</v>
      </c>
      <c r="T68" s="3">
        <f>COUNTIFS('Profiles Tracker'!E:E,#REF!,'Profiles Tracker'!G:G,T$1)</f>
        <v>0</v>
      </c>
      <c r="U68" s="3">
        <f t="shared" si="17"/>
        <v>0</v>
      </c>
      <c r="V68" s="3">
        <f t="shared" si="18"/>
        <v>0</v>
      </c>
      <c r="W68" s="3">
        <f t="shared" si="19"/>
        <v>0</v>
      </c>
      <c r="X68" s="3">
        <f t="shared" si="20"/>
        <v>0</v>
      </c>
      <c r="Y68" s="3">
        <f t="shared" si="21"/>
        <v>0</v>
      </c>
      <c r="Z68" s="3">
        <f t="shared" si="22"/>
        <v>0</v>
      </c>
      <c r="AA68" s="3">
        <f t="shared" si="23"/>
        <v>0</v>
      </c>
      <c r="AB68" s="3">
        <f t="shared" si="24"/>
        <v>0</v>
      </c>
      <c r="AC68" s="16">
        <f t="shared" si="25"/>
        <v>45717</v>
      </c>
      <c r="AD68" s="16">
        <f t="shared" si="26"/>
        <v>45712</v>
      </c>
      <c r="AE68" s="16">
        <f t="shared" si="27"/>
        <v>45705</v>
      </c>
      <c r="AF68" s="18">
        <f t="shared" ca="1" si="28"/>
        <v>-56</v>
      </c>
      <c r="AG68" s="18">
        <f t="shared" ca="1" si="29"/>
        <v>-57</v>
      </c>
      <c r="AH68" s="18">
        <f t="shared" ca="1" si="30"/>
        <v>-58</v>
      </c>
      <c r="AI68" s="53" t="e">
        <f>COUNTIFS('Profiles Tracker'!E:E,#REF!,'Profiles Tracker'!G:G,Q$1,'Profiles Tracker'!#REF!,"Week 14")</f>
        <v>#REF!</v>
      </c>
      <c r="AJ68" s="52" t="e">
        <f>COUNTIFS('Profiles Tracker'!E:E,#REF!,'Profiles Tracker'!G:G,Q$1,'Profiles Tracker'!#REF!,"Week 15")</f>
        <v>#REF!</v>
      </c>
      <c r="AK68" s="52" t="e">
        <f>COUNTIFS('Profiles Tracker'!E:E,#REF!,'Profiles Tracker'!G:G,Q$1,'Profiles Tracker'!#REF!,"Week 16")</f>
        <v>#REF!</v>
      </c>
      <c r="AL68" s="52" t="e">
        <f>COUNTIFS('Profiles Tracker'!E:E,#REF!,'Profiles Tracker'!G:G,Q$1,'Profiles Tracker'!#REF!,"Week 17")</f>
        <v>#REF!</v>
      </c>
      <c r="AM68" s="52" t="e">
        <f>COUNTIFS('Profiles Tracker'!E:E,#REF!,'Profiles Tracker'!G:G,Q$1,'Profiles Tracker'!#REF!,"Week 18")</f>
        <v>#REF!</v>
      </c>
    </row>
    <row r="69" spans="1:39">
      <c r="A69" s="3">
        <f t="shared" si="31"/>
        <v>68</v>
      </c>
      <c r="B69" s="17" t="s">
        <v>38</v>
      </c>
      <c r="C69" s="17" t="s">
        <v>49</v>
      </c>
      <c r="D69" s="17"/>
      <c r="E69" s="5">
        <v>45668</v>
      </c>
      <c r="F69" s="3" t="s">
        <v>57</v>
      </c>
      <c r="G69" s="3">
        <v>0</v>
      </c>
      <c r="H69" s="16">
        <v>45777</v>
      </c>
      <c r="I69" s="3" t="s">
        <v>41</v>
      </c>
      <c r="J69" s="3" t="s">
        <v>42</v>
      </c>
      <c r="K69" s="17" t="s">
        <v>210</v>
      </c>
      <c r="L69" s="17"/>
      <c r="M69" s="4" t="s">
        <v>45</v>
      </c>
      <c r="N69" s="3">
        <f>COUNTIFS('Profiles Tracker'!E:E,#REF!,'Profiles Tracker'!G:G,"Profile shared with Interviewer")</f>
        <v>0</v>
      </c>
      <c r="O69" s="3">
        <f>COUNTIFS('Profiles Tracker'!E:E,#REF!,'Profiles Tracker'!G:G,"Shortlisted for next round of interview")</f>
        <v>0</v>
      </c>
      <c r="P69" s="3">
        <f>COUNTIFS('Profiles Tracker'!E:E,#REF!,'Profiles Tracker'!G:G,P$1)</f>
        <v>0</v>
      </c>
      <c r="Q69" s="3">
        <f>COUNTIFS('Profiles Tracker'!E:E,#REF!,'Profiles Tracker'!G:G,Q$1)</f>
        <v>0</v>
      </c>
      <c r="R69" s="3">
        <f>COUNTIFS('Profiles Tracker'!E:E,#REF!,'Profiles Tracker'!G:G,R$1)</f>
        <v>0</v>
      </c>
      <c r="S69" s="3">
        <f>COUNTIFS('Profiles Tracker'!E:E,#REF!,'Profiles Tracker'!G:G,"Interview Done",'Profiles Tracker'!O:O,"Rejected")</f>
        <v>0</v>
      </c>
      <c r="T69" s="3">
        <f>COUNTIFS('Profiles Tracker'!E:E,#REF!,'Profiles Tracker'!G:G,T$1)</f>
        <v>0</v>
      </c>
      <c r="U69" s="3">
        <f t="shared" si="17"/>
        <v>0</v>
      </c>
      <c r="V69" s="3">
        <f t="shared" si="18"/>
        <v>0</v>
      </c>
      <c r="W69" s="3">
        <f t="shared" si="19"/>
        <v>0</v>
      </c>
      <c r="X69" s="3">
        <f t="shared" si="20"/>
        <v>0</v>
      </c>
      <c r="Y69" s="3">
        <f t="shared" si="21"/>
        <v>0</v>
      </c>
      <c r="Z69" s="3">
        <f t="shared" si="22"/>
        <v>0</v>
      </c>
      <c r="AA69" s="3">
        <f t="shared" si="23"/>
        <v>0</v>
      </c>
      <c r="AB69" s="3">
        <f t="shared" si="24"/>
        <v>0</v>
      </c>
      <c r="AC69" s="16">
        <f t="shared" si="25"/>
        <v>45717</v>
      </c>
      <c r="AD69" s="16">
        <f t="shared" si="26"/>
        <v>45712</v>
      </c>
      <c r="AE69" s="16">
        <f t="shared" si="27"/>
        <v>45705</v>
      </c>
      <c r="AF69" s="18">
        <f t="shared" ca="1" si="28"/>
        <v>-56</v>
      </c>
      <c r="AG69" s="18">
        <f t="shared" ca="1" si="29"/>
        <v>-57</v>
      </c>
      <c r="AH69" s="18">
        <f t="shared" ca="1" si="30"/>
        <v>-58</v>
      </c>
      <c r="AI69" s="53" t="e">
        <f>COUNTIFS('Profiles Tracker'!E:E,#REF!,'Profiles Tracker'!G:G,Q$1,'Profiles Tracker'!#REF!,"Week 14")</f>
        <v>#REF!</v>
      </c>
      <c r="AJ69" s="52" t="e">
        <f>COUNTIFS('Profiles Tracker'!E:E,#REF!,'Profiles Tracker'!G:G,Q$1,'Profiles Tracker'!#REF!,"Week 15")</f>
        <v>#REF!</v>
      </c>
      <c r="AK69" s="52" t="e">
        <f>COUNTIFS('Profiles Tracker'!E:E,#REF!,'Profiles Tracker'!G:G,Q$1,'Profiles Tracker'!#REF!,"Week 16")</f>
        <v>#REF!</v>
      </c>
      <c r="AL69" s="52" t="e">
        <f>COUNTIFS('Profiles Tracker'!E:E,#REF!,'Profiles Tracker'!G:G,Q$1,'Profiles Tracker'!#REF!,"Week 17")</f>
        <v>#REF!</v>
      </c>
      <c r="AM69" s="52" t="e">
        <f>COUNTIFS('Profiles Tracker'!E:E,#REF!,'Profiles Tracker'!G:G,Q$1,'Profiles Tracker'!#REF!,"Week 18")</f>
        <v>#REF!</v>
      </c>
    </row>
    <row r="70" spans="1:39">
      <c r="A70" s="3">
        <f t="shared" si="31"/>
        <v>69</v>
      </c>
      <c r="B70" s="17" t="s">
        <v>38</v>
      </c>
      <c r="C70" s="17" t="s">
        <v>53</v>
      </c>
      <c r="D70" s="17"/>
      <c r="E70" s="5">
        <v>45668</v>
      </c>
      <c r="F70" s="3" t="s">
        <v>64</v>
      </c>
      <c r="G70" s="3">
        <v>0</v>
      </c>
      <c r="H70" s="16">
        <v>45777</v>
      </c>
      <c r="I70" s="3" t="s">
        <v>65</v>
      </c>
      <c r="J70" s="3" t="s">
        <v>42</v>
      </c>
      <c r="K70" s="17" t="s">
        <v>211</v>
      </c>
      <c r="L70" s="17"/>
      <c r="M70" s="4" t="s">
        <v>68</v>
      </c>
      <c r="N70" s="3">
        <f>COUNTIFS('Profiles Tracker'!E:E,#REF!,'Profiles Tracker'!G:G,"Profile shared with Interviewer")</f>
        <v>0</v>
      </c>
      <c r="O70" s="3">
        <f>COUNTIFS('Profiles Tracker'!E:E,#REF!,'Profiles Tracker'!G:G,"Shortlisted for next round of interview")</f>
        <v>0</v>
      </c>
      <c r="P70" s="3">
        <f>COUNTIFS('Profiles Tracker'!E:E,#REF!,'Profiles Tracker'!G:G,P$1)</f>
        <v>0</v>
      </c>
      <c r="Q70" s="3">
        <f>COUNTIFS('Profiles Tracker'!E:E,#REF!,'Profiles Tracker'!G:G,Q$1)</f>
        <v>0</v>
      </c>
      <c r="R70" s="3">
        <f>COUNTIFS('Profiles Tracker'!E:E,#REF!,'Profiles Tracker'!G:G,R$1)</f>
        <v>0</v>
      </c>
      <c r="S70" s="3">
        <f>COUNTIFS('Profiles Tracker'!E:E,#REF!,'Profiles Tracker'!G:G,"Interview Done",'Profiles Tracker'!O:O,"Rejected")</f>
        <v>0</v>
      </c>
      <c r="T70" s="3">
        <f>COUNTIFS('Profiles Tracker'!E:E,#REF!,'Profiles Tracker'!G:G,T$1)</f>
        <v>0</v>
      </c>
      <c r="U70" s="3">
        <f t="shared" si="17"/>
        <v>0</v>
      </c>
      <c r="V70" s="3">
        <f t="shared" si="18"/>
        <v>0</v>
      </c>
      <c r="W70" s="3">
        <f t="shared" si="19"/>
        <v>0</v>
      </c>
      <c r="X70" s="3">
        <f t="shared" si="20"/>
        <v>0</v>
      </c>
      <c r="Y70" s="3">
        <f t="shared" si="21"/>
        <v>0</v>
      </c>
      <c r="Z70" s="3">
        <f t="shared" si="22"/>
        <v>0</v>
      </c>
      <c r="AA70" s="3">
        <f t="shared" si="23"/>
        <v>0</v>
      </c>
      <c r="AB70" s="3">
        <f t="shared" si="24"/>
        <v>0</v>
      </c>
      <c r="AC70" s="16">
        <f t="shared" si="25"/>
        <v>45732</v>
      </c>
      <c r="AD70" s="16">
        <f t="shared" si="26"/>
        <v>45727</v>
      </c>
      <c r="AE70" s="16">
        <f t="shared" si="27"/>
        <v>45720</v>
      </c>
      <c r="AF70" s="18">
        <f t="shared" ca="1" si="28"/>
        <v>-54</v>
      </c>
      <c r="AG70" s="18">
        <f t="shared" ca="1" si="29"/>
        <v>-55</v>
      </c>
      <c r="AH70" s="18">
        <f t="shared" ca="1" si="30"/>
        <v>-56</v>
      </c>
      <c r="AI70" s="53" t="e">
        <f>COUNTIFS('Profiles Tracker'!E:E,#REF!,'Profiles Tracker'!G:G,Q$1,'Profiles Tracker'!#REF!,"Week 14")</f>
        <v>#REF!</v>
      </c>
      <c r="AJ70" s="52" t="e">
        <f>COUNTIFS('Profiles Tracker'!E:E,#REF!,'Profiles Tracker'!G:G,Q$1,'Profiles Tracker'!#REF!,"Week 15")</f>
        <v>#REF!</v>
      </c>
      <c r="AK70" s="52" t="e">
        <f>COUNTIFS('Profiles Tracker'!E:E,#REF!,'Profiles Tracker'!G:G,Q$1,'Profiles Tracker'!#REF!,"Week 16")</f>
        <v>#REF!</v>
      </c>
      <c r="AL70" s="52" t="e">
        <f>COUNTIFS('Profiles Tracker'!E:E,#REF!,'Profiles Tracker'!G:G,Q$1,'Profiles Tracker'!#REF!,"Week 17")</f>
        <v>#REF!</v>
      </c>
      <c r="AM70" s="52" t="e">
        <f>COUNTIFS('Profiles Tracker'!E:E,#REF!,'Profiles Tracker'!G:G,Q$1,'Profiles Tracker'!#REF!,"Week 18")</f>
        <v>#REF!</v>
      </c>
    </row>
    <row r="71" spans="1:39">
      <c r="A71" s="3">
        <f t="shared" si="31"/>
        <v>70</v>
      </c>
      <c r="B71" s="17" t="s">
        <v>38</v>
      </c>
      <c r="C71" s="17" t="s">
        <v>49</v>
      </c>
      <c r="D71" s="17"/>
      <c r="E71" s="5">
        <v>45668</v>
      </c>
      <c r="F71" s="3" t="s">
        <v>69</v>
      </c>
      <c r="G71" s="3">
        <v>0</v>
      </c>
      <c r="H71" s="16">
        <v>45777</v>
      </c>
      <c r="I71" s="3" t="s">
        <v>70</v>
      </c>
      <c r="J71" s="3" t="s">
        <v>42</v>
      </c>
      <c r="K71" s="17" t="s">
        <v>212</v>
      </c>
      <c r="L71" s="17"/>
      <c r="M71" s="4" t="s">
        <v>68</v>
      </c>
      <c r="N71" s="3">
        <f>COUNTIFS('Profiles Tracker'!E:E,#REF!,'Profiles Tracker'!G:G,"Profile shared with Interviewer")</f>
        <v>0</v>
      </c>
      <c r="O71" s="3">
        <f>COUNTIFS('Profiles Tracker'!E:E,#REF!,'Profiles Tracker'!G:G,"Shortlisted for next round of interview")</f>
        <v>0</v>
      </c>
      <c r="P71" s="3">
        <f>COUNTIFS('Profiles Tracker'!E:E,#REF!,'Profiles Tracker'!G:G,P$1)</f>
        <v>0</v>
      </c>
      <c r="Q71" s="3">
        <f>COUNTIFS('Profiles Tracker'!E:E,#REF!,'Profiles Tracker'!G:G,Q$1)</f>
        <v>0</v>
      </c>
      <c r="R71" s="3">
        <f>COUNTIFS('Profiles Tracker'!E:E,#REF!,'Profiles Tracker'!G:G,R$1)</f>
        <v>0</v>
      </c>
      <c r="S71" s="3">
        <f>COUNTIFS('Profiles Tracker'!E:E,#REF!,'Profiles Tracker'!G:G,"Interview Done",'Profiles Tracker'!O:O,"Rejected")</f>
        <v>0</v>
      </c>
      <c r="T71" s="3">
        <f>COUNTIFS('Profiles Tracker'!E:E,#REF!,'Profiles Tracker'!G:G,T$1)</f>
        <v>0</v>
      </c>
      <c r="U71" s="3">
        <f t="shared" si="17"/>
        <v>0</v>
      </c>
      <c r="V71" s="3">
        <f t="shared" si="18"/>
        <v>0</v>
      </c>
      <c r="W71" s="3">
        <f t="shared" si="19"/>
        <v>0</v>
      </c>
      <c r="X71" s="3">
        <f t="shared" si="20"/>
        <v>0</v>
      </c>
      <c r="Y71" s="3">
        <f t="shared" si="21"/>
        <v>0</v>
      </c>
      <c r="Z71" s="3">
        <f t="shared" si="22"/>
        <v>0</v>
      </c>
      <c r="AA71" s="3">
        <f t="shared" si="23"/>
        <v>0</v>
      </c>
      <c r="AB71" s="3">
        <f t="shared" si="24"/>
        <v>0</v>
      </c>
      <c r="AC71" s="16">
        <f t="shared" si="25"/>
        <v>45732</v>
      </c>
      <c r="AD71" s="16">
        <f t="shared" si="26"/>
        <v>45727</v>
      </c>
      <c r="AE71" s="16">
        <f t="shared" si="27"/>
        <v>45720</v>
      </c>
      <c r="AF71" s="18">
        <f t="shared" ca="1" si="28"/>
        <v>-54</v>
      </c>
      <c r="AG71" s="18">
        <f t="shared" ca="1" si="29"/>
        <v>-55</v>
      </c>
      <c r="AH71" s="18">
        <f t="shared" ca="1" si="30"/>
        <v>-56</v>
      </c>
      <c r="AI71" s="53" t="e">
        <f>COUNTIFS('Profiles Tracker'!E:E,#REF!,'Profiles Tracker'!G:G,Q$1,'Profiles Tracker'!#REF!,"Week 14")</f>
        <v>#REF!</v>
      </c>
      <c r="AJ71" s="52" t="e">
        <f>COUNTIFS('Profiles Tracker'!E:E,#REF!,'Profiles Tracker'!G:G,Q$1,'Profiles Tracker'!#REF!,"Week 15")</f>
        <v>#REF!</v>
      </c>
      <c r="AK71" s="52" t="e">
        <f>COUNTIFS('Profiles Tracker'!E:E,#REF!,'Profiles Tracker'!G:G,Q$1,'Profiles Tracker'!#REF!,"Week 16")</f>
        <v>#REF!</v>
      </c>
      <c r="AL71" s="52" t="e">
        <f>COUNTIFS('Profiles Tracker'!E:E,#REF!,'Profiles Tracker'!G:G,Q$1,'Profiles Tracker'!#REF!,"Week 17")</f>
        <v>#REF!</v>
      </c>
      <c r="AM71" s="52" t="e">
        <f>COUNTIFS('Profiles Tracker'!E:E,#REF!,'Profiles Tracker'!G:G,Q$1,'Profiles Tracker'!#REF!,"Week 18")</f>
        <v>#REF!</v>
      </c>
    </row>
    <row r="72" spans="1:39">
      <c r="A72" s="3">
        <f t="shared" si="31"/>
        <v>71</v>
      </c>
      <c r="B72" s="17" t="s">
        <v>38</v>
      </c>
      <c r="C72" s="17" t="s">
        <v>53</v>
      </c>
      <c r="D72" s="17"/>
      <c r="E72" s="5">
        <v>45668</v>
      </c>
      <c r="F72" s="3" t="s">
        <v>73</v>
      </c>
      <c r="G72" s="3"/>
      <c r="H72" s="16">
        <v>45777</v>
      </c>
      <c r="I72" s="2" t="s">
        <v>77</v>
      </c>
      <c r="J72" s="3" t="s">
        <v>42</v>
      </c>
      <c r="K72" s="17" t="s">
        <v>213</v>
      </c>
      <c r="L72" s="17"/>
      <c r="M72" s="4" t="s">
        <v>68</v>
      </c>
      <c r="N72" s="3">
        <f>COUNTIFS('Profiles Tracker'!E:E,#REF!,'Profiles Tracker'!G:G,"Profile shared with Interviewer")</f>
        <v>0</v>
      </c>
      <c r="O72" s="3">
        <f>COUNTIFS('Profiles Tracker'!E:E,#REF!,'Profiles Tracker'!G:G,"Shortlisted for next round of interview")</f>
        <v>0</v>
      </c>
      <c r="P72" s="3">
        <f>COUNTIFS('Profiles Tracker'!E:E,#REF!,'Profiles Tracker'!G:G,P$1)</f>
        <v>0</v>
      </c>
      <c r="Q72" s="3">
        <f>COUNTIFS('Profiles Tracker'!E:E,#REF!,'Profiles Tracker'!G:G,Q$1)</f>
        <v>0</v>
      </c>
      <c r="R72" s="3">
        <f>COUNTIFS('Profiles Tracker'!E:E,#REF!,'Profiles Tracker'!G:G,R$1)</f>
        <v>0</v>
      </c>
      <c r="S72" s="3">
        <f>COUNTIFS('Profiles Tracker'!E:E,#REF!,'Profiles Tracker'!G:G,"Interview Done",'Profiles Tracker'!O:O,"Rejected")</f>
        <v>0</v>
      </c>
      <c r="T72" s="3">
        <f>COUNTIFS('Profiles Tracker'!E:E,#REF!,'Profiles Tracker'!G:G,T$1)</f>
        <v>0</v>
      </c>
      <c r="U72" s="3">
        <f t="shared" ref="U72:U103" si="32">N72+P72+Q72+R72+S72+T72</f>
        <v>0</v>
      </c>
      <c r="V72" s="3">
        <f t="shared" ref="V72:V103" si="33">IF((G72-R72-Q72)&lt;1,0,G72-R72-Q72)</f>
        <v>0</v>
      </c>
      <c r="W72" s="3">
        <f t="shared" ref="W72:W103" si="34">FLOOR(G72,1)</f>
        <v>0</v>
      </c>
      <c r="X72" s="3">
        <f t="shared" ref="X72:X103" si="35">FLOOR(W72,1)</f>
        <v>0</v>
      </c>
      <c r="Y72" s="3">
        <f t="shared" ref="Y72:Y103" si="36">X72*3</f>
        <v>0</v>
      </c>
      <c r="Z72" s="3">
        <f t="shared" ref="Z72:Z103" si="37">IF(W72-SUM(Q72:R72)&lt;1,0,W72-SUM(Q72:R72))</f>
        <v>0</v>
      </c>
      <c r="AA72" s="3">
        <f t="shared" ref="AA72:AA103" si="38">IF(X72-SUM(P72:R72)&lt;1,0,X72-SUM(P72:R72))</f>
        <v>0</v>
      </c>
      <c r="AB72" s="3">
        <f t="shared" ref="AB72:AB103" si="39">IF(AA72*3-N72&lt;1,0,AA72*3-N72)</f>
        <v>0</v>
      </c>
      <c r="AC72" s="16">
        <f t="shared" ref="AC72:AC103" si="40">IF(M72="APM Below",H72-45,IF(M72="APM &amp; Above", H72-60,H72-90))</f>
        <v>45732</v>
      </c>
      <c r="AD72" s="16">
        <f t="shared" ref="AD72:AD103" si="41">IFERROR(AC72-5,"NA")</f>
        <v>45727</v>
      </c>
      <c r="AE72" s="16">
        <f t="shared" ref="AE72:AE103" si="42">IFERROR(AD72-7,"NA")</f>
        <v>45720</v>
      </c>
      <c r="AF72" s="18">
        <f t="shared" ref="AF72:AF103" ca="1" si="43">CEILING((AC72-TODAY())/7,1)</f>
        <v>-54</v>
      </c>
      <c r="AG72" s="18">
        <f t="shared" ref="AG72:AG103" ca="1" si="44">CEILING((AD72-TODAY())/7,1)</f>
        <v>-55</v>
      </c>
      <c r="AH72" s="18">
        <f t="shared" ref="AH72:AH103" ca="1" si="45">CEILING((AE72-TODAY())/7,1)</f>
        <v>-56</v>
      </c>
      <c r="AI72" s="53" t="e">
        <f>COUNTIFS('Profiles Tracker'!E:E,#REF!,'Profiles Tracker'!G:G,Q$1,'Profiles Tracker'!#REF!,"Week 14")</f>
        <v>#REF!</v>
      </c>
      <c r="AJ72" s="52" t="e">
        <f>COUNTIFS('Profiles Tracker'!E:E,#REF!,'Profiles Tracker'!G:G,Q$1,'Profiles Tracker'!#REF!,"Week 15")</f>
        <v>#REF!</v>
      </c>
      <c r="AK72" s="52" t="e">
        <f>COUNTIFS('Profiles Tracker'!E:E,#REF!,'Profiles Tracker'!G:G,Q$1,'Profiles Tracker'!#REF!,"Week 16")</f>
        <v>#REF!</v>
      </c>
      <c r="AL72" s="52" t="e">
        <f>COUNTIFS('Profiles Tracker'!E:E,#REF!,'Profiles Tracker'!G:G,Q$1,'Profiles Tracker'!#REF!,"Week 17")</f>
        <v>#REF!</v>
      </c>
      <c r="AM72" s="52" t="e">
        <f>COUNTIFS('Profiles Tracker'!E:E,#REF!,'Profiles Tracker'!G:G,Q$1,'Profiles Tracker'!#REF!,"Week 18")</f>
        <v>#REF!</v>
      </c>
    </row>
    <row r="73" spans="1:39">
      <c r="A73" s="3">
        <f t="shared" si="31"/>
        <v>72</v>
      </c>
      <c r="B73" s="17" t="s">
        <v>38</v>
      </c>
      <c r="C73" s="17" t="s">
        <v>49</v>
      </c>
      <c r="D73" s="17"/>
      <c r="E73" s="5">
        <v>45668</v>
      </c>
      <c r="F73" s="3" t="s">
        <v>76</v>
      </c>
      <c r="G73" s="3"/>
      <c r="H73" s="16">
        <v>45777</v>
      </c>
      <c r="I73" s="3" t="s">
        <v>70</v>
      </c>
      <c r="J73" s="3" t="s">
        <v>42</v>
      </c>
      <c r="K73" s="17" t="s">
        <v>214</v>
      </c>
      <c r="L73" s="17"/>
      <c r="M73" s="4" t="s">
        <v>68</v>
      </c>
      <c r="N73" s="3">
        <f>COUNTIFS('Profiles Tracker'!E:E,#REF!,'Profiles Tracker'!G:G,"Profile shared with Interviewer")</f>
        <v>0</v>
      </c>
      <c r="O73" s="3">
        <f>COUNTIFS('Profiles Tracker'!E:E,#REF!,'Profiles Tracker'!G:G,"Shortlisted for next round of interview")</f>
        <v>0</v>
      </c>
      <c r="P73" s="3">
        <f>COUNTIFS('Profiles Tracker'!E:E,#REF!,'Profiles Tracker'!G:G,P$1)</f>
        <v>0</v>
      </c>
      <c r="Q73" s="3">
        <f>COUNTIFS('Profiles Tracker'!E:E,#REF!,'Profiles Tracker'!G:G,Q$1)</f>
        <v>0</v>
      </c>
      <c r="R73" s="3">
        <f>COUNTIFS('Profiles Tracker'!E:E,#REF!,'Profiles Tracker'!G:G,R$1)</f>
        <v>0</v>
      </c>
      <c r="S73" s="3">
        <f>COUNTIFS('Profiles Tracker'!E:E,#REF!,'Profiles Tracker'!G:G,"Interview Done",'Profiles Tracker'!O:O,"Rejected")</f>
        <v>0</v>
      </c>
      <c r="T73" s="3">
        <f>COUNTIFS('Profiles Tracker'!E:E,#REF!,'Profiles Tracker'!G:G,T$1)</f>
        <v>0</v>
      </c>
      <c r="U73" s="3">
        <f t="shared" si="32"/>
        <v>0</v>
      </c>
      <c r="V73" s="3">
        <f t="shared" si="33"/>
        <v>0</v>
      </c>
      <c r="W73" s="3">
        <f t="shared" si="34"/>
        <v>0</v>
      </c>
      <c r="X73" s="3">
        <f t="shared" si="35"/>
        <v>0</v>
      </c>
      <c r="Y73" s="3">
        <f t="shared" si="36"/>
        <v>0</v>
      </c>
      <c r="Z73" s="3">
        <f t="shared" si="37"/>
        <v>0</v>
      </c>
      <c r="AA73" s="3">
        <f t="shared" si="38"/>
        <v>0</v>
      </c>
      <c r="AB73" s="3">
        <f t="shared" si="39"/>
        <v>0</v>
      </c>
      <c r="AC73" s="16">
        <f t="shared" si="40"/>
        <v>45732</v>
      </c>
      <c r="AD73" s="16">
        <f t="shared" si="41"/>
        <v>45727</v>
      </c>
      <c r="AE73" s="16">
        <f t="shared" si="42"/>
        <v>45720</v>
      </c>
      <c r="AF73" s="18">
        <f t="shared" ca="1" si="43"/>
        <v>-54</v>
      </c>
      <c r="AG73" s="18">
        <f t="shared" ca="1" si="44"/>
        <v>-55</v>
      </c>
      <c r="AH73" s="18">
        <f t="shared" ca="1" si="45"/>
        <v>-56</v>
      </c>
      <c r="AI73" s="53" t="e">
        <f>COUNTIFS('Profiles Tracker'!E:E,#REF!,'Profiles Tracker'!G:G,Q$1,'Profiles Tracker'!#REF!,"Week 14")</f>
        <v>#REF!</v>
      </c>
      <c r="AJ73" s="52" t="e">
        <f>COUNTIFS('Profiles Tracker'!E:E,#REF!,'Profiles Tracker'!G:G,Q$1,'Profiles Tracker'!#REF!,"Week 15")</f>
        <v>#REF!</v>
      </c>
      <c r="AK73" s="52" t="e">
        <f>COUNTIFS('Profiles Tracker'!E:E,#REF!,'Profiles Tracker'!G:G,Q$1,'Profiles Tracker'!#REF!,"Week 16")</f>
        <v>#REF!</v>
      </c>
      <c r="AL73" s="52" t="e">
        <f>COUNTIFS('Profiles Tracker'!E:E,#REF!,'Profiles Tracker'!G:G,Q$1,'Profiles Tracker'!#REF!,"Week 17")</f>
        <v>#REF!</v>
      </c>
      <c r="AM73" s="52" t="e">
        <f>COUNTIFS('Profiles Tracker'!E:E,#REF!,'Profiles Tracker'!G:G,Q$1,'Profiles Tracker'!#REF!,"Week 18")</f>
        <v>#REF!</v>
      </c>
    </row>
    <row r="74" spans="1:39">
      <c r="A74" s="3">
        <f t="shared" si="31"/>
        <v>73</v>
      </c>
      <c r="B74" s="17" t="s">
        <v>38</v>
      </c>
      <c r="C74" s="17" t="s">
        <v>53</v>
      </c>
      <c r="D74" s="17"/>
      <c r="E74" s="5">
        <v>45668</v>
      </c>
      <c r="F74" s="3" t="s">
        <v>80</v>
      </c>
      <c r="G74" s="3"/>
      <c r="H74" s="16">
        <v>45777</v>
      </c>
      <c r="I74" s="3" t="s">
        <v>65</v>
      </c>
      <c r="J74" s="3" t="s">
        <v>94</v>
      </c>
      <c r="K74" s="17" t="s">
        <v>215</v>
      </c>
      <c r="L74" s="17"/>
      <c r="M74" s="4" t="s">
        <v>68</v>
      </c>
      <c r="N74" s="3">
        <f>COUNTIFS('Profiles Tracker'!E:E,#REF!,'Profiles Tracker'!G:G,"Profile shared with Interviewer")</f>
        <v>0</v>
      </c>
      <c r="O74" s="3">
        <f>COUNTIFS('Profiles Tracker'!E:E,#REF!,'Profiles Tracker'!G:G,"Shortlisted for next round of interview")</f>
        <v>0</v>
      </c>
      <c r="P74" s="3">
        <f>COUNTIFS('Profiles Tracker'!E:E,#REF!,'Profiles Tracker'!G:G,P$1)</f>
        <v>0</v>
      </c>
      <c r="Q74" s="3">
        <f>COUNTIFS('Profiles Tracker'!E:E,#REF!,'Profiles Tracker'!G:G,Q$1)</f>
        <v>0</v>
      </c>
      <c r="R74" s="3">
        <f>COUNTIFS('Profiles Tracker'!E:E,#REF!,'Profiles Tracker'!G:G,R$1)</f>
        <v>0</v>
      </c>
      <c r="S74" s="3">
        <f>COUNTIFS('Profiles Tracker'!E:E,#REF!,'Profiles Tracker'!G:G,"Interview Done",'Profiles Tracker'!O:O,"Rejected")</f>
        <v>0</v>
      </c>
      <c r="T74" s="3">
        <f>COUNTIFS('Profiles Tracker'!E:E,#REF!,'Profiles Tracker'!G:G,T$1)</f>
        <v>0</v>
      </c>
      <c r="U74" s="3">
        <f t="shared" si="32"/>
        <v>0</v>
      </c>
      <c r="V74" s="3">
        <f t="shared" si="33"/>
        <v>0</v>
      </c>
      <c r="W74" s="3">
        <f t="shared" si="34"/>
        <v>0</v>
      </c>
      <c r="X74" s="3">
        <f t="shared" si="35"/>
        <v>0</v>
      </c>
      <c r="Y74" s="3">
        <f t="shared" si="36"/>
        <v>0</v>
      </c>
      <c r="Z74" s="3">
        <f t="shared" si="37"/>
        <v>0</v>
      </c>
      <c r="AA74" s="3">
        <f t="shared" si="38"/>
        <v>0</v>
      </c>
      <c r="AB74" s="3">
        <f t="shared" si="39"/>
        <v>0</v>
      </c>
      <c r="AC74" s="16">
        <f t="shared" si="40"/>
        <v>45732</v>
      </c>
      <c r="AD74" s="16">
        <f t="shared" si="41"/>
        <v>45727</v>
      </c>
      <c r="AE74" s="16">
        <f t="shared" si="42"/>
        <v>45720</v>
      </c>
      <c r="AF74" s="18">
        <f t="shared" ca="1" si="43"/>
        <v>-54</v>
      </c>
      <c r="AG74" s="18">
        <f t="shared" ca="1" si="44"/>
        <v>-55</v>
      </c>
      <c r="AH74" s="18">
        <f t="shared" ca="1" si="45"/>
        <v>-56</v>
      </c>
      <c r="AI74" s="53" t="e">
        <f>COUNTIFS('Profiles Tracker'!E:E,#REF!,'Profiles Tracker'!G:G,Q$1,'Profiles Tracker'!#REF!,"Week 14")</f>
        <v>#REF!</v>
      </c>
      <c r="AJ74" s="52" t="e">
        <f>COUNTIFS('Profiles Tracker'!E:E,#REF!,'Profiles Tracker'!G:G,Q$1,'Profiles Tracker'!#REF!,"Week 15")</f>
        <v>#REF!</v>
      </c>
      <c r="AK74" s="52" t="e">
        <f>COUNTIFS('Profiles Tracker'!E:E,#REF!,'Profiles Tracker'!G:G,Q$1,'Profiles Tracker'!#REF!,"Week 16")</f>
        <v>#REF!</v>
      </c>
      <c r="AL74" s="52" t="e">
        <f>COUNTIFS('Profiles Tracker'!E:E,#REF!,'Profiles Tracker'!G:G,Q$1,'Profiles Tracker'!#REF!,"Week 17")</f>
        <v>#REF!</v>
      </c>
      <c r="AM74" s="52" t="e">
        <f>COUNTIFS('Profiles Tracker'!E:E,#REF!,'Profiles Tracker'!G:G,Q$1,'Profiles Tracker'!#REF!,"Week 18")</f>
        <v>#REF!</v>
      </c>
    </row>
    <row r="75" spans="1:39">
      <c r="A75" s="3">
        <f t="shared" si="31"/>
        <v>74</v>
      </c>
      <c r="B75" s="17" t="s">
        <v>38</v>
      </c>
      <c r="C75" s="17" t="s">
        <v>49</v>
      </c>
      <c r="D75" s="17"/>
      <c r="E75" s="5">
        <v>45668</v>
      </c>
      <c r="F75" s="3" t="s">
        <v>83</v>
      </c>
      <c r="G75" s="3"/>
      <c r="H75" s="16">
        <v>45777</v>
      </c>
      <c r="I75" s="3" t="s">
        <v>70</v>
      </c>
      <c r="J75" s="3" t="s">
        <v>42</v>
      </c>
      <c r="K75" s="17" t="s">
        <v>216</v>
      </c>
      <c r="L75" s="17"/>
      <c r="M75" s="4" t="s">
        <v>68</v>
      </c>
      <c r="N75" s="3">
        <f>COUNTIFS('Profiles Tracker'!E:E,#REF!,'Profiles Tracker'!G:G,"Profile shared with Interviewer")</f>
        <v>0</v>
      </c>
      <c r="O75" s="3">
        <f>COUNTIFS('Profiles Tracker'!E:E,#REF!,'Profiles Tracker'!G:G,"Shortlisted for next round of interview")</f>
        <v>0</v>
      </c>
      <c r="P75" s="3">
        <f>COUNTIFS('Profiles Tracker'!E:E,#REF!,'Profiles Tracker'!G:G,P$1)</f>
        <v>0</v>
      </c>
      <c r="Q75" s="3">
        <f>COUNTIFS('Profiles Tracker'!E:E,#REF!,'Profiles Tracker'!G:G,Q$1)</f>
        <v>0</v>
      </c>
      <c r="R75" s="3">
        <f>COUNTIFS('Profiles Tracker'!E:E,#REF!,'Profiles Tracker'!G:G,R$1)</f>
        <v>0</v>
      </c>
      <c r="S75" s="3">
        <f>COUNTIFS('Profiles Tracker'!E:E,#REF!,'Profiles Tracker'!G:G,"Interview Done",'Profiles Tracker'!O:O,"Rejected")</f>
        <v>0</v>
      </c>
      <c r="T75" s="3">
        <f>COUNTIFS('Profiles Tracker'!E:E,#REF!,'Profiles Tracker'!G:G,T$1)</f>
        <v>0</v>
      </c>
      <c r="U75" s="3">
        <f t="shared" si="32"/>
        <v>0</v>
      </c>
      <c r="V75" s="3">
        <f t="shared" si="33"/>
        <v>0</v>
      </c>
      <c r="W75" s="3">
        <f t="shared" si="34"/>
        <v>0</v>
      </c>
      <c r="X75" s="3">
        <f t="shared" si="35"/>
        <v>0</v>
      </c>
      <c r="Y75" s="3">
        <f t="shared" si="36"/>
        <v>0</v>
      </c>
      <c r="Z75" s="3">
        <f t="shared" si="37"/>
        <v>0</v>
      </c>
      <c r="AA75" s="3">
        <f t="shared" si="38"/>
        <v>0</v>
      </c>
      <c r="AB75" s="3">
        <f t="shared" si="39"/>
        <v>0</v>
      </c>
      <c r="AC75" s="16">
        <f t="shared" si="40"/>
        <v>45732</v>
      </c>
      <c r="AD75" s="16">
        <f t="shared" si="41"/>
        <v>45727</v>
      </c>
      <c r="AE75" s="16">
        <f t="shared" si="42"/>
        <v>45720</v>
      </c>
      <c r="AF75" s="18">
        <f t="shared" ca="1" si="43"/>
        <v>-54</v>
      </c>
      <c r="AG75" s="18">
        <f t="shared" ca="1" si="44"/>
        <v>-55</v>
      </c>
      <c r="AH75" s="18">
        <f t="shared" ca="1" si="45"/>
        <v>-56</v>
      </c>
      <c r="AI75" s="53" t="e">
        <f>COUNTIFS('Profiles Tracker'!E:E,#REF!,'Profiles Tracker'!G:G,Q$1,'Profiles Tracker'!#REF!,"Week 14")</f>
        <v>#REF!</v>
      </c>
      <c r="AJ75" s="52" t="e">
        <f>COUNTIFS('Profiles Tracker'!E:E,#REF!,'Profiles Tracker'!G:G,Q$1,'Profiles Tracker'!#REF!,"Week 15")</f>
        <v>#REF!</v>
      </c>
      <c r="AK75" s="52" t="e">
        <f>COUNTIFS('Profiles Tracker'!E:E,#REF!,'Profiles Tracker'!G:G,Q$1,'Profiles Tracker'!#REF!,"Week 16")</f>
        <v>#REF!</v>
      </c>
      <c r="AL75" s="52" t="e">
        <f>COUNTIFS('Profiles Tracker'!E:E,#REF!,'Profiles Tracker'!G:G,Q$1,'Profiles Tracker'!#REF!,"Week 17")</f>
        <v>#REF!</v>
      </c>
      <c r="AM75" s="52" t="e">
        <f>COUNTIFS('Profiles Tracker'!E:E,#REF!,'Profiles Tracker'!G:G,Q$1,'Profiles Tracker'!#REF!,"Week 18")</f>
        <v>#REF!</v>
      </c>
    </row>
    <row r="76" spans="1:39">
      <c r="A76" s="3">
        <f t="shared" si="31"/>
        <v>75</v>
      </c>
      <c r="B76" s="17" t="s">
        <v>38</v>
      </c>
      <c r="C76" s="17"/>
      <c r="D76" s="17"/>
      <c r="E76" s="5">
        <v>45668</v>
      </c>
      <c r="F76" s="3" t="s">
        <v>86</v>
      </c>
      <c r="G76" s="3"/>
      <c r="H76" s="16">
        <v>45777</v>
      </c>
      <c r="I76" s="3" t="s">
        <v>87</v>
      </c>
      <c r="J76" s="3" t="s">
        <v>88</v>
      </c>
      <c r="K76" s="17" t="s">
        <v>217</v>
      </c>
      <c r="L76" s="17"/>
      <c r="M76" s="4" t="s">
        <v>68</v>
      </c>
      <c r="N76" s="3">
        <f>COUNTIFS('Profiles Tracker'!E:E,#REF!,'Profiles Tracker'!G:G,"Profile shared with Interviewer")</f>
        <v>0</v>
      </c>
      <c r="O76" s="3">
        <f>COUNTIFS('Profiles Tracker'!E:E,#REF!,'Profiles Tracker'!G:G,"Shortlisted for next round of interview")</f>
        <v>0</v>
      </c>
      <c r="P76" s="3">
        <f>COUNTIFS('Profiles Tracker'!E:E,#REF!,'Profiles Tracker'!G:G,P$1)</f>
        <v>0</v>
      </c>
      <c r="Q76" s="3">
        <f>COUNTIFS('Profiles Tracker'!E:E,#REF!,'Profiles Tracker'!G:G,Q$1)</f>
        <v>0</v>
      </c>
      <c r="R76" s="3">
        <f>COUNTIFS('Profiles Tracker'!E:E,#REF!,'Profiles Tracker'!G:G,R$1)</f>
        <v>0</v>
      </c>
      <c r="S76" s="3">
        <f>COUNTIFS('Profiles Tracker'!E:E,#REF!,'Profiles Tracker'!G:G,"Interview Done",'Profiles Tracker'!O:O,"Rejected")</f>
        <v>0</v>
      </c>
      <c r="T76" s="3">
        <f>COUNTIFS('Profiles Tracker'!E:E,#REF!,'Profiles Tracker'!G:G,T$1)</f>
        <v>0</v>
      </c>
      <c r="U76" s="3">
        <f t="shared" si="32"/>
        <v>0</v>
      </c>
      <c r="V76" s="3">
        <f t="shared" si="33"/>
        <v>0</v>
      </c>
      <c r="W76" s="3">
        <f t="shared" si="34"/>
        <v>0</v>
      </c>
      <c r="X76" s="3">
        <f t="shared" si="35"/>
        <v>0</v>
      </c>
      <c r="Y76" s="3">
        <f t="shared" si="36"/>
        <v>0</v>
      </c>
      <c r="Z76" s="3">
        <f t="shared" si="37"/>
        <v>0</v>
      </c>
      <c r="AA76" s="3">
        <f t="shared" si="38"/>
        <v>0</v>
      </c>
      <c r="AB76" s="3">
        <f t="shared" si="39"/>
        <v>0</v>
      </c>
      <c r="AC76" s="16">
        <f t="shared" si="40"/>
        <v>45732</v>
      </c>
      <c r="AD76" s="16">
        <f t="shared" si="41"/>
        <v>45727</v>
      </c>
      <c r="AE76" s="16">
        <f t="shared" si="42"/>
        <v>45720</v>
      </c>
      <c r="AF76" s="18">
        <f t="shared" ca="1" si="43"/>
        <v>-54</v>
      </c>
      <c r="AG76" s="18">
        <f t="shared" ca="1" si="44"/>
        <v>-55</v>
      </c>
      <c r="AH76" s="18">
        <f t="shared" ca="1" si="45"/>
        <v>-56</v>
      </c>
      <c r="AI76" s="53" t="e">
        <f>COUNTIFS('Profiles Tracker'!E:E,#REF!,'Profiles Tracker'!G:G,Q$1,'Profiles Tracker'!#REF!,"Week 14")</f>
        <v>#REF!</v>
      </c>
      <c r="AJ76" s="52" t="e">
        <f>COUNTIFS('Profiles Tracker'!E:E,#REF!,'Profiles Tracker'!G:G,Q$1,'Profiles Tracker'!#REF!,"Week 15")</f>
        <v>#REF!</v>
      </c>
      <c r="AK76" s="52" t="e">
        <f>COUNTIFS('Profiles Tracker'!E:E,#REF!,'Profiles Tracker'!G:G,Q$1,'Profiles Tracker'!#REF!,"Week 16")</f>
        <v>#REF!</v>
      </c>
      <c r="AL76" s="52" t="e">
        <f>COUNTIFS('Profiles Tracker'!E:E,#REF!,'Profiles Tracker'!G:G,Q$1,'Profiles Tracker'!#REF!,"Week 17")</f>
        <v>#REF!</v>
      </c>
      <c r="AM76" s="52" t="e">
        <f>COUNTIFS('Profiles Tracker'!E:E,#REF!,'Profiles Tracker'!G:G,Q$1,'Profiles Tracker'!#REF!,"Week 18")</f>
        <v>#REF!</v>
      </c>
    </row>
    <row r="77" spans="1:39">
      <c r="A77" s="3">
        <f t="shared" si="31"/>
        <v>76</v>
      </c>
      <c r="B77" s="17" t="s">
        <v>38</v>
      </c>
      <c r="C77" s="17"/>
      <c r="D77" s="17"/>
      <c r="E77" s="5">
        <v>45668</v>
      </c>
      <c r="F77" s="3" t="s">
        <v>177</v>
      </c>
      <c r="G77" s="3">
        <v>6</v>
      </c>
      <c r="H77" s="16">
        <v>45777</v>
      </c>
      <c r="I77" s="3" t="s">
        <v>70</v>
      </c>
      <c r="J77" s="3" t="s">
        <v>42</v>
      </c>
      <c r="K77" s="17" t="s">
        <v>218</v>
      </c>
      <c r="L77" s="17"/>
      <c r="M77" s="4" t="s">
        <v>68</v>
      </c>
      <c r="N77" s="3">
        <f>COUNTIFS('Profiles Tracker'!E:E,#REF!,'Profiles Tracker'!G:G,"Profile shared with Interviewer")</f>
        <v>0</v>
      </c>
      <c r="O77" s="3">
        <f>COUNTIFS('Profiles Tracker'!E:E,#REF!,'Profiles Tracker'!G:G,"Shortlisted for next round of interview")</f>
        <v>0</v>
      </c>
      <c r="P77" s="3">
        <f>COUNTIFS('Profiles Tracker'!E:E,#REF!,'Profiles Tracker'!G:G,P$1)</f>
        <v>0</v>
      </c>
      <c r="Q77" s="3">
        <f>COUNTIFS('Profiles Tracker'!E:E,#REF!,'Profiles Tracker'!G:G,Q$1)</f>
        <v>0</v>
      </c>
      <c r="R77" s="3">
        <f>COUNTIFS('Profiles Tracker'!E:E,#REF!,'Profiles Tracker'!G:G,R$1)</f>
        <v>0</v>
      </c>
      <c r="S77" s="3">
        <f>COUNTIFS('Profiles Tracker'!E:E,#REF!,'Profiles Tracker'!G:G,"Interview Done",'Profiles Tracker'!O:O,"Rejected")</f>
        <v>0</v>
      </c>
      <c r="T77" s="3">
        <f>COUNTIFS('Profiles Tracker'!E:E,#REF!,'Profiles Tracker'!G:G,T$1)</f>
        <v>0</v>
      </c>
      <c r="U77" s="3">
        <f t="shared" si="32"/>
        <v>0</v>
      </c>
      <c r="V77" s="3">
        <f t="shared" si="33"/>
        <v>6</v>
      </c>
      <c r="W77" s="3">
        <f t="shared" si="34"/>
        <v>6</v>
      </c>
      <c r="X77" s="3">
        <f t="shared" si="35"/>
        <v>6</v>
      </c>
      <c r="Y77" s="3">
        <f t="shared" si="36"/>
        <v>18</v>
      </c>
      <c r="Z77" s="3">
        <f t="shared" si="37"/>
        <v>6</v>
      </c>
      <c r="AA77" s="3">
        <f t="shared" si="38"/>
        <v>6</v>
      </c>
      <c r="AB77" s="3">
        <f t="shared" si="39"/>
        <v>18</v>
      </c>
      <c r="AC77" s="16">
        <f t="shared" si="40"/>
        <v>45732</v>
      </c>
      <c r="AD77" s="16">
        <f t="shared" si="41"/>
        <v>45727</v>
      </c>
      <c r="AE77" s="16">
        <f t="shared" si="42"/>
        <v>45720</v>
      </c>
      <c r="AF77" s="18">
        <f t="shared" ca="1" si="43"/>
        <v>-54</v>
      </c>
      <c r="AG77" s="18">
        <f t="shared" ca="1" si="44"/>
        <v>-55</v>
      </c>
      <c r="AH77" s="18">
        <f t="shared" ca="1" si="45"/>
        <v>-56</v>
      </c>
      <c r="AI77" s="53" t="e">
        <f>COUNTIFS('Profiles Tracker'!E:E,#REF!,'Profiles Tracker'!G:G,Q$1,'Profiles Tracker'!#REF!,"Week 14")</f>
        <v>#REF!</v>
      </c>
      <c r="AJ77" s="52" t="e">
        <f>COUNTIFS('Profiles Tracker'!E:E,#REF!,'Profiles Tracker'!G:G,Q$1,'Profiles Tracker'!#REF!,"Week 15")</f>
        <v>#REF!</v>
      </c>
      <c r="AK77" s="52" t="e">
        <f>COUNTIFS('Profiles Tracker'!E:E,#REF!,'Profiles Tracker'!G:G,Q$1,'Profiles Tracker'!#REF!,"Week 16")</f>
        <v>#REF!</v>
      </c>
      <c r="AL77" s="52" t="e">
        <f>COUNTIFS('Profiles Tracker'!E:E,#REF!,'Profiles Tracker'!G:G,Q$1,'Profiles Tracker'!#REF!,"Week 17")</f>
        <v>#REF!</v>
      </c>
      <c r="AM77" s="52" t="e">
        <f>COUNTIFS('Profiles Tracker'!E:E,#REF!,'Profiles Tracker'!G:G,Q$1,'Profiles Tracker'!#REF!,"Week 18")</f>
        <v>#REF!</v>
      </c>
    </row>
    <row r="78" spans="1:39">
      <c r="A78" s="3">
        <f t="shared" si="31"/>
        <v>77</v>
      </c>
      <c r="B78" s="17" t="s">
        <v>38</v>
      </c>
      <c r="C78" s="17" t="s">
        <v>100</v>
      </c>
      <c r="D78" s="17"/>
      <c r="E78" s="5">
        <v>45668</v>
      </c>
      <c r="F78" s="3" t="s">
        <v>101</v>
      </c>
      <c r="G78" s="3"/>
      <c r="H78" s="16">
        <v>45777</v>
      </c>
      <c r="I78" s="22" t="s">
        <v>190</v>
      </c>
      <c r="J78" s="3" t="s">
        <v>42</v>
      </c>
      <c r="K78" s="17" t="s">
        <v>219</v>
      </c>
      <c r="L78" s="17"/>
      <c r="M78" s="4" t="s">
        <v>45</v>
      </c>
      <c r="N78" s="3">
        <f>COUNTIFS('Profiles Tracker'!E:E,#REF!,'Profiles Tracker'!G:G,"Profile shared with Interviewer")</f>
        <v>0</v>
      </c>
      <c r="O78" s="3">
        <f>COUNTIFS('Profiles Tracker'!E:E,#REF!,'Profiles Tracker'!G:G,"Shortlisted for next round of interview")</f>
        <v>0</v>
      </c>
      <c r="P78" s="3">
        <f>COUNTIFS('Profiles Tracker'!E:E,#REF!,'Profiles Tracker'!G:G,P$1)</f>
        <v>0</v>
      </c>
      <c r="Q78" s="3">
        <f>COUNTIFS('Profiles Tracker'!E:E,#REF!,'Profiles Tracker'!G:G,Q$1)</f>
        <v>0</v>
      </c>
      <c r="R78" s="3">
        <f>COUNTIFS('Profiles Tracker'!E:E,#REF!,'Profiles Tracker'!G:G,R$1)</f>
        <v>0</v>
      </c>
      <c r="S78" s="3">
        <f>COUNTIFS('Profiles Tracker'!E:E,#REF!,'Profiles Tracker'!G:G,"Interview Done",'Profiles Tracker'!O:O,"Rejected")</f>
        <v>0</v>
      </c>
      <c r="T78" s="3">
        <f>COUNTIFS('Profiles Tracker'!E:E,#REF!,'Profiles Tracker'!G:G,T$1)</f>
        <v>0</v>
      </c>
      <c r="U78" s="3">
        <f t="shared" si="32"/>
        <v>0</v>
      </c>
      <c r="V78" s="3">
        <f t="shared" si="33"/>
        <v>0</v>
      </c>
      <c r="W78" s="3">
        <f t="shared" si="34"/>
        <v>0</v>
      </c>
      <c r="X78" s="3">
        <f t="shared" si="35"/>
        <v>0</v>
      </c>
      <c r="Y78" s="3">
        <f t="shared" si="36"/>
        <v>0</v>
      </c>
      <c r="Z78" s="3">
        <f t="shared" si="37"/>
        <v>0</v>
      </c>
      <c r="AA78" s="3">
        <f t="shared" si="38"/>
        <v>0</v>
      </c>
      <c r="AB78" s="3">
        <f t="shared" si="39"/>
        <v>0</v>
      </c>
      <c r="AC78" s="16">
        <f t="shared" si="40"/>
        <v>45717</v>
      </c>
      <c r="AD78" s="16">
        <f t="shared" si="41"/>
        <v>45712</v>
      </c>
      <c r="AE78" s="16">
        <f t="shared" si="42"/>
        <v>45705</v>
      </c>
      <c r="AF78" s="18">
        <f t="shared" ca="1" si="43"/>
        <v>-56</v>
      </c>
      <c r="AG78" s="18">
        <f t="shared" ca="1" si="44"/>
        <v>-57</v>
      </c>
      <c r="AH78" s="18">
        <f t="shared" ca="1" si="45"/>
        <v>-58</v>
      </c>
      <c r="AI78" s="53" t="e">
        <f>COUNTIFS('Profiles Tracker'!E:E,#REF!,'Profiles Tracker'!G:G,Q$1,'Profiles Tracker'!#REF!,"Week 14")</f>
        <v>#REF!</v>
      </c>
      <c r="AJ78" s="52" t="e">
        <f>COUNTIFS('Profiles Tracker'!E:E,#REF!,'Profiles Tracker'!G:G,Q$1,'Profiles Tracker'!#REF!,"Week 15")</f>
        <v>#REF!</v>
      </c>
      <c r="AK78" s="52" t="e">
        <f>COUNTIFS('Profiles Tracker'!E:E,#REF!,'Profiles Tracker'!G:G,Q$1,'Profiles Tracker'!#REF!,"Week 16")</f>
        <v>#REF!</v>
      </c>
      <c r="AL78" s="52" t="e">
        <f>COUNTIFS('Profiles Tracker'!E:E,#REF!,'Profiles Tracker'!G:G,Q$1,'Profiles Tracker'!#REF!,"Week 17")</f>
        <v>#REF!</v>
      </c>
      <c r="AM78" s="52" t="e">
        <f>COUNTIFS('Profiles Tracker'!E:E,#REF!,'Profiles Tracker'!G:G,Q$1,'Profiles Tracker'!#REF!,"Week 18")</f>
        <v>#REF!</v>
      </c>
    </row>
    <row r="79" spans="1:39">
      <c r="A79" s="3">
        <f t="shared" si="31"/>
        <v>78</v>
      </c>
      <c r="B79" s="17" t="s">
        <v>38</v>
      </c>
      <c r="C79" s="17" t="s">
        <v>100</v>
      </c>
      <c r="D79" s="17"/>
      <c r="E79" s="5">
        <v>45668</v>
      </c>
      <c r="F79" s="3" t="s">
        <v>105</v>
      </c>
      <c r="G79" s="3"/>
      <c r="H79" s="16">
        <v>45777</v>
      </c>
      <c r="I79" s="22" t="s">
        <v>102</v>
      </c>
      <c r="J79" s="3" t="s">
        <v>42</v>
      </c>
      <c r="K79" s="17" t="s">
        <v>220</v>
      </c>
      <c r="L79" s="17"/>
      <c r="M79" s="4" t="s">
        <v>68</v>
      </c>
      <c r="N79" s="3">
        <f>COUNTIFS('Profiles Tracker'!E:E,#REF!,'Profiles Tracker'!G:G,"Profile shared with Interviewer")</f>
        <v>0</v>
      </c>
      <c r="O79" s="3">
        <f>COUNTIFS('Profiles Tracker'!E:E,#REF!,'Profiles Tracker'!G:G,"Shortlisted for next round of interview")</f>
        <v>0</v>
      </c>
      <c r="P79" s="3">
        <f>COUNTIFS('Profiles Tracker'!E:E,#REF!,'Profiles Tracker'!G:G,P$1)</f>
        <v>0</v>
      </c>
      <c r="Q79" s="3">
        <f>COUNTIFS('Profiles Tracker'!E:E,#REF!,'Profiles Tracker'!G:G,Q$1)</f>
        <v>0</v>
      </c>
      <c r="R79" s="3">
        <f>COUNTIFS('Profiles Tracker'!E:E,#REF!,'Profiles Tracker'!G:G,R$1)</f>
        <v>0</v>
      </c>
      <c r="S79" s="3">
        <f>COUNTIFS('Profiles Tracker'!E:E,#REF!,'Profiles Tracker'!G:G,"Interview Done",'Profiles Tracker'!O:O,"Rejected")</f>
        <v>0</v>
      </c>
      <c r="T79" s="3">
        <f>COUNTIFS('Profiles Tracker'!E:E,#REF!,'Profiles Tracker'!G:G,T$1)</f>
        <v>0</v>
      </c>
      <c r="U79" s="3">
        <f t="shared" si="32"/>
        <v>0</v>
      </c>
      <c r="V79" s="3">
        <f t="shared" si="33"/>
        <v>0</v>
      </c>
      <c r="W79" s="3">
        <f t="shared" si="34"/>
        <v>0</v>
      </c>
      <c r="X79" s="3">
        <f t="shared" si="35"/>
        <v>0</v>
      </c>
      <c r="Y79" s="3">
        <f t="shared" si="36"/>
        <v>0</v>
      </c>
      <c r="Z79" s="3">
        <f t="shared" si="37"/>
        <v>0</v>
      </c>
      <c r="AA79" s="3">
        <f t="shared" si="38"/>
        <v>0</v>
      </c>
      <c r="AB79" s="3">
        <f t="shared" si="39"/>
        <v>0</v>
      </c>
      <c r="AC79" s="16">
        <f t="shared" si="40"/>
        <v>45732</v>
      </c>
      <c r="AD79" s="16">
        <f t="shared" si="41"/>
        <v>45727</v>
      </c>
      <c r="AE79" s="16">
        <f t="shared" si="42"/>
        <v>45720</v>
      </c>
      <c r="AF79" s="18">
        <f t="shared" ca="1" si="43"/>
        <v>-54</v>
      </c>
      <c r="AG79" s="18">
        <f t="shared" ca="1" si="44"/>
        <v>-55</v>
      </c>
      <c r="AH79" s="18">
        <f t="shared" ca="1" si="45"/>
        <v>-56</v>
      </c>
      <c r="AI79" s="53" t="e">
        <f>COUNTIFS('Profiles Tracker'!E:E,#REF!,'Profiles Tracker'!G:G,Q$1,'Profiles Tracker'!#REF!,"Week 14")</f>
        <v>#REF!</v>
      </c>
      <c r="AJ79" s="52" t="e">
        <f>COUNTIFS('Profiles Tracker'!E:E,#REF!,'Profiles Tracker'!G:G,Q$1,'Profiles Tracker'!#REF!,"Week 15")</f>
        <v>#REF!</v>
      </c>
      <c r="AK79" s="52" t="e">
        <f>COUNTIFS('Profiles Tracker'!E:E,#REF!,'Profiles Tracker'!G:G,Q$1,'Profiles Tracker'!#REF!,"Week 16")</f>
        <v>#REF!</v>
      </c>
      <c r="AL79" s="52" t="e">
        <f>COUNTIFS('Profiles Tracker'!E:E,#REF!,'Profiles Tracker'!G:G,Q$1,'Profiles Tracker'!#REF!,"Week 17")</f>
        <v>#REF!</v>
      </c>
      <c r="AM79" s="52" t="e">
        <f>COUNTIFS('Profiles Tracker'!E:E,#REF!,'Profiles Tracker'!G:G,Q$1,'Profiles Tracker'!#REF!,"Week 18")</f>
        <v>#REF!</v>
      </c>
    </row>
    <row r="80" spans="1:39">
      <c r="A80" s="3">
        <f t="shared" si="31"/>
        <v>79</v>
      </c>
      <c r="B80" s="17" t="s">
        <v>38</v>
      </c>
      <c r="C80" s="17" t="s">
        <v>100</v>
      </c>
      <c r="D80" s="17"/>
      <c r="E80" s="5">
        <v>45668</v>
      </c>
      <c r="F80" s="3" t="s">
        <v>189</v>
      </c>
      <c r="G80" s="3"/>
      <c r="H80" s="16">
        <v>45777</v>
      </c>
      <c r="I80" s="22" t="s">
        <v>190</v>
      </c>
      <c r="J80" s="3" t="s">
        <v>42</v>
      </c>
      <c r="K80" s="17" t="s">
        <v>221</v>
      </c>
      <c r="L80" s="17"/>
      <c r="M80" s="4" t="s">
        <v>68</v>
      </c>
      <c r="N80" s="3">
        <f>COUNTIFS('Profiles Tracker'!E:E,#REF!,'Profiles Tracker'!G:G,"Profile shared with Interviewer")</f>
        <v>0</v>
      </c>
      <c r="O80" s="3">
        <f>COUNTIFS('Profiles Tracker'!E:E,#REF!,'Profiles Tracker'!G:G,"Shortlisted for next round of interview")</f>
        <v>0</v>
      </c>
      <c r="P80" s="3">
        <f>COUNTIFS('Profiles Tracker'!E:E,#REF!,'Profiles Tracker'!G:G,P$1)</f>
        <v>0</v>
      </c>
      <c r="Q80" s="3">
        <f>COUNTIFS('Profiles Tracker'!E:E,#REF!,'Profiles Tracker'!G:G,Q$1)</f>
        <v>0</v>
      </c>
      <c r="R80" s="3">
        <f>COUNTIFS('Profiles Tracker'!E:E,#REF!,'Profiles Tracker'!G:G,R$1)</f>
        <v>0</v>
      </c>
      <c r="S80" s="3">
        <f>COUNTIFS('Profiles Tracker'!E:E,#REF!,'Profiles Tracker'!G:G,"Interview Done",'Profiles Tracker'!O:O,"Rejected")</f>
        <v>0</v>
      </c>
      <c r="T80" s="3">
        <f>COUNTIFS('Profiles Tracker'!E:E,#REF!,'Profiles Tracker'!G:G,T$1)</f>
        <v>0</v>
      </c>
      <c r="U80" s="3">
        <f t="shared" si="32"/>
        <v>0</v>
      </c>
      <c r="V80" s="3">
        <f t="shared" si="33"/>
        <v>0</v>
      </c>
      <c r="W80" s="3">
        <f t="shared" si="34"/>
        <v>0</v>
      </c>
      <c r="X80" s="3">
        <f t="shared" si="35"/>
        <v>0</v>
      </c>
      <c r="Y80" s="3">
        <f t="shared" si="36"/>
        <v>0</v>
      </c>
      <c r="Z80" s="3">
        <f t="shared" si="37"/>
        <v>0</v>
      </c>
      <c r="AA80" s="3">
        <f t="shared" si="38"/>
        <v>0</v>
      </c>
      <c r="AB80" s="3">
        <f t="shared" si="39"/>
        <v>0</v>
      </c>
      <c r="AC80" s="16">
        <f t="shared" si="40"/>
        <v>45732</v>
      </c>
      <c r="AD80" s="16">
        <f t="shared" si="41"/>
        <v>45727</v>
      </c>
      <c r="AE80" s="16">
        <f t="shared" si="42"/>
        <v>45720</v>
      </c>
      <c r="AF80" s="18">
        <f t="shared" ca="1" si="43"/>
        <v>-54</v>
      </c>
      <c r="AG80" s="18">
        <f t="shared" ca="1" si="44"/>
        <v>-55</v>
      </c>
      <c r="AH80" s="18">
        <f t="shared" ca="1" si="45"/>
        <v>-56</v>
      </c>
      <c r="AI80" s="53" t="e">
        <f>COUNTIFS('Profiles Tracker'!E:E,#REF!,'Profiles Tracker'!G:G,Q$1,'Profiles Tracker'!#REF!,"Week 14")</f>
        <v>#REF!</v>
      </c>
      <c r="AJ80" s="52" t="e">
        <f>COUNTIFS('Profiles Tracker'!E:E,#REF!,'Profiles Tracker'!G:G,Q$1,'Profiles Tracker'!#REF!,"Week 15")</f>
        <v>#REF!</v>
      </c>
      <c r="AK80" s="52" t="e">
        <f>COUNTIFS('Profiles Tracker'!E:E,#REF!,'Profiles Tracker'!G:G,Q$1,'Profiles Tracker'!#REF!,"Week 16")</f>
        <v>#REF!</v>
      </c>
      <c r="AL80" s="52" t="e">
        <f>COUNTIFS('Profiles Tracker'!E:E,#REF!,'Profiles Tracker'!G:G,Q$1,'Profiles Tracker'!#REF!,"Week 17")</f>
        <v>#REF!</v>
      </c>
      <c r="AM80" s="52" t="e">
        <f>COUNTIFS('Profiles Tracker'!E:E,#REF!,'Profiles Tracker'!G:G,Q$1,'Profiles Tracker'!#REF!,"Week 18")</f>
        <v>#REF!</v>
      </c>
    </row>
    <row r="81" spans="1:39">
      <c r="A81" s="3">
        <f t="shared" si="31"/>
        <v>80</v>
      </c>
      <c r="B81" s="17" t="s">
        <v>38</v>
      </c>
      <c r="C81" s="17" t="s">
        <v>100</v>
      </c>
      <c r="D81" s="17"/>
      <c r="E81" s="5">
        <v>45668</v>
      </c>
      <c r="F81" s="3" t="s">
        <v>111</v>
      </c>
      <c r="G81" s="3"/>
      <c r="H81" s="16">
        <v>45777</v>
      </c>
      <c r="I81" s="22" t="s">
        <v>190</v>
      </c>
      <c r="J81" s="3" t="s">
        <v>42</v>
      </c>
      <c r="K81" s="17" t="s">
        <v>222</v>
      </c>
      <c r="L81" s="17"/>
      <c r="M81" s="4" t="s">
        <v>68</v>
      </c>
      <c r="N81" s="3">
        <f>COUNTIFS('Profiles Tracker'!E:E,#REF!,'Profiles Tracker'!G:G,"Profile shared with Interviewer")</f>
        <v>0</v>
      </c>
      <c r="O81" s="3">
        <f>COUNTIFS('Profiles Tracker'!E:E,#REF!,'Profiles Tracker'!G:G,"Shortlisted for next round of interview")</f>
        <v>0</v>
      </c>
      <c r="P81" s="3">
        <f>COUNTIFS('Profiles Tracker'!E:E,#REF!,'Profiles Tracker'!G:G,P$1)</f>
        <v>0</v>
      </c>
      <c r="Q81" s="3">
        <f>COUNTIFS('Profiles Tracker'!E:E,#REF!,'Profiles Tracker'!G:G,Q$1)</f>
        <v>0</v>
      </c>
      <c r="R81" s="3">
        <f>COUNTIFS('Profiles Tracker'!E:E,#REF!,'Profiles Tracker'!G:G,R$1)</f>
        <v>0</v>
      </c>
      <c r="S81" s="3">
        <f>COUNTIFS('Profiles Tracker'!E:E,#REF!,'Profiles Tracker'!G:G,"Interview Done",'Profiles Tracker'!O:O,"Rejected")</f>
        <v>0</v>
      </c>
      <c r="T81" s="3">
        <f>COUNTIFS('Profiles Tracker'!E:E,#REF!,'Profiles Tracker'!G:G,T$1)</f>
        <v>0</v>
      </c>
      <c r="U81" s="3">
        <f t="shared" si="32"/>
        <v>0</v>
      </c>
      <c r="V81" s="3">
        <f t="shared" si="33"/>
        <v>0</v>
      </c>
      <c r="W81" s="3">
        <f t="shared" si="34"/>
        <v>0</v>
      </c>
      <c r="X81" s="3">
        <f t="shared" si="35"/>
        <v>0</v>
      </c>
      <c r="Y81" s="3">
        <f t="shared" si="36"/>
        <v>0</v>
      </c>
      <c r="Z81" s="3">
        <f t="shared" si="37"/>
        <v>0</v>
      </c>
      <c r="AA81" s="3">
        <f t="shared" si="38"/>
        <v>0</v>
      </c>
      <c r="AB81" s="3">
        <f t="shared" si="39"/>
        <v>0</v>
      </c>
      <c r="AC81" s="16">
        <f t="shared" si="40"/>
        <v>45732</v>
      </c>
      <c r="AD81" s="16">
        <f t="shared" si="41"/>
        <v>45727</v>
      </c>
      <c r="AE81" s="16">
        <f t="shared" si="42"/>
        <v>45720</v>
      </c>
      <c r="AF81" s="18">
        <f t="shared" ca="1" si="43"/>
        <v>-54</v>
      </c>
      <c r="AG81" s="18">
        <f t="shared" ca="1" si="44"/>
        <v>-55</v>
      </c>
      <c r="AH81" s="18">
        <f t="shared" ca="1" si="45"/>
        <v>-56</v>
      </c>
      <c r="AI81" s="53" t="e">
        <f>COUNTIFS('Profiles Tracker'!E:E,#REF!,'Profiles Tracker'!G:G,Q$1,'Profiles Tracker'!#REF!,"Week 14")</f>
        <v>#REF!</v>
      </c>
      <c r="AJ81" s="52" t="e">
        <f>COUNTIFS('Profiles Tracker'!E:E,#REF!,'Profiles Tracker'!G:G,Q$1,'Profiles Tracker'!#REF!,"Week 15")</f>
        <v>#REF!</v>
      </c>
      <c r="AK81" s="52" t="e">
        <f>COUNTIFS('Profiles Tracker'!E:E,#REF!,'Profiles Tracker'!G:G,Q$1,'Profiles Tracker'!#REF!,"Week 16")</f>
        <v>#REF!</v>
      </c>
      <c r="AL81" s="52" t="e">
        <f>COUNTIFS('Profiles Tracker'!E:E,#REF!,'Profiles Tracker'!G:G,Q$1,'Profiles Tracker'!#REF!,"Week 17")</f>
        <v>#REF!</v>
      </c>
      <c r="AM81" s="52" t="e">
        <f>COUNTIFS('Profiles Tracker'!E:E,#REF!,'Profiles Tracker'!G:G,Q$1,'Profiles Tracker'!#REF!,"Week 18")</f>
        <v>#REF!</v>
      </c>
    </row>
    <row r="82" spans="1:39">
      <c r="A82" s="3">
        <f t="shared" si="31"/>
        <v>81</v>
      </c>
      <c r="B82" s="17" t="s">
        <v>38</v>
      </c>
      <c r="C82" s="17" t="s">
        <v>114</v>
      </c>
      <c r="D82" s="17"/>
      <c r="E82" s="5">
        <v>45668</v>
      </c>
      <c r="F82" s="3" t="s">
        <v>122</v>
      </c>
      <c r="G82" s="3"/>
      <c r="H82" s="16">
        <v>45777</v>
      </c>
      <c r="I82" s="3" t="s">
        <v>116</v>
      </c>
      <c r="J82" s="3" t="s">
        <v>88</v>
      </c>
      <c r="K82" s="17" t="s">
        <v>223</v>
      </c>
      <c r="L82" s="17"/>
      <c r="M82" s="4" t="s">
        <v>68</v>
      </c>
      <c r="N82" s="3">
        <f>COUNTIFS('Profiles Tracker'!E:E,#REF!,'Profiles Tracker'!G:G,"Profile shared with Interviewer")</f>
        <v>0</v>
      </c>
      <c r="O82" s="3">
        <f>COUNTIFS('Profiles Tracker'!E:E,#REF!,'Profiles Tracker'!G:G,"Shortlisted for next round of interview")</f>
        <v>0</v>
      </c>
      <c r="P82" s="3">
        <f>COUNTIFS('Profiles Tracker'!E:E,#REF!,'Profiles Tracker'!G:G,P$1)</f>
        <v>0</v>
      </c>
      <c r="Q82" s="3">
        <f>COUNTIFS('Profiles Tracker'!E:E,#REF!,'Profiles Tracker'!G:G,Q$1)</f>
        <v>0</v>
      </c>
      <c r="R82" s="3">
        <f>COUNTIFS('Profiles Tracker'!E:E,#REF!,'Profiles Tracker'!G:G,R$1)</f>
        <v>0</v>
      </c>
      <c r="S82" s="3">
        <f>COUNTIFS('Profiles Tracker'!E:E,#REF!,'Profiles Tracker'!G:G,"Interview Done",'Profiles Tracker'!O:O,"Rejected")</f>
        <v>0</v>
      </c>
      <c r="T82" s="3">
        <f>COUNTIFS('Profiles Tracker'!E:E,#REF!,'Profiles Tracker'!G:G,T$1)</f>
        <v>0</v>
      </c>
      <c r="U82" s="3">
        <f t="shared" si="32"/>
        <v>0</v>
      </c>
      <c r="V82" s="3">
        <f t="shared" si="33"/>
        <v>0</v>
      </c>
      <c r="W82" s="3">
        <f t="shared" si="34"/>
        <v>0</v>
      </c>
      <c r="X82" s="3">
        <f t="shared" si="35"/>
        <v>0</v>
      </c>
      <c r="Y82" s="3">
        <f t="shared" si="36"/>
        <v>0</v>
      </c>
      <c r="Z82" s="3">
        <f t="shared" si="37"/>
        <v>0</v>
      </c>
      <c r="AA82" s="3">
        <f t="shared" si="38"/>
        <v>0</v>
      </c>
      <c r="AB82" s="3">
        <f t="shared" si="39"/>
        <v>0</v>
      </c>
      <c r="AC82" s="16">
        <f t="shared" si="40"/>
        <v>45732</v>
      </c>
      <c r="AD82" s="16">
        <f t="shared" si="41"/>
        <v>45727</v>
      </c>
      <c r="AE82" s="16">
        <f t="shared" si="42"/>
        <v>45720</v>
      </c>
      <c r="AF82" s="18">
        <f t="shared" ca="1" si="43"/>
        <v>-54</v>
      </c>
      <c r="AG82" s="18">
        <f t="shared" ca="1" si="44"/>
        <v>-55</v>
      </c>
      <c r="AH82" s="18">
        <f t="shared" ca="1" si="45"/>
        <v>-56</v>
      </c>
      <c r="AI82" s="53" t="e">
        <f>COUNTIFS('Profiles Tracker'!E:E,#REF!,'Profiles Tracker'!G:G,Q$1,'Profiles Tracker'!#REF!,"Week 14")</f>
        <v>#REF!</v>
      </c>
      <c r="AJ82" s="52" t="e">
        <f>COUNTIFS('Profiles Tracker'!E:E,#REF!,'Profiles Tracker'!G:G,Q$1,'Profiles Tracker'!#REF!,"Week 15")</f>
        <v>#REF!</v>
      </c>
      <c r="AK82" s="52" t="e">
        <f>COUNTIFS('Profiles Tracker'!E:E,#REF!,'Profiles Tracker'!G:G,Q$1,'Profiles Tracker'!#REF!,"Week 16")</f>
        <v>#REF!</v>
      </c>
      <c r="AL82" s="52" t="e">
        <f>COUNTIFS('Profiles Tracker'!E:E,#REF!,'Profiles Tracker'!G:G,Q$1,'Profiles Tracker'!#REF!,"Week 17")</f>
        <v>#REF!</v>
      </c>
      <c r="AM82" s="52" t="e">
        <f>COUNTIFS('Profiles Tracker'!E:E,#REF!,'Profiles Tracker'!G:G,Q$1,'Profiles Tracker'!#REF!,"Week 18")</f>
        <v>#REF!</v>
      </c>
    </row>
    <row r="83" spans="1:39">
      <c r="A83" s="3">
        <f t="shared" si="31"/>
        <v>82</v>
      </c>
      <c r="B83" s="17" t="s">
        <v>38</v>
      </c>
      <c r="C83" s="17" t="s">
        <v>114</v>
      </c>
      <c r="D83" s="17"/>
      <c r="E83" s="5">
        <v>45668</v>
      </c>
      <c r="F83" s="3" t="s">
        <v>125</v>
      </c>
      <c r="G83" s="3"/>
      <c r="H83" s="16">
        <v>45777</v>
      </c>
      <c r="I83" s="3" t="s">
        <v>116</v>
      </c>
      <c r="J83" s="3" t="s">
        <v>88</v>
      </c>
      <c r="K83" s="17" t="s">
        <v>224</v>
      </c>
      <c r="L83" s="17"/>
      <c r="M83" s="4" t="s">
        <v>68</v>
      </c>
      <c r="N83" s="3">
        <f>COUNTIFS('Profiles Tracker'!E:E,#REF!,'Profiles Tracker'!G:G,"Profile shared with Interviewer")</f>
        <v>0</v>
      </c>
      <c r="O83" s="3">
        <f>COUNTIFS('Profiles Tracker'!E:E,#REF!,'Profiles Tracker'!G:G,"Shortlisted for next round of interview")</f>
        <v>0</v>
      </c>
      <c r="P83" s="3">
        <f>COUNTIFS('Profiles Tracker'!E:E,#REF!,'Profiles Tracker'!G:G,P$1)</f>
        <v>0</v>
      </c>
      <c r="Q83" s="3">
        <f>COUNTIFS('Profiles Tracker'!E:E,#REF!,'Profiles Tracker'!G:G,Q$1)</f>
        <v>0</v>
      </c>
      <c r="R83" s="3">
        <f>COUNTIFS('Profiles Tracker'!E:E,#REF!,'Profiles Tracker'!G:G,R$1)</f>
        <v>0</v>
      </c>
      <c r="S83" s="3">
        <f>COUNTIFS('Profiles Tracker'!E:E,#REF!,'Profiles Tracker'!G:G,"Interview Done",'Profiles Tracker'!O:O,"Rejected")</f>
        <v>0</v>
      </c>
      <c r="T83" s="3">
        <f>COUNTIFS('Profiles Tracker'!E:E,#REF!,'Profiles Tracker'!G:G,T$1)</f>
        <v>0</v>
      </c>
      <c r="U83" s="3">
        <f t="shared" si="32"/>
        <v>0</v>
      </c>
      <c r="V83" s="3">
        <f t="shared" si="33"/>
        <v>0</v>
      </c>
      <c r="W83" s="3">
        <f t="shared" si="34"/>
        <v>0</v>
      </c>
      <c r="X83" s="3">
        <f t="shared" si="35"/>
        <v>0</v>
      </c>
      <c r="Y83" s="3">
        <f t="shared" si="36"/>
        <v>0</v>
      </c>
      <c r="Z83" s="3">
        <f t="shared" si="37"/>
        <v>0</v>
      </c>
      <c r="AA83" s="3">
        <f t="shared" si="38"/>
        <v>0</v>
      </c>
      <c r="AB83" s="3">
        <f t="shared" si="39"/>
        <v>0</v>
      </c>
      <c r="AC83" s="16">
        <f t="shared" si="40"/>
        <v>45732</v>
      </c>
      <c r="AD83" s="16">
        <f t="shared" si="41"/>
        <v>45727</v>
      </c>
      <c r="AE83" s="16">
        <f t="shared" si="42"/>
        <v>45720</v>
      </c>
      <c r="AF83" s="18">
        <f t="shared" ca="1" si="43"/>
        <v>-54</v>
      </c>
      <c r="AG83" s="18">
        <f t="shared" ca="1" si="44"/>
        <v>-55</v>
      </c>
      <c r="AH83" s="18">
        <f t="shared" ca="1" si="45"/>
        <v>-56</v>
      </c>
      <c r="AI83" s="53" t="e">
        <f>COUNTIFS('Profiles Tracker'!E:E,#REF!,'Profiles Tracker'!G:G,Q$1,'Profiles Tracker'!#REF!,"Week 14")</f>
        <v>#REF!</v>
      </c>
      <c r="AJ83" s="52" t="e">
        <f>COUNTIFS('Profiles Tracker'!E:E,#REF!,'Profiles Tracker'!G:G,Q$1,'Profiles Tracker'!#REF!,"Week 15")</f>
        <v>#REF!</v>
      </c>
      <c r="AK83" s="52" t="e">
        <f>COUNTIFS('Profiles Tracker'!E:E,#REF!,'Profiles Tracker'!G:G,Q$1,'Profiles Tracker'!#REF!,"Week 16")</f>
        <v>#REF!</v>
      </c>
      <c r="AL83" s="52" t="e">
        <f>COUNTIFS('Profiles Tracker'!E:E,#REF!,'Profiles Tracker'!G:G,Q$1,'Profiles Tracker'!#REF!,"Week 17")</f>
        <v>#REF!</v>
      </c>
      <c r="AM83" s="52" t="e">
        <f>COUNTIFS('Profiles Tracker'!E:E,#REF!,'Profiles Tracker'!G:G,Q$1,'Profiles Tracker'!#REF!,"Week 18")</f>
        <v>#REF!</v>
      </c>
    </row>
    <row r="84" spans="1:39">
      <c r="A84" s="3">
        <f t="shared" si="31"/>
        <v>83</v>
      </c>
      <c r="B84" s="17" t="s">
        <v>38</v>
      </c>
      <c r="C84" s="17" t="s">
        <v>128</v>
      </c>
      <c r="D84" s="17"/>
      <c r="E84" s="5">
        <v>45668</v>
      </c>
      <c r="F84" s="3" t="s">
        <v>139</v>
      </c>
      <c r="G84" s="3">
        <v>4</v>
      </c>
      <c r="H84" s="16">
        <v>45777</v>
      </c>
      <c r="I84" s="1" t="s">
        <v>130</v>
      </c>
      <c r="J84" s="3" t="s">
        <v>88</v>
      </c>
      <c r="K84" s="17" t="s">
        <v>225</v>
      </c>
      <c r="L84" s="17"/>
      <c r="M84" s="4" t="s">
        <v>68</v>
      </c>
      <c r="N84" s="3">
        <f>COUNTIFS('Profiles Tracker'!E:E,#REF!,'Profiles Tracker'!G:G,"Profile shared with Interviewer")</f>
        <v>0</v>
      </c>
      <c r="O84" s="3">
        <f>COUNTIFS('Profiles Tracker'!E:E,#REF!,'Profiles Tracker'!G:G,"Shortlisted for next round of interview")</f>
        <v>0</v>
      </c>
      <c r="P84" s="3">
        <f>COUNTIFS('Profiles Tracker'!E:E,#REF!,'Profiles Tracker'!G:G,P$1)</f>
        <v>0</v>
      </c>
      <c r="Q84" s="3">
        <f>COUNTIFS('Profiles Tracker'!E:E,#REF!,'Profiles Tracker'!G:G,Q$1)</f>
        <v>0</v>
      </c>
      <c r="R84" s="3">
        <f>COUNTIFS('Profiles Tracker'!E:E,#REF!,'Profiles Tracker'!G:G,R$1)</f>
        <v>0</v>
      </c>
      <c r="S84" s="3">
        <f>COUNTIFS('Profiles Tracker'!E:E,#REF!,'Profiles Tracker'!G:G,"Interview Done",'Profiles Tracker'!O:O,"Rejected")</f>
        <v>0</v>
      </c>
      <c r="T84" s="3">
        <f>COUNTIFS('Profiles Tracker'!E:E,#REF!,'Profiles Tracker'!G:G,T$1)</f>
        <v>0</v>
      </c>
      <c r="U84" s="3">
        <f t="shared" si="32"/>
        <v>0</v>
      </c>
      <c r="V84" s="3">
        <f t="shared" si="33"/>
        <v>4</v>
      </c>
      <c r="W84" s="3">
        <f t="shared" si="34"/>
        <v>4</v>
      </c>
      <c r="X84" s="3">
        <f t="shared" si="35"/>
        <v>4</v>
      </c>
      <c r="Y84" s="3">
        <f t="shared" si="36"/>
        <v>12</v>
      </c>
      <c r="Z84" s="3">
        <f t="shared" si="37"/>
        <v>4</v>
      </c>
      <c r="AA84" s="3">
        <f t="shared" si="38"/>
        <v>4</v>
      </c>
      <c r="AB84" s="3">
        <f t="shared" si="39"/>
        <v>12</v>
      </c>
      <c r="AC84" s="16">
        <f t="shared" si="40"/>
        <v>45732</v>
      </c>
      <c r="AD84" s="16">
        <f t="shared" si="41"/>
        <v>45727</v>
      </c>
      <c r="AE84" s="16">
        <f t="shared" si="42"/>
        <v>45720</v>
      </c>
      <c r="AF84" s="18">
        <f t="shared" ca="1" si="43"/>
        <v>-54</v>
      </c>
      <c r="AG84" s="18">
        <f t="shared" ca="1" si="44"/>
        <v>-55</v>
      </c>
      <c r="AH84" s="18">
        <f t="shared" ca="1" si="45"/>
        <v>-56</v>
      </c>
      <c r="AI84" s="53" t="e">
        <f>COUNTIFS('Profiles Tracker'!E:E,#REF!,'Profiles Tracker'!G:G,Q$1,'Profiles Tracker'!#REF!,"Week 14")</f>
        <v>#REF!</v>
      </c>
      <c r="AJ84" s="52" t="e">
        <f>COUNTIFS('Profiles Tracker'!E:E,#REF!,'Profiles Tracker'!G:G,Q$1,'Profiles Tracker'!#REF!,"Week 15")</f>
        <v>#REF!</v>
      </c>
      <c r="AK84" s="52" t="e">
        <f>COUNTIFS('Profiles Tracker'!E:E,#REF!,'Profiles Tracker'!G:G,Q$1,'Profiles Tracker'!#REF!,"Week 16")</f>
        <v>#REF!</v>
      </c>
      <c r="AL84" s="52" t="e">
        <f>COUNTIFS('Profiles Tracker'!E:E,#REF!,'Profiles Tracker'!G:G,Q$1,'Profiles Tracker'!#REF!,"Week 17")</f>
        <v>#REF!</v>
      </c>
      <c r="AM84" s="52" t="e">
        <f>COUNTIFS('Profiles Tracker'!E:E,#REF!,'Profiles Tracker'!G:G,Q$1,'Profiles Tracker'!#REF!,"Week 18")</f>
        <v>#REF!</v>
      </c>
    </row>
    <row r="85" spans="1:39">
      <c r="A85" s="3">
        <f t="shared" si="31"/>
        <v>84</v>
      </c>
      <c r="B85" s="17" t="s">
        <v>38</v>
      </c>
      <c r="C85" s="17" t="s">
        <v>142</v>
      </c>
      <c r="D85" s="17"/>
      <c r="E85" s="5">
        <v>45668</v>
      </c>
      <c r="F85" s="3" t="s">
        <v>200</v>
      </c>
      <c r="G85" s="3"/>
      <c r="H85" s="16">
        <v>45777</v>
      </c>
      <c r="I85" s="3" t="s">
        <v>42</v>
      </c>
      <c r="J85" s="3" t="s">
        <v>88</v>
      </c>
      <c r="K85" s="17" t="s">
        <v>226</v>
      </c>
      <c r="L85" s="17"/>
      <c r="M85" s="4" t="s">
        <v>68</v>
      </c>
      <c r="N85" s="3">
        <f>COUNTIFS('Profiles Tracker'!E:E,#REF!,'Profiles Tracker'!G:G,"Profile shared with Interviewer")</f>
        <v>0</v>
      </c>
      <c r="O85" s="3">
        <f>COUNTIFS('Profiles Tracker'!E:E,#REF!,'Profiles Tracker'!G:G,"Shortlisted for next round of interview")</f>
        <v>0</v>
      </c>
      <c r="P85" s="3">
        <f>COUNTIFS('Profiles Tracker'!E:E,#REF!,'Profiles Tracker'!G:G,P$1)</f>
        <v>0</v>
      </c>
      <c r="Q85" s="3">
        <f>COUNTIFS('Profiles Tracker'!E:E,#REF!,'Profiles Tracker'!G:G,Q$1)</f>
        <v>0</v>
      </c>
      <c r="R85" s="3">
        <f>COUNTIFS('Profiles Tracker'!E:E,#REF!,'Profiles Tracker'!G:G,R$1)</f>
        <v>0</v>
      </c>
      <c r="S85" s="3">
        <f>COUNTIFS('Profiles Tracker'!E:E,#REF!,'Profiles Tracker'!G:G,"Interview Done",'Profiles Tracker'!O:O,"Rejected")</f>
        <v>0</v>
      </c>
      <c r="T85" s="3">
        <f>COUNTIFS('Profiles Tracker'!E:E,#REF!,'Profiles Tracker'!G:G,T$1)</f>
        <v>0</v>
      </c>
      <c r="U85" s="3">
        <f t="shared" si="32"/>
        <v>0</v>
      </c>
      <c r="V85" s="3">
        <f t="shared" si="33"/>
        <v>0</v>
      </c>
      <c r="W85" s="3">
        <f t="shared" si="34"/>
        <v>0</v>
      </c>
      <c r="X85" s="3">
        <f t="shared" si="35"/>
        <v>0</v>
      </c>
      <c r="Y85" s="3">
        <f t="shared" si="36"/>
        <v>0</v>
      </c>
      <c r="Z85" s="3">
        <f t="shared" si="37"/>
        <v>0</v>
      </c>
      <c r="AA85" s="3">
        <f t="shared" si="38"/>
        <v>0</v>
      </c>
      <c r="AB85" s="3">
        <f t="shared" si="39"/>
        <v>0</v>
      </c>
      <c r="AC85" s="16">
        <f t="shared" si="40"/>
        <v>45732</v>
      </c>
      <c r="AD85" s="16">
        <f t="shared" si="41"/>
        <v>45727</v>
      </c>
      <c r="AE85" s="16">
        <f t="shared" si="42"/>
        <v>45720</v>
      </c>
      <c r="AF85" s="18">
        <f t="shared" ca="1" si="43"/>
        <v>-54</v>
      </c>
      <c r="AG85" s="18">
        <f t="shared" ca="1" si="44"/>
        <v>-55</v>
      </c>
      <c r="AH85" s="18">
        <f t="shared" ca="1" si="45"/>
        <v>-56</v>
      </c>
      <c r="AI85" s="53" t="e">
        <f>COUNTIFS('Profiles Tracker'!E:E,#REF!,'Profiles Tracker'!G:G,Q$1,'Profiles Tracker'!#REF!,"Week 14")</f>
        <v>#REF!</v>
      </c>
      <c r="AJ85" s="52" t="e">
        <f>COUNTIFS('Profiles Tracker'!E:E,#REF!,'Profiles Tracker'!G:G,Q$1,'Profiles Tracker'!#REF!,"Week 15")</f>
        <v>#REF!</v>
      </c>
      <c r="AK85" s="52" t="e">
        <f>COUNTIFS('Profiles Tracker'!E:E,#REF!,'Profiles Tracker'!G:G,Q$1,'Profiles Tracker'!#REF!,"Week 16")</f>
        <v>#REF!</v>
      </c>
      <c r="AL85" s="52" t="e">
        <f>COUNTIFS('Profiles Tracker'!E:E,#REF!,'Profiles Tracker'!G:G,Q$1,'Profiles Tracker'!#REF!,"Week 17")</f>
        <v>#REF!</v>
      </c>
      <c r="AM85" s="52" t="e">
        <f>COUNTIFS('Profiles Tracker'!E:E,#REF!,'Profiles Tracker'!G:G,Q$1,'Profiles Tracker'!#REF!,"Week 18")</f>
        <v>#REF!</v>
      </c>
    </row>
    <row r="86" spans="1:39">
      <c r="A86" s="3">
        <f t="shared" si="31"/>
        <v>85</v>
      </c>
      <c r="B86" s="17" t="s">
        <v>38</v>
      </c>
      <c r="C86" s="17" t="s">
        <v>160</v>
      </c>
      <c r="D86" s="17"/>
      <c r="E86" s="5">
        <v>45668</v>
      </c>
      <c r="F86" s="3" t="s">
        <v>165</v>
      </c>
      <c r="G86" s="3">
        <v>0</v>
      </c>
      <c r="H86" s="16">
        <v>45777</v>
      </c>
      <c r="I86" s="24" t="s">
        <v>162</v>
      </c>
      <c r="J86" s="3" t="s">
        <v>94</v>
      </c>
      <c r="K86" s="17" t="s">
        <v>227</v>
      </c>
      <c r="L86" s="17"/>
      <c r="M86" s="4" t="s">
        <v>68</v>
      </c>
      <c r="N86" s="3">
        <f>COUNTIFS('Profiles Tracker'!E:E,#REF!,'Profiles Tracker'!G:G,"Profile shared with Interviewer")</f>
        <v>0</v>
      </c>
      <c r="O86" s="3">
        <f>COUNTIFS('Profiles Tracker'!E:E,#REF!,'Profiles Tracker'!G:G,"Shortlisted for next round of interview")</f>
        <v>0</v>
      </c>
      <c r="P86" s="3">
        <f>COUNTIFS('Profiles Tracker'!E:E,#REF!,'Profiles Tracker'!G:G,P$1)</f>
        <v>0</v>
      </c>
      <c r="Q86" s="3">
        <f>COUNTIFS('Profiles Tracker'!E:E,#REF!,'Profiles Tracker'!G:G,Q$1)</f>
        <v>0</v>
      </c>
      <c r="R86" s="3">
        <f>COUNTIFS('Profiles Tracker'!E:E,#REF!,'Profiles Tracker'!G:G,R$1)</f>
        <v>0</v>
      </c>
      <c r="S86" s="3">
        <f>COUNTIFS('Profiles Tracker'!E:E,#REF!,'Profiles Tracker'!G:G,"Interview Done",'Profiles Tracker'!O:O,"Rejected")</f>
        <v>0</v>
      </c>
      <c r="T86" s="3">
        <f>COUNTIFS('Profiles Tracker'!E:E,#REF!,'Profiles Tracker'!G:G,T$1)</f>
        <v>0</v>
      </c>
      <c r="U86" s="3">
        <f t="shared" si="32"/>
        <v>0</v>
      </c>
      <c r="V86" s="3">
        <f t="shared" si="33"/>
        <v>0</v>
      </c>
      <c r="W86" s="3">
        <f t="shared" si="34"/>
        <v>0</v>
      </c>
      <c r="X86" s="3">
        <f t="shared" si="35"/>
        <v>0</v>
      </c>
      <c r="Y86" s="3">
        <f t="shared" si="36"/>
        <v>0</v>
      </c>
      <c r="Z86" s="3">
        <f t="shared" si="37"/>
        <v>0</v>
      </c>
      <c r="AA86" s="3">
        <f t="shared" si="38"/>
        <v>0</v>
      </c>
      <c r="AB86" s="3">
        <f t="shared" si="39"/>
        <v>0</v>
      </c>
      <c r="AC86" s="16">
        <f t="shared" si="40"/>
        <v>45732</v>
      </c>
      <c r="AD86" s="16">
        <f t="shared" si="41"/>
        <v>45727</v>
      </c>
      <c r="AE86" s="16">
        <f t="shared" si="42"/>
        <v>45720</v>
      </c>
      <c r="AF86" s="18">
        <f t="shared" ca="1" si="43"/>
        <v>-54</v>
      </c>
      <c r="AG86" s="18">
        <f t="shared" ca="1" si="44"/>
        <v>-55</v>
      </c>
      <c r="AH86" s="18">
        <f t="shared" ca="1" si="45"/>
        <v>-56</v>
      </c>
      <c r="AI86" s="53" t="e">
        <f>COUNTIFS('Profiles Tracker'!E:E,#REF!,'Profiles Tracker'!G:G,Q$1,'Profiles Tracker'!#REF!,"Week 14")</f>
        <v>#REF!</v>
      </c>
      <c r="AJ86" s="52" t="e">
        <f>COUNTIFS('Profiles Tracker'!E:E,#REF!,'Profiles Tracker'!G:G,Q$1,'Profiles Tracker'!#REF!,"Week 15")</f>
        <v>#REF!</v>
      </c>
      <c r="AK86" s="52" t="e">
        <f>COUNTIFS('Profiles Tracker'!E:E,#REF!,'Profiles Tracker'!G:G,Q$1,'Profiles Tracker'!#REF!,"Week 16")</f>
        <v>#REF!</v>
      </c>
      <c r="AL86" s="52" t="e">
        <f>COUNTIFS('Profiles Tracker'!E:E,#REF!,'Profiles Tracker'!G:G,Q$1,'Profiles Tracker'!#REF!,"Week 17")</f>
        <v>#REF!</v>
      </c>
      <c r="AM86" s="52" t="e">
        <f>COUNTIFS('Profiles Tracker'!E:E,#REF!,'Profiles Tracker'!G:G,Q$1,'Profiles Tracker'!#REF!,"Week 18")</f>
        <v>#REF!</v>
      </c>
    </row>
    <row r="87" spans="1:39">
      <c r="A87" s="3">
        <f t="shared" si="31"/>
        <v>86</v>
      </c>
      <c r="B87" s="17" t="s">
        <v>38</v>
      </c>
      <c r="C87" s="17" t="s">
        <v>160</v>
      </c>
      <c r="D87" s="17"/>
      <c r="E87" s="5">
        <v>45668</v>
      </c>
      <c r="F87" s="3" t="s">
        <v>168</v>
      </c>
      <c r="G87" s="3">
        <v>0</v>
      </c>
      <c r="H87" s="16">
        <v>45777</v>
      </c>
      <c r="I87" s="24" t="s">
        <v>162</v>
      </c>
      <c r="J87" s="3" t="s">
        <v>94</v>
      </c>
      <c r="K87" s="17" t="s">
        <v>228</v>
      </c>
      <c r="L87" s="17"/>
      <c r="M87" s="4" t="s">
        <v>68</v>
      </c>
      <c r="N87" s="3">
        <f>COUNTIFS('Profiles Tracker'!E:E,#REF!,'Profiles Tracker'!G:G,"Profile shared with Interviewer")</f>
        <v>0</v>
      </c>
      <c r="O87" s="3">
        <f>COUNTIFS('Profiles Tracker'!E:E,#REF!,'Profiles Tracker'!G:G,"Shortlisted for next round of interview")</f>
        <v>0</v>
      </c>
      <c r="P87" s="3">
        <f>COUNTIFS('Profiles Tracker'!E:E,#REF!,'Profiles Tracker'!G:G,P$1)</f>
        <v>0</v>
      </c>
      <c r="Q87" s="3">
        <f>COUNTIFS('Profiles Tracker'!E:E,#REF!,'Profiles Tracker'!G:G,Q$1)</f>
        <v>0</v>
      </c>
      <c r="R87" s="3">
        <f>COUNTIFS('Profiles Tracker'!E:E,#REF!,'Profiles Tracker'!G:G,R$1)</f>
        <v>0</v>
      </c>
      <c r="S87" s="3">
        <f>COUNTIFS('Profiles Tracker'!E:E,#REF!,'Profiles Tracker'!G:G,"Interview Done",'Profiles Tracker'!O:O,"Rejected")</f>
        <v>0</v>
      </c>
      <c r="T87" s="3">
        <f>COUNTIFS('Profiles Tracker'!E:E,#REF!,'Profiles Tracker'!G:G,T$1)</f>
        <v>0</v>
      </c>
      <c r="U87" s="3">
        <f t="shared" si="32"/>
        <v>0</v>
      </c>
      <c r="V87" s="3">
        <f t="shared" si="33"/>
        <v>0</v>
      </c>
      <c r="W87" s="3">
        <f t="shared" si="34"/>
        <v>0</v>
      </c>
      <c r="X87" s="3">
        <f t="shared" si="35"/>
        <v>0</v>
      </c>
      <c r="Y87" s="3">
        <f t="shared" si="36"/>
        <v>0</v>
      </c>
      <c r="Z87" s="3">
        <f t="shared" si="37"/>
        <v>0</v>
      </c>
      <c r="AA87" s="3">
        <f t="shared" si="38"/>
        <v>0</v>
      </c>
      <c r="AB87" s="3">
        <f t="shared" si="39"/>
        <v>0</v>
      </c>
      <c r="AC87" s="16">
        <f t="shared" si="40"/>
        <v>45732</v>
      </c>
      <c r="AD87" s="16">
        <f t="shared" si="41"/>
        <v>45727</v>
      </c>
      <c r="AE87" s="16">
        <f t="shared" si="42"/>
        <v>45720</v>
      </c>
      <c r="AF87" s="18">
        <f t="shared" ca="1" si="43"/>
        <v>-54</v>
      </c>
      <c r="AG87" s="18">
        <f t="shared" ca="1" si="44"/>
        <v>-55</v>
      </c>
      <c r="AH87" s="18">
        <f t="shared" ca="1" si="45"/>
        <v>-56</v>
      </c>
      <c r="AI87" s="53" t="e">
        <f>COUNTIFS('Profiles Tracker'!E:E,#REF!,'Profiles Tracker'!G:G,Q$1,'Profiles Tracker'!#REF!,"Week 14")</f>
        <v>#REF!</v>
      </c>
      <c r="AJ87" s="52" t="e">
        <f>COUNTIFS('Profiles Tracker'!E:E,#REF!,'Profiles Tracker'!G:G,Q$1,'Profiles Tracker'!#REF!,"Week 15")</f>
        <v>#REF!</v>
      </c>
      <c r="AK87" s="52" t="e">
        <f>COUNTIFS('Profiles Tracker'!E:E,#REF!,'Profiles Tracker'!G:G,Q$1,'Profiles Tracker'!#REF!,"Week 16")</f>
        <v>#REF!</v>
      </c>
      <c r="AL87" s="52" t="e">
        <f>COUNTIFS('Profiles Tracker'!E:E,#REF!,'Profiles Tracker'!G:G,Q$1,'Profiles Tracker'!#REF!,"Week 17")</f>
        <v>#REF!</v>
      </c>
      <c r="AM87" s="52" t="e">
        <f>COUNTIFS('Profiles Tracker'!E:E,#REF!,'Profiles Tracker'!G:G,Q$1,'Profiles Tracker'!#REF!,"Week 18")</f>
        <v>#REF!</v>
      </c>
    </row>
    <row r="88" spans="1:39">
      <c r="A88" s="3">
        <f t="shared" si="31"/>
        <v>87</v>
      </c>
      <c r="B88" s="17" t="s">
        <v>38</v>
      </c>
      <c r="C88" s="17" t="s">
        <v>53</v>
      </c>
      <c r="D88" s="17"/>
      <c r="E88" s="5">
        <v>45668</v>
      </c>
      <c r="F88" s="3" t="s">
        <v>80</v>
      </c>
      <c r="G88" s="3"/>
      <c r="H88" s="16">
        <v>45777</v>
      </c>
      <c r="I88" s="3" t="s">
        <v>65</v>
      </c>
      <c r="J88" s="3" t="s">
        <v>94</v>
      </c>
      <c r="K88" s="17" t="s">
        <v>229</v>
      </c>
      <c r="L88" s="17"/>
      <c r="M88" s="4" t="s">
        <v>68</v>
      </c>
      <c r="N88" s="3">
        <f>COUNTIFS('Profiles Tracker'!E:E,#REF!,'Profiles Tracker'!G:G,"Profile shared with Interviewer")</f>
        <v>0</v>
      </c>
      <c r="O88" s="3">
        <f>COUNTIFS('Profiles Tracker'!E:E,#REF!,'Profiles Tracker'!G:G,"Shortlisted for next round of interview")</f>
        <v>0</v>
      </c>
      <c r="P88" s="3">
        <f>COUNTIFS('Profiles Tracker'!E:E,#REF!,'Profiles Tracker'!G:G,P$1)</f>
        <v>0</v>
      </c>
      <c r="Q88" s="3">
        <f>COUNTIFS('Profiles Tracker'!E:E,#REF!,'Profiles Tracker'!G:G,Q$1)</f>
        <v>0</v>
      </c>
      <c r="R88" s="3">
        <f>COUNTIFS('Profiles Tracker'!E:E,#REF!,'Profiles Tracker'!G:G,R$1)</f>
        <v>0</v>
      </c>
      <c r="S88" s="3">
        <f>COUNTIFS('Profiles Tracker'!E:E,#REF!,'Profiles Tracker'!G:G,"Interview Done",'Profiles Tracker'!O:O,"Rejected")</f>
        <v>0</v>
      </c>
      <c r="T88" s="3">
        <f>COUNTIFS('Profiles Tracker'!E:E,#REF!,'Profiles Tracker'!G:G,T$1)</f>
        <v>0</v>
      </c>
      <c r="U88" s="3">
        <f t="shared" si="32"/>
        <v>0</v>
      </c>
      <c r="V88" s="3">
        <f t="shared" si="33"/>
        <v>0</v>
      </c>
      <c r="W88" s="3">
        <f t="shared" si="34"/>
        <v>0</v>
      </c>
      <c r="X88" s="3">
        <f t="shared" si="35"/>
        <v>0</v>
      </c>
      <c r="Y88" s="3">
        <f t="shared" si="36"/>
        <v>0</v>
      </c>
      <c r="Z88" s="3">
        <f t="shared" si="37"/>
        <v>0</v>
      </c>
      <c r="AA88" s="3">
        <f t="shared" si="38"/>
        <v>0</v>
      </c>
      <c r="AB88" s="3">
        <f t="shared" si="39"/>
        <v>0</v>
      </c>
      <c r="AC88" s="16">
        <f t="shared" si="40"/>
        <v>45732</v>
      </c>
      <c r="AD88" s="16">
        <f t="shared" si="41"/>
        <v>45727</v>
      </c>
      <c r="AE88" s="16">
        <f t="shared" si="42"/>
        <v>45720</v>
      </c>
      <c r="AF88" s="18">
        <f t="shared" ca="1" si="43"/>
        <v>-54</v>
      </c>
      <c r="AG88" s="18">
        <f t="shared" ca="1" si="44"/>
        <v>-55</v>
      </c>
      <c r="AH88" s="18">
        <f t="shared" ca="1" si="45"/>
        <v>-56</v>
      </c>
      <c r="AI88" s="53" t="e">
        <f>COUNTIFS('Profiles Tracker'!E:E,#REF!,'Profiles Tracker'!G:G,Q$1,'Profiles Tracker'!#REF!,"Week 14")</f>
        <v>#REF!</v>
      </c>
      <c r="AJ88" s="52" t="e">
        <f>COUNTIFS('Profiles Tracker'!E:E,#REF!,'Profiles Tracker'!G:G,Q$1,'Profiles Tracker'!#REF!,"Week 15")</f>
        <v>#REF!</v>
      </c>
      <c r="AK88" s="52" t="e">
        <f>COUNTIFS('Profiles Tracker'!E:E,#REF!,'Profiles Tracker'!G:G,Q$1,'Profiles Tracker'!#REF!,"Week 16")</f>
        <v>#REF!</v>
      </c>
      <c r="AL88" s="52" t="e">
        <f>COUNTIFS('Profiles Tracker'!E:E,#REF!,'Profiles Tracker'!G:G,Q$1,'Profiles Tracker'!#REF!,"Week 17")</f>
        <v>#REF!</v>
      </c>
      <c r="AM88" s="52" t="e">
        <f>COUNTIFS('Profiles Tracker'!E:E,#REF!,'Profiles Tracker'!G:G,Q$1,'Profiles Tracker'!#REF!,"Week 18")</f>
        <v>#REF!</v>
      </c>
    </row>
    <row r="89" spans="1:39">
      <c r="A89" s="3">
        <f t="shared" si="31"/>
        <v>88</v>
      </c>
      <c r="B89" s="17" t="s">
        <v>38</v>
      </c>
      <c r="C89" s="17"/>
      <c r="D89" s="17"/>
      <c r="E89" s="5">
        <v>45668</v>
      </c>
      <c r="F89" s="3" t="s">
        <v>177</v>
      </c>
      <c r="G89" s="3">
        <v>4</v>
      </c>
      <c r="H89" s="16">
        <v>45777</v>
      </c>
      <c r="I89" s="3" t="s">
        <v>70</v>
      </c>
      <c r="J89" s="3" t="s">
        <v>42</v>
      </c>
      <c r="K89" s="17" t="s">
        <v>230</v>
      </c>
      <c r="L89" s="17"/>
      <c r="M89" s="4" t="s">
        <v>68</v>
      </c>
      <c r="N89" s="3">
        <f>COUNTIFS('Profiles Tracker'!E:E,#REF!,'Profiles Tracker'!G:G,"Profile shared with Interviewer")</f>
        <v>0</v>
      </c>
      <c r="O89" s="3">
        <f>COUNTIFS('Profiles Tracker'!E:E,#REF!,'Profiles Tracker'!G:G,"Shortlisted for next round of interview")</f>
        <v>0</v>
      </c>
      <c r="P89" s="3">
        <f>COUNTIFS('Profiles Tracker'!E:E,#REF!,'Profiles Tracker'!G:G,P$1)</f>
        <v>0</v>
      </c>
      <c r="Q89" s="3">
        <f>COUNTIFS('Profiles Tracker'!E:E,#REF!,'Profiles Tracker'!G:G,Q$1)</f>
        <v>0</v>
      </c>
      <c r="R89" s="3">
        <f>COUNTIFS('Profiles Tracker'!E:E,#REF!,'Profiles Tracker'!G:G,R$1)</f>
        <v>0</v>
      </c>
      <c r="S89" s="3">
        <f>COUNTIFS('Profiles Tracker'!E:E,#REF!,'Profiles Tracker'!G:G,"Interview Done",'Profiles Tracker'!O:O,"Rejected")</f>
        <v>0</v>
      </c>
      <c r="T89" s="3">
        <f>COUNTIFS('Profiles Tracker'!E:E,#REF!,'Profiles Tracker'!G:G,T$1)</f>
        <v>0</v>
      </c>
      <c r="U89" s="3">
        <f t="shared" si="32"/>
        <v>0</v>
      </c>
      <c r="V89" s="3">
        <f t="shared" si="33"/>
        <v>4</v>
      </c>
      <c r="W89" s="3">
        <f t="shared" si="34"/>
        <v>4</v>
      </c>
      <c r="X89" s="3">
        <f t="shared" si="35"/>
        <v>4</v>
      </c>
      <c r="Y89" s="3">
        <f t="shared" si="36"/>
        <v>12</v>
      </c>
      <c r="Z89" s="3">
        <f t="shared" si="37"/>
        <v>4</v>
      </c>
      <c r="AA89" s="3">
        <f t="shared" si="38"/>
        <v>4</v>
      </c>
      <c r="AB89" s="3">
        <f t="shared" si="39"/>
        <v>12</v>
      </c>
      <c r="AC89" s="16">
        <f t="shared" si="40"/>
        <v>45732</v>
      </c>
      <c r="AD89" s="16">
        <f t="shared" si="41"/>
        <v>45727</v>
      </c>
      <c r="AE89" s="16">
        <f t="shared" si="42"/>
        <v>45720</v>
      </c>
      <c r="AF89" s="18">
        <f t="shared" ca="1" si="43"/>
        <v>-54</v>
      </c>
      <c r="AG89" s="18">
        <f t="shared" ca="1" si="44"/>
        <v>-55</v>
      </c>
      <c r="AH89" s="18">
        <f t="shared" ca="1" si="45"/>
        <v>-56</v>
      </c>
      <c r="AI89" s="53" t="e">
        <f>COUNTIFS('Profiles Tracker'!E:E,#REF!,'Profiles Tracker'!G:G,Q$1,'Profiles Tracker'!#REF!,"Week 14")</f>
        <v>#REF!</v>
      </c>
      <c r="AJ89" s="52" t="e">
        <f>COUNTIFS('Profiles Tracker'!E:E,#REF!,'Profiles Tracker'!G:G,Q$1,'Profiles Tracker'!#REF!,"Week 15")</f>
        <v>#REF!</v>
      </c>
      <c r="AK89" s="52" t="e">
        <f>COUNTIFS('Profiles Tracker'!E:E,#REF!,'Profiles Tracker'!G:G,Q$1,'Profiles Tracker'!#REF!,"Week 16")</f>
        <v>#REF!</v>
      </c>
      <c r="AL89" s="52" t="e">
        <f>COUNTIFS('Profiles Tracker'!E:E,#REF!,'Profiles Tracker'!G:G,Q$1,'Profiles Tracker'!#REF!,"Week 17")</f>
        <v>#REF!</v>
      </c>
      <c r="AM89" s="52" t="e">
        <f>COUNTIFS('Profiles Tracker'!E:E,#REF!,'Profiles Tracker'!G:G,Q$1,'Profiles Tracker'!#REF!,"Week 18")</f>
        <v>#REF!</v>
      </c>
    </row>
    <row r="90" spans="1:39">
      <c r="A90" s="3">
        <f t="shared" si="31"/>
        <v>89</v>
      </c>
      <c r="B90" s="17" t="s">
        <v>38</v>
      </c>
      <c r="C90" s="17" t="s">
        <v>53</v>
      </c>
      <c r="D90" s="17"/>
      <c r="E90" s="5">
        <v>45668</v>
      </c>
      <c r="F90" s="3" t="s">
        <v>64</v>
      </c>
      <c r="G90" s="3">
        <v>0</v>
      </c>
      <c r="H90" s="16">
        <v>45900</v>
      </c>
      <c r="I90" s="3" t="s">
        <v>65</v>
      </c>
      <c r="J90" s="3" t="s">
        <v>42</v>
      </c>
      <c r="K90" s="17" t="s">
        <v>231</v>
      </c>
      <c r="L90" s="17"/>
      <c r="M90" s="4" t="s">
        <v>68</v>
      </c>
      <c r="N90" s="3">
        <f>COUNTIFS('Profiles Tracker'!E:E,#REF!,'Profiles Tracker'!G:G,"Profile shared with Interviewer")</f>
        <v>0</v>
      </c>
      <c r="O90" s="3">
        <f>COUNTIFS('Profiles Tracker'!E:E,#REF!,'Profiles Tracker'!G:G,"Shortlisted for next round of interview")</f>
        <v>0</v>
      </c>
      <c r="P90" s="3">
        <f>COUNTIFS('Profiles Tracker'!E:E,#REF!,'Profiles Tracker'!G:G,P$1)</f>
        <v>0</v>
      </c>
      <c r="Q90" s="3">
        <f>COUNTIFS('Profiles Tracker'!E:E,#REF!,'Profiles Tracker'!G:G,Q$1)</f>
        <v>0</v>
      </c>
      <c r="R90" s="3">
        <f>COUNTIFS('Profiles Tracker'!E:E,#REF!,'Profiles Tracker'!G:G,R$1)</f>
        <v>0</v>
      </c>
      <c r="S90" s="3">
        <f>COUNTIFS('Profiles Tracker'!E:E,#REF!,'Profiles Tracker'!G:G,"Interview Done",'Profiles Tracker'!O:O,"Rejected")</f>
        <v>0</v>
      </c>
      <c r="T90" s="3">
        <f>COUNTIFS('Profiles Tracker'!E:E,#REF!,'Profiles Tracker'!G:G,T$1)</f>
        <v>0</v>
      </c>
      <c r="U90" s="3">
        <f t="shared" si="32"/>
        <v>0</v>
      </c>
      <c r="V90" s="3">
        <f t="shared" si="33"/>
        <v>0</v>
      </c>
      <c r="W90" s="3">
        <f t="shared" si="34"/>
        <v>0</v>
      </c>
      <c r="X90" s="3">
        <f t="shared" si="35"/>
        <v>0</v>
      </c>
      <c r="Y90" s="3">
        <f t="shared" si="36"/>
        <v>0</v>
      </c>
      <c r="Z90" s="3">
        <f t="shared" si="37"/>
        <v>0</v>
      </c>
      <c r="AA90" s="3">
        <f t="shared" si="38"/>
        <v>0</v>
      </c>
      <c r="AB90" s="3">
        <f t="shared" si="39"/>
        <v>0</v>
      </c>
      <c r="AC90" s="16">
        <f t="shared" si="40"/>
        <v>45855</v>
      </c>
      <c r="AD90" s="16">
        <f t="shared" si="41"/>
        <v>45850</v>
      </c>
      <c r="AE90" s="16">
        <f t="shared" si="42"/>
        <v>45843</v>
      </c>
      <c r="AF90" s="18">
        <f t="shared" ca="1" si="43"/>
        <v>-37</v>
      </c>
      <c r="AG90" s="18">
        <f t="shared" ca="1" si="44"/>
        <v>-37</v>
      </c>
      <c r="AH90" s="18">
        <f t="shared" ca="1" si="45"/>
        <v>-38</v>
      </c>
      <c r="AI90" s="53" t="e">
        <f>COUNTIFS('Profiles Tracker'!E:E,#REF!,'Profiles Tracker'!G:G,Q$1,'Profiles Tracker'!#REF!,"Week 14")</f>
        <v>#REF!</v>
      </c>
      <c r="AJ90" s="52" t="e">
        <f>COUNTIFS('Profiles Tracker'!E:E,#REF!,'Profiles Tracker'!G:G,Q$1,'Profiles Tracker'!#REF!,"Week 15")</f>
        <v>#REF!</v>
      </c>
      <c r="AK90" s="52" t="e">
        <f>COUNTIFS('Profiles Tracker'!E:E,#REF!,'Profiles Tracker'!G:G,Q$1,'Profiles Tracker'!#REF!,"Week 16")</f>
        <v>#REF!</v>
      </c>
      <c r="AL90" s="52" t="e">
        <f>COUNTIFS('Profiles Tracker'!E:E,#REF!,'Profiles Tracker'!G:G,Q$1,'Profiles Tracker'!#REF!,"Week 17")</f>
        <v>#REF!</v>
      </c>
      <c r="AM90" s="52" t="e">
        <f>COUNTIFS('Profiles Tracker'!E:E,#REF!,'Profiles Tracker'!G:G,Q$1,'Profiles Tracker'!#REF!,"Week 18")</f>
        <v>#REF!</v>
      </c>
    </row>
    <row r="91" spans="1:39">
      <c r="A91" s="3">
        <f t="shared" si="31"/>
        <v>90</v>
      </c>
      <c r="B91" s="17" t="s">
        <v>38</v>
      </c>
      <c r="C91" s="17" t="s">
        <v>49</v>
      </c>
      <c r="D91" s="17"/>
      <c r="E91" s="5">
        <v>45668</v>
      </c>
      <c r="F91" s="3" t="s">
        <v>69</v>
      </c>
      <c r="G91" s="3">
        <v>0</v>
      </c>
      <c r="H91" s="16">
        <v>45900</v>
      </c>
      <c r="I91" s="3" t="s">
        <v>70</v>
      </c>
      <c r="J91" s="3" t="s">
        <v>42</v>
      </c>
      <c r="K91" s="17" t="s">
        <v>232</v>
      </c>
      <c r="L91" s="17"/>
      <c r="M91" s="4" t="s">
        <v>68</v>
      </c>
      <c r="N91" s="3">
        <f>COUNTIFS('Profiles Tracker'!E:E,#REF!,'Profiles Tracker'!G:G,"Profile shared with Interviewer")</f>
        <v>0</v>
      </c>
      <c r="O91" s="3">
        <f>COUNTIFS('Profiles Tracker'!E:E,#REF!,'Profiles Tracker'!G:G,"Shortlisted for next round of interview")</f>
        <v>0</v>
      </c>
      <c r="P91" s="3">
        <f>COUNTIFS('Profiles Tracker'!E:E,#REF!,'Profiles Tracker'!G:G,P$1)</f>
        <v>0</v>
      </c>
      <c r="Q91" s="3">
        <f>COUNTIFS('Profiles Tracker'!E:E,#REF!,'Profiles Tracker'!G:G,Q$1)</f>
        <v>0</v>
      </c>
      <c r="R91" s="3">
        <f>COUNTIFS('Profiles Tracker'!E:E,#REF!,'Profiles Tracker'!G:G,R$1)</f>
        <v>0</v>
      </c>
      <c r="S91" s="3">
        <f>COUNTIFS('Profiles Tracker'!E:E,#REF!,'Profiles Tracker'!G:G,"Interview Done",'Profiles Tracker'!O:O,"Rejected")</f>
        <v>0</v>
      </c>
      <c r="T91" s="3">
        <f>COUNTIFS('Profiles Tracker'!E:E,#REF!,'Profiles Tracker'!G:G,T$1)</f>
        <v>0</v>
      </c>
      <c r="U91" s="3">
        <f t="shared" si="32"/>
        <v>0</v>
      </c>
      <c r="V91" s="3">
        <f t="shared" si="33"/>
        <v>0</v>
      </c>
      <c r="W91" s="3">
        <f t="shared" si="34"/>
        <v>0</v>
      </c>
      <c r="X91" s="3">
        <f t="shared" si="35"/>
        <v>0</v>
      </c>
      <c r="Y91" s="3">
        <f t="shared" si="36"/>
        <v>0</v>
      </c>
      <c r="Z91" s="3">
        <f t="shared" si="37"/>
        <v>0</v>
      </c>
      <c r="AA91" s="3">
        <f t="shared" si="38"/>
        <v>0</v>
      </c>
      <c r="AB91" s="3">
        <f t="shared" si="39"/>
        <v>0</v>
      </c>
      <c r="AC91" s="16">
        <f t="shared" si="40"/>
        <v>45855</v>
      </c>
      <c r="AD91" s="16">
        <f t="shared" si="41"/>
        <v>45850</v>
      </c>
      <c r="AE91" s="16">
        <f t="shared" si="42"/>
        <v>45843</v>
      </c>
      <c r="AF91" s="18">
        <f t="shared" ca="1" si="43"/>
        <v>-37</v>
      </c>
      <c r="AG91" s="18">
        <f t="shared" ca="1" si="44"/>
        <v>-37</v>
      </c>
      <c r="AH91" s="18">
        <f t="shared" ca="1" si="45"/>
        <v>-38</v>
      </c>
      <c r="AI91" s="53" t="e">
        <f>COUNTIFS('Profiles Tracker'!E:E,#REF!,'Profiles Tracker'!G:G,Q$1,'Profiles Tracker'!#REF!,"Week 14")</f>
        <v>#REF!</v>
      </c>
      <c r="AJ91" s="52" t="e">
        <f>COUNTIFS('Profiles Tracker'!E:E,#REF!,'Profiles Tracker'!G:G,Q$1,'Profiles Tracker'!#REF!,"Week 15")</f>
        <v>#REF!</v>
      </c>
      <c r="AK91" s="52" t="e">
        <f>COUNTIFS('Profiles Tracker'!E:E,#REF!,'Profiles Tracker'!G:G,Q$1,'Profiles Tracker'!#REF!,"Week 16")</f>
        <v>#REF!</v>
      </c>
      <c r="AL91" s="52" t="e">
        <f>COUNTIFS('Profiles Tracker'!E:E,#REF!,'Profiles Tracker'!G:G,Q$1,'Profiles Tracker'!#REF!,"Week 17")</f>
        <v>#REF!</v>
      </c>
      <c r="AM91" s="52" t="e">
        <f>COUNTIFS('Profiles Tracker'!E:E,#REF!,'Profiles Tracker'!G:G,Q$1,'Profiles Tracker'!#REF!,"Week 18")</f>
        <v>#REF!</v>
      </c>
    </row>
    <row r="92" spans="1:39">
      <c r="A92" s="3">
        <f t="shared" si="31"/>
        <v>91</v>
      </c>
      <c r="B92" s="17" t="s">
        <v>38</v>
      </c>
      <c r="C92" s="17" t="s">
        <v>53</v>
      </c>
      <c r="D92" s="17"/>
      <c r="E92" s="5">
        <v>45668</v>
      </c>
      <c r="F92" s="3" t="s">
        <v>73</v>
      </c>
      <c r="G92" s="3"/>
      <c r="H92" s="16">
        <v>45900</v>
      </c>
      <c r="I92" s="3" t="s">
        <v>65</v>
      </c>
      <c r="J92" s="3" t="s">
        <v>42</v>
      </c>
      <c r="K92" s="17" t="s">
        <v>233</v>
      </c>
      <c r="L92" s="17"/>
      <c r="M92" s="4" t="s">
        <v>68</v>
      </c>
      <c r="N92" s="3">
        <f>COUNTIFS('Profiles Tracker'!E:E,#REF!,'Profiles Tracker'!G:G,"Profile shared with Interviewer")</f>
        <v>0</v>
      </c>
      <c r="O92" s="3">
        <f>COUNTIFS('Profiles Tracker'!E:E,#REF!,'Profiles Tracker'!G:G,"Shortlisted for next round of interview")</f>
        <v>0</v>
      </c>
      <c r="P92" s="3">
        <f>COUNTIFS('Profiles Tracker'!E:E,#REF!,'Profiles Tracker'!G:G,P$1)</f>
        <v>0</v>
      </c>
      <c r="Q92" s="3">
        <f>COUNTIFS('Profiles Tracker'!E:E,#REF!,'Profiles Tracker'!G:G,Q$1)</f>
        <v>0</v>
      </c>
      <c r="R92" s="3">
        <f>COUNTIFS('Profiles Tracker'!E:E,#REF!,'Profiles Tracker'!G:G,R$1)</f>
        <v>0</v>
      </c>
      <c r="S92" s="3">
        <f>COUNTIFS('Profiles Tracker'!E:E,#REF!,'Profiles Tracker'!G:G,"Interview Done",'Profiles Tracker'!O:O,"Rejected")</f>
        <v>0</v>
      </c>
      <c r="T92" s="3">
        <f>COUNTIFS('Profiles Tracker'!E:E,#REF!,'Profiles Tracker'!G:G,T$1)</f>
        <v>0</v>
      </c>
      <c r="U92" s="3">
        <f t="shared" si="32"/>
        <v>0</v>
      </c>
      <c r="V92" s="3">
        <f t="shared" si="33"/>
        <v>0</v>
      </c>
      <c r="W92" s="3">
        <f t="shared" si="34"/>
        <v>0</v>
      </c>
      <c r="X92" s="3">
        <f t="shared" si="35"/>
        <v>0</v>
      </c>
      <c r="Y92" s="3">
        <f t="shared" si="36"/>
        <v>0</v>
      </c>
      <c r="Z92" s="3">
        <f t="shared" si="37"/>
        <v>0</v>
      </c>
      <c r="AA92" s="3">
        <f t="shared" si="38"/>
        <v>0</v>
      </c>
      <c r="AB92" s="3">
        <f t="shared" si="39"/>
        <v>0</v>
      </c>
      <c r="AC92" s="16">
        <f t="shared" si="40"/>
        <v>45855</v>
      </c>
      <c r="AD92" s="16">
        <f t="shared" si="41"/>
        <v>45850</v>
      </c>
      <c r="AE92" s="16">
        <f t="shared" si="42"/>
        <v>45843</v>
      </c>
      <c r="AF92" s="18">
        <f t="shared" ca="1" si="43"/>
        <v>-37</v>
      </c>
      <c r="AG92" s="18">
        <f t="shared" ca="1" si="44"/>
        <v>-37</v>
      </c>
      <c r="AH92" s="18">
        <f t="shared" ca="1" si="45"/>
        <v>-38</v>
      </c>
      <c r="AI92" s="53" t="e">
        <f>COUNTIFS('Profiles Tracker'!E:E,#REF!,'Profiles Tracker'!G:G,Q$1,'Profiles Tracker'!#REF!,"Week 14")</f>
        <v>#REF!</v>
      </c>
      <c r="AJ92" s="52" t="e">
        <f>COUNTIFS('Profiles Tracker'!E:E,#REF!,'Profiles Tracker'!G:G,Q$1,'Profiles Tracker'!#REF!,"Week 15")</f>
        <v>#REF!</v>
      </c>
      <c r="AK92" s="52" t="e">
        <f>COUNTIFS('Profiles Tracker'!E:E,#REF!,'Profiles Tracker'!G:G,Q$1,'Profiles Tracker'!#REF!,"Week 16")</f>
        <v>#REF!</v>
      </c>
      <c r="AL92" s="52" t="e">
        <f>COUNTIFS('Profiles Tracker'!E:E,#REF!,'Profiles Tracker'!G:G,Q$1,'Profiles Tracker'!#REF!,"Week 17")</f>
        <v>#REF!</v>
      </c>
      <c r="AM92" s="52" t="e">
        <f>COUNTIFS('Profiles Tracker'!E:E,#REF!,'Profiles Tracker'!G:G,Q$1,'Profiles Tracker'!#REF!,"Week 18")</f>
        <v>#REF!</v>
      </c>
    </row>
    <row r="93" spans="1:39">
      <c r="A93" s="3">
        <f t="shared" si="31"/>
        <v>92</v>
      </c>
      <c r="B93" s="17" t="s">
        <v>38</v>
      </c>
      <c r="C93" s="17" t="s">
        <v>49</v>
      </c>
      <c r="D93" s="17"/>
      <c r="E93" s="5">
        <v>45668</v>
      </c>
      <c r="F93" s="3" t="s">
        <v>76</v>
      </c>
      <c r="G93" s="3"/>
      <c r="H93" s="16">
        <v>45900</v>
      </c>
      <c r="I93" s="3" t="s">
        <v>70</v>
      </c>
      <c r="J93" s="3" t="s">
        <v>42</v>
      </c>
      <c r="K93" s="17" t="s">
        <v>234</v>
      </c>
      <c r="L93" s="17"/>
      <c r="M93" s="4" t="s">
        <v>68</v>
      </c>
      <c r="N93" s="3">
        <f>COUNTIFS('Profiles Tracker'!E:E,#REF!,'Profiles Tracker'!G:G,"Profile shared with Interviewer")</f>
        <v>0</v>
      </c>
      <c r="O93" s="3">
        <f>COUNTIFS('Profiles Tracker'!E:E,#REF!,'Profiles Tracker'!G:G,"Shortlisted for next round of interview")</f>
        <v>0</v>
      </c>
      <c r="P93" s="3">
        <f>COUNTIFS('Profiles Tracker'!E:E,#REF!,'Profiles Tracker'!G:G,P$1)</f>
        <v>0</v>
      </c>
      <c r="Q93" s="3">
        <f>COUNTIFS('Profiles Tracker'!E:E,#REF!,'Profiles Tracker'!G:G,Q$1)</f>
        <v>0</v>
      </c>
      <c r="R93" s="3">
        <f>COUNTIFS('Profiles Tracker'!E:E,#REF!,'Profiles Tracker'!G:G,R$1)</f>
        <v>0</v>
      </c>
      <c r="S93" s="3">
        <f>COUNTIFS('Profiles Tracker'!E:E,#REF!,'Profiles Tracker'!G:G,"Interview Done",'Profiles Tracker'!O:O,"Rejected")</f>
        <v>0</v>
      </c>
      <c r="T93" s="3">
        <f>COUNTIFS('Profiles Tracker'!E:E,#REF!,'Profiles Tracker'!G:G,T$1)</f>
        <v>0</v>
      </c>
      <c r="U93" s="3">
        <f t="shared" si="32"/>
        <v>0</v>
      </c>
      <c r="V93" s="3">
        <f t="shared" si="33"/>
        <v>0</v>
      </c>
      <c r="W93" s="3">
        <f t="shared" si="34"/>
        <v>0</v>
      </c>
      <c r="X93" s="3">
        <f t="shared" si="35"/>
        <v>0</v>
      </c>
      <c r="Y93" s="3">
        <f t="shared" si="36"/>
        <v>0</v>
      </c>
      <c r="Z93" s="3">
        <f t="shared" si="37"/>
        <v>0</v>
      </c>
      <c r="AA93" s="3">
        <f t="shared" si="38"/>
        <v>0</v>
      </c>
      <c r="AB93" s="3">
        <f t="shared" si="39"/>
        <v>0</v>
      </c>
      <c r="AC93" s="16">
        <f t="shared" si="40"/>
        <v>45855</v>
      </c>
      <c r="AD93" s="16">
        <f t="shared" si="41"/>
        <v>45850</v>
      </c>
      <c r="AE93" s="16">
        <f t="shared" si="42"/>
        <v>45843</v>
      </c>
      <c r="AF93" s="18">
        <f t="shared" ca="1" si="43"/>
        <v>-37</v>
      </c>
      <c r="AG93" s="18">
        <f t="shared" ca="1" si="44"/>
        <v>-37</v>
      </c>
      <c r="AH93" s="18">
        <f t="shared" ca="1" si="45"/>
        <v>-38</v>
      </c>
      <c r="AI93" s="53" t="e">
        <f>COUNTIFS('Profiles Tracker'!E:E,#REF!,'Profiles Tracker'!G:G,Q$1,'Profiles Tracker'!#REF!,"Week 14")</f>
        <v>#REF!</v>
      </c>
      <c r="AJ93" s="52" t="e">
        <f>COUNTIFS('Profiles Tracker'!E:E,#REF!,'Profiles Tracker'!G:G,Q$1,'Profiles Tracker'!#REF!,"Week 15")</f>
        <v>#REF!</v>
      </c>
      <c r="AK93" s="52" t="e">
        <f>COUNTIFS('Profiles Tracker'!E:E,#REF!,'Profiles Tracker'!G:G,Q$1,'Profiles Tracker'!#REF!,"Week 16")</f>
        <v>#REF!</v>
      </c>
      <c r="AL93" s="52" t="e">
        <f>COUNTIFS('Profiles Tracker'!E:E,#REF!,'Profiles Tracker'!G:G,Q$1,'Profiles Tracker'!#REF!,"Week 17")</f>
        <v>#REF!</v>
      </c>
      <c r="AM93" s="52" t="e">
        <f>COUNTIFS('Profiles Tracker'!E:E,#REF!,'Profiles Tracker'!G:G,Q$1,'Profiles Tracker'!#REF!,"Week 18")</f>
        <v>#REF!</v>
      </c>
    </row>
    <row r="94" spans="1:39">
      <c r="A94" s="3">
        <f t="shared" si="31"/>
        <v>93</v>
      </c>
      <c r="B94" s="17" t="s">
        <v>38</v>
      </c>
      <c r="C94" s="17" t="s">
        <v>53</v>
      </c>
      <c r="D94" s="17"/>
      <c r="E94" s="5">
        <v>45668</v>
      </c>
      <c r="F94" s="3" t="s">
        <v>80</v>
      </c>
      <c r="G94" s="3"/>
      <c r="H94" s="16">
        <v>45900</v>
      </c>
      <c r="I94" s="3" t="s">
        <v>65</v>
      </c>
      <c r="J94" s="3" t="s">
        <v>42</v>
      </c>
      <c r="K94" s="17" t="s">
        <v>235</v>
      </c>
      <c r="L94" s="17"/>
      <c r="M94" s="4" t="s">
        <v>68</v>
      </c>
      <c r="N94" s="3">
        <f>COUNTIFS('Profiles Tracker'!E:E,#REF!,'Profiles Tracker'!G:G,"Profile shared with Interviewer")</f>
        <v>0</v>
      </c>
      <c r="O94" s="3">
        <f>COUNTIFS('Profiles Tracker'!E:E,#REF!,'Profiles Tracker'!G:G,"Shortlisted for next round of interview")</f>
        <v>0</v>
      </c>
      <c r="P94" s="3">
        <f>COUNTIFS('Profiles Tracker'!E:E,#REF!,'Profiles Tracker'!G:G,P$1)</f>
        <v>0</v>
      </c>
      <c r="Q94" s="3">
        <f>COUNTIFS('Profiles Tracker'!E:E,#REF!,'Profiles Tracker'!G:G,Q$1)</f>
        <v>0</v>
      </c>
      <c r="R94" s="3">
        <f>COUNTIFS('Profiles Tracker'!E:E,#REF!,'Profiles Tracker'!G:G,R$1)</f>
        <v>0</v>
      </c>
      <c r="S94" s="3">
        <f>COUNTIFS('Profiles Tracker'!E:E,#REF!,'Profiles Tracker'!G:G,"Interview Done",'Profiles Tracker'!O:O,"Rejected")</f>
        <v>0</v>
      </c>
      <c r="T94" s="3">
        <f>COUNTIFS('Profiles Tracker'!E:E,#REF!,'Profiles Tracker'!G:G,T$1)</f>
        <v>0</v>
      </c>
      <c r="U94" s="3">
        <f t="shared" si="32"/>
        <v>0</v>
      </c>
      <c r="V94" s="3">
        <f t="shared" si="33"/>
        <v>0</v>
      </c>
      <c r="W94" s="3">
        <f t="shared" si="34"/>
        <v>0</v>
      </c>
      <c r="X94" s="3">
        <f t="shared" si="35"/>
        <v>0</v>
      </c>
      <c r="Y94" s="3">
        <f t="shared" si="36"/>
        <v>0</v>
      </c>
      <c r="Z94" s="3">
        <f t="shared" si="37"/>
        <v>0</v>
      </c>
      <c r="AA94" s="3">
        <f t="shared" si="38"/>
        <v>0</v>
      </c>
      <c r="AB94" s="3">
        <f t="shared" si="39"/>
        <v>0</v>
      </c>
      <c r="AC94" s="16">
        <f t="shared" si="40"/>
        <v>45855</v>
      </c>
      <c r="AD94" s="16">
        <f t="shared" si="41"/>
        <v>45850</v>
      </c>
      <c r="AE94" s="16">
        <f t="shared" si="42"/>
        <v>45843</v>
      </c>
      <c r="AF94" s="18">
        <f t="shared" ca="1" si="43"/>
        <v>-37</v>
      </c>
      <c r="AG94" s="18">
        <f t="shared" ca="1" si="44"/>
        <v>-37</v>
      </c>
      <c r="AH94" s="18">
        <f t="shared" ca="1" si="45"/>
        <v>-38</v>
      </c>
      <c r="AI94" s="53" t="e">
        <f>COUNTIFS('Profiles Tracker'!E:E,#REF!,'Profiles Tracker'!G:G,Q$1,'Profiles Tracker'!#REF!,"Week 14")</f>
        <v>#REF!</v>
      </c>
      <c r="AJ94" s="52" t="e">
        <f>COUNTIFS('Profiles Tracker'!E:E,#REF!,'Profiles Tracker'!G:G,Q$1,'Profiles Tracker'!#REF!,"Week 15")</f>
        <v>#REF!</v>
      </c>
      <c r="AK94" s="52" t="e">
        <f>COUNTIFS('Profiles Tracker'!E:E,#REF!,'Profiles Tracker'!G:G,Q$1,'Profiles Tracker'!#REF!,"Week 16")</f>
        <v>#REF!</v>
      </c>
      <c r="AL94" s="52" t="e">
        <f>COUNTIFS('Profiles Tracker'!E:E,#REF!,'Profiles Tracker'!G:G,Q$1,'Profiles Tracker'!#REF!,"Week 17")</f>
        <v>#REF!</v>
      </c>
      <c r="AM94" s="52" t="e">
        <f>COUNTIFS('Profiles Tracker'!E:E,#REF!,'Profiles Tracker'!G:G,Q$1,'Profiles Tracker'!#REF!,"Week 18")</f>
        <v>#REF!</v>
      </c>
    </row>
    <row r="95" spans="1:39">
      <c r="A95" s="3">
        <f t="shared" si="31"/>
        <v>94</v>
      </c>
      <c r="B95" s="17" t="s">
        <v>38</v>
      </c>
      <c r="C95" s="17" t="s">
        <v>49</v>
      </c>
      <c r="D95" s="17"/>
      <c r="E95" s="5">
        <v>45668</v>
      </c>
      <c r="F95" s="3" t="s">
        <v>83</v>
      </c>
      <c r="G95" s="3"/>
      <c r="H95" s="16">
        <v>45900</v>
      </c>
      <c r="I95" s="3" t="s">
        <v>70</v>
      </c>
      <c r="J95" s="3" t="s">
        <v>42</v>
      </c>
      <c r="K95" s="17" t="s">
        <v>236</v>
      </c>
      <c r="L95" s="17"/>
      <c r="M95" s="4" t="s">
        <v>68</v>
      </c>
      <c r="N95" s="3">
        <f>COUNTIFS('Profiles Tracker'!E:E,#REF!,'Profiles Tracker'!G:G,"Profile shared with Interviewer")</f>
        <v>0</v>
      </c>
      <c r="O95" s="3">
        <f>COUNTIFS('Profiles Tracker'!E:E,#REF!,'Profiles Tracker'!G:G,"Shortlisted for next round of interview")</f>
        <v>0</v>
      </c>
      <c r="P95" s="3">
        <f>COUNTIFS('Profiles Tracker'!E:E,#REF!,'Profiles Tracker'!G:G,P$1)</f>
        <v>0</v>
      </c>
      <c r="Q95" s="3">
        <f>COUNTIFS('Profiles Tracker'!E:E,#REF!,'Profiles Tracker'!G:G,Q$1)</f>
        <v>0</v>
      </c>
      <c r="R95" s="3">
        <f>COUNTIFS('Profiles Tracker'!E:E,#REF!,'Profiles Tracker'!G:G,R$1)</f>
        <v>0</v>
      </c>
      <c r="S95" s="3">
        <f>COUNTIFS('Profiles Tracker'!E:E,#REF!,'Profiles Tracker'!G:G,"Interview Done",'Profiles Tracker'!O:O,"Rejected")</f>
        <v>0</v>
      </c>
      <c r="T95" s="3">
        <f>COUNTIFS('Profiles Tracker'!E:E,#REF!,'Profiles Tracker'!G:G,T$1)</f>
        <v>0</v>
      </c>
      <c r="U95" s="3">
        <f t="shared" si="32"/>
        <v>0</v>
      </c>
      <c r="V95" s="3">
        <f t="shared" si="33"/>
        <v>0</v>
      </c>
      <c r="W95" s="3">
        <f t="shared" si="34"/>
        <v>0</v>
      </c>
      <c r="X95" s="3">
        <f t="shared" si="35"/>
        <v>0</v>
      </c>
      <c r="Y95" s="3">
        <f t="shared" si="36"/>
        <v>0</v>
      </c>
      <c r="Z95" s="3">
        <f t="shared" si="37"/>
        <v>0</v>
      </c>
      <c r="AA95" s="3">
        <f t="shared" si="38"/>
        <v>0</v>
      </c>
      <c r="AB95" s="3">
        <f t="shared" si="39"/>
        <v>0</v>
      </c>
      <c r="AC95" s="16">
        <f t="shared" si="40"/>
        <v>45855</v>
      </c>
      <c r="AD95" s="16">
        <f t="shared" si="41"/>
        <v>45850</v>
      </c>
      <c r="AE95" s="16">
        <f t="shared" si="42"/>
        <v>45843</v>
      </c>
      <c r="AF95" s="18">
        <f t="shared" ca="1" si="43"/>
        <v>-37</v>
      </c>
      <c r="AG95" s="18">
        <f t="shared" ca="1" si="44"/>
        <v>-37</v>
      </c>
      <c r="AH95" s="18">
        <f t="shared" ca="1" si="45"/>
        <v>-38</v>
      </c>
      <c r="AI95" s="53" t="e">
        <f>COUNTIFS('Profiles Tracker'!E:E,#REF!,'Profiles Tracker'!G:G,Q$1,'Profiles Tracker'!#REF!,"Week 14")</f>
        <v>#REF!</v>
      </c>
      <c r="AJ95" s="52" t="e">
        <f>COUNTIFS('Profiles Tracker'!E:E,#REF!,'Profiles Tracker'!G:G,Q$1,'Profiles Tracker'!#REF!,"Week 15")</f>
        <v>#REF!</v>
      </c>
      <c r="AK95" s="52" t="e">
        <f>COUNTIFS('Profiles Tracker'!E:E,#REF!,'Profiles Tracker'!G:G,Q$1,'Profiles Tracker'!#REF!,"Week 16")</f>
        <v>#REF!</v>
      </c>
      <c r="AL95" s="52" t="e">
        <f>COUNTIFS('Profiles Tracker'!E:E,#REF!,'Profiles Tracker'!G:G,Q$1,'Profiles Tracker'!#REF!,"Week 17")</f>
        <v>#REF!</v>
      </c>
      <c r="AM95" s="52" t="e">
        <f>COUNTIFS('Profiles Tracker'!E:E,#REF!,'Profiles Tracker'!G:G,Q$1,'Profiles Tracker'!#REF!,"Week 18")</f>
        <v>#REF!</v>
      </c>
    </row>
    <row r="96" spans="1:39">
      <c r="A96" s="3">
        <f t="shared" si="31"/>
        <v>95</v>
      </c>
      <c r="B96" s="17" t="s">
        <v>38</v>
      </c>
      <c r="C96" s="17"/>
      <c r="D96" s="17"/>
      <c r="E96" s="5">
        <v>45668</v>
      </c>
      <c r="F96" s="3" t="s">
        <v>86</v>
      </c>
      <c r="G96" s="3"/>
      <c r="H96" s="16">
        <v>45900</v>
      </c>
      <c r="I96" s="3" t="s">
        <v>87</v>
      </c>
      <c r="J96" s="3" t="s">
        <v>42</v>
      </c>
      <c r="K96" s="17" t="s">
        <v>237</v>
      </c>
      <c r="L96" s="17"/>
      <c r="M96" s="4" t="s">
        <v>68</v>
      </c>
      <c r="N96" s="3">
        <f>COUNTIFS('Profiles Tracker'!E:E,#REF!,'Profiles Tracker'!G:G,"Profile shared with Interviewer")</f>
        <v>0</v>
      </c>
      <c r="O96" s="3">
        <f>COUNTIFS('Profiles Tracker'!E:E,#REF!,'Profiles Tracker'!G:G,"Shortlisted for next round of interview")</f>
        <v>0</v>
      </c>
      <c r="P96" s="3">
        <f>COUNTIFS('Profiles Tracker'!E:E,#REF!,'Profiles Tracker'!G:G,P$1)</f>
        <v>0</v>
      </c>
      <c r="Q96" s="3">
        <f>COUNTIFS('Profiles Tracker'!E:E,#REF!,'Profiles Tracker'!G:G,Q$1)</f>
        <v>0</v>
      </c>
      <c r="R96" s="3">
        <f>COUNTIFS('Profiles Tracker'!E:E,#REF!,'Profiles Tracker'!G:G,R$1)</f>
        <v>0</v>
      </c>
      <c r="S96" s="3">
        <f>COUNTIFS('Profiles Tracker'!E:E,#REF!,'Profiles Tracker'!G:G,"Interview Done",'Profiles Tracker'!O:O,"Rejected")</f>
        <v>0</v>
      </c>
      <c r="T96" s="3">
        <f>COUNTIFS('Profiles Tracker'!E:E,#REF!,'Profiles Tracker'!G:G,T$1)</f>
        <v>0</v>
      </c>
      <c r="U96" s="3">
        <f t="shared" si="32"/>
        <v>0</v>
      </c>
      <c r="V96" s="3">
        <f t="shared" si="33"/>
        <v>0</v>
      </c>
      <c r="W96" s="3">
        <f t="shared" si="34"/>
        <v>0</v>
      </c>
      <c r="X96" s="3">
        <f t="shared" si="35"/>
        <v>0</v>
      </c>
      <c r="Y96" s="3">
        <f t="shared" si="36"/>
        <v>0</v>
      </c>
      <c r="Z96" s="3">
        <f t="shared" si="37"/>
        <v>0</v>
      </c>
      <c r="AA96" s="3">
        <f t="shared" si="38"/>
        <v>0</v>
      </c>
      <c r="AB96" s="3">
        <f t="shared" si="39"/>
        <v>0</v>
      </c>
      <c r="AC96" s="16">
        <f t="shared" si="40"/>
        <v>45855</v>
      </c>
      <c r="AD96" s="16">
        <f t="shared" si="41"/>
        <v>45850</v>
      </c>
      <c r="AE96" s="16">
        <f t="shared" si="42"/>
        <v>45843</v>
      </c>
      <c r="AF96" s="18">
        <f t="shared" ca="1" si="43"/>
        <v>-37</v>
      </c>
      <c r="AG96" s="18">
        <f t="shared" ca="1" si="44"/>
        <v>-37</v>
      </c>
      <c r="AH96" s="18">
        <f t="shared" ca="1" si="45"/>
        <v>-38</v>
      </c>
      <c r="AI96" s="53" t="e">
        <f>COUNTIFS('Profiles Tracker'!E:E,#REF!,'Profiles Tracker'!G:G,Q$1,'Profiles Tracker'!#REF!,"Week 14")</f>
        <v>#REF!</v>
      </c>
      <c r="AJ96" s="52" t="e">
        <f>COUNTIFS('Profiles Tracker'!E:E,#REF!,'Profiles Tracker'!G:G,Q$1,'Profiles Tracker'!#REF!,"Week 15")</f>
        <v>#REF!</v>
      </c>
      <c r="AK96" s="52" t="e">
        <f>COUNTIFS('Profiles Tracker'!E:E,#REF!,'Profiles Tracker'!G:G,Q$1,'Profiles Tracker'!#REF!,"Week 16")</f>
        <v>#REF!</v>
      </c>
      <c r="AL96" s="52" t="e">
        <f>COUNTIFS('Profiles Tracker'!E:E,#REF!,'Profiles Tracker'!G:G,Q$1,'Profiles Tracker'!#REF!,"Week 17")</f>
        <v>#REF!</v>
      </c>
      <c r="AM96" s="52" t="e">
        <f>COUNTIFS('Profiles Tracker'!E:E,#REF!,'Profiles Tracker'!G:G,Q$1,'Profiles Tracker'!#REF!,"Week 18")</f>
        <v>#REF!</v>
      </c>
    </row>
    <row r="97" spans="1:39">
      <c r="A97" s="3">
        <f t="shared" si="31"/>
        <v>96</v>
      </c>
      <c r="B97" s="17" t="s">
        <v>38</v>
      </c>
      <c r="C97" s="17"/>
      <c r="D97" s="17"/>
      <c r="E97" s="5">
        <v>45668</v>
      </c>
      <c r="F97" s="3" t="s">
        <v>177</v>
      </c>
      <c r="G97" s="3">
        <v>20</v>
      </c>
      <c r="H97" s="16">
        <v>45900</v>
      </c>
      <c r="I97" s="3" t="s">
        <v>70</v>
      </c>
      <c r="J97" s="3" t="s">
        <v>42</v>
      </c>
      <c r="K97" s="17" t="s">
        <v>238</v>
      </c>
      <c r="L97" s="17"/>
      <c r="M97" s="4" t="s">
        <v>68</v>
      </c>
      <c r="N97" s="3">
        <f>COUNTIFS('Profiles Tracker'!E:E,#REF!,'Profiles Tracker'!G:G,"Profile shared with Interviewer")</f>
        <v>0</v>
      </c>
      <c r="O97" s="3">
        <f>COUNTIFS('Profiles Tracker'!E:E,#REF!,'Profiles Tracker'!G:G,"Shortlisted for next round of interview")</f>
        <v>0</v>
      </c>
      <c r="P97" s="3">
        <f>COUNTIFS('Profiles Tracker'!E:E,#REF!,'Profiles Tracker'!G:G,P$1)</f>
        <v>0</v>
      </c>
      <c r="Q97" s="3">
        <f>COUNTIFS('Profiles Tracker'!E:E,#REF!,'Profiles Tracker'!G:G,Q$1)</f>
        <v>0</v>
      </c>
      <c r="R97" s="3">
        <f>COUNTIFS('Profiles Tracker'!E:E,#REF!,'Profiles Tracker'!G:G,R$1)</f>
        <v>0</v>
      </c>
      <c r="S97" s="3">
        <f>COUNTIFS('Profiles Tracker'!E:E,#REF!,'Profiles Tracker'!G:G,"Interview Done",'Profiles Tracker'!O:O,"Rejected")</f>
        <v>0</v>
      </c>
      <c r="T97" s="3">
        <f>COUNTIFS('Profiles Tracker'!E:E,#REF!,'Profiles Tracker'!G:G,T$1)</f>
        <v>0</v>
      </c>
      <c r="U97" s="3">
        <f t="shared" si="32"/>
        <v>0</v>
      </c>
      <c r="V97" s="3">
        <f t="shared" si="33"/>
        <v>20</v>
      </c>
      <c r="W97" s="3">
        <f t="shared" si="34"/>
        <v>20</v>
      </c>
      <c r="X97" s="3">
        <f t="shared" si="35"/>
        <v>20</v>
      </c>
      <c r="Y97" s="3">
        <f t="shared" si="36"/>
        <v>60</v>
      </c>
      <c r="Z97" s="3">
        <f t="shared" si="37"/>
        <v>20</v>
      </c>
      <c r="AA97" s="3">
        <f t="shared" si="38"/>
        <v>20</v>
      </c>
      <c r="AB97" s="3">
        <f t="shared" si="39"/>
        <v>60</v>
      </c>
      <c r="AC97" s="16">
        <f t="shared" si="40"/>
        <v>45855</v>
      </c>
      <c r="AD97" s="16">
        <f t="shared" si="41"/>
        <v>45850</v>
      </c>
      <c r="AE97" s="16">
        <f t="shared" si="42"/>
        <v>45843</v>
      </c>
      <c r="AF97" s="18">
        <f t="shared" ca="1" si="43"/>
        <v>-37</v>
      </c>
      <c r="AG97" s="18">
        <f t="shared" ca="1" si="44"/>
        <v>-37</v>
      </c>
      <c r="AH97" s="18">
        <f t="shared" ca="1" si="45"/>
        <v>-38</v>
      </c>
      <c r="AI97" s="53" t="e">
        <f>COUNTIFS('Profiles Tracker'!E:E,#REF!,'Profiles Tracker'!G:G,Q$1,'Profiles Tracker'!#REF!,"Week 14")</f>
        <v>#REF!</v>
      </c>
      <c r="AJ97" s="52" t="e">
        <f>COUNTIFS('Profiles Tracker'!E:E,#REF!,'Profiles Tracker'!G:G,Q$1,'Profiles Tracker'!#REF!,"Week 15")</f>
        <v>#REF!</v>
      </c>
      <c r="AK97" s="52" t="e">
        <f>COUNTIFS('Profiles Tracker'!E:E,#REF!,'Profiles Tracker'!G:G,Q$1,'Profiles Tracker'!#REF!,"Week 16")</f>
        <v>#REF!</v>
      </c>
      <c r="AL97" s="52" t="e">
        <f>COUNTIFS('Profiles Tracker'!E:E,#REF!,'Profiles Tracker'!G:G,Q$1,'Profiles Tracker'!#REF!,"Week 17")</f>
        <v>#REF!</v>
      </c>
      <c r="AM97" s="52" t="e">
        <f>COUNTIFS('Profiles Tracker'!E:E,#REF!,'Profiles Tracker'!G:G,Q$1,'Profiles Tracker'!#REF!,"Week 18")</f>
        <v>#REF!</v>
      </c>
    </row>
    <row r="98" spans="1:39">
      <c r="A98" s="3">
        <f t="shared" ref="A98:A114" si="46">ROW()-1</f>
        <v>97</v>
      </c>
      <c r="B98" s="17" t="s">
        <v>38</v>
      </c>
      <c r="C98" s="17" t="s">
        <v>100</v>
      </c>
      <c r="D98" s="17"/>
      <c r="E98" s="5">
        <v>45668</v>
      </c>
      <c r="F98" s="3" t="s">
        <v>101</v>
      </c>
      <c r="G98" s="3"/>
      <c r="H98" s="16">
        <v>45900</v>
      </c>
      <c r="I98" s="22" t="s">
        <v>190</v>
      </c>
      <c r="J98" s="3" t="s">
        <v>42</v>
      </c>
      <c r="K98" s="17" t="s">
        <v>239</v>
      </c>
      <c r="L98" s="17"/>
      <c r="M98" s="4" t="s">
        <v>45</v>
      </c>
      <c r="N98" s="3">
        <f>COUNTIFS('Profiles Tracker'!E:E,#REF!,'Profiles Tracker'!G:G,"Profile shared with Interviewer")</f>
        <v>0</v>
      </c>
      <c r="O98" s="3">
        <f>COUNTIFS('Profiles Tracker'!E:E,#REF!,'Profiles Tracker'!G:G,"Shortlisted for next round of interview")</f>
        <v>0</v>
      </c>
      <c r="P98" s="3">
        <f>COUNTIFS('Profiles Tracker'!E:E,#REF!,'Profiles Tracker'!G:G,P$1)</f>
        <v>0</v>
      </c>
      <c r="Q98" s="3">
        <f>COUNTIFS('Profiles Tracker'!E:E,#REF!,'Profiles Tracker'!G:G,Q$1)</f>
        <v>0</v>
      </c>
      <c r="R98" s="3">
        <f>COUNTIFS('Profiles Tracker'!E:E,#REF!,'Profiles Tracker'!G:G,R$1)</f>
        <v>0</v>
      </c>
      <c r="S98" s="3">
        <f>COUNTIFS('Profiles Tracker'!E:E,#REF!,'Profiles Tracker'!G:G,"Interview Done",'Profiles Tracker'!O:O,"Rejected")</f>
        <v>0</v>
      </c>
      <c r="T98" s="3">
        <f>COUNTIFS('Profiles Tracker'!E:E,#REF!,'Profiles Tracker'!G:G,T$1)</f>
        <v>0</v>
      </c>
      <c r="U98" s="3">
        <f t="shared" si="32"/>
        <v>0</v>
      </c>
      <c r="V98" s="3">
        <f t="shared" si="33"/>
        <v>0</v>
      </c>
      <c r="W98" s="3">
        <f t="shared" si="34"/>
        <v>0</v>
      </c>
      <c r="X98" s="3">
        <f t="shared" si="35"/>
        <v>0</v>
      </c>
      <c r="Y98" s="3">
        <f t="shared" si="36"/>
        <v>0</v>
      </c>
      <c r="Z98" s="3">
        <f t="shared" si="37"/>
        <v>0</v>
      </c>
      <c r="AA98" s="3">
        <f t="shared" si="38"/>
        <v>0</v>
      </c>
      <c r="AB98" s="3">
        <f t="shared" si="39"/>
        <v>0</v>
      </c>
      <c r="AC98" s="16">
        <f t="shared" si="40"/>
        <v>45840</v>
      </c>
      <c r="AD98" s="16">
        <f t="shared" si="41"/>
        <v>45835</v>
      </c>
      <c r="AE98" s="16">
        <f t="shared" si="42"/>
        <v>45828</v>
      </c>
      <c r="AF98" s="18">
        <f t="shared" ca="1" si="43"/>
        <v>-39</v>
      </c>
      <c r="AG98" s="18">
        <f t="shared" ca="1" si="44"/>
        <v>-40</v>
      </c>
      <c r="AH98" s="18">
        <f t="shared" ca="1" si="45"/>
        <v>-41</v>
      </c>
      <c r="AI98" s="53" t="e">
        <f>COUNTIFS('Profiles Tracker'!E:E,#REF!,'Profiles Tracker'!G:G,Q$1,'Profiles Tracker'!#REF!,"Week 14")</f>
        <v>#REF!</v>
      </c>
      <c r="AJ98" s="52" t="e">
        <f>COUNTIFS('Profiles Tracker'!E:E,#REF!,'Profiles Tracker'!G:G,Q$1,'Profiles Tracker'!#REF!,"Week 15")</f>
        <v>#REF!</v>
      </c>
      <c r="AK98" s="52" t="e">
        <f>COUNTIFS('Profiles Tracker'!E:E,#REF!,'Profiles Tracker'!G:G,Q$1,'Profiles Tracker'!#REF!,"Week 16")</f>
        <v>#REF!</v>
      </c>
      <c r="AL98" s="52" t="e">
        <f>COUNTIFS('Profiles Tracker'!E:E,#REF!,'Profiles Tracker'!G:G,Q$1,'Profiles Tracker'!#REF!,"Week 17")</f>
        <v>#REF!</v>
      </c>
      <c r="AM98" s="52" t="e">
        <f>COUNTIFS('Profiles Tracker'!E:E,#REF!,'Profiles Tracker'!G:G,Q$1,'Profiles Tracker'!#REF!,"Week 18")</f>
        <v>#REF!</v>
      </c>
    </row>
    <row r="99" spans="1:39">
      <c r="A99" s="3">
        <f t="shared" si="46"/>
        <v>98</v>
      </c>
      <c r="B99" s="17" t="s">
        <v>38</v>
      </c>
      <c r="C99" s="17" t="s">
        <v>100</v>
      </c>
      <c r="D99" s="17"/>
      <c r="E99" s="5">
        <v>45668</v>
      </c>
      <c r="F99" s="3" t="s">
        <v>105</v>
      </c>
      <c r="G99" s="3"/>
      <c r="H99" s="16">
        <v>45900</v>
      </c>
      <c r="I99" s="22" t="s">
        <v>190</v>
      </c>
      <c r="J99" s="3" t="s">
        <v>42</v>
      </c>
      <c r="K99" s="17" t="s">
        <v>240</v>
      </c>
      <c r="L99" s="17"/>
      <c r="M99" s="4" t="s">
        <v>68</v>
      </c>
      <c r="N99" s="3">
        <f>COUNTIFS('Profiles Tracker'!E:E,#REF!,'Profiles Tracker'!G:G,"Profile shared with Interviewer")</f>
        <v>0</v>
      </c>
      <c r="O99" s="3">
        <f>COUNTIFS('Profiles Tracker'!E:E,#REF!,'Profiles Tracker'!G:G,"Shortlisted for next round of interview")</f>
        <v>0</v>
      </c>
      <c r="P99" s="3">
        <f>COUNTIFS('Profiles Tracker'!E:E,#REF!,'Profiles Tracker'!G:G,P$1)</f>
        <v>0</v>
      </c>
      <c r="Q99" s="3">
        <f>COUNTIFS('Profiles Tracker'!E:E,#REF!,'Profiles Tracker'!G:G,Q$1)</f>
        <v>0</v>
      </c>
      <c r="R99" s="3">
        <f>COUNTIFS('Profiles Tracker'!E:E,#REF!,'Profiles Tracker'!G:G,R$1)</f>
        <v>0</v>
      </c>
      <c r="S99" s="3">
        <f>COUNTIFS('Profiles Tracker'!E:E,#REF!,'Profiles Tracker'!G:G,"Interview Done",'Profiles Tracker'!O:O,"Rejected")</f>
        <v>0</v>
      </c>
      <c r="T99" s="3">
        <f>COUNTIFS('Profiles Tracker'!E:E,#REF!,'Profiles Tracker'!G:G,T$1)</f>
        <v>0</v>
      </c>
      <c r="U99" s="3">
        <f t="shared" si="32"/>
        <v>0</v>
      </c>
      <c r="V99" s="3">
        <f t="shared" si="33"/>
        <v>0</v>
      </c>
      <c r="W99" s="3">
        <f t="shared" si="34"/>
        <v>0</v>
      </c>
      <c r="X99" s="3">
        <f t="shared" si="35"/>
        <v>0</v>
      </c>
      <c r="Y99" s="3">
        <f t="shared" si="36"/>
        <v>0</v>
      </c>
      <c r="Z99" s="3">
        <f t="shared" si="37"/>
        <v>0</v>
      </c>
      <c r="AA99" s="3">
        <f t="shared" si="38"/>
        <v>0</v>
      </c>
      <c r="AB99" s="3">
        <f t="shared" si="39"/>
        <v>0</v>
      </c>
      <c r="AC99" s="16">
        <f t="shared" si="40"/>
        <v>45855</v>
      </c>
      <c r="AD99" s="16">
        <f t="shared" si="41"/>
        <v>45850</v>
      </c>
      <c r="AE99" s="16">
        <f t="shared" si="42"/>
        <v>45843</v>
      </c>
      <c r="AF99" s="18">
        <f t="shared" ca="1" si="43"/>
        <v>-37</v>
      </c>
      <c r="AG99" s="18">
        <f t="shared" ca="1" si="44"/>
        <v>-37</v>
      </c>
      <c r="AH99" s="18">
        <f t="shared" ca="1" si="45"/>
        <v>-38</v>
      </c>
      <c r="AI99" s="53" t="e">
        <f>COUNTIFS('Profiles Tracker'!E:E,#REF!,'Profiles Tracker'!G:G,Q$1,'Profiles Tracker'!#REF!,"Week 14")</f>
        <v>#REF!</v>
      </c>
      <c r="AJ99" s="52" t="e">
        <f>COUNTIFS('Profiles Tracker'!E:E,#REF!,'Profiles Tracker'!G:G,Q$1,'Profiles Tracker'!#REF!,"Week 15")</f>
        <v>#REF!</v>
      </c>
      <c r="AK99" s="52" t="e">
        <f>COUNTIFS('Profiles Tracker'!E:E,#REF!,'Profiles Tracker'!G:G,Q$1,'Profiles Tracker'!#REF!,"Week 16")</f>
        <v>#REF!</v>
      </c>
      <c r="AL99" s="52" t="e">
        <f>COUNTIFS('Profiles Tracker'!E:E,#REF!,'Profiles Tracker'!G:G,Q$1,'Profiles Tracker'!#REF!,"Week 17")</f>
        <v>#REF!</v>
      </c>
      <c r="AM99" s="52" t="e">
        <f>COUNTIFS('Profiles Tracker'!E:E,#REF!,'Profiles Tracker'!G:G,Q$1,'Profiles Tracker'!#REF!,"Week 18")</f>
        <v>#REF!</v>
      </c>
    </row>
    <row r="100" spans="1:39">
      <c r="A100" s="3">
        <f t="shared" si="46"/>
        <v>99</v>
      </c>
      <c r="B100" s="17" t="s">
        <v>38</v>
      </c>
      <c r="C100" s="17" t="s">
        <v>100</v>
      </c>
      <c r="D100" s="17"/>
      <c r="E100" s="5">
        <v>45668</v>
      </c>
      <c r="F100" s="3" t="s">
        <v>189</v>
      </c>
      <c r="G100" s="3"/>
      <c r="H100" s="16">
        <v>45900</v>
      </c>
      <c r="I100" s="22" t="s">
        <v>190</v>
      </c>
      <c r="J100" s="3" t="s">
        <v>42</v>
      </c>
      <c r="K100" s="17" t="s">
        <v>241</v>
      </c>
      <c r="L100" s="17"/>
      <c r="M100" s="4" t="s">
        <v>68</v>
      </c>
      <c r="N100" s="3">
        <f>COUNTIFS('Profiles Tracker'!E:E,#REF!,'Profiles Tracker'!G:G,"Profile shared with Interviewer")</f>
        <v>0</v>
      </c>
      <c r="O100" s="3">
        <f>COUNTIFS('Profiles Tracker'!E:E,#REF!,'Profiles Tracker'!G:G,"Shortlisted for next round of interview")</f>
        <v>0</v>
      </c>
      <c r="P100" s="3">
        <f>COUNTIFS('Profiles Tracker'!E:E,#REF!,'Profiles Tracker'!G:G,P$1)</f>
        <v>0</v>
      </c>
      <c r="Q100" s="3">
        <f>COUNTIFS('Profiles Tracker'!E:E,#REF!,'Profiles Tracker'!G:G,Q$1)</f>
        <v>0</v>
      </c>
      <c r="R100" s="3">
        <f>COUNTIFS('Profiles Tracker'!E:E,#REF!,'Profiles Tracker'!G:G,R$1)</f>
        <v>0</v>
      </c>
      <c r="S100" s="3">
        <f>COUNTIFS('Profiles Tracker'!E:E,#REF!,'Profiles Tracker'!G:G,"Interview Done",'Profiles Tracker'!O:O,"Rejected")</f>
        <v>0</v>
      </c>
      <c r="T100" s="3">
        <f>COUNTIFS('Profiles Tracker'!E:E,#REF!,'Profiles Tracker'!G:G,T$1)</f>
        <v>0</v>
      </c>
      <c r="U100" s="3">
        <f t="shared" si="32"/>
        <v>0</v>
      </c>
      <c r="V100" s="3">
        <f t="shared" si="33"/>
        <v>0</v>
      </c>
      <c r="W100" s="3">
        <f t="shared" si="34"/>
        <v>0</v>
      </c>
      <c r="X100" s="3">
        <f t="shared" si="35"/>
        <v>0</v>
      </c>
      <c r="Y100" s="3">
        <f t="shared" si="36"/>
        <v>0</v>
      </c>
      <c r="Z100" s="3">
        <f t="shared" si="37"/>
        <v>0</v>
      </c>
      <c r="AA100" s="3">
        <f t="shared" si="38"/>
        <v>0</v>
      </c>
      <c r="AB100" s="3">
        <f t="shared" si="39"/>
        <v>0</v>
      </c>
      <c r="AC100" s="16">
        <f t="shared" si="40"/>
        <v>45855</v>
      </c>
      <c r="AD100" s="16">
        <f t="shared" si="41"/>
        <v>45850</v>
      </c>
      <c r="AE100" s="16">
        <f t="shared" si="42"/>
        <v>45843</v>
      </c>
      <c r="AF100" s="18">
        <f t="shared" ca="1" si="43"/>
        <v>-37</v>
      </c>
      <c r="AG100" s="18">
        <f t="shared" ca="1" si="44"/>
        <v>-37</v>
      </c>
      <c r="AH100" s="18">
        <f t="shared" ca="1" si="45"/>
        <v>-38</v>
      </c>
      <c r="AI100" s="53" t="e">
        <f>COUNTIFS('Profiles Tracker'!E:E,#REF!,'Profiles Tracker'!G:G,Q$1,'Profiles Tracker'!#REF!,"Week 14")</f>
        <v>#REF!</v>
      </c>
      <c r="AJ100" s="52" t="e">
        <f>COUNTIFS('Profiles Tracker'!E:E,#REF!,'Profiles Tracker'!G:G,Q$1,'Profiles Tracker'!#REF!,"Week 15")</f>
        <v>#REF!</v>
      </c>
      <c r="AK100" s="52" t="e">
        <f>COUNTIFS('Profiles Tracker'!E:E,#REF!,'Profiles Tracker'!G:G,Q$1,'Profiles Tracker'!#REF!,"Week 16")</f>
        <v>#REF!</v>
      </c>
      <c r="AL100" s="52" t="e">
        <f>COUNTIFS('Profiles Tracker'!E:E,#REF!,'Profiles Tracker'!G:G,Q$1,'Profiles Tracker'!#REF!,"Week 17")</f>
        <v>#REF!</v>
      </c>
      <c r="AM100" s="52" t="e">
        <f>COUNTIFS('Profiles Tracker'!E:E,#REF!,'Profiles Tracker'!G:G,Q$1,'Profiles Tracker'!#REF!,"Week 18")</f>
        <v>#REF!</v>
      </c>
    </row>
    <row r="101" spans="1:39">
      <c r="A101" s="3">
        <f t="shared" si="46"/>
        <v>100</v>
      </c>
      <c r="B101" s="17" t="s">
        <v>38</v>
      </c>
      <c r="C101" s="17" t="s">
        <v>100</v>
      </c>
      <c r="D101" s="17"/>
      <c r="E101" s="5">
        <v>45668</v>
      </c>
      <c r="F101" s="3" t="s">
        <v>111</v>
      </c>
      <c r="G101" s="3"/>
      <c r="H101" s="16">
        <v>45900</v>
      </c>
      <c r="I101" s="22" t="s">
        <v>190</v>
      </c>
      <c r="J101" s="3" t="s">
        <v>42</v>
      </c>
      <c r="K101" s="17" t="s">
        <v>242</v>
      </c>
      <c r="L101" s="17"/>
      <c r="M101" s="4" t="s">
        <v>68</v>
      </c>
      <c r="N101" s="3">
        <f>COUNTIFS('Profiles Tracker'!E:E,#REF!,'Profiles Tracker'!G:G,"Profile shared with Interviewer")</f>
        <v>0</v>
      </c>
      <c r="O101" s="3">
        <f>COUNTIFS('Profiles Tracker'!E:E,#REF!,'Profiles Tracker'!G:G,"Shortlisted for next round of interview")</f>
        <v>0</v>
      </c>
      <c r="P101" s="3">
        <f>COUNTIFS('Profiles Tracker'!E:E,#REF!,'Profiles Tracker'!G:G,P$1)</f>
        <v>0</v>
      </c>
      <c r="Q101" s="3">
        <f>COUNTIFS('Profiles Tracker'!E:E,#REF!,'Profiles Tracker'!G:G,Q$1)</f>
        <v>0</v>
      </c>
      <c r="R101" s="3">
        <f>COUNTIFS('Profiles Tracker'!E:E,#REF!,'Profiles Tracker'!G:G,R$1)</f>
        <v>0</v>
      </c>
      <c r="S101" s="3">
        <f>COUNTIFS('Profiles Tracker'!E:E,#REF!,'Profiles Tracker'!G:G,"Interview Done",'Profiles Tracker'!O:O,"Rejected")</f>
        <v>0</v>
      </c>
      <c r="T101" s="3">
        <f>COUNTIFS('Profiles Tracker'!E:E,#REF!,'Profiles Tracker'!G:G,T$1)</f>
        <v>0</v>
      </c>
      <c r="U101" s="3">
        <f t="shared" si="32"/>
        <v>0</v>
      </c>
      <c r="V101" s="3">
        <f t="shared" si="33"/>
        <v>0</v>
      </c>
      <c r="W101" s="3">
        <f t="shared" si="34"/>
        <v>0</v>
      </c>
      <c r="X101" s="3">
        <f t="shared" si="35"/>
        <v>0</v>
      </c>
      <c r="Y101" s="3">
        <f t="shared" si="36"/>
        <v>0</v>
      </c>
      <c r="Z101" s="3">
        <f t="shared" si="37"/>
        <v>0</v>
      </c>
      <c r="AA101" s="3">
        <f t="shared" si="38"/>
        <v>0</v>
      </c>
      <c r="AB101" s="3">
        <f t="shared" si="39"/>
        <v>0</v>
      </c>
      <c r="AC101" s="16">
        <f t="shared" si="40"/>
        <v>45855</v>
      </c>
      <c r="AD101" s="16">
        <f t="shared" si="41"/>
        <v>45850</v>
      </c>
      <c r="AE101" s="16">
        <f t="shared" si="42"/>
        <v>45843</v>
      </c>
      <c r="AF101" s="18">
        <f t="shared" ca="1" si="43"/>
        <v>-37</v>
      </c>
      <c r="AG101" s="18">
        <f t="shared" ca="1" si="44"/>
        <v>-37</v>
      </c>
      <c r="AH101" s="18">
        <f t="shared" ca="1" si="45"/>
        <v>-38</v>
      </c>
      <c r="AI101" s="53" t="e">
        <f>COUNTIFS('Profiles Tracker'!E:E,#REF!,'Profiles Tracker'!G:G,Q$1,'Profiles Tracker'!#REF!,"Week 14")</f>
        <v>#REF!</v>
      </c>
      <c r="AJ101" s="52" t="e">
        <f>COUNTIFS('Profiles Tracker'!E:E,#REF!,'Profiles Tracker'!G:G,Q$1,'Profiles Tracker'!#REF!,"Week 15")</f>
        <v>#REF!</v>
      </c>
      <c r="AK101" s="52" t="e">
        <f>COUNTIFS('Profiles Tracker'!E:E,#REF!,'Profiles Tracker'!G:G,Q$1,'Profiles Tracker'!#REF!,"Week 16")</f>
        <v>#REF!</v>
      </c>
      <c r="AL101" s="52" t="e">
        <f>COUNTIFS('Profiles Tracker'!E:E,#REF!,'Profiles Tracker'!G:G,Q$1,'Profiles Tracker'!#REF!,"Week 17")</f>
        <v>#REF!</v>
      </c>
      <c r="AM101" s="52" t="e">
        <f>COUNTIFS('Profiles Tracker'!E:E,#REF!,'Profiles Tracker'!G:G,Q$1,'Profiles Tracker'!#REF!,"Week 18")</f>
        <v>#REF!</v>
      </c>
    </row>
    <row r="102" spans="1:39">
      <c r="A102" s="3">
        <f t="shared" si="46"/>
        <v>101</v>
      </c>
      <c r="B102" s="17" t="s">
        <v>38</v>
      </c>
      <c r="C102" s="17" t="s">
        <v>114</v>
      </c>
      <c r="D102" s="17"/>
      <c r="E102" s="5">
        <v>45668</v>
      </c>
      <c r="F102" s="3" t="s">
        <v>122</v>
      </c>
      <c r="G102" s="3"/>
      <c r="H102" s="16">
        <v>45900</v>
      </c>
      <c r="I102" s="3" t="s">
        <v>116</v>
      </c>
      <c r="J102" s="3" t="s">
        <v>42</v>
      </c>
      <c r="K102" s="17" t="s">
        <v>243</v>
      </c>
      <c r="L102" s="17"/>
      <c r="M102" s="4" t="s">
        <v>68</v>
      </c>
      <c r="N102" s="3">
        <f>COUNTIFS('Profiles Tracker'!E:E,#REF!,'Profiles Tracker'!G:G,"Profile shared with Interviewer")</f>
        <v>0</v>
      </c>
      <c r="O102" s="3">
        <f>COUNTIFS('Profiles Tracker'!E:E,#REF!,'Profiles Tracker'!G:G,"Shortlisted for next round of interview")</f>
        <v>0</v>
      </c>
      <c r="P102" s="3">
        <f>COUNTIFS('Profiles Tracker'!E:E,#REF!,'Profiles Tracker'!G:G,P$1)</f>
        <v>0</v>
      </c>
      <c r="Q102" s="3">
        <f>COUNTIFS('Profiles Tracker'!E:E,#REF!,'Profiles Tracker'!G:G,Q$1)</f>
        <v>0</v>
      </c>
      <c r="R102" s="3">
        <f>COUNTIFS('Profiles Tracker'!E:E,#REF!,'Profiles Tracker'!G:G,R$1)</f>
        <v>0</v>
      </c>
      <c r="S102" s="3">
        <f>COUNTIFS('Profiles Tracker'!E:E,#REF!,'Profiles Tracker'!G:G,"Interview Done",'Profiles Tracker'!O:O,"Rejected")</f>
        <v>0</v>
      </c>
      <c r="T102" s="3">
        <f>COUNTIFS('Profiles Tracker'!E:E,#REF!,'Profiles Tracker'!G:G,T$1)</f>
        <v>0</v>
      </c>
      <c r="U102" s="3">
        <f t="shared" si="32"/>
        <v>0</v>
      </c>
      <c r="V102" s="3">
        <f t="shared" si="33"/>
        <v>0</v>
      </c>
      <c r="W102" s="3">
        <f t="shared" si="34"/>
        <v>0</v>
      </c>
      <c r="X102" s="3">
        <f t="shared" si="35"/>
        <v>0</v>
      </c>
      <c r="Y102" s="3">
        <f t="shared" si="36"/>
        <v>0</v>
      </c>
      <c r="Z102" s="3">
        <f t="shared" si="37"/>
        <v>0</v>
      </c>
      <c r="AA102" s="3">
        <f t="shared" si="38"/>
        <v>0</v>
      </c>
      <c r="AB102" s="3">
        <f t="shared" si="39"/>
        <v>0</v>
      </c>
      <c r="AC102" s="16">
        <f t="shared" si="40"/>
        <v>45855</v>
      </c>
      <c r="AD102" s="16">
        <f t="shared" si="41"/>
        <v>45850</v>
      </c>
      <c r="AE102" s="16">
        <f t="shared" si="42"/>
        <v>45843</v>
      </c>
      <c r="AF102" s="18">
        <f t="shared" ca="1" si="43"/>
        <v>-37</v>
      </c>
      <c r="AG102" s="18">
        <f t="shared" ca="1" si="44"/>
        <v>-37</v>
      </c>
      <c r="AH102" s="18">
        <f t="shared" ca="1" si="45"/>
        <v>-38</v>
      </c>
      <c r="AI102" s="53" t="e">
        <f>COUNTIFS('Profiles Tracker'!E:E,#REF!,'Profiles Tracker'!G:G,Q$1,'Profiles Tracker'!#REF!,"Week 14")</f>
        <v>#REF!</v>
      </c>
      <c r="AJ102" s="52" t="e">
        <f>COUNTIFS('Profiles Tracker'!E:E,#REF!,'Profiles Tracker'!G:G,Q$1,'Profiles Tracker'!#REF!,"Week 15")</f>
        <v>#REF!</v>
      </c>
      <c r="AK102" s="52" t="e">
        <f>COUNTIFS('Profiles Tracker'!E:E,#REF!,'Profiles Tracker'!G:G,Q$1,'Profiles Tracker'!#REF!,"Week 16")</f>
        <v>#REF!</v>
      </c>
      <c r="AL102" s="52" t="e">
        <f>COUNTIFS('Profiles Tracker'!E:E,#REF!,'Profiles Tracker'!G:G,Q$1,'Profiles Tracker'!#REF!,"Week 17")</f>
        <v>#REF!</v>
      </c>
      <c r="AM102" s="52" t="e">
        <f>COUNTIFS('Profiles Tracker'!E:E,#REF!,'Profiles Tracker'!G:G,Q$1,'Profiles Tracker'!#REF!,"Week 18")</f>
        <v>#REF!</v>
      </c>
    </row>
    <row r="103" spans="1:39">
      <c r="A103" s="3">
        <f t="shared" si="46"/>
        <v>102</v>
      </c>
      <c r="B103" s="17" t="s">
        <v>38</v>
      </c>
      <c r="C103" s="17" t="s">
        <v>114</v>
      </c>
      <c r="D103" s="17"/>
      <c r="E103" s="5">
        <v>45668</v>
      </c>
      <c r="F103" s="3" t="s">
        <v>125</v>
      </c>
      <c r="G103" s="3"/>
      <c r="H103" s="16">
        <v>45900</v>
      </c>
      <c r="I103" s="3" t="s">
        <v>116</v>
      </c>
      <c r="J103" s="3" t="s">
        <v>42</v>
      </c>
      <c r="K103" s="17" t="s">
        <v>244</v>
      </c>
      <c r="L103" s="17"/>
      <c r="M103" s="4" t="s">
        <v>68</v>
      </c>
      <c r="N103" s="3">
        <f>COUNTIFS('Profiles Tracker'!E:E,#REF!,'Profiles Tracker'!G:G,"Profile shared with Interviewer")</f>
        <v>0</v>
      </c>
      <c r="O103" s="3">
        <f>COUNTIFS('Profiles Tracker'!E:E,#REF!,'Profiles Tracker'!G:G,"Shortlisted for next round of interview")</f>
        <v>0</v>
      </c>
      <c r="P103" s="3">
        <f>COUNTIFS('Profiles Tracker'!E:E,#REF!,'Profiles Tracker'!G:G,P$1)</f>
        <v>0</v>
      </c>
      <c r="Q103" s="3">
        <f>COUNTIFS('Profiles Tracker'!E:E,#REF!,'Profiles Tracker'!G:G,Q$1)</f>
        <v>0</v>
      </c>
      <c r="R103" s="3">
        <f>COUNTIFS('Profiles Tracker'!E:E,#REF!,'Profiles Tracker'!G:G,R$1)</f>
        <v>0</v>
      </c>
      <c r="S103" s="3">
        <f>COUNTIFS('Profiles Tracker'!E:E,#REF!,'Profiles Tracker'!G:G,"Interview Done",'Profiles Tracker'!O:O,"Rejected")</f>
        <v>0</v>
      </c>
      <c r="T103" s="3">
        <f>COUNTIFS('Profiles Tracker'!E:E,#REF!,'Profiles Tracker'!G:G,T$1)</f>
        <v>0</v>
      </c>
      <c r="U103" s="3">
        <f t="shared" si="32"/>
        <v>0</v>
      </c>
      <c r="V103" s="3">
        <f t="shared" si="33"/>
        <v>0</v>
      </c>
      <c r="W103" s="3">
        <f t="shared" si="34"/>
        <v>0</v>
      </c>
      <c r="X103" s="3">
        <f t="shared" si="35"/>
        <v>0</v>
      </c>
      <c r="Y103" s="3">
        <f t="shared" si="36"/>
        <v>0</v>
      </c>
      <c r="Z103" s="3">
        <f t="shared" si="37"/>
        <v>0</v>
      </c>
      <c r="AA103" s="3">
        <f t="shared" si="38"/>
        <v>0</v>
      </c>
      <c r="AB103" s="3">
        <f t="shared" si="39"/>
        <v>0</v>
      </c>
      <c r="AC103" s="16">
        <f t="shared" si="40"/>
        <v>45855</v>
      </c>
      <c r="AD103" s="16">
        <f t="shared" si="41"/>
        <v>45850</v>
      </c>
      <c r="AE103" s="16">
        <f t="shared" si="42"/>
        <v>45843</v>
      </c>
      <c r="AF103" s="18">
        <f t="shared" ca="1" si="43"/>
        <v>-37</v>
      </c>
      <c r="AG103" s="18">
        <f t="shared" ca="1" si="44"/>
        <v>-37</v>
      </c>
      <c r="AH103" s="18">
        <f t="shared" ca="1" si="45"/>
        <v>-38</v>
      </c>
      <c r="AI103" s="53" t="e">
        <f>COUNTIFS('Profiles Tracker'!E:E,#REF!,'Profiles Tracker'!G:G,Q$1,'Profiles Tracker'!#REF!,"Week 14")</f>
        <v>#REF!</v>
      </c>
      <c r="AJ103" s="52" t="e">
        <f>COUNTIFS('Profiles Tracker'!E:E,#REF!,'Profiles Tracker'!G:G,Q$1,'Profiles Tracker'!#REF!,"Week 15")</f>
        <v>#REF!</v>
      </c>
      <c r="AK103" s="52" t="e">
        <f>COUNTIFS('Profiles Tracker'!E:E,#REF!,'Profiles Tracker'!G:G,Q$1,'Profiles Tracker'!#REF!,"Week 16")</f>
        <v>#REF!</v>
      </c>
      <c r="AL103" s="52" t="e">
        <f>COUNTIFS('Profiles Tracker'!E:E,#REF!,'Profiles Tracker'!G:G,Q$1,'Profiles Tracker'!#REF!,"Week 17")</f>
        <v>#REF!</v>
      </c>
      <c r="AM103" s="52" t="e">
        <f>COUNTIFS('Profiles Tracker'!E:E,#REF!,'Profiles Tracker'!G:G,Q$1,'Profiles Tracker'!#REF!,"Week 18")</f>
        <v>#REF!</v>
      </c>
    </row>
    <row r="104" spans="1:39">
      <c r="A104" s="3">
        <f t="shared" si="46"/>
        <v>103</v>
      </c>
      <c r="B104" s="17" t="s">
        <v>38</v>
      </c>
      <c r="C104" s="17"/>
      <c r="D104" s="17" t="s">
        <v>245</v>
      </c>
      <c r="E104" s="34">
        <v>45668</v>
      </c>
      <c r="F104" s="17" t="s">
        <v>245</v>
      </c>
      <c r="G104" s="17">
        <v>9</v>
      </c>
      <c r="H104" s="16">
        <v>45716</v>
      </c>
      <c r="I104" s="17" t="s">
        <v>42</v>
      </c>
      <c r="J104" s="3" t="s">
        <v>42</v>
      </c>
      <c r="K104" s="17" t="s">
        <v>246</v>
      </c>
      <c r="L104" s="17"/>
      <c r="M104" s="4" t="s">
        <v>68</v>
      </c>
      <c r="N104" s="3">
        <f>COUNTIFS('Profiles Tracker'!E:E,#REF!,'Profiles Tracker'!G:G,"Profile shared with Interviewer")</f>
        <v>0</v>
      </c>
      <c r="O104" s="3">
        <f>COUNTIFS('Profiles Tracker'!E:E,#REF!,'Profiles Tracker'!G:G,"Shortlisted for next round of interview")</f>
        <v>0</v>
      </c>
      <c r="P104" s="3">
        <f>COUNTIFS('Profiles Tracker'!E:E,#REF!,'Profiles Tracker'!G:G,P$1)</f>
        <v>0</v>
      </c>
      <c r="Q104" s="3">
        <f>COUNTIFS('Profiles Tracker'!E:E,#REF!,'Profiles Tracker'!G:G,Q$1)</f>
        <v>0</v>
      </c>
      <c r="R104" s="3">
        <f>COUNTIFS('Profiles Tracker'!E:E,#REF!,'Profiles Tracker'!G:G,R$1)</f>
        <v>0</v>
      </c>
      <c r="S104" s="3">
        <f>COUNTIFS('Profiles Tracker'!E:E,#REF!,'Profiles Tracker'!G:G,"Interview Done",'Profiles Tracker'!O:O,"Rejected")</f>
        <v>0</v>
      </c>
      <c r="T104" s="3">
        <f>COUNTIFS('Profiles Tracker'!E:E,#REF!,'Profiles Tracker'!G:G,T$1)</f>
        <v>0</v>
      </c>
      <c r="U104" s="3">
        <f t="shared" ref="U104:U118" si="47">N104+P104+Q104+R104+S104+T104</f>
        <v>0</v>
      </c>
      <c r="V104" s="3">
        <f t="shared" ref="V104:V118" si="48">IF((G104-R104-Q104)&lt;1,0,G104-R104-Q104)</f>
        <v>9</v>
      </c>
      <c r="W104" s="3">
        <f t="shared" ref="W104:W117" si="49">FLOOR(G104,1)</f>
        <v>9</v>
      </c>
      <c r="X104" s="3">
        <f t="shared" ref="X104:X117" si="50">FLOOR(W104,1)</f>
        <v>9</v>
      </c>
      <c r="Y104" s="3">
        <f t="shared" ref="Y104:Y117" si="51">X104*3</f>
        <v>27</v>
      </c>
      <c r="Z104" s="3">
        <f t="shared" ref="Z104:Z117" si="52">IF(W104-SUM(Q104:R104)&lt;1,0,W104-SUM(Q104:R104))</f>
        <v>9</v>
      </c>
      <c r="AA104" s="3">
        <f t="shared" ref="AA104:AA117" si="53">IF(X104-SUM(P104:R104)&lt;1,0,X104-SUM(P104:R104))</f>
        <v>9</v>
      </c>
      <c r="AB104" s="3">
        <f t="shared" ref="AB104:AB117" si="54">IF(AA104*3-N104&lt;1,0,AA104*3-N104)</f>
        <v>27</v>
      </c>
      <c r="AC104" s="16">
        <f t="shared" ref="AC104:AC114" si="55">IF(M104="APM Below",H104-45,IF(M104="APM &amp; Above", H104-60,H104-90))</f>
        <v>45671</v>
      </c>
      <c r="AD104" s="16">
        <f t="shared" ref="AD104:AD117" si="56">IFERROR(AC104-5,"NA")</f>
        <v>45666</v>
      </c>
      <c r="AE104" s="16">
        <f t="shared" ref="AE104:AE117" si="57">IFERROR(AD104-7,"NA")</f>
        <v>45659</v>
      </c>
      <c r="AF104" s="18">
        <f t="shared" ref="AF104:AF117" ca="1" si="58">CEILING((AC104-TODAY())/7,1)</f>
        <v>-63</v>
      </c>
      <c r="AG104" s="18">
        <f t="shared" ref="AG104:AG117" ca="1" si="59">CEILING((AD104-TODAY())/7,1)</f>
        <v>-64</v>
      </c>
      <c r="AH104" s="18">
        <f t="shared" ref="AH104:AH117" ca="1" si="60">CEILING((AE104-TODAY())/7,1)</f>
        <v>-65</v>
      </c>
      <c r="AI104" s="53" t="e">
        <f>COUNTIFS('Profiles Tracker'!E:E,#REF!,'Profiles Tracker'!G:G,Q$1,'Profiles Tracker'!#REF!,"Week 14")</f>
        <v>#REF!</v>
      </c>
      <c r="AJ104" s="52" t="e">
        <f>COUNTIFS('Profiles Tracker'!E:E,#REF!,'Profiles Tracker'!G:G,Q$1,'Profiles Tracker'!#REF!,"Week 15")</f>
        <v>#REF!</v>
      </c>
      <c r="AK104" s="52" t="e">
        <f>COUNTIFS('Profiles Tracker'!E:E,#REF!,'Profiles Tracker'!G:G,Q$1,'Profiles Tracker'!#REF!,"Week 16")</f>
        <v>#REF!</v>
      </c>
      <c r="AL104" s="52" t="e">
        <f>COUNTIFS('Profiles Tracker'!E:E,#REF!,'Profiles Tracker'!G:G,Q$1,'Profiles Tracker'!#REF!,"Week 17")</f>
        <v>#REF!</v>
      </c>
      <c r="AM104" s="52" t="e">
        <f>COUNTIFS('Profiles Tracker'!E:E,#REF!,'Profiles Tracker'!G:G,Q$1,'Profiles Tracker'!#REF!,"Week 18")</f>
        <v>#REF!</v>
      </c>
    </row>
    <row r="105" spans="1:39">
      <c r="A105" s="3">
        <f t="shared" si="46"/>
        <v>104</v>
      </c>
      <c r="B105" s="17" t="s">
        <v>38</v>
      </c>
      <c r="C105" s="17"/>
      <c r="D105" s="17" t="s">
        <v>245</v>
      </c>
      <c r="E105" s="34">
        <v>45668</v>
      </c>
      <c r="F105" s="17" t="s">
        <v>245</v>
      </c>
      <c r="G105" s="17">
        <v>3</v>
      </c>
      <c r="H105" s="16">
        <v>45716</v>
      </c>
      <c r="I105" s="17" t="s">
        <v>42</v>
      </c>
      <c r="J105" s="3" t="s">
        <v>42</v>
      </c>
      <c r="K105" s="17" t="s">
        <v>247</v>
      </c>
      <c r="L105" s="17"/>
      <c r="M105" s="4" t="s">
        <v>68</v>
      </c>
      <c r="N105" s="3">
        <f>COUNTIFS('Profiles Tracker'!E:E,#REF!,'Profiles Tracker'!G:G,"Profile shared with Interviewer")</f>
        <v>0</v>
      </c>
      <c r="O105" s="3">
        <f>COUNTIFS('Profiles Tracker'!E:E,#REF!,'Profiles Tracker'!G:G,"Shortlisted for next round of interview")</f>
        <v>0</v>
      </c>
      <c r="P105" s="3">
        <f>COUNTIFS('Profiles Tracker'!E:E,#REF!,'Profiles Tracker'!G:G,P$1)</f>
        <v>0</v>
      </c>
      <c r="Q105" s="3">
        <f>COUNTIFS('Profiles Tracker'!E:E,#REF!,'Profiles Tracker'!G:G,Q$1)</f>
        <v>0</v>
      </c>
      <c r="R105" s="3">
        <f>COUNTIFS('Profiles Tracker'!E:E,#REF!,'Profiles Tracker'!G:G,R$1)</f>
        <v>0</v>
      </c>
      <c r="S105" s="3">
        <f>COUNTIFS('Profiles Tracker'!E:E,#REF!,'Profiles Tracker'!G:G,"Interview Done",'Profiles Tracker'!O:O,"Rejected")</f>
        <v>0</v>
      </c>
      <c r="T105" s="3">
        <f>COUNTIFS('Profiles Tracker'!E:E,#REF!,'Profiles Tracker'!G:G,T$1)</f>
        <v>0</v>
      </c>
      <c r="U105" s="3">
        <f t="shared" si="47"/>
        <v>0</v>
      </c>
      <c r="V105" s="3">
        <f t="shared" si="48"/>
        <v>3</v>
      </c>
      <c r="W105" s="3">
        <f t="shared" si="49"/>
        <v>3</v>
      </c>
      <c r="X105" s="3">
        <f t="shared" si="50"/>
        <v>3</v>
      </c>
      <c r="Y105" s="3">
        <f t="shared" si="51"/>
        <v>9</v>
      </c>
      <c r="Z105" s="3">
        <f t="shared" si="52"/>
        <v>3</v>
      </c>
      <c r="AA105" s="3">
        <f t="shared" si="53"/>
        <v>3</v>
      </c>
      <c r="AB105" s="3">
        <f t="shared" si="54"/>
        <v>9</v>
      </c>
      <c r="AC105" s="16">
        <f t="shared" si="55"/>
        <v>45671</v>
      </c>
      <c r="AD105" s="16">
        <f t="shared" si="56"/>
        <v>45666</v>
      </c>
      <c r="AE105" s="16">
        <f t="shared" si="57"/>
        <v>45659</v>
      </c>
      <c r="AF105" s="18">
        <f t="shared" ca="1" si="58"/>
        <v>-63</v>
      </c>
      <c r="AG105" s="18">
        <f t="shared" ca="1" si="59"/>
        <v>-64</v>
      </c>
      <c r="AH105" s="18">
        <f t="shared" ca="1" si="60"/>
        <v>-65</v>
      </c>
      <c r="AI105" s="53" t="e">
        <f>COUNTIFS('Profiles Tracker'!E:E,#REF!,'Profiles Tracker'!G:G,Q$1,'Profiles Tracker'!#REF!,"Week 14")</f>
        <v>#REF!</v>
      </c>
      <c r="AJ105" s="52" t="e">
        <f>COUNTIFS('Profiles Tracker'!E:E,#REF!,'Profiles Tracker'!G:G,Q$1,'Profiles Tracker'!#REF!,"Week 15")</f>
        <v>#REF!</v>
      </c>
      <c r="AK105" s="52" t="e">
        <f>COUNTIFS('Profiles Tracker'!E:E,#REF!,'Profiles Tracker'!G:G,Q$1,'Profiles Tracker'!#REF!,"Week 16")</f>
        <v>#REF!</v>
      </c>
      <c r="AL105" s="52" t="e">
        <f>COUNTIFS('Profiles Tracker'!E:E,#REF!,'Profiles Tracker'!G:G,Q$1,'Profiles Tracker'!#REF!,"Week 17")</f>
        <v>#REF!</v>
      </c>
      <c r="AM105" s="52" t="e">
        <f>COUNTIFS('Profiles Tracker'!E:E,#REF!,'Profiles Tracker'!G:G,Q$1,'Profiles Tracker'!#REF!,"Week 18")</f>
        <v>#REF!</v>
      </c>
    </row>
    <row r="106" spans="1:39">
      <c r="A106" s="3">
        <f t="shared" si="46"/>
        <v>105</v>
      </c>
      <c r="B106" s="17" t="s">
        <v>38</v>
      </c>
      <c r="C106" s="17"/>
      <c r="D106" s="17" t="s">
        <v>245</v>
      </c>
      <c r="E106" s="34">
        <v>45668</v>
      </c>
      <c r="F106" s="17" t="s">
        <v>245</v>
      </c>
      <c r="G106" s="17">
        <v>3</v>
      </c>
      <c r="H106" s="16">
        <v>45747</v>
      </c>
      <c r="I106" s="17" t="s">
        <v>42</v>
      </c>
      <c r="J106" s="3" t="s">
        <v>42</v>
      </c>
      <c r="K106" s="17" t="s">
        <v>248</v>
      </c>
      <c r="L106" s="17"/>
      <c r="M106" s="4" t="s">
        <v>68</v>
      </c>
      <c r="N106" s="3">
        <f>COUNTIFS('Profiles Tracker'!E:E,#REF!,'Profiles Tracker'!G:G,"Profile shared with Interviewer")</f>
        <v>0</v>
      </c>
      <c r="O106" s="3">
        <f>COUNTIFS('Profiles Tracker'!E:E,#REF!,'Profiles Tracker'!G:G,"Shortlisted for next round of interview")</f>
        <v>0</v>
      </c>
      <c r="P106" s="3">
        <f>COUNTIFS('Profiles Tracker'!E:E,#REF!,'Profiles Tracker'!G:G,P$1)</f>
        <v>0</v>
      </c>
      <c r="Q106" s="3">
        <f>COUNTIFS('Profiles Tracker'!E:E,#REF!,'Profiles Tracker'!G:G,Q$1)</f>
        <v>0</v>
      </c>
      <c r="R106" s="3">
        <f>COUNTIFS('Profiles Tracker'!E:E,#REF!,'Profiles Tracker'!G:G,R$1)</f>
        <v>0</v>
      </c>
      <c r="S106" s="3">
        <f>COUNTIFS('Profiles Tracker'!E:E,#REF!,'Profiles Tracker'!G:G,"Interview Done",'Profiles Tracker'!O:O,"Rejected")</f>
        <v>0</v>
      </c>
      <c r="T106" s="3">
        <f>COUNTIFS('Profiles Tracker'!E:E,#REF!,'Profiles Tracker'!G:G,T$1)</f>
        <v>0</v>
      </c>
      <c r="U106" s="3">
        <f t="shared" si="47"/>
        <v>0</v>
      </c>
      <c r="V106" s="3">
        <f t="shared" si="48"/>
        <v>3</v>
      </c>
      <c r="W106" s="3">
        <f t="shared" si="49"/>
        <v>3</v>
      </c>
      <c r="X106" s="3">
        <f t="shared" si="50"/>
        <v>3</v>
      </c>
      <c r="Y106" s="3">
        <f t="shared" si="51"/>
        <v>9</v>
      </c>
      <c r="Z106" s="3">
        <f t="shared" si="52"/>
        <v>3</v>
      </c>
      <c r="AA106" s="3">
        <f t="shared" si="53"/>
        <v>3</v>
      </c>
      <c r="AB106" s="3">
        <f t="shared" si="54"/>
        <v>9</v>
      </c>
      <c r="AC106" s="16">
        <f t="shared" si="55"/>
        <v>45702</v>
      </c>
      <c r="AD106" s="16">
        <f t="shared" si="56"/>
        <v>45697</v>
      </c>
      <c r="AE106" s="16">
        <f t="shared" si="57"/>
        <v>45690</v>
      </c>
      <c r="AF106" s="18">
        <f t="shared" ca="1" si="58"/>
        <v>-59</v>
      </c>
      <c r="AG106" s="18">
        <f t="shared" ca="1" si="59"/>
        <v>-59</v>
      </c>
      <c r="AH106" s="18">
        <f t="shared" ca="1" si="60"/>
        <v>-60</v>
      </c>
      <c r="AI106" s="53" t="e">
        <f>COUNTIFS('Profiles Tracker'!E:E,#REF!,'Profiles Tracker'!G:G,Q$1,'Profiles Tracker'!#REF!,"Week 14")</f>
        <v>#REF!</v>
      </c>
      <c r="AJ106" s="52" t="e">
        <f>COUNTIFS('Profiles Tracker'!E:E,#REF!,'Profiles Tracker'!G:G,Q$1,'Profiles Tracker'!#REF!,"Week 15")</f>
        <v>#REF!</v>
      </c>
      <c r="AK106" s="52" t="e">
        <f>COUNTIFS('Profiles Tracker'!E:E,#REF!,'Profiles Tracker'!G:G,Q$1,'Profiles Tracker'!#REF!,"Week 16")</f>
        <v>#REF!</v>
      </c>
      <c r="AL106" s="52" t="e">
        <f>COUNTIFS('Profiles Tracker'!E:E,#REF!,'Profiles Tracker'!G:G,Q$1,'Profiles Tracker'!#REF!,"Week 17")</f>
        <v>#REF!</v>
      </c>
      <c r="AM106" s="52" t="e">
        <f>COUNTIFS('Profiles Tracker'!E:E,#REF!,'Profiles Tracker'!G:G,Q$1,'Profiles Tracker'!#REF!,"Week 18")</f>
        <v>#REF!</v>
      </c>
    </row>
    <row r="107" spans="1:39">
      <c r="A107" s="3">
        <f t="shared" si="46"/>
        <v>106</v>
      </c>
      <c r="B107" s="17" t="s">
        <v>38</v>
      </c>
      <c r="C107" s="17"/>
      <c r="D107" s="17" t="s">
        <v>245</v>
      </c>
      <c r="E107" s="34">
        <v>45668</v>
      </c>
      <c r="F107" s="17" t="s">
        <v>245</v>
      </c>
      <c r="G107" s="17">
        <v>15</v>
      </c>
      <c r="H107" s="16">
        <v>45777</v>
      </c>
      <c r="I107" s="17" t="s">
        <v>42</v>
      </c>
      <c r="J107" s="3" t="s">
        <v>42</v>
      </c>
      <c r="K107" s="17" t="s">
        <v>249</v>
      </c>
      <c r="L107" s="17"/>
      <c r="M107" s="4" t="s">
        <v>68</v>
      </c>
      <c r="N107" s="3">
        <f>COUNTIFS('Profiles Tracker'!E:E,#REF!,'Profiles Tracker'!G:G,"Profile shared with Interviewer")</f>
        <v>0</v>
      </c>
      <c r="O107" s="3">
        <f>COUNTIFS('Profiles Tracker'!E:E,#REF!,'Profiles Tracker'!G:G,"Shortlisted for next round of interview")</f>
        <v>0</v>
      </c>
      <c r="P107" s="3">
        <f>COUNTIFS('Profiles Tracker'!E:E,#REF!,'Profiles Tracker'!G:G,P$1)</f>
        <v>0</v>
      </c>
      <c r="Q107" s="3">
        <f>COUNTIFS('Profiles Tracker'!E:E,#REF!,'Profiles Tracker'!G:G,Q$1)</f>
        <v>0</v>
      </c>
      <c r="R107" s="3">
        <f>COUNTIFS('Profiles Tracker'!E:E,#REF!,'Profiles Tracker'!G:G,R$1)</f>
        <v>0</v>
      </c>
      <c r="S107" s="3">
        <f>COUNTIFS('Profiles Tracker'!E:E,#REF!,'Profiles Tracker'!G:G,"Interview Done",'Profiles Tracker'!O:O,"Rejected")</f>
        <v>0</v>
      </c>
      <c r="T107" s="3">
        <f>COUNTIFS('Profiles Tracker'!E:E,#REF!,'Profiles Tracker'!G:G,T$1)</f>
        <v>0</v>
      </c>
      <c r="U107" s="3">
        <f t="shared" si="47"/>
        <v>0</v>
      </c>
      <c r="V107" s="3">
        <f t="shared" si="48"/>
        <v>15</v>
      </c>
      <c r="W107" s="3">
        <f t="shared" si="49"/>
        <v>15</v>
      </c>
      <c r="X107" s="3">
        <f t="shared" si="50"/>
        <v>15</v>
      </c>
      <c r="Y107" s="3">
        <f t="shared" si="51"/>
        <v>45</v>
      </c>
      <c r="Z107" s="3">
        <f t="shared" si="52"/>
        <v>15</v>
      </c>
      <c r="AA107" s="3">
        <f t="shared" si="53"/>
        <v>15</v>
      </c>
      <c r="AB107" s="3">
        <f t="shared" si="54"/>
        <v>45</v>
      </c>
      <c r="AC107" s="16">
        <f t="shared" si="55"/>
        <v>45732</v>
      </c>
      <c r="AD107" s="16">
        <f t="shared" si="56"/>
        <v>45727</v>
      </c>
      <c r="AE107" s="16">
        <f t="shared" si="57"/>
        <v>45720</v>
      </c>
      <c r="AF107" s="18">
        <f t="shared" ca="1" si="58"/>
        <v>-54</v>
      </c>
      <c r="AG107" s="18">
        <f t="shared" ca="1" si="59"/>
        <v>-55</v>
      </c>
      <c r="AH107" s="18">
        <f t="shared" ca="1" si="60"/>
        <v>-56</v>
      </c>
      <c r="AI107" s="53" t="e">
        <f>COUNTIFS('Profiles Tracker'!E:E,#REF!,'Profiles Tracker'!G:G,Q$1,'Profiles Tracker'!#REF!,"Week 14")</f>
        <v>#REF!</v>
      </c>
      <c r="AJ107" s="52" t="e">
        <f>COUNTIFS('Profiles Tracker'!E:E,#REF!,'Profiles Tracker'!G:G,Q$1,'Profiles Tracker'!#REF!,"Week 15")</f>
        <v>#REF!</v>
      </c>
      <c r="AK107" s="52" t="e">
        <f>COUNTIFS('Profiles Tracker'!E:E,#REF!,'Profiles Tracker'!G:G,Q$1,'Profiles Tracker'!#REF!,"Week 16")</f>
        <v>#REF!</v>
      </c>
      <c r="AL107" s="52" t="e">
        <f>COUNTIFS('Profiles Tracker'!E:E,#REF!,'Profiles Tracker'!G:G,Q$1,'Profiles Tracker'!#REF!,"Week 17")</f>
        <v>#REF!</v>
      </c>
      <c r="AM107" s="52" t="e">
        <f>COUNTIFS('Profiles Tracker'!E:E,#REF!,'Profiles Tracker'!G:G,Q$1,'Profiles Tracker'!#REF!,"Week 18")</f>
        <v>#REF!</v>
      </c>
    </row>
    <row r="108" spans="1:39">
      <c r="A108" s="3">
        <f t="shared" si="46"/>
        <v>107</v>
      </c>
      <c r="B108" s="17" t="s">
        <v>38</v>
      </c>
      <c r="C108" s="17"/>
      <c r="D108" s="17" t="s">
        <v>245</v>
      </c>
      <c r="E108" s="34">
        <v>45668</v>
      </c>
      <c r="F108" s="17" t="s">
        <v>245</v>
      </c>
      <c r="G108" s="17">
        <v>15</v>
      </c>
      <c r="H108" s="16">
        <v>45900</v>
      </c>
      <c r="I108" s="17" t="s">
        <v>42</v>
      </c>
      <c r="J108" s="3" t="s">
        <v>42</v>
      </c>
      <c r="K108" s="17" t="s">
        <v>250</v>
      </c>
      <c r="L108" s="17"/>
      <c r="M108" s="4" t="s">
        <v>68</v>
      </c>
      <c r="N108" s="3">
        <f>COUNTIFS('Profiles Tracker'!E:E,#REF!,'Profiles Tracker'!G:G,"Profile shared with Interviewer")</f>
        <v>0</v>
      </c>
      <c r="O108" s="3">
        <f>COUNTIFS('Profiles Tracker'!E:E,#REF!,'Profiles Tracker'!G:G,"Shortlisted for next round of interview")</f>
        <v>0</v>
      </c>
      <c r="P108" s="3">
        <f>COUNTIFS('Profiles Tracker'!E:E,#REF!,'Profiles Tracker'!G:G,P$1)</f>
        <v>0</v>
      </c>
      <c r="Q108" s="3">
        <f>COUNTIFS('Profiles Tracker'!E:E,#REF!,'Profiles Tracker'!G:G,Q$1)</f>
        <v>0</v>
      </c>
      <c r="R108" s="3">
        <f>COUNTIFS('Profiles Tracker'!E:E,#REF!,'Profiles Tracker'!G:G,R$1)</f>
        <v>0</v>
      </c>
      <c r="S108" s="3">
        <f>COUNTIFS('Profiles Tracker'!E:E,#REF!,'Profiles Tracker'!G:G,"Interview Done",'Profiles Tracker'!O:O,"Rejected")</f>
        <v>0</v>
      </c>
      <c r="T108" s="3">
        <f>COUNTIFS('Profiles Tracker'!E:E,#REF!,'Profiles Tracker'!G:G,T$1)</f>
        <v>0</v>
      </c>
      <c r="U108" s="3">
        <f t="shared" si="47"/>
        <v>0</v>
      </c>
      <c r="V108" s="3">
        <f t="shared" si="48"/>
        <v>15</v>
      </c>
      <c r="W108" s="3">
        <f t="shared" si="49"/>
        <v>15</v>
      </c>
      <c r="X108" s="3">
        <f t="shared" si="50"/>
        <v>15</v>
      </c>
      <c r="Y108" s="3">
        <f t="shared" si="51"/>
        <v>45</v>
      </c>
      <c r="Z108" s="3">
        <f t="shared" si="52"/>
        <v>15</v>
      </c>
      <c r="AA108" s="3">
        <f t="shared" si="53"/>
        <v>15</v>
      </c>
      <c r="AB108" s="3">
        <f t="shared" si="54"/>
        <v>45</v>
      </c>
      <c r="AC108" s="16">
        <f t="shared" si="55"/>
        <v>45855</v>
      </c>
      <c r="AD108" s="16">
        <f t="shared" si="56"/>
        <v>45850</v>
      </c>
      <c r="AE108" s="16">
        <f t="shared" si="57"/>
        <v>45843</v>
      </c>
      <c r="AF108" s="18">
        <f t="shared" ca="1" si="58"/>
        <v>-37</v>
      </c>
      <c r="AG108" s="18">
        <f t="shared" ca="1" si="59"/>
        <v>-37</v>
      </c>
      <c r="AH108" s="18">
        <f t="shared" ca="1" si="60"/>
        <v>-38</v>
      </c>
      <c r="AI108" s="53" t="e">
        <f>COUNTIFS('Profiles Tracker'!E:E,#REF!,'Profiles Tracker'!G:G,Q$1,'Profiles Tracker'!#REF!,"Week 14")</f>
        <v>#REF!</v>
      </c>
      <c r="AJ108" s="52" t="e">
        <f>COUNTIFS('Profiles Tracker'!E:E,#REF!,'Profiles Tracker'!G:G,Q$1,'Profiles Tracker'!#REF!,"Week 15")</f>
        <v>#REF!</v>
      </c>
      <c r="AK108" s="52" t="e">
        <f>COUNTIFS('Profiles Tracker'!E:E,#REF!,'Profiles Tracker'!G:G,Q$1,'Profiles Tracker'!#REF!,"Week 16")</f>
        <v>#REF!</v>
      </c>
      <c r="AL108" s="52" t="e">
        <f>COUNTIFS('Profiles Tracker'!E:E,#REF!,'Profiles Tracker'!G:G,Q$1,'Profiles Tracker'!#REF!,"Week 17")</f>
        <v>#REF!</v>
      </c>
      <c r="AM108" s="52" t="e">
        <f>COUNTIFS('Profiles Tracker'!E:E,#REF!,'Profiles Tracker'!G:G,Q$1,'Profiles Tracker'!#REF!,"Week 18")</f>
        <v>#REF!</v>
      </c>
    </row>
    <row r="109" spans="1:39">
      <c r="A109" s="3">
        <f t="shared" si="46"/>
        <v>108</v>
      </c>
      <c r="B109" s="17" t="s">
        <v>38</v>
      </c>
      <c r="C109" s="17"/>
      <c r="D109" s="17" t="s">
        <v>245</v>
      </c>
      <c r="E109" s="34">
        <v>45668</v>
      </c>
      <c r="F109" s="17" t="s">
        <v>245</v>
      </c>
      <c r="G109" s="17">
        <v>15</v>
      </c>
      <c r="H109" s="16">
        <v>45900</v>
      </c>
      <c r="I109" s="17" t="s">
        <v>42</v>
      </c>
      <c r="J109" s="3" t="s">
        <v>42</v>
      </c>
      <c r="K109" s="17" t="s">
        <v>251</v>
      </c>
      <c r="L109" s="17"/>
      <c r="M109" s="4" t="s">
        <v>68</v>
      </c>
      <c r="N109" s="3">
        <f>COUNTIFS('Profiles Tracker'!E:E,#REF!,'Profiles Tracker'!G:G,"Profile shared with Interviewer")</f>
        <v>0</v>
      </c>
      <c r="O109" s="3">
        <f>COUNTIFS('Profiles Tracker'!E:E,#REF!,'Profiles Tracker'!G:G,"Shortlisted for next round of interview")</f>
        <v>0</v>
      </c>
      <c r="P109" s="3">
        <f>COUNTIFS('Profiles Tracker'!E:E,#REF!,'Profiles Tracker'!G:G,P$1)</f>
        <v>0</v>
      </c>
      <c r="Q109" s="3">
        <f>COUNTIFS('Profiles Tracker'!E:E,#REF!,'Profiles Tracker'!G:G,Q$1)</f>
        <v>0</v>
      </c>
      <c r="R109" s="3">
        <f>COUNTIFS('Profiles Tracker'!E:E,#REF!,'Profiles Tracker'!G:G,R$1)</f>
        <v>0</v>
      </c>
      <c r="S109" s="3">
        <f>COUNTIFS('Profiles Tracker'!E:E,#REF!,'Profiles Tracker'!G:G,"Interview Done",'Profiles Tracker'!O:O,"Rejected")</f>
        <v>0</v>
      </c>
      <c r="T109" s="3">
        <f>COUNTIFS('Profiles Tracker'!E:E,#REF!,'Profiles Tracker'!G:G,T$1)</f>
        <v>0</v>
      </c>
      <c r="U109" s="3">
        <f t="shared" si="47"/>
        <v>0</v>
      </c>
      <c r="V109" s="3">
        <f t="shared" si="48"/>
        <v>15</v>
      </c>
      <c r="W109" s="3">
        <f t="shared" si="49"/>
        <v>15</v>
      </c>
      <c r="X109" s="3">
        <f t="shared" si="50"/>
        <v>15</v>
      </c>
      <c r="Y109" s="3">
        <f t="shared" si="51"/>
        <v>45</v>
      </c>
      <c r="Z109" s="3">
        <f t="shared" si="52"/>
        <v>15</v>
      </c>
      <c r="AA109" s="3">
        <f t="shared" si="53"/>
        <v>15</v>
      </c>
      <c r="AB109" s="3">
        <f t="shared" si="54"/>
        <v>45</v>
      </c>
      <c r="AC109" s="16">
        <f t="shared" si="55"/>
        <v>45855</v>
      </c>
      <c r="AD109" s="16">
        <f t="shared" si="56"/>
        <v>45850</v>
      </c>
      <c r="AE109" s="16">
        <f t="shared" si="57"/>
        <v>45843</v>
      </c>
      <c r="AF109" s="18">
        <f t="shared" ca="1" si="58"/>
        <v>-37</v>
      </c>
      <c r="AG109" s="18">
        <f t="shared" ca="1" si="59"/>
        <v>-37</v>
      </c>
      <c r="AH109" s="18">
        <f t="shared" ca="1" si="60"/>
        <v>-38</v>
      </c>
      <c r="AI109" s="53" t="e">
        <f>COUNTIFS('Profiles Tracker'!E:E,#REF!,'Profiles Tracker'!G:G,Q$1,'Profiles Tracker'!#REF!,"Week 14")</f>
        <v>#REF!</v>
      </c>
      <c r="AJ109" s="52" t="e">
        <f>COUNTIFS('Profiles Tracker'!E:E,#REF!,'Profiles Tracker'!G:G,Q$1,'Profiles Tracker'!#REF!,"Week 15")</f>
        <v>#REF!</v>
      </c>
      <c r="AK109" s="52" t="e">
        <f>COUNTIFS('Profiles Tracker'!E:E,#REF!,'Profiles Tracker'!G:G,Q$1,'Profiles Tracker'!#REF!,"Week 16")</f>
        <v>#REF!</v>
      </c>
      <c r="AL109" s="52" t="e">
        <f>COUNTIFS('Profiles Tracker'!E:E,#REF!,'Profiles Tracker'!G:G,Q$1,'Profiles Tracker'!#REF!,"Week 17")</f>
        <v>#REF!</v>
      </c>
      <c r="AM109" s="52" t="e">
        <f>COUNTIFS('Profiles Tracker'!E:E,#REF!,'Profiles Tracker'!G:G,Q$1,'Profiles Tracker'!#REF!,"Week 18")</f>
        <v>#REF!</v>
      </c>
    </row>
    <row r="110" spans="1:39">
      <c r="A110" s="3">
        <f t="shared" si="46"/>
        <v>109</v>
      </c>
      <c r="B110" s="17" t="s">
        <v>38</v>
      </c>
      <c r="C110" s="17"/>
      <c r="D110" s="17"/>
      <c r="E110" s="34">
        <v>45745</v>
      </c>
      <c r="F110" s="3" t="s">
        <v>252</v>
      </c>
      <c r="G110" s="3">
        <v>1</v>
      </c>
      <c r="H110" s="16">
        <v>45777</v>
      </c>
      <c r="I110" s="17" t="s">
        <v>253</v>
      </c>
      <c r="J110" s="3" t="s">
        <v>42</v>
      </c>
      <c r="K110" s="17" t="s">
        <v>254</v>
      </c>
      <c r="L110" s="17"/>
      <c r="M110" s="4" t="s">
        <v>68</v>
      </c>
      <c r="N110" s="47">
        <f>COUNTIFS('Profiles Tracker'!E:E,#REF!,'Profiles Tracker'!G:G,"Profile shared with Interviewer")</f>
        <v>0</v>
      </c>
      <c r="O110" s="3">
        <f>COUNTIFS('Profiles Tracker'!E:E,#REF!,'Profiles Tracker'!G:G,"Shortlisted for next round of interview")</f>
        <v>0</v>
      </c>
      <c r="P110" s="3">
        <f>COUNTIFS('Profiles Tracker'!E:E,#REF!,'Profiles Tracker'!G:G,P$1)</f>
        <v>0</v>
      </c>
      <c r="Q110" s="3">
        <f>COUNTIFS('Profiles Tracker'!E:E,#REF!,'Profiles Tracker'!G:G,Q$1)</f>
        <v>0</v>
      </c>
      <c r="R110" s="3">
        <f>COUNTIFS('Profiles Tracker'!E:E,#REF!,'Profiles Tracker'!G:G,R$1)</f>
        <v>0</v>
      </c>
      <c r="S110" s="3">
        <f>COUNTIFS('Profiles Tracker'!E:E,#REF!,'Profiles Tracker'!G:G,"Interview Done",'Profiles Tracker'!O:O,"Rejected")</f>
        <v>0</v>
      </c>
      <c r="T110" s="3">
        <f>COUNTIFS('Profiles Tracker'!E:E,#REF!,'Profiles Tracker'!G:G,T$1)</f>
        <v>0</v>
      </c>
      <c r="U110" s="3">
        <f t="shared" si="47"/>
        <v>0</v>
      </c>
      <c r="V110" s="3">
        <f t="shared" si="48"/>
        <v>1</v>
      </c>
      <c r="W110" s="3">
        <f t="shared" si="49"/>
        <v>1</v>
      </c>
      <c r="X110" s="3">
        <f t="shared" si="50"/>
        <v>1</v>
      </c>
      <c r="Y110" s="3">
        <f t="shared" si="51"/>
        <v>3</v>
      </c>
      <c r="Z110" s="3">
        <f t="shared" si="52"/>
        <v>1</v>
      </c>
      <c r="AA110" s="3">
        <f t="shared" si="53"/>
        <v>1</v>
      </c>
      <c r="AB110" s="3">
        <f t="shared" si="54"/>
        <v>3</v>
      </c>
      <c r="AC110" s="16">
        <f t="shared" si="55"/>
        <v>45732</v>
      </c>
      <c r="AD110" s="16">
        <f t="shared" si="56"/>
        <v>45727</v>
      </c>
      <c r="AE110" s="16">
        <f t="shared" si="57"/>
        <v>45720</v>
      </c>
      <c r="AF110" s="18">
        <f t="shared" ca="1" si="58"/>
        <v>-54</v>
      </c>
      <c r="AG110" s="18">
        <f t="shared" ca="1" si="59"/>
        <v>-55</v>
      </c>
      <c r="AH110" s="18">
        <f t="shared" ca="1" si="60"/>
        <v>-56</v>
      </c>
      <c r="AI110" s="53" t="e">
        <f>COUNTIFS('Profiles Tracker'!E:E,#REF!,'Profiles Tracker'!G:G,Q$1,'Profiles Tracker'!#REF!,"Week 14")</f>
        <v>#REF!</v>
      </c>
      <c r="AJ110" s="52" t="e">
        <f>COUNTIFS('Profiles Tracker'!E:E,#REF!,'Profiles Tracker'!G:G,Q$1,'Profiles Tracker'!#REF!,"Week 15")</f>
        <v>#REF!</v>
      </c>
      <c r="AK110" s="52" t="e">
        <f>COUNTIFS('Profiles Tracker'!E:E,#REF!,'Profiles Tracker'!G:G,Q$1,'Profiles Tracker'!#REF!,"Week 16")</f>
        <v>#REF!</v>
      </c>
      <c r="AL110" s="52" t="e">
        <f>COUNTIFS('Profiles Tracker'!E:E,#REF!,'Profiles Tracker'!G:G,Q$1,'Profiles Tracker'!#REF!,"Week 17")</f>
        <v>#REF!</v>
      </c>
      <c r="AM110" s="52" t="e">
        <f>COUNTIFS('Profiles Tracker'!E:E,#REF!,'Profiles Tracker'!G:G,Q$1,'Profiles Tracker'!#REF!,"Week 18")</f>
        <v>#REF!</v>
      </c>
    </row>
    <row r="111" spans="1:39">
      <c r="A111" s="3">
        <f t="shared" si="46"/>
        <v>110</v>
      </c>
      <c r="B111" s="17" t="s">
        <v>38</v>
      </c>
      <c r="C111" s="17"/>
      <c r="D111" s="17"/>
      <c r="E111" s="5">
        <v>45668</v>
      </c>
      <c r="F111" s="3" t="s">
        <v>177</v>
      </c>
      <c r="G111" s="3">
        <v>19</v>
      </c>
      <c r="H111" s="16">
        <v>45900</v>
      </c>
      <c r="I111" s="3" t="s">
        <v>70</v>
      </c>
      <c r="J111" s="3" t="s">
        <v>94</v>
      </c>
      <c r="K111" s="17" t="s">
        <v>255</v>
      </c>
      <c r="L111" s="17"/>
      <c r="M111" s="4" t="s">
        <v>68</v>
      </c>
      <c r="N111" s="3">
        <f>COUNTIFS('Profiles Tracker'!E:E,#REF!,'Profiles Tracker'!G:G,"Profile shared with Interviewer")</f>
        <v>0</v>
      </c>
      <c r="O111" s="3">
        <f>COUNTIFS('Profiles Tracker'!E:E,#REF!,'Profiles Tracker'!G:G,"Shortlisted for next round of interview")</f>
        <v>0</v>
      </c>
      <c r="P111" s="3">
        <f>COUNTIFS('Profiles Tracker'!E:E,#REF!,'Profiles Tracker'!G:G,P$1)</f>
        <v>0</v>
      </c>
      <c r="Q111" s="3">
        <f>COUNTIFS('Profiles Tracker'!E:E,#REF!,'Profiles Tracker'!G:G,Q$1)</f>
        <v>0</v>
      </c>
      <c r="R111" s="3">
        <f>COUNTIFS('Profiles Tracker'!E:E,#REF!,'Profiles Tracker'!G:G,R$1)</f>
        <v>0</v>
      </c>
      <c r="S111" s="3">
        <f>COUNTIFS('Profiles Tracker'!E:E,#REF!,'Profiles Tracker'!G:G,"Interview Done",'Profiles Tracker'!O:O,"Rejected")</f>
        <v>0</v>
      </c>
      <c r="T111" s="3">
        <f>COUNTIFS('Profiles Tracker'!E:E,#REF!,'Profiles Tracker'!G:G,T$1)</f>
        <v>0</v>
      </c>
      <c r="U111" s="3">
        <f t="shared" si="47"/>
        <v>0</v>
      </c>
      <c r="V111" s="3">
        <f t="shared" si="48"/>
        <v>19</v>
      </c>
      <c r="W111" s="3">
        <f t="shared" si="49"/>
        <v>19</v>
      </c>
      <c r="X111" s="3">
        <f t="shared" si="50"/>
        <v>19</v>
      </c>
      <c r="Y111" s="3">
        <f t="shared" si="51"/>
        <v>57</v>
      </c>
      <c r="Z111" s="3">
        <f t="shared" si="52"/>
        <v>19</v>
      </c>
      <c r="AA111" s="3">
        <f t="shared" si="53"/>
        <v>19</v>
      </c>
      <c r="AB111" s="3">
        <f t="shared" si="54"/>
        <v>57</v>
      </c>
      <c r="AC111" s="16">
        <f t="shared" si="55"/>
        <v>45855</v>
      </c>
      <c r="AD111" s="16">
        <f t="shared" si="56"/>
        <v>45850</v>
      </c>
      <c r="AE111" s="16">
        <f t="shared" si="57"/>
        <v>45843</v>
      </c>
      <c r="AF111" s="18">
        <f t="shared" ca="1" si="58"/>
        <v>-37</v>
      </c>
      <c r="AG111" s="18">
        <f t="shared" ca="1" si="59"/>
        <v>-37</v>
      </c>
      <c r="AH111" s="18">
        <f t="shared" ca="1" si="60"/>
        <v>-38</v>
      </c>
      <c r="AI111" s="53" t="e">
        <f>COUNTIFS('Profiles Tracker'!E:E,#REF!,'Profiles Tracker'!G:G,Q$1,'Profiles Tracker'!#REF!,"Week 14")</f>
        <v>#REF!</v>
      </c>
      <c r="AJ111" s="52" t="e">
        <f>COUNTIFS('Profiles Tracker'!E:E,#REF!,'Profiles Tracker'!G:G,Q$1,'Profiles Tracker'!#REF!,"Week 15")</f>
        <v>#REF!</v>
      </c>
      <c r="AK111" s="52" t="e">
        <f>COUNTIFS('Profiles Tracker'!E:E,#REF!,'Profiles Tracker'!G:G,Q$1,'Profiles Tracker'!#REF!,"Week 16")</f>
        <v>#REF!</v>
      </c>
      <c r="AL111" s="52" t="e">
        <f>COUNTIFS('Profiles Tracker'!E:E,#REF!,'Profiles Tracker'!G:G,Q$1,'Profiles Tracker'!#REF!,"Week 17")</f>
        <v>#REF!</v>
      </c>
      <c r="AM111" s="52" t="e">
        <f>COUNTIFS('Profiles Tracker'!E:E,#REF!,'Profiles Tracker'!G:G,Q$1,'Profiles Tracker'!#REF!,"Week 18")</f>
        <v>#REF!</v>
      </c>
    </row>
    <row r="112" spans="1:39">
      <c r="A112" s="3">
        <f t="shared" si="46"/>
        <v>111</v>
      </c>
      <c r="B112" s="17" t="s">
        <v>38</v>
      </c>
      <c r="C112" s="17"/>
      <c r="D112" s="17"/>
      <c r="E112" s="5">
        <v>45668</v>
      </c>
      <c r="F112" s="3" t="s">
        <v>177</v>
      </c>
      <c r="G112" s="3">
        <v>19</v>
      </c>
      <c r="H112" s="16">
        <v>45900</v>
      </c>
      <c r="I112" s="3" t="s">
        <v>70</v>
      </c>
      <c r="J112" s="3" t="s">
        <v>88</v>
      </c>
      <c r="K112" s="17" t="s">
        <v>256</v>
      </c>
      <c r="L112" s="17"/>
      <c r="M112" s="4" t="s">
        <v>68</v>
      </c>
      <c r="N112" s="3">
        <f>COUNTIFS('Profiles Tracker'!E:E,#REF!,'Profiles Tracker'!G:G,"Profile shared with Interviewer")</f>
        <v>0</v>
      </c>
      <c r="O112" s="3">
        <f>COUNTIFS('Profiles Tracker'!E:E,#REF!,'Profiles Tracker'!G:G,"Shortlisted for next round of interview")</f>
        <v>0</v>
      </c>
      <c r="P112" s="3">
        <f>COUNTIFS('Profiles Tracker'!E:E,#REF!,'Profiles Tracker'!G:G,P$1)</f>
        <v>0</v>
      </c>
      <c r="Q112" s="3">
        <f>COUNTIFS('Profiles Tracker'!E:E,#REF!,'Profiles Tracker'!G:G,Q$1)</f>
        <v>0</v>
      </c>
      <c r="R112" s="3">
        <f>COUNTIFS('Profiles Tracker'!E:E,#REF!,'Profiles Tracker'!G:G,R$1)</f>
        <v>0</v>
      </c>
      <c r="S112" s="3">
        <f>COUNTIFS('Profiles Tracker'!E:E,#REF!,'Profiles Tracker'!G:G,"Interview Done",'Profiles Tracker'!O:O,"Rejected")</f>
        <v>0</v>
      </c>
      <c r="T112" s="3">
        <f>COUNTIFS('Profiles Tracker'!E:E,#REF!,'Profiles Tracker'!G:G,T$1)</f>
        <v>0</v>
      </c>
      <c r="U112" s="3">
        <f t="shared" si="47"/>
        <v>0</v>
      </c>
      <c r="V112" s="3">
        <f t="shared" si="48"/>
        <v>19</v>
      </c>
      <c r="W112" s="3">
        <f t="shared" si="49"/>
        <v>19</v>
      </c>
      <c r="X112" s="3">
        <f t="shared" si="50"/>
        <v>19</v>
      </c>
      <c r="Y112" s="3">
        <f t="shared" si="51"/>
        <v>57</v>
      </c>
      <c r="Z112" s="3">
        <f t="shared" si="52"/>
        <v>19</v>
      </c>
      <c r="AA112" s="3">
        <f t="shared" si="53"/>
        <v>19</v>
      </c>
      <c r="AB112" s="3">
        <f t="shared" si="54"/>
        <v>57</v>
      </c>
      <c r="AC112" s="16">
        <f t="shared" si="55"/>
        <v>45855</v>
      </c>
      <c r="AD112" s="16">
        <f t="shared" si="56"/>
        <v>45850</v>
      </c>
      <c r="AE112" s="16">
        <f t="shared" si="57"/>
        <v>45843</v>
      </c>
      <c r="AF112" s="18">
        <f t="shared" ca="1" si="58"/>
        <v>-37</v>
      </c>
      <c r="AG112" s="18">
        <f t="shared" ca="1" si="59"/>
        <v>-37</v>
      </c>
      <c r="AH112" s="18">
        <f t="shared" ca="1" si="60"/>
        <v>-38</v>
      </c>
      <c r="AI112" s="53" t="e">
        <f>COUNTIFS('Profiles Tracker'!E:E,#REF!,'Profiles Tracker'!G:G,Q$1,'Profiles Tracker'!#REF!,"Week 14")</f>
        <v>#REF!</v>
      </c>
      <c r="AJ112" s="52" t="e">
        <f>COUNTIFS('Profiles Tracker'!E:E,#REF!,'Profiles Tracker'!G:G,Q$1,'Profiles Tracker'!#REF!,"Week 15")</f>
        <v>#REF!</v>
      </c>
      <c r="AK112" s="52" t="e">
        <f>COUNTIFS('Profiles Tracker'!E:E,#REF!,'Profiles Tracker'!G:G,Q$1,'Profiles Tracker'!#REF!,"Week 16")</f>
        <v>#REF!</v>
      </c>
      <c r="AL112" s="52" t="e">
        <f>COUNTIFS('Profiles Tracker'!E:E,#REF!,'Profiles Tracker'!G:G,Q$1,'Profiles Tracker'!#REF!,"Week 17")</f>
        <v>#REF!</v>
      </c>
      <c r="AM112" s="52" t="e">
        <f>COUNTIFS('Profiles Tracker'!E:E,#REF!,'Profiles Tracker'!G:G,Q$1,'Profiles Tracker'!#REF!,"Week 18")</f>
        <v>#REF!</v>
      </c>
    </row>
    <row r="113" spans="1:39">
      <c r="A113" s="3">
        <f t="shared" si="46"/>
        <v>112</v>
      </c>
      <c r="B113" s="17" t="s">
        <v>38</v>
      </c>
      <c r="C113" s="17"/>
      <c r="D113" s="17"/>
      <c r="E113" s="5">
        <v>45668</v>
      </c>
      <c r="F113" s="3" t="s">
        <v>177</v>
      </c>
      <c r="G113" s="3">
        <v>19</v>
      </c>
      <c r="H113" s="16">
        <v>45747</v>
      </c>
      <c r="I113" s="3" t="s">
        <v>70</v>
      </c>
      <c r="J113" s="3" t="s">
        <v>88</v>
      </c>
      <c r="K113" s="17" t="s">
        <v>257</v>
      </c>
      <c r="L113" s="17"/>
      <c r="M113" s="4" t="s">
        <v>68</v>
      </c>
      <c r="N113" s="3">
        <f>COUNTIFS('Profiles Tracker'!E:E,#REF!,'Profiles Tracker'!G:G,"Profile shared with Interviewer")</f>
        <v>0</v>
      </c>
      <c r="O113" s="3">
        <f>COUNTIFS('Profiles Tracker'!E:E,#REF!,'Profiles Tracker'!G:G,"Shortlisted for next round of interview")</f>
        <v>0</v>
      </c>
      <c r="P113" s="3">
        <f>COUNTIFS('Profiles Tracker'!E:E,#REF!,'Profiles Tracker'!G:G,P$1)</f>
        <v>0</v>
      </c>
      <c r="Q113" s="3">
        <f>COUNTIFS('Profiles Tracker'!E:E,#REF!,'Profiles Tracker'!G:G,Q$1)</f>
        <v>0</v>
      </c>
      <c r="R113" s="3">
        <f>COUNTIFS('Profiles Tracker'!E:E,#REF!,'Profiles Tracker'!G:G,R$1)</f>
        <v>0</v>
      </c>
      <c r="S113" s="3">
        <f>COUNTIFS('Profiles Tracker'!E:E,#REF!,'Profiles Tracker'!G:G,"Interview Done",'Profiles Tracker'!O:O,"Rejected")</f>
        <v>0</v>
      </c>
      <c r="T113" s="3">
        <f>COUNTIFS('Profiles Tracker'!E:E,#REF!,'Profiles Tracker'!G:G,T$1)</f>
        <v>0</v>
      </c>
      <c r="U113" s="3">
        <f t="shared" si="47"/>
        <v>0</v>
      </c>
      <c r="V113" s="3">
        <f t="shared" si="48"/>
        <v>19</v>
      </c>
      <c r="W113" s="3">
        <f t="shared" si="49"/>
        <v>19</v>
      </c>
      <c r="X113" s="3">
        <f t="shared" si="50"/>
        <v>19</v>
      </c>
      <c r="Y113" s="3">
        <f t="shared" si="51"/>
        <v>57</v>
      </c>
      <c r="Z113" s="3">
        <f t="shared" si="52"/>
        <v>19</v>
      </c>
      <c r="AA113" s="3">
        <f t="shared" si="53"/>
        <v>19</v>
      </c>
      <c r="AB113" s="3">
        <f t="shared" si="54"/>
        <v>57</v>
      </c>
      <c r="AC113" s="16">
        <f t="shared" si="55"/>
        <v>45702</v>
      </c>
      <c r="AD113" s="16">
        <f t="shared" si="56"/>
        <v>45697</v>
      </c>
      <c r="AE113" s="16">
        <f t="shared" si="57"/>
        <v>45690</v>
      </c>
      <c r="AF113" s="18">
        <f t="shared" ca="1" si="58"/>
        <v>-59</v>
      </c>
      <c r="AG113" s="18">
        <f t="shared" ca="1" si="59"/>
        <v>-59</v>
      </c>
      <c r="AH113" s="18">
        <f t="shared" ca="1" si="60"/>
        <v>-60</v>
      </c>
      <c r="AI113" s="53" t="e">
        <f>COUNTIFS('Profiles Tracker'!E:E,#REF!,'Profiles Tracker'!G:G,Q$1,'Profiles Tracker'!#REF!,"Week 14")</f>
        <v>#REF!</v>
      </c>
      <c r="AJ113" s="52" t="e">
        <f>COUNTIFS('Profiles Tracker'!E:E,#REF!,'Profiles Tracker'!G:G,Q$1,'Profiles Tracker'!#REF!,"Week 15")</f>
        <v>#REF!</v>
      </c>
      <c r="AK113" s="52" t="e">
        <f>COUNTIFS('Profiles Tracker'!E:E,#REF!,'Profiles Tracker'!G:G,Q$1,'Profiles Tracker'!#REF!,"Week 16")</f>
        <v>#REF!</v>
      </c>
      <c r="AL113" s="52" t="e">
        <f>COUNTIFS('Profiles Tracker'!E:E,#REF!,'Profiles Tracker'!G:G,Q$1,'Profiles Tracker'!#REF!,"Week 17")</f>
        <v>#REF!</v>
      </c>
      <c r="AM113" s="52" t="e">
        <f>COUNTIFS('Profiles Tracker'!E:E,#REF!,'Profiles Tracker'!G:G,Q$1,'Profiles Tracker'!#REF!,"Week 18")</f>
        <v>#REF!</v>
      </c>
    </row>
    <row r="114" spans="1:39">
      <c r="A114" s="3">
        <f t="shared" si="46"/>
        <v>113</v>
      </c>
      <c r="B114" s="17" t="s">
        <v>38</v>
      </c>
      <c r="C114" s="17"/>
      <c r="D114" s="17"/>
      <c r="E114" s="5">
        <v>45668</v>
      </c>
      <c r="F114" s="3" t="s">
        <v>177</v>
      </c>
      <c r="G114" s="3">
        <v>19</v>
      </c>
      <c r="H114" s="16">
        <v>45777</v>
      </c>
      <c r="I114" s="3" t="s">
        <v>70</v>
      </c>
      <c r="J114" s="3" t="s">
        <v>94</v>
      </c>
      <c r="K114" s="17" t="s">
        <v>258</v>
      </c>
      <c r="L114" s="17"/>
      <c r="M114" s="4" t="s">
        <v>68</v>
      </c>
      <c r="N114" s="3">
        <f>COUNTIFS('Profiles Tracker'!E:E,#REF!,'Profiles Tracker'!G:G,"Profile shared with Interviewer")</f>
        <v>0</v>
      </c>
      <c r="O114" s="3">
        <f>COUNTIFS('Profiles Tracker'!E:E,#REF!,'Profiles Tracker'!G:G,"Shortlisted for next round of interview")</f>
        <v>0</v>
      </c>
      <c r="P114" s="3">
        <f>COUNTIFS('Profiles Tracker'!E:E,#REF!,'Profiles Tracker'!G:G,P$1)</f>
        <v>0</v>
      </c>
      <c r="Q114" s="3">
        <f>COUNTIFS('Profiles Tracker'!E:E,#REF!,'Profiles Tracker'!G:G,Q$1)</f>
        <v>0</v>
      </c>
      <c r="R114" s="3">
        <f>COUNTIFS('Profiles Tracker'!E:E,#REF!,'Profiles Tracker'!G:G,R$1)</f>
        <v>0</v>
      </c>
      <c r="S114" s="3">
        <f>COUNTIFS('Profiles Tracker'!E:E,#REF!,'Profiles Tracker'!G:G,"Interview Done",'Profiles Tracker'!O:O,"Rejected")</f>
        <v>0</v>
      </c>
      <c r="T114" s="3">
        <f>COUNTIFS('Profiles Tracker'!E:E,#REF!,'Profiles Tracker'!G:G,T$1)</f>
        <v>0</v>
      </c>
      <c r="U114" s="3">
        <f t="shared" si="47"/>
        <v>0</v>
      </c>
      <c r="V114" s="3">
        <f t="shared" si="48"/>
        <v>19</v>
      </c>
      <c r="W114" s="3">
        <f t="shared" si="49"/>
        <v>19</v>
      </c>
      <c r="X114" s="3">
        <f t="shared" si="50"/>
        <v>19</v>
      </c>
      <c r="Y114" s="3">
        <f t="shared" si="51"/>
        <v>57</v>
      </c>
      <c r="Z114" s="3">
        <f t="shared" si="52"/>
        <v>19</v>
      </c>
      <c r="AA114" s="3">
        <f t="shared" si="53"/>
        <v>19</v>
      </c>
      <c r="AB114" s="3">
        <f t="shared" si="54"/>
        <v>57</v>
      </c>
      <c r="AC114" s="16">
        <f t="shared" si="55"/>
        <v>45732</v>
      </c>
      <c r="AD114" s="16">
        <f t="shared" si="56"/>
        <v>45727</v>
      </c>
      <c r="AE114" s="16">
        <f t="shared" si="57"/>
        <v>45720</v>
      </c>
      <c r="AF114" s="18">
        <f t="shared" ca="1" si="58"/>
        <v>-54</v>
      </c>
      <c r="AG114" s="18">
        <f t="shared" ca="1" si="59"/>
        <v>-55</v>
      </c>
      <c r="AH114" s="18">
        <f t="shared" ca="1" si="60"/>
        <v>-56</v>
      </c>
      <c r="AI114" s="53" t="e">
        <f>COUNTIFS('Profiles Tracker'!E:E,#REF!,'Profiles Tracker'!G:G,Q$1,'Profiles Tracker'!#REF!,"Week 14")</f>
        <v>#REF!</v>
      </c>
      <c r="AJ114" s="52" t="e">
        <f>COUNTIFS('Profiles Tracker'!E:E,#REF!,'Profiles Tracker'!G:G,Q$1,'Profiles Tracker'!#REF!,"Week 15")</f>
        <v>#REF!</v>
      </c>
      <c r="AK114" s="52" t="e">
        <f>COUNTIFS('Profiles Tracker'!E:E,#REF!,'Profiles Tracker'!G:G,Q$1,'Profiles Tracker'!#REF!,"Week 16")</f>
        <v>#REF!</v>
      </c>
      <c r="AL114" s="52" t="e">
        <f>COUNTIFS('Profiles Tracker'!E:E,#REF!,'Profiles Tracker'!G:G,Q$1,'Profiles Tracker'!#REF!,"Week 17")</f>
        <v>#REF!</v>
      </c>
      <c r="AM114" s="52" t="e">
        <f>COUNTIFS('Profiles Tracker'!E:E,#REF!,'Profiles Tracker'!G:G,Q$1,'Profiles Tracker'!#REF!,"Week 18")</f>
        <v>#REF!</v>
      </c>
    </row>
    <row r="115" spans="1:39">
      <c r="A115" s="3">
        <v>482</v>
      </c>
      <c r="B115" s="17" t="s">
        <v>38</v>
      </c>
      <c r="C115" s="17"/>
      <c r="D115" s="17"/>
      <c r="E115" s="16">
        <v>45758</v>
      </c>
      <c r="F115" s="3" t="s">
        <v>259</v>
      </c>
      <c r="G115" s="3">
        <v>1</v>
      </c>
      <c r="H115" s="16">
        <v>45777</v>
      </c>
      <c r="I115" s="3" t="s">
        <v>162</v>
      </c>
      <c r="J115" s="3" t="s">
        <v>42</v>
      </c>
      <c r="K115" s="17" t="s">
        <v>260</v>
      </c>
      <c r="L115" s="17"/>
      <c r="M115" s="4" t="s">
        <v>68</v>
      </c>
      <c r="N115" s="3">
        <f>COUNTIFS('Profiles Tracker'!E:E,#REF!,'Profiles Tracker'!G:G,"Profile shared with Interviewer")</f>
        <v>0</v>
      </c>
      <c r="O115" s="3">
        <f>COUNTIFS('Profiles Tracker'!E:E,#REF!,'Profiles Tracker'!G:G,"Shortlisted for next round of interview")</f>
        <v>0</v>
      </c>
      <c r="P115" s="3">
        <f>COUNTIFS('Profiles Tracker'!E:E,#REF!,'Profiles Tracker'!G:G,P$1)</f>
        <v>0</v>
      </c>
      <c r="Q115" s="3">
        <f>COUNTIFS('Profiles Tracker'!E:E,#REF!,'Profiles Tracker'!G:G,Q$1)</f>
        <v>0</v>
      </c>
      <c r="R115" s="3">
        <f>COUNTIFS('Profiles Tracker'!E:E,#REF!,'Profiles Tracker'!G:G,R$1)</f>
        <v>0</v>
      </c>
      <c r="S115" s="3">
        <f>COUNTIFS('Profiles Tracker'!E:E,#REF!,'Profiles Tracker'!G:G,"Interview Done",'Profiles Tracker'!O:O,"Rejected")</f>
        <v>0</v>
      </c>
      <c r="T115" s="3">
        <f>COUNTIFS('Profiles Tracker'!E:E,#REF!,'Profiles Tracker'!G:G,T$1)</f>
        <v>0</v>
      </c>
      <c r="U115" s="3">
        <f t="shared" si="47"/>
        <v>0</v>
      </c>
      <c r="V115" s="3">
        <f t="shared" si="48"/>
        <v>1</v>
      </c>
      <c r="W115" s="3">
        <f t="shared" si="49"/>
        <v>1</v>
      </c>
      <c r="X115" s="3">
        <f t="shared" si="50"/>
        <v>1</v>
      </c>
      <c r="Y115" s="3">
        <f t="shared" si="51"/>
        <v>3</v>
      </c>
      <c r="Z115" s="3">
        <f t="shared" si="52"/>
        <v>1</v>
      </c>
      <c r="AA115" s="3">
        <f t="shared" si="53"/>
        <v>1</v>
      </c>
      <c r="AB115" s="3">
        <f t="shared" si="54"/>
        <v>3</v>
      </c>
      <c r="AC115" s="16">
        <f>IF(M115="APM Below",E115-45,IF(M115="APM &amp; Above", E115-60,E115-90))</f>
        <v>45713</v>
      </c>
      <c r="AD115" s="16">
        <f t="shared" si="56"/>
        <v>45708</v>
      </c>
      <c r="AE115" s="16">
        <f t="shared" si="57"/>
        <v>45701</v>
      </c>
      <c r="AF115" s="18">
        <f t="shared" ca="1" si="58"/>
        <v>-57</v>
      </c>
      <c r="AG115" s="18">
        <f t="shared" ca="1" si="59"/>
        <v>-58</v>
      </c>
      <c r="AH115" s="18">
        <f t="shared" ca="1" si="60"/>
        <v>-59</v>
      </c>
      <c r="AI115" s="53" t="e">
        <f>COUNTIFS('Profiles Tracker'!E:E,#REF!,'Profiles Tracker'!G:G,Q$1,'Profiles Tracker'!#REF!,"Week 14")</f>
        <v>#REF!</v>
      </c>
      <c r="AJ115" s="52" t="e">
        <f>COUNTIFS('Profiles Tracker'!E:E,#REF!,'Profiles Tracker'!G:G,Q$1,'Profiles Tracker'!#REF!,"Week 15")</f>
        <v>#REF!</v>
      </c>
      <c r="AK115" s="52" t="e">
        <f>COUNTIFS('Profiles Tracker'!E:E,#REF!,'Profiles Tracker'!G:G,Q$1,'Profiles Tracker'!#REF!,"Week 16")</f>
        <v>#REF!</v>
      </c>
      <c r="AL115" s="52" t="e">
        <f>COUNTIFS('Profiles Tracker'!E:E,#REF!,'Profiles Tracker'!G:G,Q$1,'Profiles Tracker'!#REF!,"Week 17")</f>
        <v>#REF!</v>
      </c>
      <c r="AM115" s="52" t="e">
        <f>COUNTIFS('Profiles Tracker'!E:E,#REF!,'Profiles Tracker'!G:G,Q$1,'Profiles Tracker'!#REF!,"Week 18")</f>
        <v>#REF!</v>
      </c>
    </row>
    <row r="116" spans="1:39">
      <c r="A116" s="3">
        <v>483</v>
      </c>
      <c r="B116" s="17" t="s">
        <v>38</v>
      </c>
      <c r="C116" s="17"/>
      <c r="D116" s="17"/>
      <c r="E116" s="16">
        <v>45758</v>
      </c>
      <c r="F116" s="3" t="s">
        <v>261</v>
      </c>
      <c r="G116" s="3">
        <v>1</v>
      </c>
      <c r="H116" s="16">
        <v>45777</v>
      </c>
      <c r="I116" s="3" t="s">
        <v>42</v>
      </c>
      <c r="J116" s="3" t="s">
        <v>42</v>
      </c>
      <c r="K116" s="17" t="s">
        <v>262</v>
      </c>
      <c r="L116" s="17"/>
      <c r="M116" s="4" t="s">
        <v>68</v>
      </c>
      <c r="N116" s="3">
        <f>COUNTIFS('Profiles Tracker'!E:E,#REF!,'Profiles Tracker'!G:G,"Profile shared with Interviewer")</f>
        <v>0</v>
      </c>
      <c r="O116" s="3">
        <f>COUNTIFS('Profiles Tracker'!E:E,#REF!,'Profiles Tracker'!G:G,"Shortlisted for next round of interview")</f>
        <v>0</v>
      </c>
      <c r="P116" s="3">
        <f>COUNTIFS('Profiles Tracker'!E:E,#REF!,'Profiles Tracker'!G:G,P$1)</f>
        <v>0</v>
      </c>
      <c r="Q116" s="3">
        <f>COUNTIFS('Profiles Tracker'!E:E,#REF!,'Profiles Tracker'!G:G,Q$1)</f>
        <v>0</v>
      </c>
      <c r="R116" s="3">
        <f>COUNTIFS('Profiles Tracker'!E:E,#REF!,'Profiles Tracker'!G:G,R$1)</f>
        <v>0</v>
      </c>
      <c r="S116" s="3">
        <f>COUNTIFS('Profiles Tracker'!E:E,#REF!,'Profiles Tracker'!G:G,"Interview Done",'Profiles Tracker'!O:O,"Rejected")</f>
        <v>0</v>
      </c>
      <c r="T116" s="3">
        <f>COUNTIFS('Profiles Tracker'!E:E,#REF!,'Profiles Tracker'!G:G,T$1)</f>
        <v>0</v>
      </c>
      <c r="U116" s="3">
        <f t="shared" si="47"/>
        <v>0</v>
      </c>
      <c r="V116" s="3">
        <f t="shared" si="48"/>
        <v>1</v>
      </c>
      <c r="W116" s="3">
        <f t="shared" si="49"/>
        <v>1</v>
      </c>
      <c r="X116" s="3">
        <f t="shared" si="50"/>
        <v>1</v>
      </c>
      <c r="Y116" s="3">
        <f t="shared" si="51"/>
        <v>3</v>
      </c>
      <c r="Z116" s="3">
        <f t="shared" si="52"/>
        <v>1</v>
      </c>
      <c r="AA116" s="3">
        <f t="shared" si="53"/>
        <v>1</v>
      </c>
      <c r="AB116" s="3">
        <f t="shared" si="54"/>
        <v>3</v>
      </c>
      <c r="AC116" s="16">
        <f>IF(M116="APM Below",E116-45,IF(M116="APM &amp; Above", E116-60,E116-90))</f>
        <v>45713</v>
      </c>
      <c r="AD116" s="16">
        <f t="shared" si="56"/>
        <v>45708</v>
      </c>
      <c r="AE116" s="16">
        <f t="shared" si="57"/>
        <v>45701</v>
      </c>
      <c r="AF116" s="18">
        <f t="shared" ca="1" si="58"/>
        <v>-57</v>
      </c>
      <c r="AG116" s="18">
        <f t="shared" ca="1" si="59"/>
        <v>-58</v>
      </c>
      <c r="AH116" s="18">
        <f t="shared" ca="1" si="60"/>
        <v>-59</v>
      </c>
      <c r="AI116" s="53" t="e">
        <f>COUNTIFS('Profiles Tracker'!E:E,#REF!,'Profiles Tracker'!G:G,Q$1,'Profiles Tracker'!#REF!,"Week 14")</f>
        <v>#REF!</v>
      </c>
      <c r="AJ116" s="52" t="e">
        <f>COUNTIFS('Profiles Tracker'!E:E,#REF!,'Profiles Tracker'!G:G,Q$1,'Profiles Tracker'!#REF!,"Week 15")</f>
        <v>#REF!</v>
      </c>
      <c r="AK116" s="52" t="e">
        <f>COUNTIFS('Profiles Tracker'!E:E,#REF!,'Profiles Tracker'!G:G,Q$1,'Profiles Tracker'!#REF!,"Week 16")</f>
        <v>#REF!</v>
      </c>
      <c r="AL116" s="52" t="e">
        <f>COUNTIFS('Profiles Tracker'!E:E,#REF!,'Profiles Tracker'!G:G,Q$1,'Profiles Tracker'!#REF!,"Week 17")</f>
        <v>#REF!</v>
      </c>
      <c r="AM116" s="52" t="e">
        <f>COUNTIFS('Profiles Tracker'!E:E,#REF!,'Profiles Tracker'!G:G,Q$1,'Profiles Tracker'!#REF!,"Week 18")</f>
        <v>#REF!</v>
      </c>
    </row>
    <row r="117" spans="1:39">
      <c r="A117" s="3">
        <v>484</v>
      </c>
      <c r="B117" s="17" t="s">
        <v>38</v>
      </c>
      <c r="C117" s="17"/>
      <c r="D117" s="17"/>
      <c r="E117" s="16">
        <v>45758</v>
      </c>
      <c r="F117" s="3" t="s">
        <v>263</v>
      </c>
      <c r="G117" s="3">
        <v>1</v>
      </c>
      <c r="H117" s="16">
        <v>45777</v>
      </c>
      <c r="I117" s="3" t="s">
        <v>42</v>
      </c>
      <c r="J117" s="3" t="s">
        <v>42</v>
      </c>
      <c r="K117" s="17" t="s">
        <v>264</v>
      </c>
      <c r="L117" s="17"/>
      <c r="M117" s="4" t="s">
        <v>45</v>
      </c>
      <c r="N117" s="3">
        <f>COUNTIFS('Profiles Tracker'!E:E,#REF!,'Profiles Tracker'!G:G,"Profile shared with Interviewer")</f>
        <v>0</v>
      </c>
      <c r="O117" s="3">
        <f>COUNTIFS('Profiles Tracker'!E:E,#REF!,'Profiles Tracker'!G:G,"Shortlisted for next round of interview")</f>
        <v>0</v>
      </c>
      <c r="P117" s="3">
        <f>COUNTIFS('Profiles Tracker'!E:E,#REF!,'Profiles Tracker'!G:G,P$1)</f>
        <v>0</v>
      </c>
      <c r="Q117" s="3">
        <f>COUNTIFS('Profiles Tracker'!E:E,#REF!,'Profiles Tracker'!G:G,Q$1)</f>
        <v>0</v>
      </c>
      <c r="R117" s="3">
        <f>COUNTIFS('Profiles Tracker'!E:E,#REF!,'Profiles Tracker'!G:G,R$1)</f>
        <v>0</v>
      </c>
      <c r="S117" s="3">
        <f>COUNTIFS('Profiles Tracker'!E:E,#REF!,'Profiles Tracker'!G:G,"Interview Done",'Profiles Tracker'!O:O,"Rejected")</f>
        <v>0</v>
      </c>
      <c r="T117" s="3">
        <f>COUNTIFS('Profiles Tracker'!E:E,#REF!,'Profiles Tracker'!G:G,T$1)</f>
        <v>0</v>
      </c>
      <c r="U117" s="3">
        <f t="shared" si="47"/>
        <v>0</v>
      </c>
      <c r="V117" s="3">
        <f t="shared" si="48"/>
        <v>1</v>
      </c>
      <c r="W117" s="3">
        <f t="shared" si="49"/>
        <v>1</v>
      </c>
      <c r="X117" s="3">
        <f t="shared" si="50"/>
        <v>1</v>
      </c>
      <c r="Y117" s="3">
        <f t="shared" si="51"/>
        <v>3</v>
      </c>
      <c r="Z117" s="3">
        <f t="shared" si="52"/>
        <v>1</v>
      </c>
      <c r="AA117" s="3">
        <f t="shared" si="53"/>
        <v>1</v>
      </c>
      <c r="AB117" s="3">
        <f t="shared" si="54"/>
        <v>3</v>
      </c>
      <c r="AC117" s="16">
        <f>IF(M117="APM Below",E117-45,IF(M117="APM &amp; Above", E117-60,E117-90))</f>
        <v>45698</v>
      </c>
      <c r="AD117" s="16">
        <f t="shared" si="56"/>
        <v>45693</v>
      </c>
      <c r="AE117" s="16">
        <f t="shared" si="57"/>
        <v>45686</v>
      </c>
      <c r="AF117" s="18">
        <f t="shared" ca="1" si="58"/>
        <v>-59</v>
      </c>
      <c r="AG117" s="18">
        <f t="shared" ca="1" si="59"/>
        <v>-60</v>
      </c>
      <c r="AH117" s="18">
        <f t="shared" ca="1" si="60"/>
        <v>-61</v>
      </c>
      <c r="AI117" s="53" t="e">
        <f>COUNTIFS('Profiles Tracker'!E:E,#REF!,'Profiles Tracker'!G:G,Q$1,'Profiles Tracker'!#REF!,"Week 14")</f>
        <v>#REF!</v>
      </c>
      <c r="AJ117" s="52" t="e">
        <f>COUNTIFS('Profiles Tracker'!E:E,#REF!,'Profiles Tracker'!G:G,Q$1,'Profiles Tracker'!#REF!,"Week 15")</f>
        <v>#REF!</v>
      </c>
      <c r="AK117" s="52" t="e">
        <f>COUNTIFS('Profiles Tracker'!E:E,#REF!,'Profiles Tracker'!G:G,Q$1,'Profiles Tracker'!#REF!,"Week 16")</f>
        <v>#REF!</v>
      </c>
      <c r="AL117" s="52" t="e">
        <f>COUNTIFS('Profiles Tracker'!E:E,#REF!,'Profiles Tracker'!G:G,Q$1,'Profiles Tracker'!#REF!,"Week 17")</f>
        <v>#REF!</v>
      </c>
      <c r="AM117" s="52" t="e">
        <f>COUNTIFS('Profiles Tracker'!E:E,#REF!,'Profiles Tracker'!G:G,Q$1,'Profiles Tracker'!#REF!,"Week 18")</f>
        <v>#REF!</v>
      </c>
    </row>
    <row r="118" spans="1:39">
      <c r="A118" s="3">
        <f>ROW()-1</f>
        <v>117</v>
      </c>
      <c r="B118" s="19" t="s">
        <v>38</v>
      </c>
      <c r="C118" s="19" t="s">
        <v>60</v>
      </c>
      <c r="D118" s="19"/>
      <c r="E118" s="5">
        <v>45668</v>
      </c>
      <c r="F118" s="19" t="s">
        <v>61</v>
      </c>
      <c r="G118" s="19">
        <v>1</v>
      </c>
      <c r="H118" s="16">
        <v>45777</v>
      </c>
      <c r="I118" s="3" t="s">
        <v>41</v>
      </c>
      <c r="J118" s="3" t="s">
        <v>42</v>
      </c>
      <c r="K118" s="19" t="s">
        <v>265</v>
      </c>
      <c r="L118" s="19"/>
      <c r="M118" s="4" t="s">
        <v>45</v>
      </c>
      <c r="N118" s="3">
        <f>COUNTIFS('Profiles Tracker'!E:E,#REF!,'Profiles Tracker'!G:G,"Profile shared with Interviewer")</f>
        <v>0</v>
      </c>
      <c r="O118" s="3">
        <f>COUNTIFS('Profiles Tracker'!E:E,#REF!,'Profiles Tracker'!G:G,"Shortlisted for next round of interview")</f>
        <v>0</v>
      </c>
      <c r="P118" s="3">
        <f>COUNTIFS('Profiles Tracker'!E:E,#REF!,'Profiles Tracker'!G:G,P$1)</f>
        <v>0</v>
      </c>
      <c r="Q118" s="3">
        <f>COUNTIFS('Profiles Tracker'!E:E,#REF!,'Profiles Tracker'!G:G,Q$1)</f>
        <v>0</v>
      </c>
      <c r="R118" s="3">
        <f>COUNTIFS('Profiles Tracker'!E:E,#REF!,'Profiles Tracker'!G:G,R$1)</f>
        <v>0</v>
      </c>
      <c r="S118" s="3">
        <f>COUNTIFS('Profiles Tracker'!E:E,#REF!,'Profiles Tracker'!G:G,"Interview Done",'Profiles Tracker'!O:O,"Rejected")</f>
        <v>0</v>
      </c>
      <c r="T118" s="3">
        <f>COUNTIFS('Profiles Tracker'!E:E,#REF!,'Profiles Tracker'!G:G,T$1)</f>
        <v>0</v>
      </c>
      <c r="U118" s="3">
        <f t="shared" si="47"/>
        <v>0</v>
      </c>
      <c r="V118" s="3">
        <f t="shared" si="48"/>
        <v>1</v>
      </c>
      <c r="W118" s="19"/>
      <c r="X118" s="19"/>
      <c r="Y118" s="19"/>
      <c r="Z118" s="19"/>
      <c r="AA118" s="19"/>
      <c r="AB118" s="19"/>
      <c r="AC118" s="19"/>
      <c r="AD118" s="19"/>
      <c r="AE118" s="19"/>
      <c r="AF118" s="19"/>
      <c r="AG118" s="19"/>
      <c r="AH118" s="19"/>
      <c r="AI118" s="19"/>
      <c r="AJ118" s="19"/>
      <c r="AK118" s="19"/>
      <c r="AL118" s="19"/>
      <c r="AM118" s="19"/>
    </row>
  </sheetData>
  <sheetProtection algorithmName="SHA-512" hashValue="HtgmFBAFlJtH+oTgLpy3/cdkOW+iRY6ZNDitKA3hla/bRx517Vtj5hBpO1FTPGGmj32BvwN6n9jPExYm0cArfA==" saltValue="U3Yx3fIdHi+MJgIJV+c0vQ==" spinCount="100000" sheet="1" objects="1" scenarios="1"/>
  <autoFilter ref="A1:AM118" xr:uid="{009FC5AE-76C1-4002-9DA3-C741E09F3E16}"/>
  <dataValidations count="1">
    <dataValidation type="list" allowBlank="1" showInputMessage="1" showErrorMessage="1" sqref="M1:M118" xr:uid="{0BA9D1FA-F165-4E49-9902-52F86E75F590}">
      <formula1>"AGM &amp; Above, APM &amp; Above, APM Below"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48315"/>
  <sheetViews>
    <sheetView tabSelected="1" workbookViewId="0">
      <pane ySplit="1" topLeftCell="A2" activePane="bottomLeft" state="frozen"/>
      <selection pane="bottomLeft"/>
    </sheetView>
  </sheetViews>
  <sheetFormatPr defaultColWidth="9.109375" defaultRowHeight="14.4"/>
  <cols>
    <col min="1" max="1" width="7.5546875" style="1" bestFit="1" customWidth="1"/>
    <col min="2" max="2" width="39" style="1" customWidth="1"/>
    <col min="3" max="4" width="15.88671875" style="1" customWidth="1"/>
    <col min="5" max="5" width="20.5546875" style="1" customWidth="1"/>
    <col min="6" max="6" width="40.88671875" style="1" customWidth="1"/>
    <col min="7" max="7" width="34.33203125" style="1" bestFit="1" customWidth="1"/>
    <col min="8" max="8" width="21.5546875" style="1" customWidth="1"/>
    <col min="9" max="9" width="18.88671875" style="1" bestFit="1" customWidth="1"/>
    <col min="10" max="10" width="13.5546875" style="1" customWidth="1"/>
    <col min="11" max="11" width="11.33203125" style="1" customWidth="1"/>
    <col min="12" max="12" width="12.109375" style="1" customWidth="1"/>
    <col min="13" max="13" width="12.6640625" style="1" customWidth="1"/>
    <col min="14" max="14" width="11.6640625" style="1" bestFit="1" customWidth="1"/>
    <col min="15" max="15" width="15.5546875" style="1" customWidth="1"/>
  </cols>
  <sheetData>
    <row r="1" spans="1:15" ht="50.25" customHeight="1">
      <c r="A1" s="91" t="s">
        <v>0</v>
      </c>
      <c r="B1" s="91" t="s">
        <v>280</v>
      </c>
      <c r="C1" s="91" t="s">
        <v>281</v>
      </c>
      <c r="D1" s="91" t="s">
        <v>282</v>
      </c>
      <c r="E1" s="91" t="s">
        <v>10</v>
      </c>
      <c r="F1" s="91" t="s">
        <v>283</v>
      </c>
      <c r="G1" s="91" t="s">
        <v>266</v>
      </c>
      <c r="H1" s="91" t="s">
        <v>284</v>
      </c>
      <c r="I1" s="91" t="s">
        <v>9</v>
      </c>
      <c r="J1" s="91" t="s">
        <v>286</v>
      </c>
      <c r="K1" s="91" t="s">
        <v>287</v>
      </c>
      <c r="L1" s="91" t="s">
        <v>288</v>
      </c>
      <c r="M1" s="91" t="s">
        <v>289</v>
      </c>
      <c r="N1" s="91" t="s">
        <v>290</v>
      </c>
      <c r="O1" s="91" t="s">
        <v>285</v>
      </c>
    </row>
    <row r="2" spans="1:15">
      <c r="A2" s="3">
        <f t="shared" ref="A2:A16" si="0">ROW()-1</f>
        <v>1</v>
      </c>
      <c r="B2" s="41" t="s">
        <v>291</v>
      </c>
      <c r="C2" s="3">
        <v>9647727915</v>
      </c>
      <c r="D2" s="6"/>
      <c r="E2" s="3" t="s">
        <v>292</v>
      </c>
      <c r="F2" s="41" t="s">
        <v>293</v>
      </c>
      <c r="G2" s="3" t="s">
        <v>295</v>
      </c>
      <c r="H2" s="2" t="s">
        <v>296</v>
      </c>
      <c r="I2" s="37" t="s">
        <v>88</v>
      </c>
      <c r="J2" s="31">
        <v>45644</v>
      </c>
      <c r="K2" s="31">
        <v>45684</v>
      </c>
      <c r="L2" s="31">
        <v>45692</v>
      </c>
      <c r="M2" s="31">
        <v>45727</v>
      </c>
      <c r="N2" s="31"/>
      <c r="O2" s="3" t="s">
        <v>297</v>
      </c>
    </row>
    <row r="3" spans="1:15">
      <c r="A3" s="3">
        <f t="shared" si="0"/>
        <v>2</v>
      </c>
      <c r="B3" s="41" t="s">
        <v>298</v>
      </c>
      <c r="C3" s="3">
        <v>9948349493</v>
      </c>
      <c r="D3" s="6">
        <v>9556683193</v>
      </c>
      <c r="E3" s="3" t="s">
        <v>299</v>
      </c>
      <c r="F3" s="41" t="s">
        <v>300</v>
      </c>
      <c r="G3" s="3" t="s">
        <v>16</v>
      </c>
      <c r="H3" s="2" t="s">
        <v>296</v>
      </c>
      <c r="I3" s="37" t="s">
        <v>94</v>
      </c>
      <c r="J3" s="31">
        <v>45651</v>
      </c>
      <c r="K3" s="31">
        <v>45668</v>
      </c>
      <c r="L3" s="31">
        <v>45685</v>
      </c>
      <c r="M3" s="31">
        <v>45719</v>
      </c>
      <c r="N3" s="31">
        <v>45727</v>
      </c>
      <c r="O3" s="3" t="s">
        <v>297</v>
      </c>
    </row>
    <row r="4" spans="1:15">
      <c r="A4" s="3">
        <f t="shared" si="0"/>
        <v>3</v>
      </c>
      <c r="B4" s="97" t="s">
        <v>301</v>
      </c>
      <c r="C4" s="3">
        <v>9430790178</v>
      </c>
      <c r="D4" s="6"/>
      <c r="E4" s="3" t="s">
        <v>302</v>
      </c>
      <c r="F4" s="41" t="s">
        <v>303</v>
      </c>
      <c r="G4" s="3" t="s">
        <v>16</v>
      </c>
      <c r="H4" s="3" t="s">
        <v>305</v>
      </c>
      <c r="I4" s="37" t="s">
        <v>94</v>
      </c>
      <c r="J4" s="31">
        <v>45650</v>
      </c>
      <c r="K4" s="31">
        <v>45685</v>
      </c>
      <c r="L4" s="31">
        <v>45716</v>
      </c>
      <c r="M4" s="31">
        <v>45744</v>
      </c>
      <c r="N4" s="31">
        <v>45740</v>
      </c>
      <c r="O4" s="3" t="s">
        <v>297</v>
      </c>
    </row>
    <row r="5" spans="1:15">
      <c r="A5" s="3">
        <f t="shared" si="0"/>
        <v>4</v>
      </c>
      <c r="B5" s="41" t="s">
        <v>306</v>
      </c>
      <c r="C5" s="3">
        <v>9506795903</v>
      </c>
      <c r="D5" s="6"/>
      <c r="E5" s="3" t="s">
        <v>307</v>
      </c>
      <c r="F5" s="41" t="s">
        <v>308</v>
      </c>
      <c r="G5" s="3" t="s">
        <v>16</v>
      </c>
      <c r="H5" s="3" t="s">
        <v>305</v>
      </c>
      <c r="I5" s="37" t="s">
        <v>94</v>
      </c>
      <c r="J5" s="31">
        <v>45650</v>
      </c>
      <c r="K5" s="31">
        <v>45665</v>
      </c>
      <c r="L5" s="31">
        <v>45681</v>
      </c>
      <c r="M5" s="31">
        <v>45698</v>
      </c>
      <c r="N5" s="31">
        <v>45699</v>
      </c>
      <c r="O5" s="3" t="s">
        <v>297</v>
      </c>
    </row>
    <row r="6" spans="1:15">
      <c r="A6" s="3">
        <f t="shared" si="0"/>
        <v>5</v>
      </c>
      <c r="B6" s="41" t="s">
        <v>309</v>
      </c>
      <c r="C6" s="3">
        <v>8768238116</v>
      </c>
      <c r="D6" s="6"/>
      <c r="E6" s="3" t="s">
        <v>307</v>
      </c>
      <c r="F6" s="41" t="s">
        <v>310</v>
      </c>
      <c r="G6" s="3" t="s">
        <v>295</v>
      </c>
      <c r="H6" s="3" t="s">
        <v>305</v>
      </c>
      <c r="I6" s="37" t="s">
        <v>94</v>
      </c>
      <c r="J6" s="31">
        <v>45650</v>
      </c>
      <c r="K6" s="31">
        <v>45665</v>
      </c>
      <c r="L6" s="31">
        <v>45681</v>
      </c>
      <c r="M6" s="31">
        <v>45713</v>
      </c>
      <c r="N6" s="31"/>
      <c r="O6" s="3" t="s">
        <v>297</v>
      </c>
    </row>
    <row r="7" spans="1:15">
      <c r="A7" s="3">
        <f t="shared" si="0"/>
        <v>6</v>
      </c>
      <c r="B7" s="41" t="s">
        <v>311</v>
      </c>
      <c r="C7" s="3">
        <v>8638680792</v>
      </c>
      <c r="D7" s="6"/>
      <c r="E7" s="3" t="s">
        <v>312</v>
      </c>
      <c r="F7" s="41" t="s">
        <v>313</v>
      </c>
      <c r="G7" s="3" t="s">
        <v>16</v>
      </c>
      <c r="H7" s="3" t="s">
        <v>305</v>
      </c>
      <c r="I7" s="37" t="s">
        <v>94</v>
      </c>
      <c r="J7" s="31">
        <v>45650</v>
      </c>
      <c r="K7" s="31">
        <v>45665</v>
      </c>
      <c r="L7" s="31">
        <v>45681</v>
      </c>
      <c r="M7" s="31">
        <v>45717</v>
      </c>
      <c r="N7" s="31">
        <v>45717</v>
      </c>
      <c r="O7" s="3" t="s">
        <v>297</v>
      </c>
    </row>
    <row r="8" spans="1:15">
      <c r="A8" s="3">
        <f t="shared" si="0"/>
        <v>7</v>
      </c>
      <c r="B8" s="41" t="s">
        <v>314</v>
      </c>
      <c r="C8" s="3">
        <v>9125929490</v>
      </c>
      <c r="D8" s="6"/>
      <c r="E8" s="3" t="s">
        <v>315</v>
      </c>
      <c r="F8" s="41" t="s">
        <v>313</v>
      </c>
      <c r="G8" s="3" t="s">
        <v>16</v>
      </c>
      <c r="H8" s="3" t="s">
        <v>305</v>
      </c>
      <c r="I8" s="37" t="s">
        <v>94</v>
      </c>
      <c r="J8" s="31">
        <v>45650</v>
      </c>
      <c r="K8" s="31">
        <v>45665</v>
      </c>
      <c r="L8" s="31">
        <v>45685</v>
      </c>
      <c r="M8" s="31">
        <v>45698</v>
      </c>
      <c r="N8" s="31">
        <v>45698</v>
      </c>
      <c r="O8" s="3" t="s">
        <v>297</v>
      </c>
    </row>
    <row r="9" spans="1:15">
      <c r="A9" s="3">
        <f t="shared" si="0"/>
        <v>8</v>
      </c>
      <c r="B9" s="41" t="s">
        <v>316</v>
      </c>
      <c r="C9" s="3">
        <v>9570435025</v>
      </c>
      <c r="D9" s="6"/>
      <c r="E9" s="3" t="s">
        <v>307</v>
      </c>
      <c r="F9" s="41" t="s">
        <v>313</v>
      </c>
      <c r="G9" s="3" t="s">
        <v>16</v>
      </c>
      <c r="H9" s="3" t="s">
        <v>305</v>
      </c>
      <c r="I9" s="37" t="s">
        <v>94</v>
      </c>
      <c r="J9" s="31">
        <v>45659</v>
      </c>
      <c r="K9" s="31">
        <v>45682</v>
      </c>
      <c r="L9" s="31">
        <v>45699</v>
      </c>
      <c r="M9" s="31">
        <v>45719</v>
      </c>
      <c r="N9" s="31">
        <v>45718</v>
      </c>
      <c r="O9" s="3" t="s">
        <v>297</v>
      </c>
    </row>
    <row r="10" spans="1:15">
      <c r="A10" s="3">
        <f t="shared" si="0"/>
        <v>9</v>
      </c>
      <c r="B10" s="41" t="s">
        <v>317</v>
      </c>
      <c r="C10" s="3">
        <v>8573926330</v>
      </c>
      <c r="D10" s="6"/>
      <c r="E10" s="3" t="s">
        <v>318</v>
      </c>
      <c r="F10" s="41" t="s">
        <v>319</v>
      </c>
      <c r="G10" s="3" t="s">
        <v>16</v>
      </c>
      <c r="H10" s="3" t="s">
        <v>305</v>
      </c>
      <c r="I10" s="37" t="s">
        <v>94</v>
      </c>
      <c r="J10" s="31">
        <v>45650</v>
      </c>
      <c r="K10" s="31">
        <v>45665</v>
      </c>
      <c r="L10" s="31">
        <v>45681</v>
      </c>
      <c r="M10" s="31">
        <v>45708</v>
      </c>
      <c r="N10" s="31">
        <v>45708</v>
      </c>
      <c r="O10" s="3" t="s">
        <v>297</v>
      </c>
    </row>
    <row r="11" spans="1:15">
      <c r="A11" s="3">
        <f t="shared" si="0"/>
        <v>10</v>
      </c>
      <c r="B11" s="41" t="s">
        <v>320</v>
      </c>
      <c r="C11" s="3">
        <v>7307289785</v>
      </c>
      <c r="D11" s="6">
        <v>8756280226</v>
      </c>
      <c r="E11" s="3" t="s">
        <v>312</v>
      </c>
      <c r="F11" s="41" t="s">
        <v>310</v>
      </c>
      <c r="G11" s="3" t="s">
        <v>16</v>
      </c>
      <c r="H11" s="3" t="s">
        <v>305</v>
      </c>
      <c r="I11" s="37" t="s">
        <v>94</v>
      </c>
      <c r="J11" s="31">
        <v>45650</v>
      </c>
      <c r="K11" s="31">
        <v>45665</v>
      </c>
      <c r="L11" s="31">
        <v>45681</v>
      </c>
      <c r="M11" s="31">
        <v>45659</v>
      </c>
      <c r="N11" s="31">
        <v>45689</v>
      </c>
      <c r="O11" s="3" t="s">
        <v>297</v>
      </c>
    </row>
    <row r="12" spans="1:15">
      <c r="A12" s="3">
        <f t="shared" si="0"/>
        <v>11</v>
      </c>
      <c r="B12" s="41" t="s">
        <v>321</v>
      </c>
      <c r="C12" s="3">
        <v>9382685187</v>
      </c>
      <c r="D12" s="6">
        <v>8697120899</v>
      </c>
      <c r="E12" s="3" t="s">
        <v>322</v>
      </c>
      <c r="F12" s="41" t="s">
        <v>323</v>
      </c>
      <c r="G12" s="3" t="s">
        <v>16</v>
      </c>
      <c r="H12" s="3" t="s">
        <v>305</v>
      </c>
      <c r="I12" s="37" t="s">
        <v>94</v>
      </c>
      <c r="J12" s="31">
        <v>45650</v>
      </c>
      <c r="K12" s="31">
        <v>45684</v>
      </c>
      <c r="L12" s="31">
        <v>45695</v>
      </c>
      <c r="M12" s="31">
        <v>45729</v>
      </c>
      <c r="N12" s="31">
        <v>45728</v>
      </c>
      <c r="O12" s="3" t="s">
        <v>297</v>
      </c>
    </row>
    <row r="13" spans="1:15">
      <c r="A13" s="3">
        <f t="shared" si="0"/>
        <v>12</v>
      </c>
      <c r="B13" s="41" t="s">
        <v>324</v>
      </c>
      <c r="C13" s="3">
        <v>8709702629</v>
      </c>
      <c r="D13" s="6">
        <v>8083217557</v>
      </c>
      <c r="E13" s="3" t="s">
        <v>325</v>
      </c>
      <c r="F13" s="41" t="s">
        <v>326</v>
      </c>
      <c r="G13" s="3" t="s">
        <v>16</v>
      </c>
      <c r="H13" s="3" t="s">
        <v>305</v>
      </c>
      <c r="I13" s="37" t="s">
        <v>42</v>
      </c>
      <c r="J13" s="31">
        <v>45650</v>
      </c>
      <c r="K13" s="31">
        <v>45684</v>
      </c>
      <c r="L13" s="31">
        <v>45695</v>
      </c>
      <c r="M13" s="31">
        <v>45718</v>
      </c>
      <c r="N13" s="31">
        <v>45723</v>
      </c>
      <c r="O13" s="3" t="s">
        <v>297</v>
      </c>
    </row>
    <row r="14" spans="1:15">
      <c r="A14" s="3">
        <f t="shared" si="0"/>
        <v>13</v>
      </c>
      <c r="B14" s="41" t="s">
        <v>327</v>
      </c>
      <c r="C14" s="3">
        <v>8601015944</v>
      </c>
      <c r="D14" s="6"/>
      <c r="E14" s="3" t="s">
        <v>328</v>
      </c>
      <c r="F14" s="41" t="s">
        <v>329</v>
      </c>
      <c r="G14" s="3" t="s">
        <v>330</v>
      </c>
      <c r="H14" s="3" t="s">
        <v>305</v>
      </c>
      <c r="I14" s="37" t="s">
        <v>94</v>
      </c>
      <c r="J14" s="31">
        <v>45650</v>
      </c>
      <c r="K14" s="31">
        <v>45684</v>
      </c>
      <c r="L14" s="31">
        <v>45695</v>
      </c>
      <c r="M14" s="31">
        <v>45802</v>
      </c>
      <c r="N14" s="31">
        <v>45799</v>
      </c>
      <c r="O14" s="3" t="s">
        <v>297</v>
      </c>
    </row>
    <row r="15" spans="1:15">
      <c r="A15" s="3">
        <f t="shared" si="0"/>
        <v>14</v>
      </c>
      <c r="B15" s="41" t="s">
        <v>331</v>
      </c>
      <c r="C15" s="3">
        <v>8299628966</v>
      </c>
      <c r="D15" s="6"/>
      <c r="E15" s="3" t="s">
        <v>332</v>
      </c>
      <c r="F15" s="41" t="s">
        <v>333</v>
      </c>
      <c r="G15" s="3" t="s">
        <v>16</v>
      </c>
      <c r="H15" s="3" t="s">
        <v>305</v>
      </c>
      <c r="I15" s="37" t="s">
        <v>94</v>
      </c>
      <c r="J15" s="31">
        <v>45650</v>
      </c>
      <c r="K15" s="31">
        <v>45684</v>
      </c>
      <c r="L15" s="31">
        <v>45695</v>
      </c>
      <c r="M15" s="31">
        <v>45724</v>
      </c>
      <c r="N15" s="31">
        <v>45724</v>
      </c>
      <c r="O15" s="3" t="s">
        <v>297</v>
      </c>
    </row>
    <row r="16" spans="1:15">
      <c r="A16" s="3">
        <f t="shared" si="0"/>
        <v>15</v>
      </c>
      <c r="B16" s="41" t="s">
        <v>334</v>
      </c>
      <c r="C16" s="3">
        <v>9063993433</v>
      </c>
      <c r="D16" s="6"/>
      <c r="E16" s="3" t="s">
        <v>335</v>
      </c>
      <c r="F16" s="41" t="s">
        <v>336</v>
      </c>
      <c r="G16" s="3" t="s">
        <v>295</v>
      </c>
      <c r="H16" s="2" t="s">
        <v>296</v>
      </c>
      <c r="I16" s="37" t="s">
        <v>94</v>
      </c>
      <c r="J16" s="31">
        <v>45619</v>
      </c>
      <c r="K16" s="31">
        <v>45652</v>
      </c>
      <c r="L16" s="31"/>
      <c r="M16" s="31"/>
      <c r="N16" s="31"/>
      <c r="O16" s="3" t="s">
        <v>297</v>
      </c>
    </row>
    <row r="17" spans="1:15">
      <c r="A17" s="3">
        <f t="shared" ref="A17:A57" si="1">ROW()-1</f>
        <v>16</v>
      </c>
      <c r="B17" s="41" t="s">
        <v>337</v>
      </c>
      <c r="C17" s="3">
        <v>7799431420</v>
      </c>
      <c r="D17" s="6"/>
      <c r="E17" s="3" t="s">
        <v>338</v>
      </c>
      <c r="F17" s="41" t="s">
        <v>339</v>
      </c>
      <c r="G17" s="3" t="s">
        <v>295</v>
      </c>
      <c r="H17" s="3" t="s">
        <v>162</v>
      </c>
      <c r="I17" s="37" t="s">
        <v>94</v>
      </c>
      <c r="J17" s="31">
        <v>45632</v>
      </c>
      <c r="K17" s="31">
        <v>45666</v>
      </c>
      <c r="L17" s="31">
        <v>45681</v>
      </c>
      <c r="M17" s="31">
        <v>45706</v>
      </c>
      <c r="N17" s="31"/>
      <c r="O17" s="3" t="s">
        <v>297</v>
      </c>
    </row>
    <row r="18" spans="1:15">
      <c r="A18" s="3">
        <f t="shared" si="1"/>
        <v>17</v>
      </c>
      <c r="B18" s="41" t="s">
        <v>340</v>
      </c>
      <c r="C18" s="3">
        <v>9541909936</v>
      </c>
      <c r="D18" s="6"/>
      <c r="E18" s="3" t="s">
        <v>341</v>
      </c>
      <c r="F18" s="41" t="s">
        <v>342</v>
      </c>
      <c r="G18" s="3" t="s">
        <v>16</v>
      </c>
      <c r="H18" s="3" t="s">
        <v>162</v>
      </c>
      <c r="I18" s="37" t="s">
        <v>88</v>
      </c>
      <c r="J18" s="31">
        <v>45632</v>
      </c>
      <c r="K18" s="31">
        <v>45666</v>
      </c>
      <c r="L18" s="31">
        <v>45674</v>
      </c>
      <c r="M18" s="31">
        <v>45710</v>
      </c>
      <c r="N18" s="31">
        <v>45710</v>
      </c>
      <c r="O18" s="3" t="s">
        <v>297</v>
      </c>
    </row>
    <row r="19" spans="1:15">
      <c r="A19" s="3">
        <f t="shared" si="1"/>
        <v>18</v>
      </c>
      <c r="B19" s="41" t="s">
        <v>343</v>
      </c>
      <c r="C19" s="3">
        <v>8528732123</v>
      </c>
      <c r="D19" s="6"/>
      <c r="E19" s="3" t="s">
        <v>344</v>
      </c>
      <c r="F19" s="67" t="s">
        <v>277</v>
      </c>
      <c r="G19" s="3" t="s">
        <v>295</v>
      </c>
      <c r="H19" s="2" t="s">
        <v>296</v>
      </c>
      <c r="I19" s="37" t="s">
        <v>94</v>
      </c>
      <c r="J19" s="31">
        <v>45635</v>
      </c>
      <c r="K19" s="31">
        <v>45686</v>
      </c>
      <c r="L19" s="31">
        <v>45695</v>
      </c>
      <c r="M19" s="31">
        <v>45719</v>
      </c>
      <c r="N19" s="31"/>
      <c r="O19" s="3" t="s">
        <v>297</v>
      </c>
    </row>
    <row r="20" spans="1:15">
      <c r="A20" s="3">
        <f t="shared" si="1"/>
        <v>19</v>
      </c>
      <c r="B20" s="41" t="s">
        <v>345</v>
      </c>
      <c r="C20" s="3">
        <v>7908599262</v>
      </c>
      <c r="D20" s="6"/>
      <c r="E20" s="3" t="s">
        <v>346</v>
      </c>
      <c r="F20" s="67" t="s">
        <v>277</v>
      </c>
      <c r="G20" s="3" t="s">
        <v>16</v>
      </c>
      <c r="H20" s="2" t="s">
        <v>296</v>
      </c>
      <c r="I20" s="37" t="s">
        <v>94</v>
      </c>
      <c r="J20" s="31">
        <v>45635</v>
      </c>
      <c r="K20" s="31">
        <v>45668</v>
      </c>
      <c r="L20" s="31">
        <v>45728</v>
      </c>
      <c r="M20" s="31">
        <v>45795</v>
      </c>
      <c r="N20" s="31">
        <v>45796</v>
      </c>
      <c r="O20" s="3" t="s">
        <v>297</v>
      </c>
    </row>
    <row r="21" spans="1:15">
      <c r="A21" s="3">
        <f t="shared" si="1"/>
        <v>20</v>
      </c>
      <c r="B21" s="41" t="s">
        <v>347</v>
      </c>
      <c r="C21" s="3">
        <v>7223859700</v>
      </c>
      <c r="D21" s="6"/>
      <c r="E21" s="3" t="s">
        <v>348</v>
      </c>
      <c r="F21" s="41" t="s">
        <v>294</v>
      </c>
      <c r="G21" s="3" t="s">
        <v>16</v>
      </c>
      <c r="H21" s="2" t="s">
        <v>296</v>
      </c>
      <c r="I21" s="37" t="s">
        <v>94</v>
      </c>
      <c r="J21" s="31">
        <v>45644</v>
      </c>
      <c r="K21" s="31">
        <v>45687</v>
      </c>
      <c r="L21" s="31">
        <v>45701</v>
      </c>
      <c r="M21" s="31">
        <v>45719</v>
      </c>
      <c r="N21" s="31">
        <v>45733</v>
      </c>
      <c r="O21" s="3" t="s">
        <v>297</v>
      </c>
    </row>
    <row r="22" spans="1:15">
      <c r="A22" s="3">
        <f t="shared" si="1"/>
        <v>21</v>
      </c>
      <c r="B22" s="41" t="s">
        <v>349</v>
      </c>
      <c r="C22" s="3">
        <v>9993640670</v>
      </c>
      <c r="D22" s="6">
        <v>9425841226</v>
      </c>
      <c r="E22" s="3" t="s">
        <v>350</v>
      </c>
      <c r="F22" s="67" t="s">
        <v>351</v>
      </c>
      <c r="G22" s="3" t="s">
        <v>295</v>
      </c>
      <c r="H22" s="3" t="s">
        <v>352</v>
      </c>
      <c r="I22" s="37" t="s">
        <v>94</v>
      </c>
      <c r="J22" s="31">
        <v>45644</v>
      </c>
      <c r="K22" s="31">
        <v>45644</v>
      </c>
      <c r="L22" s="31">
        <v>45668</v>
      </c>
      <c r="M22" s="31">
        <v>45792</v>
      </c>
      <c r="N22" s="31"/>
      <c r="O22" s="3" t="s">
        <v>297</v>
      </c>
    </row>
    <row r="23" spans="1:15">
      <c r="A23" s="3">
        <f t="shared" si="1"/>
        <v>22</v>
      </c>
      <c r="B23" s="41" t="s">
        <v>353</v>
      </c>
      <c r="C23" s="3">
        <v>7000010132</v>
      </c>
      <c r="D23" s="6"/>
      <c r="E23" s="3" t="s">
        <v>350</v>
      </c>
      <c r="F23" s="67" t="s">
        <v>351</v>
      </c>
      <c r="G23" s="3" t="s">
        <v>295</v>
      </c>
      <c r="H23" s="3" t="s">
        <v>352</v>
      </c>
      <c r="I23" s="37" t="s">
        <v>94</v>
      </c>
      <c r="J23" s="31">
        <v>45668</v>
      </c>
      <c r="K23" s="31">
        <v>45668</v>
      </c>
      <c r="L23" s="31">
        <v>45668</v>
      </c>
      <c r="M23" s="31">
        <v>45787</v>
      </c>
      <c r="N23" s="31"/>
      <c r="O23" s="3" t="s">
        <v>297</v>
      </c>
    </row>
    <row r="24" spans="1:15">
      <c r="A24" s="3">
        <f t="shared" si="1"/>
        <v>23</v>
      </c>
      <c r="B24" s="41" t="s">
        <v>354</v>
      </c>
      <c r="C24" s="3">
        <v>9966500407</v>
      </c>
      <c r="D24" s="6"/>
      <c r="E24" s="3" t="s">
        <v>355</v>
      </c>
      <c r="F24" s="67" t="s">
        <v>356</v>
      </c>
      <c r="G24" s="3" t="s">
        <v>18</v>
      </c>
      <c r="H24" s="3" t="s">
        <v>357</v>
      </c>
      <c r="I24" s="37" t="s">
        <v>94</v>
      </c>
      <c r="J24" s="31">
        <v>45668</v>
      </c>
      <c r="K24" s="31">
        <v>45668</v>
      </c>
      <c r="L24" s="31"/>
      <c r="M24" s="31"/>
      <c r="N24" s="31"/>
      <c r="O24" s="3" t="s">
        <v>297</v>
      </c>
    </row>
    <row r="25" spans="1:15">
      <c r="A25" s="3">
        <f t="shared" si="1"/>
        <v>24</v>
      </c>
      <c r="B25" s="41" t="s">
        <v>358</v>
      </c>
      <c r="C25" s="3">
        <v>9506454142</v>
      </c>
      <c r="D25" s="6">
        <v>6389658029</v>
      </c>
      <c r="E25" s="3" t="s">
        <v>359</v>
      </c>
      <c r="F25" s="67" t="s">
        <v>360</v>
      </c>
      <c r="G25" s="3" t="s">
        <v>18</v>
      </c>
      <c r="H25" s="3" t="s">
        <v>361</v>
      </c>
      <c r="I25" s="37" t="s">
        <v>94</v>
      </c>
      <c r="J25" s="31">
        <v>45668</v>
      </c>
      <c r="K25" s="31">
        <v>45668</v>
      </c>
      <c r="L25" s="31"/>
      <c r="M25" s="31"/>
      <c r="N25" s="31"/>
      <c r="O25" s="3" t="s">
        <v>297</v>
      </c>
    </row>
    <row r="26" spans="1:15">
      <c r="A26" s="3">
        <f t="shared" si="1"/>
        <v>25</v>
      </c>
      <c r="B26" s="41" t="s">
        <v>362</v>
      </c>
      <c r="C26" s="3">
        <v>7409401298</v>
      </c>
      <c r="D26" s="6"/>
      <c r="E26" s="3" t="s">
        <v>359</v>
      </c>
      <c r="F26" s="67" t="s">
        <v>360</v>
      </c>
      <c r="G26" s="3" t="s">
        <v>295</v>
      </c>
      <c r="H26" s="3" t="s">
        <v>361</v>
      </c>
      <c r="I26" s="37" t="s">
        <v>94</v>
      </c>
      <c r="J26" s="31">
        <v>45668</v>
      </c>
      <c r="K26" s="31">
        <v>45668</v>
      </c>
      <c r="L26" s="31">
        <v>45659</v>
      </c>
      <c r="M26" s="31">
        <v>45703</v>
      </c>
      <c r="N26" s="31"/>
      <c r="O26" s="3" t="s">
        <v>297</v>
      </c>
    </row>
    <row r="27" spans="1:15">
      <c r="A27" s="3">
        <f t="shared" si="1"/>
        <v>26</v>
      </c>
      <c r="B27" s="41" t="s">
        <v>363</v>
      </c>
      <c r="C27" s="3">
        <v>8700579842</v>
      </c>
      <c r="D27" s="6"/>
      <c r="E27" s="3" t="s">
        <v>302</v>
      </c>
      <c r="F27" s="67" t="s">
        <v>364</v>
      </c>
      <c r="G27" s="3" t="s">
        <v>16</v>
      </c>
      <c r="H27" s="3" t="s">
        <v>305</v>
      </c>
      <c r="I27" s="37" t="s">
        <v>94</v>
      </c>
      <c r="J27" s="31">
        <v>45652</v>
      </c>
      <c r="K27" s="31">
        <v>45652</v>
      </c>
      <c r="L27" s="31">
        <v>45668</v>
      </c>
      <c r="M27" s="31">
        <v>45675</v>
      </c>
      <c r="N27" s="31">
        <v>45679</v>
      </c>
      <c r="O27" s="3" t="s">
        <v>297</v>
      </c>
    </row>
    <row r="28" spans="1:15">
      <c r="A28" s="3">
        <f t="shared" si="1"/>
        <v>27</v>
      </c>
      <c r="B28" s="41" t="s">
        <v>365</v>
      </c>
      <c r="C28" s="3">
        <v>8172842705</v>
      </c>
      <c r="D28" s="6"/>
      <c r="E28" s="3" t="s">
        <v>366</v>
      </c>
      <c r="F28" s="67" t="s">
        <v>367</v>
      </c>
      <c r="G28" s="3" t="s">
        <v>16</v>
      </c>
      <c r="H28" s="3" t="s">
        <v>368</v>
      </c>
      <c r="I28" s="37" t="s">
        <v>94</v>
      </c>
      <c r="J28" s="31">
        <v>45681</v>
      </c>
      <c r="K28" s="31">
        <v>45681</v>
      </c>
      <c r="L28" s="31">
        <v>45681</v>
      </c>
      <c r="M28" s="31">
        <v>45778</v>
      </c>
      <c r="N28" s="31">
        <v>45778</v>
      </c>
      <c r="O28" s="3" t="s">
        <v>297</v>
      </c>
    </row>
    <row r="29" spans="1:15">
      <c r="A29" s="3">
        <f t="shared" si="1"/>
        <v>28</v>
      </c>
      <c r="B29" s="41" t="s">
        <v>369</v>
      </c>
      <c r="C29" s="3">
        <v>6350457759</v>
      </c>
      <c r="D29" s="6"/>
      <c r="E29" s="3" t="s">
        <v>302</v>
      </c>
      <c r="F29" s="67" t="s">
        <v>370</v>
      </c>
      <c r="G29" s="3" t="s">
        <v>16</v>
      </c>
      <c r="H29" s="3" t="s">
        <v>305</v>
      </c>
      <c r="I29" s="37" t="s">
        <v>94</v>
      </c>
      <c r="J29" s="31">
        <v>45646</v>
      </c>
      <c r="K29" s="31">
        <v>45652</v>
      </c>
      <c r="L29" s="31">
        <v>45660</v>
      </c>
      <c r="M29" s="31">
        <v>45666</v>
      </c>
      <c r="N29" s="31">
        <v>45666</v>
      </c>
      <c r="O29" s="3" t="s">
        <v>297</v>
      </c>
    </row>
    <row r="30" spans="1:15">
      <c r="A30" s="3">
        <f t="shared" si="1"/>
        <v>29</v>
      </c>
      <c r="B30" s="41" t="s">
        <v>371</v>
      </c>
      <c r="C30" s="3">
        <v>9771746855</v>
      </c>
      <c r="D30" s="6"/>
      <c r="E30" s="3" t="s">
        <v>302</v>
      </c>
      <c r="F30" s="67" t="s">
        <v>370</v>
      </c>
      <c r="G30" s="3" t="s">
        <v>295</v>
      </c>
      <c r="H30" s="3" t="s">
        <v>305</v>
      </c>
      <c r="I30" s="37" t="s">
        <v>94</v>
      </c>
      <c r="J30" s="31">
        <v>45646</v>
      </c>
      <c r="K30" s="31">
        <v>45652</v>
      </c>
      <c r="L30" s="31">
        <v>45660</v>
      </c>
      <c r="M30" s="31">
        <v>45693</v>
      </c>
      <c r="N30" s="31"/>
      <c r="O30" s="3" t="s">
        <v>297</v>
      </c>
    </row>
    <row r="31" spans="1:15">
      <c r="A31" s="3">
        <f t="shared" si="1"/>
        <v>30</v>
      </c>
      <c r="B31" s="97" t="s">
        <v>372</v>
      </c>
      <c r="C31" s="3">
        <v>7024068032</v>
      </c>
      <c r="D31" s="6">
        <v>6264959817</v>
      </c>
      <c r="E31" s="3" t="s">
        <v>373</v>
      </c>
      <c r="F31" s="67" t="s">
        <v>374</v>
      </c>
      <c r="G31" s="3" t="s">
        <v>16</v>
      </c>
      <c r="H31" s="3" t="s">
        <v>305</v>
      </c>
      <c r="I31" s="37" t="s">
        <v>94</v>
      </c>
      <c r="J31" s="31">
        <v>45646</v>
      </c>
      <c r="K31" s="31">
        <v>45653</v>
      </c>
      <c r="L31" s="31">
        <v>45661</v>
      </c>
      <c r="M31" s="31">
        <v>45688</v>
      </c>
      <c r="N31" s="31">
        <v>45689</v>
      </c>
      <c r="O31" s="3" t="s">
        <v>297</v>
      </c>
    </row>
    <row r="32" spans="1:15">
      <c r="A32" s="3">
        <f t="shared" si="1"/>
        <v>31</v>
      </c>
      <c r="B32" s="97" t="s">
        <v>375</v>
      </c>
      <c r="C32" s="3">
        <v>7091031636</v>
      </c>
      <c r="D32" s="6"/>
      <c r="E32" s="3" t="s">
        <v>376</v>
      </c>
      <c r="F32" s="67" t="s">
        <v>370</v>
      </c>
      <c r="G32" s="3" t="s">
        <v>16</v>
      </c>
      <c r="H32" s="3" t="s">
        <v>305</v>
      </c>
      <c r="I32" s="37" t="s">
        <v>94</v>
      </c>
      <c r="J32" s="31">
        <v>45646</v>
      </c>
      <c r="K32" s="31">
        <v>45652</v>
      </c>
      <c r="L32" s="31">
        <v>45681</v>
      </c>
      <c r="M32" s="31">
        <v>45689</v>
      </c>
      <c r="N32" s="31">
        <v>45693</v>
      </c>
      <c r="O32" s="3" t="s">
        <v>297</v>
      </c>
    </row>
    <row r="33" spans="1:15">
      <c r="A33" s="3">
        <f t="shared" si="1"/>
        <v>32</v>
      </c>
      <c r="B33" s="41" t="s">
        <v>377</v>
      </c>
      <c r="C33" s="3">
        <v>8223816516</v>
      </c>
      <c r="D33" s="6">
        <v>7619165133</v>
      </c>
      <c r="E33" s="3" t="s">
        <v>378</v>
      </c>
      <c r="F33" s="41" t="s">
        <v>379</v>
      </c>
      <c r="G33" s="3" t="s">
        <v>330</v>
      </c>
      <c r="H33" s="3"/>
      <c r="I33" s="37" t="s">
        <v>94</v>
      </c>
      <c r="J33" s="31">
        <v>45668</v>
      </c>
      <c r="K33" s="31">
        <v>45668</v>
      </c>
      <c r="L33" s="31">
        <v>45668</v>
      </c>
      <c r="M33" s="31">
        <v>45686</v>
      </c>
      <c r="N33" s="31">
        <v>45741</v>
      </c>
      <c r="O33" s="3" t="s">
        <v>297</v>
      </c>
    </row>
    <row r="34" spans="1:15">
      <c r="A34" s="3">
        <f t="shared" si="1"/>
        <v>33</v>
      </c>
      <c r="B34" s="41" t="s">
        <v>380</v>
      </c>
      <c r="C34" s="3">
        <v>7024258287</v>
      </c>
      <c r="D34" s="6"/>
      <c r="E34" s="3" t="s">
        <v>381</v>
      </c>
      <c r="F34" s="41" t="s">
        <v>379</v>
      </c>
      <c r="G34" s="3" t="s">
        <v>295</v>
      </c>
      <c r="H34" s="3"/>
      <c r="I34" s="37" t="s">
        <v>94</v>
      </c>
      <c r="J34" s="31">
        <v>45668</v>
      </c>
      <c r="K34" s="31">
        <v>45668</v>
      </c>
      <c r="L34" s="31">
        <v>45668</v>
      </c>
      <c r="M34" s="31">
        <v>45686</v>
      </c>
      <c r="N34" s="31"/>
      <c r="O34" s="3" t="s">
        <v>297</v>
      </c>
    </row>
    <row r="35" spans="1:15">
      <c r="A35" s="3">
        <f t="shared" si="1"/>
        <v>34</v>
      </c>
      <c r="B35" s="41" t="s">
        <v>382</v>
      </c>
      <c r="C35" s="3">
        <v>9149151421</v>
      </c>
      <c r="D35" s="6"/>
      <c r="E35" s="3" t="s">
        <v>383</v>
      </c>
      <c r="F35" s="41" t="s">
        <v>384</v>
      </c>
      <c r="G35" s="3" t="s">
        <v>16</v>
      </c>
      <c r="H35" s="3"/>
      <c r="I35" s="37" t="s">
        <v>94</v>
      </c>
      <c r="J35" s="31">
        <v>45688</v>
      </c>
      <c r="K35" s="31">
        <v>45688</v>
      </c>
      <c r="L35" s="31">
        <v>45688</v>
      </c>
      <c r="M35" s="31">
        <v>45684</v>
      </c>
      <c r="N35" s="31">
        <v>45688</v>
      </c>
      <c r="O35" s="3" t="s">
        <v>297</v>
      </c>
    </row>
    <row r="36" spans="1:15">
      <c r="A36" s="3">
        <f t="shared" si="1"/>
        <v>35</v>
      </c>
      <c r="B36" s="41" t="s">
        <v>385</v>
      </c>
      <c r="C36" s="3">
        <v>7050097928</v>
      </c>
      <c r="D36" s="6"/>
      <c r="E36" s="3" t="s">
        <v>386</v>
      </c>
      <c r="F36" s="41" t="s">
        <v>268</v>
      </c>
      <c r="G36" s="3" t="s">
        <v>16</v>
      </c>
      <c r="H36" s="3"/>
      <c r="I36" s="37" t="s">
        <v>94</v>
      </c>
      <c r="J36" s="31">
        <v>45638</v>
      </c>
      <c r="K36" s="31">
        <v>45638</v>
      </c>
      <c r="L36" s="31">
        <v>45638</v>
      </c>
      <c r="M36" s="31">
        <v>45688</v>
      </c>
      <c r="N36" s="31">
        <v>45691</v>
      </c>
      <c r="O36" s="3" t="s">
        <v>297</v>
      </c>
    </row>
    <row r="37" spans="1:15">
      <c r="A37" s="3">
        <f t="shared" si="1"/>
        <v>36</v>
      </c>
      <c r="B37" s="41" t="s">
        <v>387</v>
      </c>
      <c r="C37" s="3">
        <v>8972528181</v>
      </c>
      <c r="D37" s="6">
        <v>8074755446</v>
      </c>
      <c r="E37" s="3" t="s">
        <v>355</v>
      </c>
      <c r="F37" s="41" t="s">
        <v>388</v>
      </c>
      <c r="G37" s="3" t="s">
        <v>295</v>
      </c>
      <c r="H37" s="3" t="s">
        <v>357</v>
      </c>
      <c r="I37" s="37" t="s">
        <v>94</v>
      </c>
      <c r="J37" s="31">
        <v>45681</v>
      </c>
      <c r="K37" s="31">
        <v>45681</v>
      </c>
      <c r="L37" s="31">
        <v>45681</v>
      </c>
      <c r="M37" s="31">
        <v>45677</v>
      </c>
      <c r="N37" s="31"/>
      <c r="O37" s="3" t="s">
        <v>297</v>
      </c>
    </row>
    <row r="38" spans="1:15">
      <c r="A38" s="3">
        <f t="shared" si="1"/>
        <v>37</v>
      </c>
      <c r="B38" s="41" t="s">
        <v>389</v>
      </c>
      <c r="C38" s="3">
        <v>9630779897</v>
      </c>
      <c r="D38" s="6"/>
      <c r="E38" s="3" t="s">
        <v>390</v>
      </c>
      <c r="F38" s="41" t="s">
        <v>268</v>
      </c>
      <c r="G38" s="3" t="s">
        <v>295</v>
      </c>
      <c r="H38" s="3"/>
      <c r="I38" s="37" t="s">
        <v>94</v>
      </c>
      <c r="J38" s="31">
        <v>45638</v>
      </c>
      <c r="K38" s="31">
        <v>45638</v>
      </c>
      <c r="L38" s="31">
        <v>45638</v>
      </c>
      <c r="M38" s="31">
        <v>45694</v>
      </c>
      <c r="N38" s="31"/>
      <c r="O38" s="3" t="s">
        <v>297</v>
      </c>
    </row>
    <row r="39" spans="1:15">
      <c r="A39" s="3">
        <f t="shared" si="1"/>
        <v>38</v>
      </c>
      <c r="B39" s="41" t="s">
        <v>391</v>
      </c>
      <c r="C39" s="3">
        <v>6295063408</v>
      </c>
      <c r="D39" s="6">
        <v>9609111130</v>
      </c>
      <c r="E39" s="3" t="s">
        <v>392</v>
      </c>
      <c r="F39" s="41" t="s">
        <v>268</v>
      </c>
      <c r="G39" s="3" t="s">
        <v>330</v>
      </c>
      <c r="H39" s="3"/>
      <c r="I39" s="37" t="s">
        <v>94</v>
      </c>
      <c r="J39" s="31">
        <v>45649</v>
      </c>
      <c r="K39" s="31">
        <v>45649</v>
      </c>
      <c r="L39" s="31">
        <v>45649</v>
      </c>
      <c r="M39" s="31">
        <v>45708</v>
      </c>
      <c r="N39" s="31">
        <v>45707</v>
      </c>
      <c r="O39" s="3" t="s">
        <v>297</v>
      </c>
    </row>
    <row r="40" spans="1:15">
      <c r="A40" s="3">
        <f t="shared" si="1"/>
        <v>39</v>
      </c>
      <c r="B40" s="41" t="s">
        <v>393</v>
      </c>
      <c r="C40" s="3">
        <v>7878715524</v>
      </c>
      <c r="D40" s="6">
        <v>7568818136</v>
      </c>
      <c r="E40" s="3" t="s">
        <v>394</v>
      </c>
      <c r="F40" s="41" t="s">
        <v>395</v>
      </c>
      <c r="G40" s="3" t="s">
        <v>16</v>
      </c>
      <c r="H40" s="3"/>
      <c r="I40" s="37" t="s">
        <v>94</v>
      </c>
      <c r="J40" s="31">
        <v>45566</v>
      </c>
      <c r="K40" s="31">
        <v>45566</v>
      </c>
      <c r="L40" s="31">
        <v>45566</v>
      </c>
      <c r="M40" s="31">
        <v>45566</v>
      </c>
      <c r="N40" s="31">
        <v>45652</v>
      </c>
      <c r="O40" s="3" t="s">
        <v>297</v>
      </c>
    </row>
    <row r="41" spans="1:15">
      <c r="A41" s="3">
        <f t="shared" si="1"/>
        <v>40</v>
      </c>
      <c r="B41" s="41" t="s">
        <v>396</v>
      </c>
      <c r="C41" s="3">
        <v>7408513418</v>
      </c>
      <c r="D41" s="6"/>
      <c r="E41" s="3" t="s">
        <v>341</v>
      </c>
      <c r="F41" s="41" t="s">
        <v>397</v>
      </c>
      <c r="G41" s="3" t="s">
        <v>16</v>
      </c>
      <c r="H41" s="3"/>
      <c r="I41" s="37" t="s">
        <v>94</v>
      </c>
      <c r="J41" s="31">
        <v>45575</v>
      </c>
      <c r="K41" s="31">
        <v>45575</v>
      </c>
      <c r="L41" s="31">
        <v>45575</v>
      </c>
      <c r="M41" s="31">
        <v>45575</v>
      </c>
      <c r="N41" s="31">
        <v>45713</v>
      </c>
      <c r="O41" s="3" t="s">
        <v>297</v>
      </c>
    </row>
    <row r="42" spans="1:15">
      <c r="A42" s="3">
        <f t="shared" si="1"/>
        <v>41</v>
      </c>
      <c r="B42" s="41" t="s">
        <v>398</v>
      </c>
      <c r="C42" s="3">
        <v>8605302123</v>
      </c>
      <c r="D42" s="6">
        <v>8796085827</v>
      </c>
      <c r="E42" s="3" t="s">
        <v>399</v>
      </c>
      <c r="F42" s="41" t="s">
        <v>400</v>
      </c>
      <c r="G42" s="3" t="s">
        <v>295</v>
      </c>
      <c r="H42" s="3"/>
      <c r="I42" s="37" t="s">
        <v>94</v>
      </c>
      <c r="J42" s="31">
        <v>45658</v>
      </c>
      <c r="K42" s="31">
        <v>45658</v>
      </c>
      <c r="L42" s="31">
        <v>45658</v>
      </c>
      <c r="M42" s="31">
        <v>45675</v>
      </c>
      <c r="N42" s="31"/>
      <c r="O42" s="3" t="s">
        <v>297</v>
      </c>
    </row>
    <row r="43" spans="1:15">
      <c r="A43" s="3">
        <f t="shared" si="1"/>
        <v>42</v>
      </c>
      <c r="B43" s="41" t="s">
        <v>401</v>
      </c>
      <c r="C43" s="3">
        <v>8629968371</v>
      </c>
      <c r="D43" s="6"/>
      <c r="E43" s="3" t="s">
        <v>402</v>
      </c>
      <c r="F43" s="41" t="s">
        <v>403</v>
      </c>
      <c r="G43" s="3" t="s">
        <v>295</v>
      </c>
      <c r="H43" s="3"/>
      <c r="I43" s="37" t="s">
        <v>94</v>
      </c>
      <c r="J43" s="31">
        <v>45551</v>
      </c>
      <c r="K43" s="31">
        <v>45551</v>
      </c>
      <c r="L43" s="31">
        <v>45551</v>
      </c>
      <c r="M43" s="31">
        <v>45551</v>
      </c>
      <c r="N43" s="31"/>
      <c r="O43" s="3" t="s">
        <v>297</v>
      </c>
    </row>
    <row r="44" spans="1:15">
      <c r="A44" s="3">
        <f t="shared" si="1"/>
        <v>43</v>
      </c>
      <c r="B44" s="41" t="s">
        <v>404</v>
      </c>
      <c r="C44" s="3">
        <v>9110122145</v>
      </c>
      <c r="D44" s="6"/>
      <c r="E44" s="3" t="s">
        <v>402</v>
      </c>
      <c r="F44" s="41" t="s">
        <v>403</v>
      </c>
      <c r="G44" s="3" t="s">
        <v>295</v>
      </c>
      <c r="H44" s="3"/>
      <c r="I44" s="37" t="s">
        <v>94</v>
      </c>
      <c r="J44" s="31">
        <v>45580</v>
      </c>
      <c r="K44" s="31">
        <v>45580</v>
      </c>
      <c r="L44" s="31">
        <v>45580</v>
      </c>
      <c r="M44" s="31">
        <v>45580</v>
      </c>
      <c r="N44" s="31"/>
      <c r="O44" s="3" t="s">
        <v>297</v>
      </c>
    </row>
    <row r="45" spans="1:15">
      <c r="A45" s="3">
        <f t="shared" si="1"/>
        <v>44</v>
      </c>
      <c r="B45" s="41" t="s">
        <v>405</v>
      </c>
      <c r="C45" s="3">
        <v>8712293329</v>
      </c>
      <c r="D45" s="6"/>
      <c r="E45" s="3" t="s">
        <v>402</v>
      </c>
      <c r="F45" s="41" t="s">
        <v>406</v>
      </c>
      <c r="G45" s="3" t="s">
        <v>295</v>
      </c>
      <c r="H45" s="3"/>
      <c r="I45" s="37" t="s">
        <v>94</v>
      </c>
      <c r="J45" s="31">
        <v>45680</v>
      </c>
      <c r="K45" s="31">
        <v>45680</v>
      </c>
      <c r="L45" s="31">
        <v>45680</v>
      </c>
      <c r="M45" s="31">
        <v>45792</v>
      </c>
      <c r="N45" s="31"/>
      <c r="O45" s="3" t="s">
        <v>297</v>
      </c>
    </row>
    <row r="46" spans="1:15">
      <c r="A46" s="3">
        <f t="shared" si="1"/>
        <v>45</v>
      </c>
      <c r="B46" s="41" t="s">
        <v>407</v>
      </c>
      <c r="C46" s="3">
        <v>9951540474</v>
      </c>
      <c r="D46" s="6">
        <v>6281383893</v>
      </c>
      <c r="E46" s="3" t="s">
        <v>408</v>
      </c>
      <c r="F46" s="41" t="s">
        <v>409</v>
      </c>
      <c r="G46" s="3" t="s">
        <v>16</v>
      </c>
      <c r="H46" s="3"/>
      <c r="I46" s="37" t="s">
        <v>94</v>
      </c>
      <c r="J46" s="31">
        <v>45675</v>
      </c>
      <c r="K46" s="31">
        <v>45675</v>
      </c>
      <c r="L46" s="31">
        <v>45675</v>
      </c>
      <c r="M46" s="31">
        <v>45675</v>
      </c>
      <c r="N46" s="31">
        <v>45675</v>
      </c>
      <c r="O46" s="3" t="s">
        <v>297</v>
      </c>
    </row>
    <row r="47" spans="1:15">
      <c r="A47" s="3">
        <f t="shared" si="1"/>
        <v>46</v>
      </c>
      <c r="B47" s="41" t="s">
        <v>410</v>
      </c>
      <c r="C47" s="3">
        <v>7569990459</v>
      </c>
      <c r="D47" s="6"/>
      <c r="E47" s="3" t="s">
        <v>411</v>
      </c>
      <c r="F47" s="41" t="s">
        <v>412</v>
      </c>
      <c r="G47" s="3" t="s">
        <v>16</v>
      </c>
      <c r="H47" s="3"/>
      <c r="I47" s="37" t="s">
        <v>94</v>
      </c>
      <c r="J47" s="31">
        <v>45680</v>
      </c>
      <c r="K47" s="31">
        <v>45680</v>
      </c>
      <c r="L47" s="31">
        <v>45680</v>
      </c>
      <c r="M47" s="31">
        <v>45682</v>
      </c>
      <c r="N47" s="31">
        <v>45682</v>
      </c>
      <c r="O47" s="3" t="s">
        <v>297</v>
      </c>
    </row>
    <row r="48" spans="1:15">
      <c r="A48" s="3">
        <f t="shared" si="1"/>
        <v>47</v>
      </c>
      <c r="B48" s="41" t="s">
        <v>413</v>
      </c>
      <c r="C48" s="3">
        <v>9125009795</v>
      </c>
      <c r="D48" s="6"/>
      <c r="E48" s="3" t="s">
        <v>414</v>
      </c>
      <c r="F48" s="41" t="s">
        <v>333</v>
      </c>
      <c r="G48" s="3" t="s">
        <v>16</v>
      </c>
      <c r="H48" s="3" t="s">
        <v>305</v>
      </c>
      <c r="I48" s="37" t="s">
        <v>94</v>
      </c>
      <c r="J48" s="31">
        <v>45659</v>
      </c>
      <c r="K48" s="31">
        <v>45682</v>
      </c>
      <c r="L48" s="31">
        <v>45686</v>
      </c>
      <c r="M48" s="31">
        <v>45719</v>
      </c>
      <c r="N48" s="31">
        <v>45717</v>
      </c>
      <c r="O48" s="3" t="s">
        <v>297</v>
      </c>
    </row>
    <row r="49" spans="1:15">
      <c r="A49" s="3">
        <f t="shared" si="1"/>
        <v>48</v>
      </c>
      <c r="B49" s="41" t="s">
        <v>415</v>
      </c>
      <c r="C49" s="3">
        <v>8382969428</v>
      </c>
      <c r="D49" s="6"/>
      <c r="E49" s="3" t="s">
        <v>332</v>
      </c>
      <c r="F49" s="41" t="s">
        <v>333</v>
      </c>
      <c r="G49" s="3" t="s">
        <v>416</v>
      </c>
      <c r="H49" s="3" t="s">
        <v>305</v>
      </c>
      <c r="I49" s="37" t="s">
        <v>94</v>
      </c>
      <c r="J49" s="31">
        <v>45659</v>
      </c>
      <c r="K49" s="31">
        <v>45684</v>
      </c>
      <c r="L49" s="31"/>
      <c r="M49" s="31"/>
      <c r="N49" s="31"/>
      <c r="O49" s="3" t="s">
        <v>297</v>
      </c>
    </row>
    <row r="50" spans="1:15">
      <c r="A50" s="3">
        <f t="shared" si="1"/>
        <v>49</v>
      </c>
      <c r="B50" s="41" t="s">
        <v>417</v>
      </c>
      <c r="C50" s="3">
        <v>7750819526</v>
      </c>
      <c r="D50" s="6"/>
      <c r="E50" s="3" t="s">
        <v>418</v>
      </c>
      <c r="F50" s="41" t="s">
        <v>419</v>
      </c>
      <c r="G50" s="3" t="s">
        <v>16</v>
      </c>
      <c r="H50" s="3" t="s">
        <v>305</v>
      </c>
      <c r="I50" s="37" t="s">
        <v>94</v>
      </c>
      <c r="J50" s="31">
        <v>45659</v>
      </c>
      <c r="K50" s="31">
        <v>45685</v>
      </c>
      <c r="L50" s="31">
        <v>45716</v>
      </c>
      <c r="M50" s="31">
        <v>45744</v>
      </c>
      <c r="N50" s="31">
        <v>45741</v>
      </c>
      <c r="O50" s="3" t="s">
        <v>297</v>
      </c>
    </row>
    <row r="51" spans="1:15">
      <c r="A51" s="3">
        <f t="shared" si="1"/>
        <v>50</v>
      </c>
      <c r="B51" s="41" t="s">
        <v>420</v>
      </c>
      <c r="C51" s="3">
        <v>9906946421</v>
      </c>
      <c r="D51" s="6"/>
      <c r="E51" s="3" t="s">
        <v>421</v>
      </c>
      <c r="F51" s="41" t="s">
        <v>333</v>
      </c>
      <c r="G51" s="3" t="s">
        <v>16</v>
      </c>
      <c r="H51" s="3" t="s">
        <v>305</v>
      </c>
      <c r="I51" s="37" t="s">
        <v>94</v>
      </c>
      <c r="J51" s="31">
        <v>45659</v>
      </c>
      <c r="K51" s="31">
        <v>45682</v>
      </c>
      <c r="L51" s="31">
        <v>45695</v>
      </c>
      <c r="M51" s="31">
        <v>45723</v>
      </c>
      <c r="N51" s="31">
        <v>45729</v>
      </c>
      <c r="O51" s="3" t="s">
        <v>297</v>
      </c>
    </row>
    <row r="52" spans="1:15">
      <c r="A52" s="3">
        <f t="shared" si="1"/>
        <v>51</v>
      </c>
      <c r="B52" s="41" t="s">
        <v>422</v>
      </c>
      <c r="C52" s="3">
        <v>9369298424</v>
      </c>
      <c r="D52" s="6"/>
      <c r="E52" s="3" t="s">
        <v>414</v>
      </c>
      <c r="F52" s="41" t="s">
        <v>308</v>
      </c>
      <c r="G52" s="3" t="s">
        <v>16</v>
      </c>
      <c r="H52" s="3" t="s">
        <v>305</v>
      </c>
      <c r="I52" s="37" t="s">
        <v>94</v>
      </c>
      <c r="J52" s="31">
        <v>45659</v>
      </c>
      <c r="K52" s="31">
        <v>45685</v>
      </c>
      <c r="L52" s="31">
        <v>45695</v>
      </c>
      <c r="M52" s="31">
        <v>45714</v>
      </c>
      <c r="N52" s="31">
        <v>45714</v>
      </c>
      <c r="O52" s="3" t="s">
        <v>297</v>
      </c>
    </row>
    <row r="53" spans="1:15">
      <c r="A53" s="3">
        <f t="shared" si="1"/>
        <v>52</v>
      </c>
      <c r="B53" s="41" t="s">
        <v>423</v>
      </c>
      <c r="C53" s="3">
        <v>6203694764</v>
      </c>
      <c r="D53" s="6"/>
      <c r="E53" s="3" t="s">
        <v>414</v>
      </c>
      <c r="F53" s="41" t="s">
        <v>308</v>
      </c>
      <c r="G53" s="3" t="s">
        <v>424</v>
      </c>
      <c r="H53" s="3" t="s">
        <v>305</v>
      </c>
      <c r="I53" s="37" t="s">
        <v>94</v>
      </c>
      <c r="J53" s="31">
        <v>45659</v>
      </c>
      <c r="K53" s="31">
        <v>45682</v>
      </c>
      <c r="L53" s="31"/>
      <c r="M53" s="31"/>
      <c r="N53" s="31"/>
      <c r="O53" s="3" t="s">
        <v>425</v>
      </c>
    </row>
    <row r="54" spans="1:15">
      <c r="A54" s="3">
        <f t="shared" si="1"/>
        <v>53</v>
      </c>
      <c r="B54" s="41" t="s">
        <v>426</v>
      </c>
      <c r="C54" s="3">
        <v>7717792334</v>
      </c>
      <c r="D54" s="6"/>
      <c r="E54" s="3" t="s">
        <v>427</v>
      </c>
      <c r="F54" s="41" t="s">
        <v>308</v>
      </c>
      <c r="G54" s="3" t="s">
        <v>424</v>
      </c>
      <c r="H54" s="3" t="s">
        <v>305</v>
      </c>
      <c r="I54" s="37" t="s">
        <v>94</v>
      </c>
      <c r="J54" s="31">
        <v>45659</v>
      </c>
      <c r="K54" s="31">
        <v>45682</v>
      </c>
      <c r="L54" s="31"/>
      <c r="M54" s="31"/>
      <c r="N54" s="31"/>
      <c r="O54" s="3" t="s">
        <v>425</v>
      </c>
    </row>
    <row r="55" spans="1:15">
      <c r="A55" s="3">
        <f t="shared" si="1"/>
        <v>54</v>
      </c>
      <c r="B55" s="41" t="s">
        <v>428</v>
      </c>
      <c r="C55" s="3">
        <v>8188855554</v>
      </c>
      <c r="D55" s="6"/>
      <c r="E55" s="3" t="s">
        <v>427</v>
      </c>
      <c r="F55" s="41" t="s">
        <v>308</v>
      </c>
      <c r="G55" s="3" t="s">
        <v>330</v>
      </c>
      <c r="H55" s="3" t="s">
        <v>305</v>
      </c>
      <c r="I55" s="37" t="s">
        <v>94</v>
      </c>
      <c r="J55" s="31">
        <v>45659</v>
      </c>
      <c r="K55" s="31">
        <v>45735</v>
      </c>
      <c r="L55" s="31">
        <v>45736</v>
      </c>
      <c r="M55" s="31">
        <v>45768</v>
      </c>
      <c r="N55" s="31">
        <v>45779</v>
      </c>
      <c r="O55" s="3" t="s">
        <v>297</v>
      </c>
    </row>
    <row r="56" spans="1:15">
      <c r="A56" s="3">
        <f t="shared" si="1"/>
        <v>55</v>
      </c>
      <c r="B56" s="41" t="s">
        <v>429</v>
      </c>
      <c r="C56" s="3">
        <v>9004655424</v>
      </c>
      <c r="D56" s="6"/>
      <c r="E56" s="3" t="s">
        <v>430</v>
      </c>
      <c r="F56" s="41" t="s">
        <v>431</v>
      </c>
      <c r="G56" s="3" t="s">
        <v>424</v>
      </c>
      <c r="H56" s="2" t="s">
        <v>296</v>
      </c>
      <c r="I56" s="37" t="s">
        <v>88</v>
      </c>
      <c r="J56" s="31">
        <v>45663</v>
      </c>
      <c r="K56" s="31">
        <v>45684</v>
      </c>
      <c r="L56" s="31"/>
      <c r="M56" s="31"/>
      <c r="N56" s="31"/>
      <c r="O56" s="3" t="s">
        <v>425</v>
      </c>
    </row>
    <row r="57" spans="1:15">
      <c r="A57" s="3">
        <f t="shared" si="1"/>
        <v>56</v>
      </c>
      <c r="B57" s="41" t="s">
        <v>432</v>
      </c>
      <c r="C57" s="3">
        <v>7619904261</v>
      </c>
      <c r="D57" s="6"/>
      <c r="E57" s="3" t="s">
        <v>433</v>
      </c>
      <c r="F57" s="41" t="s">
        <v>293</v>
      </c>
      <c r="G57" s="3" t="s">
        <v>416</v>
      </c>
      <c r="H57" s="2" t="s">
        <v>296</v>
      </c>
      <c r="I57" s="37" t="s">
        <v>88</v>
      </c>
      <c r="J57" s="31">
        <v>45663</v>
      </c>
      <c r="K57" s="31">
        <v>45684</v>
      </c>
      <c r="L57" s="31"/>
      <c r="M57" s="31"/>
      <c r="N57" s="31"/>
      <c r="O57" s="3" t="s">
        <v>297</v>
      </c>
    </row>
    <row r="58" spans="1:15">
      <c r="A58" s="3">
        <f t="shared" ref="A58:A121" si="2">ROW()-1</f>
        <v>57</v>
      </c>
      <c r="B58" s="41" t="s">
        <v>434</v>
      </c>
      <c r="C58" s="3">
        <v>8493947061</v>
      </c>
      <c r="D58" s="6"/>
      <c r="E58" s="3" t="s">
        <v>433</v>
      </c>
      <c r="F58" s="41" t="s">
        <v>293</v>
      </c>
      <c r="G58" s="3" t="s">
        <v>424</v>
      </c>
      <c r="H58" s="2" t="s">
        <v>296</v>
      </c>
      <c r="I58" s="37" t="s">
        <v>88</v>
      </c>
      <c r="J58" s="31">
        <v>45663</v>
      </c>
      <c r="K58" s="31">
        <v>45684</v>
      </c>
      <c r="L58" s="31"/>
      <c r="M58" s="31"/>
      <c r="N58" s="31"/>
      <c r="O58" s="3" t="s">
        <v>425</v>
      </c>
    </row>
    <row r="59" spans="1:15">
      <c r="A59" s="3">
        <f t="shared" si="2"/>
        <v>58</v>
      </c>
      <c r="B59" s="41" t="s">
        <v>435</v>
      </c>
      <c r="C59" s="3">
        <v>8584940264</v>
      </c>
      <c r="D59" s="6">
        <v>6009156939</v>
      </c>
      <c r="E59" s="3" t="s">
        <v>430</v>
      </c>
      <c r="F59" s="41" t="s">
        <v>431</v>
      </c>
      <c r="G59" s="3" t="s">
        <v>295</v>
      </c>
      <c r="H59" s="2" t="s">
        <v>296</v>
      </c>
      <c r="I59" s="37" t="s">
        <v>88</v>
      </c>
      <c r="J59" s="31">
        <v>45663</v>
      </c>
      <c r="K59" s="31">
        <v>45684</v>
      </c>
      <c r="L59" s="31">
        <v>45692</v>
      </c>
      <c r="M59" s="31">
        <v>45727</v>
      </c>
      <c r="N59" s="31"/>
      <c r="O59" s="3" t="s">
        <v>297</v>
      </c>
    </row>
    <row r="60" spans="1:15">
      <c r="A60" s="3">
        <f t="shared" si="2"/>
        <v>59</v>
      </c>
      <c r="B60" s="41" t="s">
        <v>436</v>
      </c>
      <c r="C60" s="3">
        <v>8617069769</v>
      </c>
      <c r="D60" s="6"/>
      <c r="E60" s="3" t="s">
        <v>430</v>
      </c>
      <c r="F60" s="41" t="s">
        <v>431</v>
      </c>
      <c r="G60" s="3" t="s">
        <v>424</v>
      </c>
      <c r="H60" s="2" t="s">
        <v>296</v>
      </c>
      <c r="I60" s="37" t="s">
        <v>88</v>
      </c>
      <c r="J60" s="31">
        <v>45663</v>
      </c>
      <c r="K60" s="31">
        <v>45684</v>
      </c>
      <c r="L60" s="31"/>
      <c r="M60" s="31"/>
      <c r="N60" s="31"/>
      <c r="O60" s="3" t="s">
        <v>425</v>
      </c>
    </row>
    <row r="61" spans="1:15">
      <c r="A61" s="3">
        <f t="shared" si="2"/>
        <v>60</v>
      </c>
      <c r="B61" s="41" t="s">
        <v>437</v>
      </c>
      <c r="C61" s="3">
        <v>9596047828</v>
      </c>
      <c r="D61" s="6"/>
      <c r="E61" s="3" t="s">
        <v>433</v>
      </c>
      <c r="F61" s="41" t="s">
        <v>293</v>
      </c>
      <c r="G61" s="3" t="s">
        <v>330</v>
      </c>
      <c r="H61" s="2" t="s">
        <v>296</v>
      </c>
      <c r="I61" s="37" t="s">
        <v>88</v>
      </c>
      <c r="J61" s="31">
        <v>45663</v>
      </c>
      <c r="K61" s="31">
        <v>45684</v>
      </c>
      <c r="L61" s="31">
        <v>45688</v>
      </c>
      <c r="M61" s="31">
        <v>45717</v>
      </c>
      <c r="N61" s="31">
        <v>45717</v>
      </c>
      <c r="O61" s="3" t="s">
        <v>297</v>
      </c>
    </row>
    <row r="62" spans="1:15">
      <c r="A62" s="3">
        <f t="shared" si="2"/>
        <v>61</v>
      </c>
      <c r="B62" s="41" t="s">
        <v>438</v>
      </c>
      <c r="C62" s="3">
        <v>9149614083</v>
      </c>
      <c r="D62" s="6"/>
      <c r="E62" s="3" t="s">
        <v>430</v>
      </c>
      <c r="F62" s="41" t="s">
        <v>431</v>
      </c>
      <c r="G62" s="3" t="s">
        <v>424</v>
      </c>
      <c r="H62" s="2" t="s">
        <v>296</v>
      </c>
      <c r="I62" s="37" t="s">
        <v>88</v>
      </c>
      <c r="J62" s="31">
        <v>45663</v>
      </c>
      <c r="K62" s="31">
        <v>45684</v>
      </c>
      <c r="L62" s="31"/>
      <c r="M62" s="31"/>
      <c r="N62" s="31"/>
      <c r="O62" s="3" t="s">
        <v>425</v>
      </c>
    </row>
    <row r="63" spans="1:15">
      <c r="A63" s="3">
        <f t="shared" si="2"/>
        <v>62</v>
      </c>
      <c r="B63" s="41" t="s">
        <v>439</v>
      </c>
      <c r="C63" s="3">
        <v>9899899244</v>
      </c>
      <c r="D63" s="6"/>
      <c r="E63" s="3" t="s">
        <v>440</v>
      </c>
      <c r="F63" s="41" t="s">
        <v>441</v>
      </c>
      <c r="G63" s="3" t="s">
        <v>424</v>
      </c>
      <c r="H63" s="2" t="s">
        <v>296</v>
      </c>
      <c r="I63" s="37" t="s">
        <v>94</v>
      </c>
      <c r="J63" s="31">
        <v>45658</v>
      </c>
      <c r="K63" s="31">
        <v>45692</v>
      </c>
      <c r="L63" s="31"/>
      <c r="M63" s="31"/>
      <c r="N63" s="31"/>
      <c r="O63" s="3" t="s">
        <v>425</v>
      </c>
    </row>
    <row r="64" spans="1:15">
      <c r="A64" s="3">
        <f t="shared" si="2"/>
        <v>63</v>
      </c>
      <c r="B64" s="41" t="s">
        <v>442</v>
      </c>
      <c r="C64" s="3">
        <v>9932947879</v>
      </c>
      <c r="D64" s="6"/>
      <c r="E64" s="3" t="s">
        <v>440</v>
      </c>
      <c r="F64" s="41" t="s">
        <v>443</v>
      </c>
      <c r="G64" s="3" t="s">
        <v>424</v>
      </c>
      <c r="H64" s="2" t="s">
        <v>296</v>
      </c>
      <c r="I64" s="37" t="s">
        <v>94</v>
      </c>
      <c r="J64" s="31">
        <v>45658</v>
      </c>
      <c r="K64" s="31">
        <v>45688</v>
      </c>
      <c r="L64" s="31"/>
      <c r="M64" s="31"/>
      <c r="N64" s="31"/>
      <c r="O64" s="3" t="s">
        <v>425</v>
      </c>
    </row>
    <row r="65" spans="1:15">
      <c r="A65" s="3">
        <f t="shared" si="2"/>
        <v>64</v>
      </c>
      <c r="B65" s="41" t="s">
        <v>444</v>
      </c>
      <c r="C65" s="3">
        <v>7354621122</v>
      </c>
      <c r="D65" s="6"/>
      <c r="E65" s="3" t="s">
        <v>445</v>
      </c>
      <c r="F65" s="41" t="s">
        <v>446</v>
      </c>
      <c r="G65" s="3" t="s">
        <v>16</v>
      </c>
      <c r="H65" s="2" t="s">
        <v>296</v>
      </c>
      <c r="I65" s="37" t="s">
        <v>94</v>
      </c>
      <c r="J65" s="31">
        <v>45660</v>
      </c>
      <c r="K65" s="31">
        <v>45688</v>
      </c>
      <c r="L65" s="31">
        <v>45931</v>
      </c>
      <c r="M65" s="31">
        <v>45962</v>
      </c>
      <c r="N65" s="31">
        <v>45967</v>
      </c>
      <c r="O65" s="3" t="s">
        <v>297</v>
      </c>
    </row>
    <row r="66" spans="1:15">
      <c r="A66" s="3">
        <f t="shared" si="2"/>
        <v>65</v>
      </c>
      <c r="B66" s="41" t="s">
        <v>447</v>
      </c>
      <c r="C66" s="3">
        <v>6394864582</v>
      </c>
      <c r="D66" s="6"/>
      <c r="E66" s="3" t="s">
        <v>448</v>
      </c>
      <c r="F66" s="41" t="s">
        <v>449</v>
      </c>
      <c r="G66" s="3" t="s">
        <v>424</v>
      </c>
      <c r="H66" s="2" t="s">
        <v>296</v>
      </c>
      <c r="I66" s="37" t="s">
        <v>94</v>
      </c>
      <c r="J66" s="31">
        <v>45660</v>
      </c>
      <c r="K66" s="31">
        <v>45679</v>
      </c>
      <c r="L66" s="31"/>
      <c r="M66" s="31"/>
      <c r="N66" s="31"/>
      <c r="O66" s="3" t="s">
        <v>425</v>
      </c>
    </row>
    <row r="67" spans="1:15">
      <c r="A67" s="3">
        <f t="shared" si="2"/>
        <v>66</v>
      </c>
      <c r="B67" s="41" t="s">
        <v>450</v>
      </c>
      <c r="C67" s="3">
        <v>9555891204</v>
      </c>
      <c r="D67" s="6"/>
      <c r="E67" s="3" t="s">
        <v>448</v>
      </c>
      <c r="F67" s="41" t="s">
        <v>451</v>
      </c>
      <c r="G67" s="3" t="s">
        <v>424</v>
      </c>
      <c r="H67" s="2" t="s">
        <v>296</v>
      </c>
      <c r="I67" s="37" t="s">
        <v>94</v>
      </c>
      <c r="J67" s="31">
        <v>45660</v>
      </c>
      <c r="K67" s="31">
        <v>45679</v>
      </c>
      <c r="L67" s="31"/>
      <c r="M67" s="31"/>
      <c r="N67" s="31"/>
      <c r="O67" s="3" t="s">
        <v>425</v>
      </c>
    </row>
    <row r="68" spans="1:15">
      <c r="A68" s="3">
        <f t="shared" si="2"/>
        <v>67</v>
      </c>
      <c r="B68" s="41" t="s">
        <v>452</v>
      </c>
      <c r="C68" s="3">
        <v>8299176917</v>
      </c>
      <c r="D68" s="6"/>
      <c r="E68" s="3" t="s">
        <v>448</v>
      </c>
      <c r="F68" s="41" t="s">
        <v>446</v>
      </c>
      <c r="G68" s="3" t="s">
        <v>424</v>
      </c>
      <c r="H68" s="2" t="s">
        <v>296</v>
      </c>
      <c r="I68" s="37" t="s">
        <v>94</v>
      </c>
      <c r="J68" s="31">
        <v>45660</v>
      </c>
      <c r="K68" s="31">
        <v>45679</v>
      </c>
      <c r="L68" s="31"/>
      <c r="M68" s="31"/>
      <c r="N68" s="31"/>
      <c r="O68" s="3" t="s">
        <v>425</v>
      </c>
    </row>
    <row r="69" spans="1:15">
      <c r="A69" s="3">
        <f t="shared" si="2"/>
        <v>68</v>
      </c>
      <c r="B69" s="41" t="s">
        <v>453</v>
      </c>
      <c r="C69" s="3">
        <v>8897504911</v>
      </c>
      <c r="D69" s="6">
        <v>9154920985</v>
      </c>
      <c r="E69" s="3" t="s">
        <v>448</v>
      </c>
      <c r="F69" s="41" t="s">
        <v>454</v>
      </c>
      <c r="G69" s="3" t="s">
        <v>416</v>
      </c>
      <c r="H69" s="2" t="s">
        <v>296</v>
      </c>
      <c r="I69" s="37" t="s">
        <v>94</v>
      </c>
      <c r="J69" s="31">
        <v>45660</v>
      </c>
      <c r="K69" s="31">
        <v>45682</v>
      </c>
      <c r="L69" s="31"/>
      <c r="M69" s="31"/>
      <c r="N69" s="31"/>
      <c r="O69" s="3" t="s">
        <v>297</v>
      </c>
    </row>
    <row r="70" spans="1:15">
      <c r="A70" s="3">
        <f t="shared" si="2"/>
        <v>69</v>
      </c>
      <c r="B70" s="41" t="s">
        <v>455</v>
      </c>
      <c r="C70" s="3">
        <v>7032299008</v>
      </c>
      <c r="D70" s="6"/>
      <c r="E70" s="3" t="s">
        <v>335</v>
      </c>
      <c r="F70" s="41" t="s">
        <v>456</v>
      </c>
      <c r="G70" s="3" t="s">
        <v>16</v>
      </c>
      <c r="H70" s="2" t="s">
        <v>296</v>
      </c>
      <c r="I70" s="37" t="s">
        <v>94</v>
      </c>
      <c r="J70" s="31">
        <v>45621</v>
      </c>
      <c r="K70" s="31">
        <v>45633</v>
      </c>
      <c r="L70" s="31">
        <v>45636</v>
      </c>
      <c r="M70" s="31">
        <v>45667</v>
      </c>
      <c r="N70" s="31">
        <v>45667</v>
      </c>
      <c r="O70" s="3" t="s">
        <v>297</v>
      </c>
    </row>
    <row r="71" spans="1:15">
      <c r="A71" s="3">
        <f t="shared" si="2"/>
        <v>70</v>
      </c>
      <c r="B71" s="41" t="s">
        <v>457</v>
      </c>
      <c r="C71" s="3">
        <v>8544749190</v>
      </c>
      <c r="D71" s="6"/>
      <c r="E71" s="3" t="s">
        <v>458</v>
      </c>
      <c r="F71" s="41" t="s">
        <v>308</v>
      </c>
      <c r="G71" s="3" t="s">
        <v>16</v>
      </c>
      <c r="H71" s="3" t="s">
        <v>368</v>
      </c>
      <c r="I71" s="37" t="s">
        <v>94</v>
      </c>
      <c r="J71" s="31">
        <v>45658</v>
      </c>
      <c r="K71" s="31">
        <v>45663</v>
      </c>
      <c r="L71" s="31">
        <v>45685</v>
      </c>
      <c r="M71" s="31">
        <v>45761</v>
      </c>
      <c r="N71" s="31">
        <v>45762</v>
      </c>
      <c r="O71" s="3" t="s">
        <v>297</v>
      </c>
    </row>
    <row r="72" spans="1:15">
      <c r="A72" s="3">
        <f t="shared" si="2"/>
        <v>71</v>
      </c>
      <c r="B72" s="41" t="s">
        <v>459</v>
      </c>
      <c r="C72" s="3">
        <v>9776972679</v>
      </c>
      <c r="D72" s="6"/>
      <c r="E72" s="3" t="s">
        <v>460</v>
      </c>
      <c r="F72" s="41" t="s">
        <v>461</v>
      </c>
      <c r="G72" s="3" t="s">
        <v>295</v>
      </c>
      <c r="H72" s="3" t="s">
        <v>361</v>
      </c>
      <c r="I72" s="37" t="s">
        <v>94</v>
      </c>
      <c r="J72" s="31">
        <v>45659</v>
      </c>
      <c r="K72" s="31">
        <v>45662</v>
      </c>
      <c r="L72" s="31">
        <v>45665</v>
      </c>
      <c r="M72" s="31">
        <v>45690</v>
      </c>
      <c r="N72" s="31"/>
      <c r="O72" s="3" t="s">
        <v>297</v>
      </c>
    </row>
    <row r="73" spans="1:15">
      <c r="A73" s="3">
        <f t="shared" si="2"/>
        <v>72</v>
      </c>
      <c r="B73" s="41" t="s">
        <v>462</v>
      </c>
      <c r="C73" s="3">
        <v>9177992500</v>
      </c>
      <c r="D73" s="6"/>
      <c r="E73" s="3" t="s">
        <v>411</v>
      </c>
      <c r="F73" s="41" t="s">
        <v>463</v>
      </c>
      <c r="G73" s="3" t="s">
        <v>330</v>
      </c>
      <c r="H73" s="23" t="s">
        <v>464</v>
      </c>
      <c r="I73" s="37" t="s">
        <v>94</v>
      </c>
      <c r="J73" s="31">
        <v>45659</v>
      </c>
      <c r="K73" s="31">
        <v>45660</v>
      </c>
      <c r="L73" s="31">
        <v>45665</v>
      </c>
      <c r="M73" s="31">
        <v>45689</v>
      </c>
      <c r="N73" s="31">
        <v>45691</v>
      </c>
      <c r="O73" s="3" t="s">
        <v>297</v>
      </c>
    </row>
    <row r="74" spans="1:15">
      <c r="A74" s="3">
        <f t="shared" si="2"/>
        <v>73</v>
      </c>
      <c r="B74" s="41" t="s">
        <v>465</v>
      </c>
      <c r="C74" s="3">
        <v>9603639404</v>
      </c>
      <c r="D74" s="6"/>
      <c r="E74" s="3" t="s">
        <v>411</v>
      </c>
      <c r="F74" s="41" t="s">
        <v>463</v>
      </c>
      <c r="G74" s="3" t="s">
        <v>18</v>
      </c>
      <c r="H74" s="23" t="s">
        <v>464</v>
      </c>
      <c r="I74" s="37" t="s">
        <v>94</v>
      </c>
      <c r="J74" s="31">
        <v>45659</v>
      </c>
      <c r="K74" s="31">
        <v>45659</v>
      </c>
      <c r="L74" s="31"/>
      <c r="M74" s="31"/>
      <c r="N74" s="31"/>
      <c r="O74" s="3" t="s">
        <v>297</v>
      </c>
    </row>
    <row r="75" spans="1:15">
      <c r="A75" s="3">
        <f t="shared" si="2"/>
        <v>74</v>
      </c>
      <c r="B75" s="41" t="s">
        <v>466</v>
      </c>
      <c r="C75" s="3">
        <v>9816541342</v>
      </c>
      <c r="D75" s="6"/>
      <c r="E75" s="3" t="s">
        <v>467</v>
      </c>
      <c r="F75" s="41" t="s">
        <v>468</v>
      </c>
      <c r="G75" s="3" t="s">
        <v>16</v>
      </c>
      <c r="H75" s="2" t="s">
        <v>296</v>
      </c>
      <c r="I75" s="37" t="s">
        <v>88</v>
      </c>
      <c r="J75" s="31">
        <v>45667</v>
      </c>
      <c r="K75" s="31">
        <v>45687</v>
      </c>
      <c r="L75" s="31">
        <v>45692</v>
      </c>
      <c r="M75" s="31">
        <v>45752</v>
      </c>
      <c r="N75" s="31">
        <v>45752</v>
      </c>
      <c r="O75" s="3" t="s">
        <v>297</v>
      </c>
    </row>
    <row r="76" spans="1:15">
      <c r="A76" s="3">
        <f t="shared" si="2"/>
        <v>75</v>
      </c>
      <c r="B76" s="41" t="s">
        <v>469</v>
      </c>
      <c r="C76" s="27">
        <v>9149901238</v>
      </c>
      <c r="D76" s="6">
        <v>8099356769</v>
      </c>
      <c r="E76" s="3" t="s">
        <v>470</v>
      </c>
      <c r="F76" s="41" t="s">
        <v>471</v>
      </c>
      <c r="G76" s="3" t="s">
        <v>16</v>
      </c>
      <c r="H76" s="2" t="s">
        <v>296</v>
      </c>
      <c r="I76" s="37" t="s">
        <v>88</v>
      </c>
      <c r="J76" s="31">
        <v>45667</v>
      </c>
      <c r="K76" s="31">
        <v>45688</v>
      </c>
      <c r="L76" s="31">
        <v>45694</v>
      </c>
      <c r="M76" s="31">
        <v>45760</v>
      </c>
      <c r="N76" s="31">
        <v>45760</v>
      </c>
      <c r="O76" s="3" t="s">
        <v>297</v>
      </c>
    </row>
    <row r="77" spans="1:15">
      <c r="A77" s="3">
        <f t="shared" si="2"/>
        <v>76</v>
      </c>
      <c r="B77" s="41" t="s">
        <v>472</v>
      </c>
      <c r="C77" s="27">
        <v>8658861662</v>
      </c>
      <c r="D77" s="6">
        <v>8280222171</v>
      </c>
      <c r="E77" s="3" t="s">
        <v>473</v>
      </c>
      <c r="F77" s="41" t="s">
        <v>471</v>
      </c>
      <c r="G77" s="3" t="s">
        <v>16</v>
      </c>
      <c r="H77" s="2" t="s">
        <v>296</v>
      </c>
      <c r="I77" s="37" t="s">
        <v>88</v>
      </c>
      <c r="J77" s="31">
        <v>45667</v>
      </c>
      <c r="K77" s="31">
        <v>45687</v>
      </c>
      <c r="L77" s="31">
        <v>45694</v>
      </c>
      <c r="M77" s="31">
        <v>45772</v>
      </c>
      <c r="N77" s="31">
        <v>45737</v>
      </c>
      <c r="O77" s="3" t="s">
        <v>297</v>
      </c>
    </row>
    <row r="78" spans="1:15">
      <c r="A78" s="3">
        <f t="shared" si="2"/>
        <v>77</v>
      </c>
      <c r="B78" s="41" t="s">
        <v>474</v>
      </c>
      <c r="C78" s="3">
        <v>8592970711</v>
      </c>
      <c r="D78" s="6"/>
      <c r="E78" s="3" t="s">
        <v>475</v>
      </c>
      <c r="F78" s="41" t="s">
        <v>245</v>
      </c>
      <c r="G78" s="3" t="s">
        <v>18</v>
      </c>
      <c r="H78" s="3" t="s">
        <v>162</v>
      </c>
      <c r="I78" s="37" t="s">
        <v>94</v>
      </c>
      <c r="J78" s="31">
        <v>45665</v>
      </c>
      <c r="K78" s="31">
        <v>45675</v>
      </c>
      <c r="L78" s="31"/>
      <c r="M78" s="31"/>
      <c r="N78" s="31"/>
      <c r="O78" s="3" t="s">
        <v>297</v>
      </c>
    </row>
    <row r="79" spans="1:15">
      <c r="A79" s="3">
        <f t="shared" si="2"/>
        <v>78</v>
      </c>
      <c r="B79" s="41" t="s">
        <v>476</v>
      </c>
      <c r="C79" s="3">
        <v>9395192301</v>
      </c>
      <c r="D79" s="6"/>
      <c r="E79" s="3" t="s">
        <v>475</v>
      </c>
      <c r="F79" s="41" t="s">
        <v>245</v>
      </c>
      <c r="G79" s="3" t="s">
        <v>18</v>
      </c>
      <c r="H79" s="3" t="s">
        <v>162</v>
      </c>
      <c r="I79" s="37" t="s">
        <v>94</v>
      </c>
      <c r="J79" s="31">
        <v>45665</v>
      </c>
      <c r="K79" s="31">
        <v>45675</v>
      </c>
      <c r="L79" s="31"/>
      <c r="M79" s="31"/>
      <c r="N79" s="31"/>
      <c r="O79" s="3" t="s">
        <v>297</v>
      </c>
    </row>
    <row r="80" spans="1:15" ht="15.6">
      <c r="A80" s="3">
        <f t="shared" si="2"/>
        <v>79</v>
      </c>
      <c r="B80" s="69" t="s">
        <v>477</v>
      </c>
      <c r="C80" s="3">
        <v>9123463805</v>
      </c>
      <c r="D80" s="6"/>
      <c r="E80" s="3" t="s">
        <v>478</v>
      </c>
      <c r="F80" s="26" t="s">
        <v>479</v>
      </c>
      <c r="G80" s="3" t="s">
        <v>424</v>
      </c>
      <c r="H80" s="3" t="s">
        <v>162</v>
      </c>
      <c r="I80" s="37" t="s">
        <v>42</v>
      </c>
      <c r="J80" s="31">
        <v>45663</v>
      </c>
      <c r="K80" s="31">
        <v>45663</v>
      </c>
      <c r="L80" s="31"/>
      <c r="M80" s="31"/>
      <c r="N80" s="31"/>
      <c r="O80" s="3" t="s">
        <v>425</v>
      </c>
    </row>
    <row r="81" spans="1:15" ht="15.6">
      <c r="A81" s="3">
        <f t="shared" si="2"/>
        <v>80</v>
      </c>
      <c r="B81" s="69" t="s">
        <v>480</v>
      </c>
      <c r="C81" s="27">
        <v>8400092392</v>
      </c>
      <c r="D81" s="6"/>
      <c r="E81" s="3" t="s">
        <v>341</v>
      </c>
      <c r="F81" s="26" t="s">
        <v>481</v>
      </c>
      <c r="G81" s="3" t="s">
        <v>424</v>
      </c>
      <c r="H81" s="3" t="s">
        <v>162</v>
      </c>
      <c r="I81" s="37" t="s">
        <v>88</v>
      </c>
      <c r="J81" s="31">
        <v>45663</v>
      </c>
      <c r="K81" s="31">
        <v>45663</v>
      </c>
      <c r="L81" s="31"/>
      <c r="M81" s="31"/>
      <c r="N81" s="31"/>
      <c r="O81" s="3" t="s">
        <v>425</v>
      </c>
    </row>
    <row r="82" spans="1:15" ht="15.6">
      <c r="A82" s="3">
        <f t="shared" si="2"/>
        <v>81</v>
      </c>
      <c r="B82" s="69" t="s">
        <v>482</v>
      </c>
      <c r="C82" s="27">
        <v>8004448013</v>
      </c>
      <c r="D82" s="6"/>
      <c r="E82" s="3" t="s">
        <v>341</v>
      </c>
      <c r="F82" s="26" t="s">
        <v>339</v>
      </c>
      <c r="G82" s="3" t="s">
        <v>424</v>
      </c>
      <c r="H82" s="3" t="s">
        <v>162</v>
      </c>
      <c r="I82" s="37" t="s">
        <v>88</v>
      </c>
      <c r="J82" s="31">
        <v>45663</v>
      </c>
      <c r="K82" s="31">
        <v>45674</v>
      </c>
      <c r="L82" s="31"/>
      <c r="M82" s="31"/>
      <c r="N82" s="31"/>
      <c r="O82" s="3" t="s">
        <v>425</v>
      </c>
    </row>
    <row r="83" spans="1:15" ht="15.6">
      <c r="A83" s="3">
        <f t="shared" si="2"/>
        <v>82</v>
      </c>
      <c r="B83" s="69" t="s">
        <v>483</v>
      </c>
      <c r="C83" s="3">
        <v>9949553616</v>
      </c>
      <c r="D83" s="6">
        <v>8332883457</v>
      </c>
      <c r="E83" s="3" t="s">
        <v>341</v>
      </c>
      <c r="F83" s="26" t="s">
        <v>481</v>
      </c>
      <c r="G83" s="3" t="s">
        <v>424</v>
      </c>
      <c r="H83" s="3" t="s">
        <v>162</v>
      </c>
      <c r="I83" s="37" t="s">
        <v>88</v>
      </c>
      <c r="J83" s="31">
        <v>45663</v>
      </c>
      <c r="K83" s="31">
        <v>45663</v>
      </c>
      <c r="L83" s="31"/>
      <c r="M83" s="31"/>
      <c r="N83" s="31"/>
      <c r="O83" s="3" t="s">
        <v>425</v>
      </c>
    </row>
    <row r="84" spans="1:15" ht="15.6">
      <c r="A84" s="3">
        <f t="shared" si="2"/>
        <v>83</v>
      </c>
      <c r="B84" s="70" t="s">
        <v>484</v>
      </c>
      <c r="C84" s="3">
        <v>7006699414</v>
      </c>
      <c r="D84" s="6"/>
      <c r="E84" s="3" t="s">
        <v>485</v>
      </c>
      <c r="F84" s="41" t="s">
        <v>486</v>
      </c>
      <c r="G84" s="3" t="s">
        <v>424</v>
      </c>
      <c r="H84" s="2" t="s">
        <v>487</v>
      </c>
      <c r="I84" s="37" t="s">
        <v>88</v>
      </c>
      <c r="J84" s="31">
        <v>45659</v>
      </c>
      <c r="K84" s="31">
        <v>45659</v>
      </c>
      <c r="L84" s="31"/>
      <c r="M84" s="31"/>
      <c r="N84" s="31"/>
      <c r="O84" s="3" t="s">
        <v>425</v>
      </c>
    </row>
    <row r="85" spans="1:15">
      <c r="A85" s="3">
        <f t="shared" si="2"/>
        <v>84</v>
      </c>
      <c r="B85" s="41" t="s">
        <v>488</v>
      </c>
      <c r="C85" s="3">
        <v>9382437831</v>
      </c>
      <c r="D85" s="6"/>
      <c r="E85" s="3" t="s">
        <v>489</v>
      </c>
      <c r="F85" s="68" t="s">
        <v>490</v>
      </c>
      <c r="G85" s="3" t="s">
        <v>416</v>
      </c>
      <c r="H85" s="3" t="s">
        <v>361</v>
      </c>
      <c r="I85" s="37" t="s">
        <v>94</v>
      </c>
      <c r="J85" s="31">
        <v>45658</v>
      </c>
      <c r="K85" s="31">
        <v>45674</v>
      </c>
      <c r="L85" s="31"/>
      <c r="M85" s="31"/>
      <c r="N85" s="31"/>
      <c r="O85" s="3" t="s">
        <v>297</v>
      </c>
    </row>
    <row r="86" spans="1:15">
      <c r="A86" s="3">
        <f t="shared" si="2"/>
        <v>85</v>
      </c>
      <c r="B86" s="41" t="s">
        <v>491</v>
      </c>
      <c r="C86" s="3">
        <v>6306024599</v>
      </c>
      <c r="D86" s="6"/>
      <c r="E86" s="3" t="s">
        <v>492</v>
      </c>
      <c r="F86" s="68" t="s">
        <v>461</v>
      </c>
      <c r="G86" s="3" t="s">
        <v>416</v>
      </c>
      <c r="H86" s="3" t="s">
        <v>361</v>
      </c>
      <c r="I86" s="37" t="s">
        <v>94</v>
      </c>
      <c r="J86" s="31">
        <v>45658</v>
      </c>
      <c r="K86" s="31">
        <v>45674</v>
      </c>
      <c r="L86" s="31"/>
      <c r="M86" s="31"/>
      <c r="N86" s="31"/>
      <c r="O86" s="3" t="s">
        <v>297</v>
      </c>
    </row>
    <row r="87" spans="1:15">
      <c r="A87" s="3">
        <f t="shared" si="2"/>
        <v>86</v>
      </c>
      <c r="B87" s="41" t="s">
        <v>493</v>
      </c>
      <c r="C87" s="3">
        <v>7857917818</v>
      </c>
      <c r="D87" s="6"/>
      <c r="E87" s="3" t="s">
        <v>494</v>
      </c>
      <c r="F87" s="68" t="s">
        <v>461</v>
      </c>
      <c r="G87" s="3" t="s">
        <v>16</v>
      </c>
      <c r="H87" s="3" t="s">
        <v>361</v>
      </c>
      <c r="I87" s="37" t="s">
        <v>94</v>
      </c>
      <c r="J87" s="31">
        <v>45658</v>
      </c>
      <c r="K87" s="31">
        <v>45658</v>
      </c>
      <c r="L87" s="31">
        <v>45918</v>
      </c>
      <c r="M87" s="31">
        <v>45952</v>
      </c>
      <c r="N87" s="31">
        <v>45952</v>
      </c>
      <c r="O87" s="3" t="s">
        <v>297</v>
      </c>
    </row>
    <row r="88" spans="1:15">
      <c r="A88" s="3">
        <f t="shared" si="2"/>
        <v>87</v>
      </c>
      <c r="B88" s="41" t="s">
        <v>495</v>
      </c>
      <c r="C88" s="3">
        <v>8057214597</v>
      </c>
      <c r="D88" s="6"/>
      <c r="E88" s="3" t="s">
        <v>492</v>
      </c>
      <c r="F88" s="68" t="s">
        <v>496</v>
      </c>
      <c r="G88" s="3" t="s">
        <v>424</v>
      </c>
      <c r="H88" s="3" t="s">
        <v>361</v>
      </c>
      <c r="I88" s="37" t="s">
        <v>94</v>
      </c>
      <c r="J88" s="31">
        <v>45658</v>
      </c>
      <c r="K88" s="31">
        <v>45674</v>
      </c>
      <c r="L88" s="31"/>
      <c r="M88" s="31"/>
      <c r="N88" s="31"/>
      <c r="O88" s="3" t="s">
        <v>425</v>
      </c>
    </row>
    <row r="89" spans="1:15">
      <c r="A89" s="3">
        <f t="shared" si="2"/>
        <v>88</v>
      </c>
      <c r="B89" s="41" t="s">
        <v>497</v>
      </c>
      <c r="C89" s="3">
        <v>8077133627</v>
      </c>
      <c r="D89" s="6"/>
      <c r="E89" s="3" t="s">
        <v>489</v>
      </c>
      <c r="F89" s="68" t="s">
        <v>498</v>
      </c>
      <c r="G89" s="3" t="s">
        <v>416</v>
      </c>
      <c r="H89" s="3" t="s">
        <v>361</v>
      </c>
      <c r="I89" s="37" t="s">
        <v>94</v>
      </c>
      <c r="J89" s="31">
        <v>45658</v>
      </c>
      <c r="K89" s="31">
        <v>45674</v>
      </c>
      <c r="L89" s="31"/>
      <c r="M89" s="31"/>
      <c r="N89" s="31"/>
      <c r="O89" s="3" t="s">
        <v>297</v>
      </c>
    </row>
    <row r="90" spans="1:15">
      <c r="A90" s="3">
        <f t="shared" si="2"/>
        <v>89</v>
      </c>
      <c r="B90" s="41" t="s">
        <v>499</v>
      </c>
      <c r="C90" s="3">
        <v>9149944031</v>
      </c>
      <c r="D90" s="6"/>
      <c r="E90" s="3" t="s">
        <v>500</v>
      </c>
      <c r="F90" s="68" t="s">
        <v>461</v>
      </c>
      <c r="G90" s="3" t="s">
        <v>16</v>
      </c>
      <c r="H90" s="3" t="s">
        <v>361</v>
      </c>
      <c r="I90" s="37" t="s">
        <v>88</v>
      </c>
      <c r="J90" s="31">
        <v>45658</v>
      </c>
      <c r="K90" s="31">
        <v>45674</v>
      </c>
      <c r="L90" s="31">
        <v>45681</v>
      </c>
      <c r="M90" s="31">
        <v>45684</v>
      </c>
      <c r="N90" s="31">
        <v>45684</v>
      </c>
      <c r="O90" s="3" t="s">
        <v>297</v>
      </c>
    </row>
    <row r="91" spans="1:15">
      <c r="A91" s="3">
        <f t="shared" si="2"/>
        <v>90</v>
      </c>
      <c r="B91" s="41" t="s">
        <v>501</v>
      </c>
      <c r="C91" s="3">
        <v>9576919166</v>
      </c>
      <c r="D91" s="6"/>
      <c r="E91" s="3" t="s">
        <v>492</v>
      </c>
      <c r="F91" s="68" t="s">
        <v>303</v>
      </c>
      <c r="G91" s="3" t="s">
        <v>295</v>
      </c>
      <c r="H91" s="3" t="s">
        <v>361</v>
      </c>
      <c r="I91" s="37" t="s">
        <v>94</v>
      </c>
      <c r="J91" s="31">
        <v>45658</v>
      </c>
      <c r="K91" s="31">
        <v>45658</v>
      </c>
      <c r="L91" s="31">
        <v>45681</v>
      </c>
      <c r="M91" s="31">
        <v>45708</v>
      </c>
      <c r="N91" s="31"/>
      <c r="O91" s="3" t="s">
        <v>297</v>
      </c>
    </row>
    <row r="92" spans="1:15">
      <c r="A92" s="3">
        <f t="shared" si="2"/>
        <v>91</v>
      </c>
      <c r="B92" s="41" t="s">
        <v>477</v>
      </c>
      <c r="C92" s="3">
        <v>9548269440</v>
      </c>
      <c r="D92" s="6"/>
      <c r="E92" s="3" t="s">
        <v>502</v>
      </c>
      <c r="F92" s="68" t="s">
        <v>503</v>
      </c>
      <c r="G92" s="3" t="s">
        <v>295</v>
      </c>
      <c r="H92" s="3" t="s">
        <v>361</v>
      </c>
      <c r="I92" s="37" t="s">
        <v>94</v>
      </c>
      <c r="J92" s="31">
        <v>45658</v>
      </c>
      <c r="K92" s="31">
        <v>45658</v>
      </c>
      <c r="L92" s="31">
        <v>45681</v>
      </c>
      <c r="M92" s="31">
        <v>45689</v>
      </c>
      <c r="N92" s="31"/>
      <c r="O92" s="3" t="s">
        <v>297</v>
      </c>
    </row>
    <row r="93" spans="1:15">
      <c r="A93" s="3">
        <f t="shared" si="2"/>
        <v>92</v>
      </c>
      <c r="B93" s="41" t="s">
        <v>504</v>
      </c>
      <c r="C93" s="3">
        <v>8507179939</v>
      </c>
      <c r="D93" s="6"/>
      <c r="E93" s="3" t="s">
        <v>489</v>
      </c>
      <c r="F93" s="68" t="s">
        <v>505</v>
      </c>
      <c r="G93" s="3" t="s">
        <v>424</v>
      </c>
      <c r="H93" s="3" t="s">
        <v>361</v>
      </c>
      <c r="I93" s="37" t="s">
        <v>94</v>
      </c>
      <c r="J93" s="31">
        <v>45658</v>
      </c>
      <c r="K93" s="31">
        <v>45674</v>
      </c>
      <c r="L93" s="31"/>
      <c r="M93" s="31"/>
      <c r="N93" s="31"/>
      <c r="O93" s="3" t="s">
        <v>425</v>
      </c>
    </row>
    <row r="94" spans="1:15">
      <c r="A94" s="3">
        <f t="shared" si="2"/>
        <v>93</v>
      </c>
      <c r="B94" s="41" t="s">
        <v>506</v>
      </c>
      <c r="C94" s="3">
        <v>6202306338</v>
      </c>
      <c r="D94" s="6"/>
      <c r="E94" s="3" t="s">
        <v>492</v>
      </c>
      <c r="F94" s="68" t="s">
        <v>507</v>
      </c>
      <c r="G94" s="3" t="s">
        <v>424</v>
      </c>
      <c r="H94" s="3" t="s">
        <v>361</v>
      </c>
      <c r="I94" s="37" t="s">
        <v>94</v>
      </c>
      <c r="J94" s="31">
        <v>45658</v>
      </c>
      <c r="K94" s="31">
        <v>45674</v>
      </c>
      <c r="L94" s="31"/>
      <c r="M94" s="31"/>
      <c r="N94" s="31"/>
      <c r="O94" s="3" t="s">
        <v>425</v>
      </c>
    </row>
    <row r="95" spans="1:15">
      <c r="A95" s="3">
        <f t="shared" si="2"/>
        <v>94</v>
      </c>
      <c r="B95" s="41" t="s">
        <v>508</v>
      </c>
      <c r="C95" s="3">
        <v>9596686539</v>
      </c>
      <c r="D95" s="6"/>
      <c r="E95" s="3" t="s">
        <v>492</v>
      </c>
      <c r="F95" s="68" t="s">
        <v>509</v>
      </c>
      <c r="G95" s="3" t="s">
        <v>424</v>
      </c>
      <c r="H95" s="3" t="s">
        <v>361</v>
      </c>
      <c r="I95" s="37" t="s">
        <v>94</v>
      </c>
      <c r="J95" s="31">
        <v>45658</v>
      </c>
      <c r="K95" s="31">
        <v>45674</v>
      </c>
      <c r="L95" s="31"/>
      <c r="M95" s="31"/>
      <c r="N95" s="31"/>
      <c r="O95" s="3" t="s">
        <v>425</v>
      </c>
    </row>
    <row r="96" spans="1:15">
      <c r="A96" s="3">
        <f t="shared" si="2"/>
        <v>95</v>
      </c>
      <c r="B96" s="41" t="s">
        <v>510</v>
      </c>
      <c r="C96" s="3">
        <v>7294085355</v>
      </c>
      <c r="D96" s="6"/>
      <c r="E96" s="3" t="s">
        <v>492</v>
      </c>
      <c r="F96" s="68" t="s">
        <v>461</v>
      </c>
      <c r="G96" s="3" t="s">
        <v>416</v>
      </c>
      <c r="H96" s="3" t="s">
        <v>361</v>
      </c>
      <c r="I96" s="37" t="s">
        <v>94</v>
      </c>
      <c r="J96" s="31">
        <v>45658</v>
      </c>
      <c r="K96" s="31">
        <v>45674</v>
      </c>
      <c r="L96" s="31"/>
      <c r="M96" s="31"/>
      <c r="N96" s="31"/>
      <c r="O96" s="3" t="s">
        <v>297</v>
      </c>
    </row>
    <row r="97" spans="1:15">
      <c r="A97" s="3">
        <f t="shared" si="2"/>
        <v>96</v>
      </c>
      <c r="B97" s="41" t="s">
        <v>511</v>
      </c>
      <c r="C97" s="3">
        <v>7822852087</v>
      </c>
      <c r="D97" s="6"/>
      <c r="E97" s="3" t="s">
        <v>512</v>
      </c>
      <c r="F97" s="68" t="s">
        <v>461</v>
      </c>
      <c r="G97" s="3" t="s">
        <v>424</v>
      </c>
      <c r="H97" s="3" t="s">
        <v>361</v>
      </c>
      <c r="I97" s="37" t="s">
        <v>94</v>
      </c>
      <c r="J97" s="31">
        <v>45658</v>
      </c>
      <c r="K97" s="31">
        <v>45674</v>
      </c>
      <c r="L97" s="31"/>
      <c r="M97" s="31"/>
      <c r="N97" s="31"/>
      <c r="O97" s="3" t="s">
        <v>425</v>
      </c>
    </row>
    <row r="98" spans="1:15">
      <c r="A98" s="3">
        <f t="shared" si="2"/>
        <v>97</v>
      </c>
      <c r="B98" s="41" t="s">
        <v>513</v>
      </c>
      <c r="C98" s="3">
        <v>6201819470</v>
      </c>
      <c r="D98" s="6"/>
      <c r="E98" s="3" t="s">
        <v>512</v>
      </c>
      <c r="F98" s="68" t="s">
        <v>461</v>
      </c>
      <c r="G98" s="3" t="s">
        <v>424</v>
      </c>
      <c r="H98" s="3" t="s">
        <v>361</v>
      </c>
      <c r="I98" s="37" t="s">
        <v>94</v>
      </c>
      <c r="J98" s="31">
        <v>45658</v>
      </c>
      <c r="K98" s="31">
        <v>45674</v>
      </c>
      <c r="L98" s="31"/>
      <c r="M98" s="31"/>
      <c r="N98" s="31"/>
      <c r="O98" s="3" t="s">
        <v>425</v>
      </c>
    </row>
    <row r="99" spans="1:15">
      <c r="A99" s="3">
        <f t="shared" si="2"/>
        <v>98</v>
      </c>
      <c r="B99" s="41" t="s">
        <v>514</v>
      </c>
      <c r="C99" s="3">
        <v>8969786859</v>
      </c>
      <c r="D99" s="6"/>
      <c r="E99" s="3" t="s">
        <v>512</v>
      </c>
      <c r="F99" s="68" t="s">
        <v>515</v>
      </c>
      <c r="G99" s="3" t="s">
        <v>330</v>
      </c>
      <c r="H99" s="3" t="s">
        <v>361</v>
      </c>
      <c r="I99" s="37" t="s">
        <v>94</v>
      </c>
      <c r="J99" s="31">
        <v>45658</v>
      </c>
      <c r="K99" s="31">
        <v>45674</v>
      </c>
      <c r="L99" s="31">
        <v>45681</v>
      </c>
      <c r="M99" s="31">
        <v>45779</v>
      </c>
      <c r="N99" s="31">
        <v>45693</v>
      </c>
      <c r="O99" s="3" t="s">
        <v>297</v>
      </c>
    </row>
    <row r="100" spans="1:15">
      <c r="A100" s="3">
        <f t="shared" si="2"/>
        <v>99</v>
      </c>
      <c r="B100" s="41" t="s">
        <v>516</v>
      </c>
      <c r="C100" s="3">
        <v>9437658649</v>
      </c>
      <c r="D100" s="6"/>
      <c r="E100" s="3" t="s">
        <v>517</v>
      </c>
      <c r="F100" s="68" t="s">
        <v>518</v>
      </c>
      <c r="G100" s="3" t="s">
        <v>295</v>
      </c>
      <c r="H100" s="3" t="s">
        <v>361</v>
      </c>
      <c r="I100" s="37" t="s">
        <v>94</v>
      </c>
      <c r="J100" s="31">
        <v>45658</v>
      </c>
      <c r="K100" s="31">
        <v>45674</v>
      </c>
      <c r="L100" s="31">
        <v>45681</v>
      </c>
      <c r="M100" s="31">
        <v>45744</v>
      </c>
      <c r="N100" s="31"/>
      <c r="O100" s="3" t="s">
        <v>297</v>
      </c>
    </row>
    <row r="101" spans="1:15">
      <c r="A101" s="3">
        <f t="shared" si="2"/>
        <v>100</v>
      </c>
      <c r="B101" s="41" t="s">
        <v>519</v>
      </c>
      <c r="C101" s="3">
        <v>8763678500</v>
      </c>
      <c r="D101" s="6"/>
      <c r="E101" s="3" t="s">
        <v>520</v>
      </c>
      <c r="F101" s="68" t="s">
        <v>461</v>
      </c>
      <c r="G101" s="3" t="s">
        <v>295</v>
      </c>
      <c r="H101" s="3" t="s">
        <v>361</v>
      </c>
      <c r="I101" s="37" t="s">
        <v>94</v>
      </c>
      <c r="J101" s="31">
        <v>45658</v>
      </c>
      <c r="K101" s="31">
        <v>45658</v>
      </c>
      <c r="L101" s="31">
        <v>45681</v>
      </c>
      <c r="M101" s="31">
        <v>45713</v>
      </c>
      <c r="N101" s="31"/>
      <c r="O101" s="3" t="s">
        <v>297</v>
      </c>
    </row>
    <row r="102" spans="1:15">
      <c r="A102" s="3">
        <f t="shared" si="2"/>
        <v>101</v>
      </c>
      <c r="B102" s="41" t="s">
        <v>521</v>
      </c>
      <c r="C102" s="3">
        <v>8429957668</v>
      </c>
      <c r="D102" s="6"/>
      <c r="E102" s="3" t="s">
        <v>522</v>
      </c>
      <c r="F102" s="68" t="s">
        <v>360</v>
      </c>
      <c r="G102" s="3" t="s">
        <v>330</v>
      </c>
      <c r="H102" s="3" t="s">
        <v>361</v>
      </c>
      <c r="I102" s="37" t="s">
        <v>94</v>
      </c>
      <c r="J102" s="31">
        <v>45658</v>
      </c>
      <c r="K102" s="31">
        <v>45658</v>
      </c>
      <c r="L102" s="31">
        <v>45681</v>
      </c>
      <c r="M102" s="31">
        <v>45713</v>
      </c>
      <c r="N102" s="31">
        <v>45713</v>
      </c>
      <c r="O102" s="3" t="s">
        <v>297</v>
      </c>
    </row>
    <row r="103" spans="1:15">
      <c r="A103" s="3">
        <f t="shared" si="2"/>
        <v>102</v>
      </c>
      <c r="B103" s="41" t="s">
        <v>523</v>
      </c>
      <c r="C103" s="3">
        <v>9039227628</v>
      </c>
      <c r="D103" s="6"/>
      <c r="E103" s="3" t="s">
        <v>524</v>
      </c>
      <c r="F103" s="68" t="s">
        <v>507</v>
      </c>
      <c r="G103" s="3" t="s">
        <v>16</v>
      </c>
      <c r="H103" s="3" t="s">
        <v>361</v>
      </c>
      <c r="I103" s="37" t="s">
        <v>94</v>
      </c>
      <c r="J103" s="31">
        <v>45658</v>
      </c>
      <c r="K103" s="31">
        <v>45658</v>
      </c>
      <c r="L103" s="31">
        <v>45681</v>
      </c>
      <c r="M103" s="31">
        <v>45779</v>
      </c>
      <c r="N103" s="31">
        <v>45693</v>
      </c>
      <c r="O103" s="3" t="s">
        <v>297</v>
      </c>
    </row>
    <row r="104" spans="1:15">
      <c r="A104" s="3">
        <f t="shared" si="2"/>
        <v>103</v>
      </c>
      <c r="B104" s="41" t="s">
        <v>525</v>
      </c>
      <c r="C104" s="3">
        <v>7470499118</v>
      </c>
      <c r="D104" s="6"/>
      <c r="E104" s="3" t="s">
        <v>526</v>
      </c>
      <c r="F104" s="68" t="s">
        <v>308</v>
      </c>
      <c r="G104" s="3" t="s">
        <v>424</v>
      </c>
      <c r="H104" s="3" t="s">
        <v>527</v>
      </c>
      <c r="I104" s="37" t="s">
        <v>94</v>
      </c>
      <c r="J104" s="31">
        <v>45660</v>
      </c>
      <c r="K104" s="31">
        <v>45660</v>
      </c>
      <c r="L104" s="31"/>
      <c r="M104" s="31"/>
      <c r="N104" s="31"/>
      <c r="O104" s="3" t="s">
        <v>425</v>
      </c>
    </row>
    <row r="105" spans="1:15">
      <c r="A105" s="3">
        <f t="shared" si="2"/>
        <v>104</v>
      </c>
      <c r="B105" s="41" t="s">
        <v>528</v>
      </c>
      <c r="C105" s="3">
        <v>9095619445</v>
      </c>
      <c r="D105" s="6"/>
      <c r="E105" s="3" t="s">
        <v>526</v>
      </c>
      <c r="F105" s="68" t="s">
        <v>308</v>
      </c>
      <c r="G105" s="3" t="s">
        <v>424</v>
      </c>
      <c r="H105" s="3" t="s">
        <v>527</v>
      </c>
      <c r="I105" s="37" t="s">
        <v>94</v>
      </c>
      <c r="J105" s="31">
        <v>45660</v>
      </c>
      <c r="K105" s="31">
        <v>45660</v>
      </c>
      <c r="L105" s="31"/>
      <c r="M105" s="31"/>
      <c r="N105" s="31"/>
      <c r="O105" s="3" t="s">
        <v>425</v>
      </c>
    </row>
    <row r="106" spans="1:15">
      <c r="A106" s="3">
        <f t="shared" si="2"/>
        <v>105</v>
      </c>
      <c r="B106" s="41" t="s">
        <v>529</v>
      </c>
      <c r="C106" s="3">
        <v>6305434950</v>
      </c>
      <c r="D106" s="6"/>
      <c r="E106" s="3" t="s">
        <v>530</v>
      </c>
      <c r="F106" s="68" t="s">
        <v>333</v>
      </c>
      <c r="G106" s="3" t="s">
        <v>424</v>
      </c>
      <c r="H106" s="3" t="s">
        <v>527</v>
      </c>
      <c r="I106" s="37" t="s">
        <v>94</v>
      </c>
      <c r="J106" s="31">
        <v>45660</v>
      </c>
      <c r="K106" s="31">
        <v>45660</v>
      </c>
      <c r="L106" s="31"/>
      <c r="M106" s="31"/>
      <c r="N106" s="31"/>
      <c r="O106" s="3" t="s">
        <v>425</v>
      </c>
    </row>
    <row r="107" spans="1:15">
      <c r="A107" s="3">
        <f t="shared" si="2"/>
        <v>106</v>
      </c>
      <c r="B107" s="41" t="s">
        <v>531</v>
      </c>
      <c r="C107" s="3">
        <v>8750228008</v>
      </c>
      <c r="D107" s="6"/>
      <c r="E107" s="3" t="s">
        <v>530</v>
      </c>
      <c r="F107" s="68" t="s">
        <v>333</v>
      </c>
      <c r="G107" s="3" t="s">
        <v>424</v>
      </c>
      <c r="H107" s="3" t="s">
        <v>527</v>
      </c>
      <c r="I107" s="37" t="s">
        <v>94</v>
      </c>
      <c r="J107" s="31">
        <v>45660</v>
      </c>
      <c r="K107" s="31">
        <v>45660</v>
      </c>
      <c r="L107" s="31"/>
      <c r="M107" s="31"/>
      <c r="N107" s="31"/>
      <c r="O107" s="3" t="s">
        <v>425</v>
      </c>
    </row>
    <row r="108" spans="1:15">
      <c r="A108" s="3">
        <f t="shared" si="2"/>
        <v>107</v>
      </c>
      <c r="B108" s="41" t="s">
        <v>532</v>
      </c>
      <c r="C108" s="3">
        <v>8919299953</v>
      </c>
      <c r="D108" s="6"/>
      <c r="E108" s="3" t="s">
        <v>533</v>
      </c>
      <c r="F108" s="68" t="s">
        <v>333</v>
      </c>
      <c r="G108" s="3" t="s">
        <v>416</v>
      </c>
      <c r="H108" s="3" t="s">
        <v>527</v>
      </c>
      <c r="I108" s="37" t="s">
        <v>94</v>
      </c>
      <c r="J108" s="31">
        <v>45660</v>
      </c>
      <c r="K108" s="31">
        <v>45677</v>
      </c>
      <c r="L108" s="31"/>
      <c r="M108" s="31"/>
      <c r="N108" s="31"/>
      <c r="O108" s="3" t="s">
        <v>297</v>
      </c>
    </row>
    <row r="109" spans="1:15" ht="15.6">
      <c r="A109" s="3">
        <f t="shared" si="2"/>
        <v>108</v>
      </c>
      <c r="B109" s="69" t="s">
        <v>534</v>
      </c>
      <c r="C109" s="27">
        <v>8637085588</v>
      </c>
      <c r="D109" s="6"/>
      <c r="E109" s="3" t="s">
        <v>315</v>
      </c>
      <c r="F109" s="69" t="s">
        <v>310</v>
      </c>
      <c r="G109" s="3" t="s">
        <v>16</v>
      </c>
      <c r="H109" s="3" t="s">
        <v>305</v>
      </c>
      <c r="I109" s="37" t="s">
        <v>94</v>
      </c>
      <c r="J109" s="31">
        <v>45667</v>
      </c>
      <c r="K109" s="31">
        <v>45667</v>
      </c>
      <c r="L109" s="31">
        <v>45688</v>
      </c>
      <c r="M109" s="31">
        <v>45695</v>
      </c>
      <c r="N109" s="31">
        <v>45725</v>
      </c>
      <c r="O109" s="3" t="s">
        <v>297</v>
      </c>
    </row>
    <row r="110" spans="1:15" ht="15.6">
      <c r="A110" s="3">
        <f t="shared" si="2"/>
        <v>109</v>
      </c>
      <c r="B110" s="69" t="s">
        <v>535</v>
      </c>
      <c r="C110" s="27">
        <v>8840022365</v>
      </c>
      <c r="D110" s="6"/>
      <c r="E110" s="3" t="s">
        <v>315</v>
      </c>
      <c r="F110" s="41" t="s">
        <v>313</v>
      </c>
      <c r="G110" s="3" t="s">
        <v>424</v>
      </c>
      <c r="H110" s="3" t="s">
        <v>305</v>
      </c>
      <c r="I110" s="37" t="s">
        <v>94</v>
      </c>
      <c r="J110" s="31">
        <v>45667</v>
      </c>
      <c r="K110" s="31">
        <v>45667</v>
      </c>
      <c r="L110" s="31"/>
      <c r="M110" s="31"/>
      <c r="N110" s="31"/>
      <c r="O110" s="3" t="s">
        <v>425</v>
      </c>
    </row>
    <row r="111" spans="1:15" ht="15.6">
      <c r="A111" s="3">
        <f t="shared" si="2"/>
        <v>110</v>
      </c>
      <c r="B111" s="69" t="s">
        <v>536</v>
      </c>
      <c r="C111" s="27">
        <v>9592607825</v>
      </c>
      <c r="D111" s="6"/>
      <c r="E111" s="3" t="s">
        <v>322</v>
      </c>
      <c r="F111" s="41" t="s">
        <v>313</v>
      </c>
      <c r="G111" s="3" t="s">
        <v>424</v>
      </c>
      <c r="H111" s="3" t="s">
        <v>305</v>
      </c>
      <c r="I111" s="37" t="s">
        <v>94</v>
      </c>
      <c r="J111" s="31">
        <v>45667</v>
      </c>
      <c r="K111" s="31">
        <v>45684</v>
      </c>
      <c r="L111" s="31"/>
      <c r="M111" s="31"/>
      <c r="N111" s="31"/>
      <c r="O111" s="3" t="s">
        <v>425</v>
      </c>
    </row>
    <row r="112" spans="1:15" ht="15.6">
      <c r="A112" s="3">
        <f t="shared" si="2"/>
        <v>111</v>
      </c>
      <c r="B112" s="69" t="s">
        <v>537</v>
      </c>
      <c r="C112" s="27">
        <v>9511763918</v>
      </c>
      <c r="D112" s="6"/>
      <c r="E112" s="3" t="s">
        <v>538</v>
      </c>
      <c r="F112" s="69" t="s">
        <v>539</v>
      </c>
      <c r="G112" s="3" t="s">
        <v>18</v>
      </c>
      <c r="H112" s="3" t="s">
        <v>305</v>
      </c>
      <c r="I112" s="37" t="s">
        <v>94</v>
      </c>
      <c r="J112" s="31">
        <v>45667</v>
      </c>
      <c r="K112" s="31">
        <v>45685</v>
      </c>
      <c r="L112" s="31"/>
      <c r="M112" s="31"/>
      <c r="N112" s="31"/>
      <c r="O112" s="3" t="s">
        <v>297</v>
      </c>
    </row>
    <row r="113" spans="1:15" ht="15.6">
      <c r="A113" s="3">
        <f t="shared" si="2"/>
        <v>112</v>
      </c>
      <c r="B113" s="69" t="s">
        <v>540</v>
      </c>
      <c r="C113" s="27">
        <v>7906894038</v>
      </c>
      <c r="D113" s="6"/>
      <c r="E113" s="3" t="s">
        <v>322</v>
      </c>
      <c r="F113" s="69" t="s">
        <v>310</v>
      </c>
      <c r="G113" s="3" t="s">
        <v>16</v>
      </c>
      <c r="H113" s="3" t="s">
        <v>305</v>
      </c>
      <c r="I113" s="37" t="s">
        <v>94</v>
      </c>
      <c r="J113" s="31">
        <v>45667</v>
      </c>
      <c r="K113" s="31">
        <v>45682</v>
      </c>
      <c r="L113" s="31">
        <v>45688</v>
      </c>
      <c r="M113" s="31">
        <v>45706</v>
      </c>
      <c r="N113" s="31">
        <v>45706</v>
      </c>
      <c r="O113" s="3" t="s">
        <v>297</v>
      </c>
    </row>
    <row r="114" spans="1:15" ht="15.6">
      <c r="A114" s="3">
        <f t="shared" si="2"/>
        <v>113</v>
      </c>
      <c r="B114" s="69" t="s">
        <v>541</v>
      </c>
      <c r="C114" s="27">
        <v>9729899907</v>
      </c>
      <c r="D114" s="6"/>
      <c r="E114" s="3" t="s">
        <v>542</v>
      </c>
      <c r="F114" s="69" t="s">
        <v>543</v>
      </c>
      <c r="G114" s="3" t="s">
        <v>330</v>
      </c>
      <c r="H114" s="3" t="s">
        <v>305</v>
      </c>
      <c r="I114" s="37" t="s">
        <v>42</v>
      </c>
      <c r="J114" s="31">
        <v>45667</v>
      </c>
      <c r="K114" s="31">
        <v>45682</v>
      </c>
      <c r="L114" s="31">
        <v>45695</v>
      </c>
      <c r="M114" s="31">
        <v>45750</v>
      </c>
      <c r="N114" s="31">
        <v>45772</v>
      </c>
      <c r="O114" s="3" t="s">
        <v>297</v>
      </c>
    </row>
    <row r="115" spans="1:15" ht="15.6">
      <c r="A115" s="3">
        <f t="shared" si="2"/>
        <v>114</v>
      </c>
      <c r="B115" s="69" t="s">
        <v>544</v>
      </c>
      <c r="C115" s="27">
        <v>6355084354</v>
      </c>
      <c r="D115" s="6"/>
      <c r="E115" s="3" t="s">
        <v>538</v>
      </c>
      <c r="F115" s="69" t="s">
        <v>451</v>
      </c>
      <c r="G115" s="3" t="s">
        <v>424</v>
      </c>
      <c r="H115" s="3" t="s">
        <v>305</v>
      </c>
      <c r="I115" s="37" t="s">
        <v>94</v>
      </c>
      <c r="J115" s="31">
        <v>45667</v>
      </c>
      <c r="K115" s="31">
        <v>45684</v>
      </c>
      <c r="L115" s="31"/>
      <c r="M115" s="31"/>
      <c r="N115" s="31"/>
      <c r="O115" s="3" t="s">
        <v>425</v>
      </c>
    </row>
    <row r="116" spans="1:15" ht="15.6">
      <c r="A116" s="3">
        <f t="shared" si="2"/>
        <v>115</v>
      </c>
      <c r="B116" s="69" t="s">
        <v>545</v>
      </c>
      <c r="C116" s="27">
        <v>9646462039</v>
      </c>
      <c r="D116" s="6"/>
      <c r="E116" s="3" t="s">
        <v>315</v>
      </c>
      <c r="F116" s="69" t="s">
        <v>308</v>
      </c>
      <c r="G116" s="3" t="s">
        <v>18</v>
      </c>
      <c r="H116" s="3" t="s">
        <v>305</v>
      </c>
      <c r="I116" s="37" t="s">
        <v>94</v>
      </c>
      <c r="J116" s="31">
        <v>45667</v>
      </c>
      <c r="K116" s="31">
        <v>45684</v>
      </c>
      <c r="L116" s="31"/>
      <c r="M116" s="31"/>
      <c r="N116" s="31"/>
      <c r="O116" s="3" t="s">
        <v>297</v>
      </c>
    </row>
    <row r="117" spans="1:15" ht="15.6">
      <c r="A117" s="3">
        <f t="shared" si="2"/>
        <v>116</v>
      </c>
      <c r="B117" s="69" t="s">
        <v>546</v>
      </c>
      <c r="C117" s="27">
        <v>8588989000</v>
      </c>
      <c r="D117" s="6"/>
      <c r="E117" s="3" t="s">
        <v>322</v>
      </c>
      <c r="F117" s="69" t="s">
        <v>308</v>
      </c>
      <c r="G117" s="3" t="s">
        <v>295</v>
      </c>
      <c r="H117" s="3" t="s">
        <v>305</v>
      </c>
      <c r="I117" s="37" t="s">
        <v>94</v>
      </c>
      <c r="J117" s="31">
        <v>45667</v>
      </c>
      <c r="K117" s="31">
        <v>45684</v>
      </c>
      <c r="L117" s="31">
        <v>45688</v>
      </c>
      <c r="M117" s="31">
        <v>45709</v>
      </c>
      <c r="N117" s="31"/>
      <c r="O117" s="3" t="s">
        <v>297</v>
      </c>
    </row>
    <row r="118" spans="1:15" ht="15.6">
      <c r="A118" s="3">
        <f t="shared" si="2"/>
        <v>117</v>
      </c>
      <c r="B118" s="69" t="s">
        <v>547</v>
      </c>
      <c r="C118" s="27">
        <v>7001865204</v>
      </c>
      <c r="D118" s="6"/>
      <c r="E118" s="3" t="s">
        <v>312</v>
      </c>
      <c r="F118" s="69" t="s">
        <v>451</v>
      </c>
      <c r="G118" s="3" t="s">
        <v>424</v>
      </c>
      <c r="H118" s="3" t="s">
        <v>305</v>
      </c>
      <c r="I118" s="37" t="s">
        <v>94</v>
      </c>
      <c r="J118" s="31">
        <v>45667</v>
      </c>
      <c r="K118" s="31">
        <v>45682</v>
      </c>
      <c r="L118" s="31"/>
      <c r="M118" s="31"/>
      <c r="N118" s="31"/>
      <c r="O118" s="3" t="s">
        <v>425</v>
      </c>
    </row>
    <row r="119" spans="1:15" ht="15.6">
      <c r="A119" s="3">
        <f t="shared" si="2"/>
        <v>118</v>
      </c>
      <c r="B119" s="69" t="s">
        <v>548</v>
      </c>
      <c r="C119" s="27">
        <v>9906517741</v>
      </c>
      <c r="D119" s="6"/>
      <c r="E119" s="3" t="s">
        <v>538</v>
      </c>
      <c r="F119" s="69" t="s">
        <v>451</v>
      </c>
      <c r="G119" s="3" t="s">
        <v>416</v>
      </c>
      <c r="H119" s="3" t="s">
        <v>305</v>
      </c>
      <c r="I119" s="37" t="s">
        <v>94</v>
      </c>
      <c r="J119" s="31">
        <v>45667</v>
      </c>
      <c r="K119" s="31">
        <v>45684</v>
      </c>
      <c r="L119" s="31"/>
      <c r="M119" s="31"/>
      <c r="N119" s="31"/>
      <c r="O119" s="3" t="s">
        <v>297</v>
      </c>
    </row>
    <row r="120" spans="1:15" ht="15.6">
      <c r="A120" s="3">
        <f t="shared" si="2"/>
        <v>119</v>
      </c>
      <c r="B120" s="69" t="s">
        <v>549</v>
      </c>
      <c r="C120" s="27">
        <v>6200051040</v>
      </c>
      <c r="D120" s="6"/>
      <c r="E120" s="3" t="s">
        <v>550</v>
      </c>
      <c r="F120" s="69" t="s">
        <v>333</v>
      </c>
      <c r="G120" s="3" t="s">
        <v>416</v>
      </c>
      <c r="H120" s="3" t="s">
        <v>305</v>
      </c>
      <c r="I120" s="37" t="s">
        <v>94</v>
      </c>
      <c r="J120" s="31">
        <v>45667</v>
      </c>
      <c r="K120" s="31">
        <v>45684</v>
      </c>
      <c r="L120" s="31"/>
      <c r="M120" s="31"/>
      <c r="N120" s="31"/>
      <c r="O120" s="3" t="s">
        <v>297</v>
      </c>
    </row>
    <row r="121" spans="1:15" ht="15.6">
      <c r="A121" s="3">
        <f t="shared" si="2"/>
        <v>120</v>
      </c>
      <c r="B121" s="69" t="s">
        <v>551</v>
      </c>
      <c r="C121" s="27">
        <v>8400004402</v>
      </c>
      <c r="D121" s="6"/>
      <c r="E121" s="3" t="s">
        <v>550</v>
      </c>
      <c r="F121" s="69" t="s">
        <v>308</v>
      </c>
      <c r="G121" s="3" t="s">
        <v>330</v>
      </c>
      <c r="H121" s="3" t="s">
        <v>305</v>
      </c>
      <c r="I121" s="37" t="s">
        <v>94</v>
      </c>
      <c r="J121" s="31">
        <v>45667</v>
      </c>
      <c r="K121" s="31">
        <v>45684</v>
      </c>
      <c r="L121" s="31">
        <v>45688</v>
      </c>
      <c r="M121" s="31">
        <v>45781</v>
      </c>
      <c r="N121" s="31">
        <v>45781</v>
      </c>
      <c r="O121" s="3" t="s">
        <v>297</v>
      </c>
    </row>
    <row r="122" spans="1:15" ht="15.6">
      <c r="A122" s="3">
        <f t="shared" ref="A122:A185" si="3">ROW()-1</f>
        <v>121</v>
      </c>
      <c r="B122" s="69" t="s">
        <v>552</v>
      </c>
      <c r="C122" s="27">
        <v>9906255374</v>
      </c>
      <c r="D122" s="6"/>
      <c r="E122" s="3" t="s">
        <v>328</v>
      </c>
      <c r="F122" s="69" t="s">
        <v>333</v>
      </c>
      <c r="G122" s="3" t="s">
        <v>416</v>
      </c>
      <c r="H122" s="3" t="s">
        <v>305</v>
      </c>
      <c r="I122" s="37" t="s">
        <v>94</v>
      </c>
      <c r="J122" s="31">
        <v>45667</v>
      </c>
      <c r="K122" s="31">
        <v>45684</v>
      </c>
      <c r="L122" s="31"/>
      <c r="M122" s="31"/>
      <c r="N122" s="31"/>
      <c r="O122" s="3" t="s">
        <v>297</v>
      </c>
    </row>
    <row r="123" spans="1:15" ht="15.6">
      <c r="A123" s="3">
        <f t="shared" si="3"/>
        <v>122</v>
      </c>
      <c r="B123" s="69" t="s">
        <v>553</v>
      </c>
      <c r="C123" s="27">
        <v>7905965220</v>
      </c>
      <c r="D123" s="6"/>
      <c r="E123" s="3" t="s">
        <v>328</v>
      </c>
      <c r="F123" s="69" t="s">
        <v>333</v>
      </c>
      <c r="G123" s="3" t="s">
        <v>416</v>
      </c>
      <c r="H123" s="3" t="s">
        <v>305</v>
      </c>
      <c r="I123" s="37" t="s">
        <v>94</v>
      </c>
      <c r="J123" s="31">
        <v>45667</v>
      </c>
      <c r="K123" s="31">
        <v>45685</v>
      </c>
      <c r="L123" s="31"/>
      <c r="M123" s="31"/>
      <c r="N123" s="31"/>
      <c r="O123" s="3" t="s">
        <v>297</v>
      </c>
    </row>
    <row r="124" spans="1:15" ht="15.6">
      <c r="A124" s="3">
        <f t="shared" si="3"/>
        <v>123</v>
      </c>
      <c r="B124" s="69" t="s">
        <v>554</v>
      </c>
      <c r="C124" s="27">
        <v>9451497673</v>
      </c>
      <c r="D124" s="6"/>
      <c r="E124" s="3" t="s">
        <v>307</v>
      </c>
      <c r="F124" s="69" t="s">
        <v>308</v>
      </c>
      <c r="G124" s="3" t="s">
        <v>416</v>
      </c>
      <c r="H124" s="3" t="s">
        <v>305</v>
      </c>
      <c r="I124" s="37" t="s">
        <v>94</v>
      </c>
      <c r="J124" s="31">
        <v>45667</v>
      </c>
      <c r="K124" s="31">
        <v>45684</v>
      </c>
      <c r="L124" s="31"/>
      <c r="M124" s="31"/>
      <c r="N124" s="31"/>
      <c r="O124" s="3" t="s">
        <v>297</v>
      </c>
    </row>
    <row r="125" spans="1:15" ht="15.6">
      <c r="A125" s="3">
        <f t="shared" si="3"/>
        <v>124</v>
      </c>
      <c r="B125" s="69" t="s">
        <v>555</v>
      </c>
      <c r="C125" s="27">
        <v>8003547664</v>
      </c>
      <c r="D125" s="6"/>
      <c r="E125" s="3" t="s">
        <v>550</v>
      </c>
      <c r="F125" s="69" t="s">
        <v>333</v>
      </c>
      <c r="G125" s="3" t="s">
        <v>416</v>
      </c>
      <c r="H125" s="3" t="s">
        <v>305</v>
      </c>
      <c r="I125" s="37" t="s">
        <v>94</v>
      </c>
      <c r="J125" s="31">
        <v>45667</v>
      </c>
      <c r="K125" s="31">
        <v>45684</v>
      </c>
      <c r="L125" s="31"/>
      <c r="M125" s="31"/>
      <c r="N125" s="31"/>
      <c r="O125" s="3" t="s">
        <v>297</v>
      </c>
    </row>
    <row r="126" spans="1:15" ht="15.6">
      <c r="A126" s="3">
        <f t="shared" si="3"/>
        <v>125</v>
      </c>
      <c r="B126" s="69" t="s">
        <v>556</v>
      </c>
      <c r="C126" s="27">
        <v>8630199100</v>
      </c>
      <c r="D126" s="6"/>
      <c r="E126" s="3" t="s">
        <v>550</v>
      </c>
      <c r="F126" s="69" t="s">
        <v>333</v>
      </c>
      <c r="G126" s="3" t="s">
        <v>424</v>
      </c>
      <c r="H126" s="3" t="s">
        <v>305</v>
      </c>
      <c r="I126" s="37" t="s">
        <v>94</v>
      </c>
      <c r="J126" s="31">
        <v>45667</v>
      </c>
      <c r="K126" s="31">
        <v>45684</v>
      </c>
      <c r="L126" s="31"/>
      <c r="M126" s="31"/>
      <c r="N126" s="31"/>
      <c r="O126" s="3" t="s">
        <v>425</v>
      </c>
    </row>
    <row r="127" spans="1:15">
      <c r="A127" s="3">
        <f t="shared" si="3"/>
        <v>126</v>
      </c>
      <c r="B127" s="41" t="s">
        <v>557</v>
      </c>
      <c r="C127" s="3">
        <v>7398075526</v>
      </c>
      <c r="D127" s="6"/>
      <c r="E127" s="3" t="s">
        <v>414</v>
      </c>
      <c r="F127" s="68" t="s">
        <v>308</v>
      </c>
      <c r="G127" s="3" t="s">
        <v>416</v>
      </c>
      <c r="H127" s="3" t="s">
        <v>305</v>
      </c>
      <c r="I127" s="37" t="s">
        <v>94</v>
      </c>
      <c r="J127" s="31">
        <v>45668</v>
      </c>
      <c r="K127" s="31">
        <v>45686</v>
      </c>
      <c r="L127" s="31"/>
      <c r="M127" s="31"/>
      <c r="N127" s="31"/>
      <c r="O127" s="3" t="s">
        <v>297</v>
      </c>
    </row>
    <row r="128" spans="1:15">
      <c r="A128" s="3">
        <f t="shared" si="3"/>
        <v>127</v>
      </c>
      <c r="B128" s="41" t="s">
        <v>558</v>
      </c>
      <c r="C128" s="3">
        <v>7271901490</v>
      </c>
      <c r="D128" s="6"/>
      <c r="E128" s="3" t="s">
        <v>559</v>
      </c>
      <c r="F128" s="68" t="s">
        <v>451</v>
      </c>
      <c r="G128" s="3" t="s">
        <v>424</v>
      </c>
      <c r="H128" s="3" t="s">
        <v>305</v>
      </c>
      <c r="I128" s="37" t="s">
        <v>94</v>
      </c>
      <c r="J128" s="31">
        <v>45668</v>
      </c>
      <c r="K128" s="31">
        <v>45668</v>
      </c>
      <c r="L128" s="31"/>
      <c r="M128" s="31"/>
      <c r="N128" s="31"/>
      <c r="O128" s="3" t="s">
        <v>425</v>
      </c>
    </row>
    <row r="129" spans="1:15">
      <c r="A129" s="3">
        <f t="shared" si="3"/>
        <v>128</v>
      </c>
      <c r="B129" s="41" t="s">
        <v>560</v>
      </c>
      <c r="C129" s="3">
        <v>9113114200</v>
      </c>
      <c r="D129" s="6"/>
      <c r="E129" s="3" t="s">
        <v>427</v>
      </c>
      <c r="F129" s="68" t="s">
        <v>308</v>
      </c>
      <c r="G129" s="3" t="s">
        <v>424</v>
      </c>
      <c r="H129" s="3" t="s">
        <v>305</v>
      </c>
      <c r="I129" s="37" t="s">
        <v>94</v>
      </c>
      <c r="J129" s="31">
        <v>45668</v>
      </c>
      <c r="K129" s="31">
        <v>45668</v>
      </c>
      <c r="L129" s="31"/>
      <c r="M129" s="31"/>
      <c r="N129" s="31"/>
      <c r="O129" s="3" t="s">
        <v>425</v>
      </c>
    </row>
    <row r="130" spans="1:15">
      <c r="A130" s="3">
        <f t="shared" si="3"/>
        <v>129</v>
      </c>
      <c r="B130" s="41" t="s">
        <v>561</v>
      </c>
      <c r="C130" s="3">
        <v>9057171759</v>
      </c>
      <c r="D130" s="6"/>
      <c r="E130" s="3" t="s">
        <v>414</v>
      </c>
      <c r="F130" s="68" t="s">
        <v>333</v>
      </c>
      <c r="G130" s="3" t="s">
        <v>416</v>
      </c>
      <c r="H130" s="3" t="s">
        <v>305</v>
      </c>
      <c r="I130" s="37" t="s">
        <v>94</v>
      </c>
      <c r="J130" s="31">
        <v>45668</v>
      </c>
      <c r="K130" s="31">
        <v>45668</v>
      </c>
      <c r="L130" s="31"/>
      <c r="M130" s="31"/>
      <c r="N130" s="31"/>
      <c r="O130" s="3" t="s">
        <v>297</v>
      </c>
    </row>
    <row r="131" spans="1:15">
      <c r="A131" s="3">
        <f t="shared" si="3"/>
        <v>130</v>
      </c>
      <c r="B131" s="41" t="s">
        <v>562</v>
      </c>
      <c r="C131" s="3">
        <v>7004202768</v>
      </c>
      <c r="D131" s="6"/>
      <c r="E131" s="3" t="s">
        <v>414</v>
      </c>
      <c r="F131" s="68" t="s">
        <v>333</v>
      </c>
      <c r="G131" s="3" t="s">
        <v>416</v>
      </c>
      <c r="H131" s="3" t="s">
        <v>305</v>
      </c>
      <c r="I131" s="37" t="s">
        <v>94</v>
      </c>
      <c r="J131" s="31">
        <v>45668</v>
      </c>
      <c r="K131" s="31">
        <v>45679</v>
      </c>
      <c r="L131" s="31"/>
      <c r="M131" s="31"/>
      <c r="N131" s="31"/>
      <c r="O131" s="3" t="s">
        <v>297</v>
      </c>
    </row>
    <row r="132" spans="1:15">
      <c r="A132" s="3">
        <f t="shared" si="3"/>
        <v>131</v>
      </c>
      <c r="B132" s="41" t="s">
        <v>563</v>
      </c>
      <c r="C132" s="3">
        <v>8619782311</v>
      </c>
      <c r="D132" s="6"/>
      <c r="E132" s="3" t="s">
        <v>414</v>
      </c>
      <c r="F132" s="68" t="s">
        <v>308</v>
      </c>
      <c r="G132" s="3" t="s">
        <v>424</v>
      </c>
      <c r="H132" s="3" t="s">
        <v>305</v>
      </c>
      <c r="I132" s="37" t="s">
        <v>94</v>
      </c>
      <c r="J132" s="31">
        <v>45668</v>
      </c>
      <c r="K132" s="31">
        <v>45668</v>
      </c>
      <c r="L132" s="31"/>
      <c r="M132" s="31"/>
      <c r="N132" s="31"/>
      <c r="O132" s="3" t="s">
        <v>425</v>
      </c>
    </row>
    <row r="133" spans="1:15">
      <c r="A133" s="3">
        <f t="shared" si="3"/>
        <v>132</v>
      </c>
      <c r="B133" s="41" t="s">
        <v>564</v>
      </c>
      <c r="C133" s="3">
        <v>9198526532</v>
      </c>
      <c r="D133" s="6"/>
      <c r="E133" s="3" t="s">
        <v>418</v>
      </c>
      <c r="F133" s="68" t="s">
        <v>419</v>
      </c>
      <c r="G133" s="3" t="s">
        <v>424</v>
      </c>
      <c r="H133" s="3" t="s">
        <v>305</v>
      </c>
      <c r="I133" s="37" t="s">
        <v>94</v>
      </c>
      <c r="J133" s="31">
        <v>45668</v>
      </c>
      <c r="K133" s="31">
        <v>45668</v>
      </c>
      <c r="L133" s="31"/>
      <c r="M133" s="31"/>
      <c r="N133" s="31"/>
      <c r="O133" s="3" t="s">
        <v>425</v>
      </c>
    </row>
    <row r="134" spans="1:15">
      <c r="A134" s="3">
        <f t="shared" si="3"/>
        <v>133</v>
      </c>
      <c r="B134" s="41" t="s">
        <v>565</v>
      </c>
      <c r="C134" s="3">
        <v>7014241826</v>
      </c>
      <c r="D134" s="6"/>
      <c r="E134" s="3" t="s">
        <v>418</v>
      </c>
      <c r="F134" s="68" t="s">
        <v>308</v>
      </c>
      <c r="G134" s="3" t="s">
        <v>330</v>
      </c>
      <c r="H134" s="3" t="s">
        <v>305</v>
      </c>
      <c r="I134" s="37" t="s">
        <v>94</v>
      </c>
      <c r="J134" s="31">
        <v>45668</v>
      </c>
      <c r="K134" s="31">
        <v>45679</v>
      </c>
      <c r="L134" s="31">
        <v>45686</v>
      </c>
      <c r="M134" s="31">
        <v>45749</v>
      </c>
      <c r="N134" s="31">
        <v>45745</v>
      </c>
      <c r="O134" s="3" t="s">
        <v>297</v>
      </c>
    </row>
    <row r="135" spans="1:15">
      <c r="A135" s="3">
        <f t="shared" si="3"/>
        <v>134</v>
      </c>
      <c r="B135" s="41" t="s">
        <v>566</v>
      </c>
      <c r="C135" s="3">
        <v>9793194291</v>
      </c>
      <c r="D135" s="6"/>
      <c r="E135" s="3" t="s">
        <v>414</v>
      </c>
      <c r="F135" s="68" t="s">
        <v>308</v>
      </c>
      <c r="G135" s="3" t="s">
        <v>416</v>
      </c>
      <c r="H135" s="3" t="s">
        <v>305</v>
      </c>
      <c r="I135" s="37" t="s">
        <v>94</v>
      </c>
      <c r="J135" s="31">
        <v>45668</v>
      </c>
      <c r="K135" s="31">
        <v>45735</v>
      </c>
      <c r="L135" s="31"/>
      <c r="M135" s="31"/>
      <c r="N135" s="31"/>
      <c r="O135" s="3" t="s">
        <v>297</v>
      </c>
    </row>
    <row r="136" spans="1:15">
      <c r="A136" s="3">
        <f t="shared" si="3"/>
        <v>135</v>
      </c>
      <c r="B136" s="41" t="s">
        <v>567</v>
      </c>
      <c r="C136" s="3">
        <v>8827538541</v>
      </c>
      <c r="D136" s="6"/>
      <c r="E136" s="3" t="s">
        <v>414</v>
      </c>
      <c r="F136" s="68" t="s">
        <v>333</v>
      </c>
      <c r="G136" s="3" t="s">
        <v>424</v>
      </c>
      <c r="H136" s="3" t="s">
        <v>305</v>
      </c>
      <c r="I136" s="37" t="s">
        <v>94</v>
      </c>
      <c r="J136" s="31">
        <v>45668</v>
      </c>
      <c r="K136" s="31">
        <v>45668</v>
      </c>
      <c r="L136" s="31"/>
      <c r="M136" s="31"/>
      <c r="N136" s="31"/>
      <c r="O136" s="3" t="s">
        <v>425</v>
      </c>
    </row>
    <row r="137" spans="1:15">
      <c r="A137" s="3">
        <f t="shared" si="3"/>
        <v>136</v>
      </c>
      <c r="B137" s="41" t="s">
        <v>568</v>
      </c>
      <c r="C137" s="3">
        <v>8349226656</v>
      </c>
      <c r="D137" s="6"/>
      <c r="E137" s="3" t="s">
        <v>418</v>
      </c>
      <c r="F137" s="41" t="s">
        <v>569</v>
      </c>
      <c r="G137" s="3" t="s">
        <v>16</v>
      </c>
      <c r="H137" s="3" t="s">
        <v>305</v>
      </c>
      <c r="I137" s="37" t="s">
        <v>94</v>
      </c>
      <c r="J137" s="31">
        <v>45668</v>
      </c>
      <c r="K137" s="31">
        <v>45679</v>
      </c>
      <c r="L137" s="31">
        <v>45685</v>
      </c>
      <c r="M137" s="31">
        <v>45719</v>
      </c>
      <c r="N137" s="31">
        <v>45734</v>
      </c>
      <c r="O137" s="3" t="s">
        <v>297</v>
      </c>
    </row>
    <row r="138" spans="1:15">
      <c r="A138" s="3">
        <f t="shared" si="3"/>
        <v>137</v>
      </c>
      <c r="B138" s="41" t="s">
        <v>570</v>
      </c>
      <c r="C138" s="3">
        <v>8287544502</v>
      </c>
      <c r="D138" s="6"/>
      <c r="E138" s="3" t="s">
        <v>559</v>
      </c>
      <c r="F138" s="41" t="s">
        <v>451</v>
      </c>
      <c r="G138" s="3" t="s">
        <v>424</v>
      </c>
      <c r="H138" s="3" t="s">
        <v>305</v>
      </c>
      <c r="I138" s="37" t="s">
        <v>94</v>
      </c>
      <c r="J138" s="31">
        <v>45668</v>
      </c>
      <c r="K138" s="31">
        <v>45668</v>
      </c>
      <c r="L138" s="31"/>
      <c r="M138" s="31"/>
      <c r="N138" s="31"/>
      <c r="O138" s="3" t="s">
        <v>425</v>
      </c>
    </row>
    <row r="139" spans="1:15">
      <c r="A139" s="3">
        <f t="shared" si="3"/>
        <v>138</v>
      </c>
      <c r="B139" s="97" t="s">
        <v>571</v>
      </c>
      <c r="C139" s="3">
        <v>9131411309</v>
      </c>
      <c r="D139" s="6"/>
      <c r="E139" s="3" t="s">
        <v>376</v>
      </c>
      <c r="F139" s="68" t="s">
        <v>303</v>
      </c>
      <c r="G139" s="3" t="s">
        <v>16</v>
      </c>
      <c r="H139" s="3" t="s">
        <v>305</v>
      </c>
      <c r="I139" s="37" t="s">
        <v>94</v>
      </c>
      <c r="J139" s="31">
        <v>45668</v>
      </c>
      <c r="K139" s="31">
        <v>45679</v>
      </c>
      <c r="L139" s="31">
        <v>45681</v>
      </c>
      <c r="M139" s="31">
        <v>45698</v>
      </c>
      <c r="N139" s="31">
        <v>45701</v>
      </c>
      <c r="O139" s="3" t="s">
        <v>297</v>
      </c>
    </row>
    <row r="140" spans="1:15">
      <c r="A140" s="3">
        <f t="shared" si="3"/>
        <v>139</v>
      </c>
      <c r="B140" s="41" t="s">
        <v>572</v>
      </c>
      <c r="C140" s="3">
        <v>7007920807</v>
      </c>
      <c r="D140" s="6"/>
      <c r="E140" s="3" t="s">
        <v>573</v>
      </c>
      <c r="F140" s="68" t="s">
        <v>303</v>
      </c>
      <c r="G140" s="3" t="s">
        <v>424</v>
      </c>
      <c r="H140" s="3" t="s">
        <v>305</v>
      </c>
      <c r="I140" s="37" t="s">
        <v>94</v>
      </c>
      <c r="J140" s="31">
        <v>45668</v>
      </c>
      <c r="K140" s="31">
        <v>45668</v>
      </c>
      <c r="L140" s="31"/>
      <c r="M140" s="31"/>
      <c r="N140" s="31"/>
      <c r="O140" s="3" t="s">
        <v>425</v>
      </c>
    </row>
    <row r="141" spans="1:15">
      <c r="A141" s="3">
        <f t="shared" si="3"/>
        <v>140</v>
      </c>
      <c r="B141" s="41" t="s">
        <v>574</v>
      </c>
      <c r="C141" s="3">
        <v>9102064214</v>
      </c>
      <c r="D141" s="6"/>
      <c r="E141" s="3" t="s">
        <v>373</v>
      </c>
      <c r="F141" s="68" t="s">
        <v>575</v>
      </c>
      <c r="G141" s="3" t="s">
        <v>18</v>
      </c>
      <c r="H141" s="3" t="s">
        <v>305</v>
      </c>
      <c r="I141" s="37" t="s">
        <v>94</v>
      </c>
      <c r="J141" s="31">
        <v>45668</v>
      </c>
      <c r="K141" s="31">
        <v>45686</v>
      </c>
      <c r="L141" s="31"/>
      <c r="M141" s="31"/>
      <c r="N141" s="31"/>
      <c r="O141" s="3" t="s">
        <v>297</v>
      </c>
    </row>
    <row r="142" spans="1:15">
      <c r="A142" s="3">
        <f t="shared" si="3"/>
        <v>141</v>
      </c>
      <c r="B142" s="97" t="s">
        <v>477</v>
      </c>
      <c r="C142" s="3">
        <v>9148399255</v>
      </c>
      <c r="D142" s="6"/>
      <c r="E142" s="3" t="s">
        <v>573</v>
      </c>
      <c r="F142" s="68" t="s">
        <v>490</v>
      </c>
      <c r="G142" s="3" t="s">
        <v>16</v>
      </c>
      <c r="H142" s="3" t="s">
        <v>305</v>
      </c>
      <c r="I142" s="37" t="s">
        <v>94</v>
      </c>
      <c r="J142" s="31">
        <v>45668</v>
      </c>
      <c r="K142" s="31">
        <v>45679</v>
      </c>
      <c r="L142" s="31">
        <v>45687</v>
      </c>
      <c r="M142" s="31">
        <v>45741</v>
      </c>
      <c r="N142" s="31">
        <v>45741</v>
      </c>
      <c r="O142" s="3" t="s">
        <v>297</v>
      </c>
    </row>
    <row r="143" spans="1:15">
      <c r="A143" s="3">
        <f t="shared" si="3"/>
        <v>142</v>
      </c>
      <c r="B143" s="41" t="s">
        <v>576</v>
      </c>
      <c r="C143" s="3">
        <v>9792629068</v>
      </c>
      <c r="D143" s="6"/>
      <c r="E143" s="3" t="s">
        <v>376</v>
      </c>
      <c r="F143" s="68" t="s">
        <v>303</v>
      </c>
      <c r="G143" s="3" t="s">
        <v>424</v>
      </c>
      <c r="H143" s="3" t="s">
        <v>305</v>
      </c>
      <c r="I143" s="37" t="s">
        <v>94</v>
      </c>
      <c r="J143" s="31">
        <v>45668</v>
      </c>
      <c r="K143" s="31">
        <v>45682</v>
      </c>
      <c r="L143" s="31"/>
      <c r="M143" s="31"/>
      <c r="N143" s="31"/>
      <c r="O143" s="3" t="s">
        <v>425</v>
      </c>
    </row>
    <row r="144" spans="1:15">
      <c r="A144" s="3">
        <f t="shared" si="3"/>
        <v>143</v>
      </c>
      <c r="B144" s="41" t="s">
        <v>577</v>
      </c>
      <c r="C144" s="3">
        <v>7029234069</v>
      </c>
      <c r="D144" s="6"/>
      <c r="E144" s="3" t="s">
        <v>573</v>
      </c>
      <c r="F144" s="68" t="s">
        <v>303</v>
      </c>
      <c r="G144" s="3" t="s">
        <v>424</v>
      </c>
      <c r="H144" s="3" t="s">
        <v>305</v>
      </c>
      <c r="I144" s="37" t="s">
        <v>94</v>
      </c>
      <c r="J144" s="31">
        <v>45668</v>
      </c>
      <c r="K144" s="31">
        <v>45668</v>
      </c>
      <c r="L144" s="31"/>
      <c r="M144" s="31"/>
      <c r="N144" s="31"/>
      <c r="O144" s="3" t="s">
        <v>425</v>
      </c>
    </row>
    <row r="145" spans="1:15">
      <c r="A145" s="3">
        <f t="shared" si="3"/>
        <v>144</v>
      </c>
      <c r="B145" s="41" t="s">
        <v>578</v>
      </c>
      <c r="C145" s="3">
        <v>7566041080</v>
      </c>
      <c r="D145" s="6"/>
      <c r="E145" s="3" t="s">
        <v>573</v>
      </c>
      <c r="F145" s="68" t="s">
        <v>490</v>
      </c>
      <c r="G145" s="3" t="s">
        <v>424</v>
      </c>
      <c r="H145" s="3" t="s">
        <v>305</v>
      </c>
      <c r="I145" s="37" t="s">
        <v>94</v>
      </c>
      <c r="J145" s="31">
        <v>45668</v>
      </c>
      <c r="K145" s="31">
        <v>45682</v>
      </c>
      <c r="L145" s="31"/>
      <c r="M145" s="31"/>
      <c r="N145" s="31"/>
      <c r="O145" s="3" t="s">
        <v>425</v>
      </c>
    </row>
    <row r="146" spans="1:15">
      <c r="A146" s="3">
        <f t="shared" si="3"/>
        <v>145</v>
      </c>
      <c r="B146" s="41" t="s">
        <v>579</v>
      </c>
      <c r="C146" s="3">
        <v>7780116711</v>
      </c>
      <c r="D146" s="6"/>
      <c r="E146" s="3" t="s">
        <v>580</v>
      </c>
      <c r="F146" s="41" t="s">
        <v>581</v>
      </c>
      <c r="G146" s="3" t="s">
        <v>16</v>
      </c>
      <c r="H146" s="3" t="s">
        <v>582</v>
      </c>
      <c r="I146" s="37" t="s">
        <v>88</v>
      </c>
      <c r="J146" s="31">
        <v>45681</v>
      </c>
      <c r="K146" s="31">
        <v>45652</v>
      </c>
      <c r="L146" s="31">
        <v>45652</v>
      </c>
      <c r="M146" s="31">
        <v>45667</v>
      </c>
      <c r="N146" s="31">
        <v>45667</v>
      </c>
      <c r="O146" s="3" t="s">
        <v>297</v>
      </c>
    </row>
    <row r="147" spans="1:15">
      <c r="A147" s="3">
        <f t="shared" si="3"/>
        <v>146</v>
      </c>
      <c r="B147" s="41" t="s">
        <v>583</v>
      </c>
      <c r="C147" s="3">
        <v>9490060400</v>
      </c>
      <c r="D147" s="6"/>
      <c r="E147" s="3" t="s">
        <v>584</v>
      </c>
      <c r="F147" s="41" t="s">
        <v>585</v>
      </c>
      <c r="G147" s="3" t="s">
        <v>16</v>
      </c>
      <c r="H147" s="3" t="s">
        <v>586</v>
      </c>
      <c r="I147" s="37" t="s">
        <v>88</v>
      </c>
      <c r="J147" s="31">
        <v>45663</v>
      </c>
      <c r="K147" s="31">
        <v>45664</v>
      </c>
      <c r="L147" s="31">
        <v>45665</v>
      </c>
      <c r="M147" s="31">
        <v>45696</v>
      </c>
      <c r="N147" s="31">
        <v>45696</v>
      </c>
      <c r="O147" s="3" t="s">
        <v>297</v>
      </c>
    </row>
    <row r="148" spans="1:15">
      <c r="A148" s="3">
        <f t="shared" si="3"/>
        <v>147</v>
      </c>
      <c r="B148" s="41" t="s">
        <v>587</v>
      </c>
      <c r="C148" s="3">
        <v>8179964105</v>
      </c>
      <c r="D148" s="6"/>
      <c r="E148" s="3" t="s">
        <v>588</v>
      </c>
      <c r="F148" s="41" t="s">
        <v>589</v>
      </c>
      <c r="G148" s="3" t="s">
        <v>16</v>
      </c>
      <c r="H148" s="3" t="s">
        <v>590</v>
      </c>
      <c r="I148" s="37" t="s">
        <v>88</v>
      </c>
      <c r="J148" s="31">
        <v>45639</v>
      </c>
      <c r="K148" s="31">
        <v>45641</v>
      </c>
      <c r="L148" s="31">
        <v>45642</v>
      </c>
      <c r="M148" s="31">
        <v>45684</v>
      </c>
      <c r="N148" s="31">
        <v>45695</v>
      </c>
      <c r="O148" s="3" t="s">
        <v>297</v>
      </c>
    </row>
    <row r="149" spans="1:15">
      <c r="A149" s="3">
        <f t="shared" si="3"/>
        <v>148</v>
      </c>
      <c r="B149" s="41" t="s">
        <v>591</v>
      </c>
      <c r="C149" s="3">
        <v>9849914081</v>
      </c>
      <c r="D149" s="6"/>
      <c r="E149" s="3" t="s">
        <v>588</v>
      </c>
      <c r="F149" s="41" t="s">
        <v>589</v>
      </c>
      <c r="G149" s="3" t="s">
        <v>16</v>
      </c>
      <c r="H149" s="3" t="s">
        <v>586</v>
      </c>
      <c r="I149" s="37" t="s">
        <v>88</v>
      </c>
      <c r="J149" s="31">
        <v>45656</v>
      </c>
      <c r="K149" s="31">
        <v>45660</v>
      </c>
      <c r="L149" s="31">
        <v>45660</v>
      </c>
      <c r="M149" s="31">
        <v>45693</v>
      </c>
      <c r="N149" s="31">
        <v>45693</v>
      </c>
      <c r="O149" s="3" t="s">
        <v>297</v>
      </c>
    </row>
    <row r="150" spans="1:15">
      <c r="A150" s="3">
        <f t="shared" si="3"/>
        <v>149</v>
      </c>
      <c r="B150" s="41" t="s">
        <v>592</v>
      </c>
      <c r="C150" s="3">
        <v>9959129016</v>
      </c>
      <c r="D150" s="6"/>
      <c r="E150" s="3" t="s">
        <v>588</v>
      </c>
      <c r="F150" s="41" t="s">
        <v>589</v>
      </c>
      <c r="G150" s="3" t="s">
        <v>16</v>
      </c>
      <c r="H150" s="3" t="s">
        <v>586</v>
      </c>
      <c r="I150" s="37" t="s">
        <v>88</v>
      </c>
      <c r="J150" s="31">
        <v>45667</v>
      </c>
      <c r="K150" s="31">
        <v>45672</v>
      </c>
      <c r="L150" s="31">
        <v>45673</v>
      </c>
      <c r="M150" s="31">
        <v>45688</v>
      </c>
      <c r="N150" s="31">
        <v>45688</v>
      </c>
      <c r="O150" s="3" t="s">
        <v>297</v>
      </c>
    </row>
    <row r="151" spans="1:15">
      <c r="A151" s="3">
        <f t="shared" si="3"/>
        <v>150</v>
      </c>
      <c r="B151" s="41" t="s">
        <v>593</v>
      </c>
      <c r="C151" s="3"/>
      <c r="D151" s="6"/>
      <c r="E151" s="3" t="s">
        <v>594</v>
      </c>
      <c r="F151" s="68" t="s">
        <v>595</v>
      </c>
      <c r="G151" s="3" t="s">
        <v>16</v>
      </c>
      <c r="H151" s="2" t="s">
        <v>296</v>
      </c>
      <c r="I151" s="37" t="s">
        <v>88</v>
      </c>
      <c r="J151" s="31">
        <v>45658</v>
      </c>
      <c r="K151" s="31">
        <v>45658</v>
      </c>
      <c r="L151" s="31">
        <v>45658</v>
      </c>
      <c r="M151" s="31">
        <v>45689</v>
      </c>
      <c r="N151" s="31">
        <v>45658</v>
      </c>
      <c r="O151" s="3" t="s">
        <v>297</v>
      </c>
    </row>
    <row r="152" spans="1:15">
      <c r="A152" s="3">
        <f t="shared" si="3"/>
        <v>151</v>
      </c>
      <c r="B152" s="41" t="s">
        <v>596</v>
      </c>
      <c r="C152" s="1">
        <v>9113281764</v>
      </c>
      <c r="D152" s="6"/>
      <c r="E152" s="3" t="s">
        <v>594</v>
      </c>
      <c r="F152" s="68" t="s">
        <v>595</v>
      </c>
      <c r="G152" s="3" t="s">
        <v>16</v>
      </c>
      <c r="H152" s="2" t="s">
        <v>296</v>
      </c>
      <c r="I152" s="37" t="s">
        <v>88</v>
      </c>
      <c r="J152" s="31">
        <v>45658</v>
      </c>
      <c r="K152" s="31">
        <v>45658</v>
      </c>
      <c r="L152" s="31">
        <v>45658</v>
      </c>
      <c r="M152" s="31">
        <v>45686</v>
      </c>
      <c r="N152" s="31">
        <v>45658</v>
      </c>
      <c r="O152" s="3" t="s">
        <v>297</v>
      </c>
    </row>
    <row r="153" spans="1:15">
      <c r="A153" s="3">
        <f t="shared" si="3"/>
        <v>152</v>
      </c>
      <c r="B153" s="41" t="s">
        <v>597</v>
      </c>
      <c r="C153" s="3">
        <v>8074874113</v>
      </c>
      <c r="D153" s="6"/>
      <c r="E153" s="3" t="s">
        <v>598</v>
      </c>
      <c r="F153" s="41" t="s">
        <v>599</v>
      </c>
      <c r="G153" s="3" t="s">
        <v>16</v>
      </c>
      <c r="H153" s="3" t="s">
        <v>590</v>
      </c>
      <c r="I153" s="37" t="s">
        <v>88</v>
      </c>
      <c r="J153" s="31">
        <v>45641</v>
      </c>
      <c r="K153" s="31">
        <v>45646</v>
      </c>
      <c r="L153" s="31">
        <v>45646</v>
      </c>
      <c r="M153" s="31">
        <v>45686</v>
      </c>
      <c r="N153" s="31">
        <v>45682</v>
      </c>
      <c r="O153" s="3" t="s">
        <v>297</v>
      </c>
    </row>
    <row r="154" spans="1:15">
      <c r="A154" s="3">
        <f t="shared" si="3"/>
        <v>153</v>
      </c>
      <c r="B154" s="41" t="s">
        <v>600</v>
      </c>
      <c r="C154" s="3">
        <v>9440903272</v>
      </c>
      <c r="D154" s="6">
        <v>9989073272</v>
      </c>
      <c r="E154" s="3" t="s">
        <v>601</v>
      </c>
      <c r="F154" s="41" t="s">
        <v>602</v>
      </c>
      <c r="G154" s="3" t="s">
        <v>16</v>
      </c>
      <c r="H154" s="3" t="s">
        <v>41</v>
      </c>
      <c r="I154" s="37" t="s">
        <v>42</v>
      </c>
      <c r="J154" s="31">
        <v>45651</v>
      </c>
      <c r="K154" s="31">
        <v>45656</v>
      </c>
      <c r="L154" s="31">
        <v>45658</v>
      </c>
      <c r="M154" s="31">
        <v>45689</v>
      </c>
      <c r="N154" s="31">
        <v>45689</v>
      </c>
      <c r="O154" s="3" t="s">
        <v>297</v>
      </c>
    </row>
    <row r="155" spans="1:15">
      <c r="A155" s="3">
        <f t="shared" si="3"/>
        <v>154</v>
      </c>
      <c r="B155" s="41" t="s">
        <v>603</v>
      </c>
      <c r="C155" s="3">
        <v>7788845245</v>
      </c>
      <c r="D155" s="6"/>
      <c r="E155" s="3" t="s">
        <v>302</v>
      </c>
      <c r="F155" s="41" t="s">
        <v>303</v>
      </c>
      <c r="G155" s="3" t="s">
        <v>424</v>
      </c>
      <c r="H155" s="27" t="s">
        <v>604</v>
      </c>
      <c r="I155" s="37" t="s">
        <v>94</v>
      </c>
      <c r="J155" s="31">
        <v>45674</v>
      </c>
      <c r="K155" s="31">
        <v>45684</v>
      </c>
      <c r="L155" s="31"/>
      <c r="M155" s="31"/>
      <c r="N155" s="31"/>
      <c r="O155" s="3" t="s">
        <v>425</v>
      </c>
    </row>
    <row r="156" spans="1:15">
      <c r="A156" s="3">
        <f t="shared" si="3"/>
        <v>155</v>
      </c>
      <c r="B156" s="41" t="s">
        <v>605</v>
      </c>
      <c r="C156" s="3">
        <v>6200523058</v>
      </c>
      <c r="D156" s="6"/>
      <c r="E156" s="3" t="s">
        <v>302</v>
      </c>
      <c r="F156" s="68" t="s">
        <v>490</v>
      </c>
      <c r="G156" s="3" t="s">
        <v>416</v>
      </c>
      <c r="H156" s="27" t="s">
        <v>604</v>
      </c>
      <c r="I156" s="37" t="s">
        <v>94</v>
      </c>
      <c r="J156" s="31">
        <v>45674</v>
      </c>
      <c r="K156" s="31">
        <v>45684</v>
      </c>
      <c r="L156" s="31"/>
      <c r="M156" s="31"/>
      <c r="N156" s="31"/>
      <c r="O156" s="3" t="s">
        <v>297</v>
      </c>
    </row>
    <row r="157" spans="1:15">
      <c r="A157" s="3">
        <f t="shared" si="3"/>
        <v>156</v>
      </c>
      <c r="B157" s="41" t="s">
        <v>606</v>
      </c>
      <c r="C157" s="3">
        <v>7028281279</v>
      </c>
      <c r="D157" s="6"/>
      <c r="E157" s="3" t="s">
        <v>607</v>
      </c>
      <c r="F157" s="68" t="s">
        <v>490</v>
      </c>
      <c r="G157" s="3" t="s">
        <v>424</v>
      </c>
      <c r="H157" s="27" t="s">
        <v>604</v>
      </c>
      <c r="I157" s="37" t="s">
        <v>94</v>
      </c>
      <c r="J157" s="31">
        <v>45674</v>
      </c>
      <c r="K157" s="31">
        <v>45685</v>
      </c>
      <c r="L157" s="31"/>
      <c r="M157" s="31"/>
      <c r="N157" s="31"/>
      <c r="O157" s="3" t="s">
        <v>425</v>
      </c>
    </row>
    <row r="158" spans="1:15">
      <c r="A158" s="3">
        <f t="shared" si="3"/>
        <v>157</v>
      </c>
      <c r="B158" s="41" t="s">
        <v>608</v>
      </c>
      <c r="C158" s="3">
        <v>7353373343</v>
      </c>
      <c r="D158" s="6"/>
      <c r="E158" s="3" t="s">
        <v>609</v>
      </c>
      <c r="F158" s="68" t="s">
        <v>610</v>
      </c>
      <c r="G158" s="3" t="s">
        <v>416</v>
      </c>
      <c r="H158" s="27" t="s">
        <v>604</v>
      </c>
      <c r="I158" s="37" t="s">
        <v>94</v>
      </c>
      <c r="J158" s="31">
        <v>45674</v>
      </c>
      <c r="K158" s="31">
        <v>45689</v>
      </c>
      <c r="L158" s="31"/>
      <c r="M158" s="31"/>
      <c r="N158" s="31"/>
      <c r="O158" s="3" t="s">
        <v>297</v>
      </c>
    </row>
    <row r="159" spans="1:15">
      <c r="A159" s="3">
        <f t="shared" si="3"/>
        <v>158</v>
      </c>
      <c r="B159" s="41" t="s">
        <v>611</v>
      </c>
      <c r="C159" s="3">
        <v>6299696953</v>
      </c>
      <c r="D159" s="6"/>
      <c r="E159" s="3" t="s">
        <v>607</v>
      </c>
      <c r="F159" s="68" t="s">
        <v>612</v>
      </c>
      <c r="G159" s="3" t="s">
        <v>424</v>
      </c>
      <c r="H159" s="27" t="s">
        <v>604</v>
      </c>
      <c r="I159" s="37" t="s">
        <v>94</v>
      </c>
      <c r="J159" s="31">
        <v>45674</v>
      </c>
      <c r="K159" s="31">
        <v>45674</v>
      </c>
      <c r="L159" s="31"/>
      <c r="M159" s="31"/>
      <c r="N159" s="31"/>
      <c r="O159" s="3" t="s">
        <v>425</v>
      </c>
    </row>
    <row r="160" spans="1:15">
      <c r="A160" s="3">
        <f t="shared" si="3"/>
        <v>159</v>
      </c>
      <c r="B160" s="41" t="s">
        <v>613</v>
      </c>
      <c r="C160" s="3">
        <v>9407525772</v>
      </c>
      <c r="D160" s="6"/>
      <c r="E160" s="3" t="s">
        <v>607</v>
      </c>
      <c r="F160" s="68" t="s">
        <v>614</v>
      </c>
      <c r="G160" s="3" t="s">
        <v>16</v>
      </c>
      <c r="H160" s="27" t="s">
        <v>604</v>
      </c>
      <c r="I160" s="37" t="s">
        <v>94</v>
      </c>
      <c r="J160" s="31">
        <v>45674</v>
      </c>
      <c r="K160" s="31">
        <v>45686</v>
      </c>
      <c r="L160" s="31">
        <v>45709</v>
      </c>
      <c r="M160" s="31">
        <v>45719</v>
      </c>
      <c r="N160" s="31">
        <v>45730</v>
      </c>
      <c r="O160" s="3" t="s">
        <v>297</v>
      </c>
    </row>
    <row r="161" spans="1:15">
      <c r="A161" s="3">
        <f t="shared" si="3"/>
        <v>160</v>
      </c>
      <c r="B161" s="97" t="s">
        <v>615</v>
      </c>
      <c r="C161" s="3">
        <v>8356806880</v>
      </c>
      <c r="D161" s="6"/>
      <c r="E161" s="3" t="s">
        <v>373</v>
      </c>
      <c r="F161" s="68" t="s">
        <v>616</v>
      </c>
      <c r="G161" s="3" t="s">
        <v>16</v>
      </c>
      <c r="H161" s="3" t="s">
        <v>305</v>
      </c>
      <c r="I161" s="37" t="s">
        <v>94</v>
      </c>
      <c r="J161" s="31">
        <v>45674</v>
      </c>
      <c r="K161" s="31">
        <v>45679</v>
      </c>
      <c r="L161" s="31">
        <v>45687</v>
      </c>
      <c r="M161" s="31">
        <v>45748</v>
      </c>
      <c r="N161" s="31">
        <v>45748</v>
      </c>
      <c r="O161" s="3" t="s">
        <v>297</v>
      </c>
    </row>
    <row r="162" spans="1:15">
      <c r="A162" s="3">
        <f t="shared" si="3"/>
        <v>161</v>
      </c>
      <c r="B162" s="41" t="s">
        <v>617</v>
      </c>
      <c r="C162" s="3">
        <v>7851964143</v>
      </c>
      <c r="D162" s="6"/>
      <c r="E162" s="3" t="s">
        <v>376</v>
      </c>
      <c r="F162" s="68" t="s">
        <v>303</v>
      </c>
      <c r="G162" s="3" t="s">
        <v>424</v>
      </c>
      <c r="H162" s="3" t="s">
        <v>305</v>
      </c>
      <c r="I162" s="37" t="s">
        <v>94</v>
      </c>
      <c r="J162" s="31">
        <v>45674</v>
      </c>
      <c r="K162" s="31">
        <v>45674</v>
      </c>
      <c r="L162" s="31"/>
      <c r="M162" s="31"/>
      <c r="N162" s="31"/>
      <c r="O162" s="3" t="s">
        <v>425</v>
      </c>
    </row>
    <row r="163" spans="1:15">
      <c r="A163" s="3">
        <f t="shared" si="3"/>
        <v>162</v>
      </c>
      <c r="B163" s="41" t="s">
        <v>618</v>
      </c>
      <c r="C163" s="3">
        <v>7260043575</v>
      </c>
      <c r="D163" s="6"/>
      <c r="E163" s="3" t="s">
        <v>573</v>
      </c>
      <c r="F163" s="68" t="s">
        <v>612</v>
      </c>
      <c r="G163" s="3" t="s">
        <v>424</v>
      </c>
      <c r="H163" s="3" t="s">
        <v>305</v>
      </c>
      <c r="I163" s="37" t="s">
        <v>94</v>
      </c>
      <c r="J163" s="31">
        <v>45674</v>
      </c>
      <c r="K163" s="31">
        <v>45674</v>
      </c>
      <c r="L163" s="31"/>
      <c r="M163" s="31"/>
      <c r="N163" s="31"/>
      <c r="O163" s="3" t="s">
        <v>425</v>
      </c>
    </row>
    <row r="164" spans="1:15">
      <c r="A164" s="3">
        <f t="shared" si="3"/>
        <v>163</v>
      </c>
      <c r="B164" s="41" t="s">
        <v>619</v>
      </c>
      <c r="C164" s="3">
        <v>7988380196</v>
      </c>
      <c r="D164" s="6"/>
      <c r="E164" s="3" t="s">
        <v>573</v>
      </c>
      <c r="F164" s="68" t="s">
        <v>490</v>
      </c>
      <c r="G164" s="3" t="s">
        <v>424</v>
      </c>
      <c r="H164" s="3" t="s">
        <v>305</v>
      </c>
      <c r="I164" s="37" t="s">
        <v>94</v>
      </c>
      <c r="J164" s="31">
        <v>45674</v>
      </c>
      <c r="K164" s="31">
        <v>45674</v>
      </c>
      <c r="L164" s="31"/>
      <c r="M164" s="31"/>
      <c r="N164" s="31"/>
      <c r="O164" s="3" t="s">
        <v>425</v>
      </c>
    </row>
    <row r="165" spans="1:15">
      <c r="A165" s="3">
        <f t="shared" si="3"/>
        <v>164</v>
      </c>
      <c r="B165" s="41" t="s">
        <v>620</v>
      </c>
      <c r="C165" s="3">
        <v>8640073022</v>
      </c>
      <c r="D165" s="6"/>
      <c r="E165" s="3" t="s">
        <v>573</v>
      </c>
      <c r="F165" s="68" t="s">
        <v>303</v>
      </c>
      <c r="G165" s="3" t="s">
        <v>416</v>
      </c>
      <c r="H165" s="3" t="s">
        <v>305</v>
      </c>
      <c r="I165" s="37" t="s">
        <v>94</v>
      </c>
      <c r="J165" s="31">
        <v>45674</v>
      </c>
      <c r="K165" s="31">
        <v>45686</v>
      </c>
      <c r="L165" s="31"/>
      <c r="M165" s="31"/>
      <c r="N165" s="31"/>
      <c r="O165" s="3" t="s">
        <v>297</v>
      </c>
    </row>
    <row r="166" spans="1:15">
      <c r="A166" s="3">
        <f t="shared" si="3"/>
        <v>165</v>
      </c>
      <c r="B166" s="41" t="s">
        <v>621</v>
      </c>
      <c r="C166" s="3">
        <v>9719862878</v>
      </c>
      <c r="D166" s="6"/>
      <c r="E166" s="3" t="s">
        <v>622</v>
      </c>
      <c r="F166" s="68" t="s">
        <v>490</v>
      </c>
      <c r="G166" s="3" t="s">
        <v>18</v>
      </c>
      <c r="H166" s="3" t="s">
        <v>305</v>
      </c>
      <c r="I166" s="37" t="s">
        <v>94</v>
      </c>
      <c r="J166" s="31">
        <v>45674</v>
      </c>
      <c r="K166" s="31">
        <v>45685</v>
      </c>
      <c r="L166" s="31"/>
      <c r="M166" s="31"/>
      <c r="N166" s="31"/>
      <c r="O166" s="3" t="s">
        <v>297</v>
      </c>
    </row>
    <row r="167" spans="1:15">
      <c r="A167" s="3">
        <f t="shared" si="3"/>
        <v>166</v>
      </c>
      <c r="B167" s="97" t="s">
        <v>623</v>
      </c>
      <c r="C167" s="3">
        <v>8809753042</v>
      </c>
      <c r="D167" s="6"/>
      <c r="E167" s="3" t="s">
        <v>573</v>
      </c>
      <c r="F167" s="68" t="s">
        <v>490</v>
      </c>
      <c r="G167" s="3" t="s">
        <v>16</v>
      </c>
      <c r="H167" s="3" t="s">
        <v>305</v>
      </c>
      <c r="I167" s="37" t="s">
        <v>94</v>
      </c>
      <c r="J167" s="31">
        <v>45674</v>
      </c>
      <c r="K167" s="31">
        <v>45679</v>
      </c>
      <c r="L167" s="31">
        <v>45686</v>
      </c>
      <c r="M167" s="31">
        <v>45697</v>
      </c>
      <c r="N167" s="31">
        <v>45697</v>
      </c>
      <c r="O167" s="3" t="s">
        <v>297</v>
      </c>
    </row>
    <row r="168" spans="1:15">
      <c r="A168" s="3">
        <f t="shared" si="3"/>
        <v>167</v>
      </c>
      <c r="B168" s="97" t="s">
        <v>624</v>
      </c>
      <c r="C168" s="3">
        <v>9881895549</v>
      </c>
      <c r="D168" s="6"/>
      <c r="E168" s="3" t="s">
        <v>622</v>
      </c>
      <c r="F168" s="68" t="s">
        <v>303</v>
      </c>
      <c r="G168" s="3" t="s">
        <v>295</v>
      </c>
      <c r="H168" s="3" t="s">
        <v>305</v>
      </c>
      <c r="I168" s="37" t="s">
        <v>94</v>
      </c>
      <c r="J168" s="31">
        <v>45674</v>
      </c>
      <c r="K168" s="31">
        <v>45673</v>
      </c>
      <c r="L168" s="31">
        <v>45688</v>
      </c>
      <c r="M168" s="31"/>
      <c r="N168" s="31"/>
      <c r="O168" s="3" t="s">
        <v>297</v>
      </c>
    </row>
    <row r="169" spans="1:15">
      <c r="A169" s="3">
        <f t="shared" si="3"/>
        <v>168</v>
      </c>
      <c r="B169" s="41" t="s">
        <v>625</v>
      </c>
      <c r="C169" s="3">
        <v>8009216616</v>
      </c>
      <c r="D169" s="6"/>
      <c r="E169" s="3" t="s">
        <v>500</v>
      </c>
      <c r="F169" s="41" t="s">
        <v>626</v>
      </c>
      <c r="G169" s="3" t="s">
        <v>330</v>
      </c>
      <c r="H169" s="3" t="s">
        <v>361</v>
      </c>
      <c r="I169" s="37" t="s">
        <v>88</v>
      </c>
      <c r="J169" s="31">
        <v>45661</v>
      </c>
      <c r="K169" s="31">
        <v>45663</v>
      </c>
      <c r="L169" s="31">
        <v>45674</v>
      </c>
      <c r="M169" s="31">
        <v>45705</v>
      </c>
      <c r="N169" s="31">
        <v>45705</v>
      </c>
      <c r="O169" s="3" t="s">
        <v>297</v>
      </c>
    </row>
    <row r="170" spans="1:15">
      <c r="A170" s="3">
        <f t="shared" si="3"/>
        <v>169</v>
      </c>
      <c r="B170" s="41" t="s">
        <v>627</v>
      </c>
      <c r="C170" s="3">
        <v>7793966243</v>
      </c>
      <c r="D170" s="6"/>
      <c r="E170" s="3" t="s">
        <v>628</v>
      </c>
      <c r="F170" s="41" t="s">
        <v>629</v>
      </c>
      <c r="G170" s="3" t="s">
        <v>16</v>
      </c>
      <c r="H170" s="3" t="s">
        <v>630</v>
      </c>
      <c r="I170" s="37" t="s">
        <v>88</v>
      </c>
      <c r="J170" s="31">
        <v>45668</v>
      </c>
      <c r="K170" s="31">
        <v>45672</v>
      </c>
      <c r="L170" s="31">
        <v>45674</v>
      </c>
      <c r="M170" s="31">
        <v>45679</v>
      </c>
      <c r="N170" s="31">
        <v>45679</v>
      </c>
      <c r="O170" s="3" t="s">
        <v>297</v>
      </c>
    </row>
    <row r="171" spans="1:15" ht="15.6">
      <c r="A171" s="3">
        <f t="shared" si="3"/>
        <v>170</v>
      </c>
      <c r="B171" s="41" t="s">
        <v>631</v>
      </c>
      <c r="C171" s="3">
        <v>8370804453</v>
      </c>
      <c r="D171" s="6"/>
      <c r="E171" s="3" t="s">
        <v>632</v>
      </c>
      <c r="F171" s="70" t="s">
        <v>294</v>
      </c>
      <c r="G171" s="3" t="s">
        <v>424</v>
      </c>
      <c r="H171" s="3" t="s">
        <v>630</v>
      </c>
      <c r="I171" s="37" t="s">
        <v>94</v>
      </c>
      <c r="J171" s="31">
        <v>45675</v>
      </c>
      <c r="K171" s="31">
        <v>45675</v>
      </c>
      <c r="L171" s="31"/>
      <c r="M171" s="31"/>
      <c r="N171" s="31"/>
      <c r="O171" s="3" t="s">
        <v>425</v>
      </c>
    </row>
    <row r="172" spans="1:15">
      <c r="A172" s="3">
        <f t="shared" si="3"/>
        <v>171</v>
      </c>
      <c r="B172" s="41" t="s">
        <v>633</v>
      </c>
      <c r="C172" s="3">
        <v>9718706780</v>
      </c>
      <c r="D172" s="6">
        <v>8527940931</v>
      </c>
      <c r="E172" s="3" t="s">
        <v>632</v>
      </c>
      <c r="F172" s="41" t="s">
        <v>293</v>
      </c>
      <c r="G172" s="3" t="s">
        <v>424</v>
      </c>
      <c r="H172" s="3" t="s">
        <v>630</v>
      </c>
      <c r="I172" s="37" t="s">
        <v>94</v>
      </c>
      <c r="J172" s="31">
        <v>45675</v>
      </c>
      <c r="K172" s="31">
        <v>45675</v>
      </c>
      <c r="L172" s="31"/>
      <c r="M172" s="31"/>
      <c r="N172" s="31"/>
      <c r="O172" s="3" t="s">
        <v>425</v>
      </c>
    </row>
    <row r="173" spans="1:15" ht="15.6">
      <c r="A173" s="3">
        <f t="shared" si="3"/>
        <v>172</v>
      </c>
      <c r="B173" s="41" t="s">
        <v>634</v>
      </c>
      <c r="C173" s="3">
        <v>9006559774</v>
      </c>
      <c r="D173" s="6"/>
      <c r="E173" s="3" t="s">
        <v>635</v>
      </c>
      <c r="F173" s="70" t="s">
        <v>277</v>
      </c>
      <c r="G173" s="3" t="s">
        <v>424</v>
      </c>
      <c r="H173" s="3" t="s">
        <v>630</v>
      </c>
      <c r="I173" s="37" t="s">
        <v>94</v>
      </c>
      <c r="J173" s="31">
        <v>45675</v>
      </c>
      <c r="K173" s="31">
        <v>45675</v>
      </c>
      <c r="L173" s="31"/>
      <c r="M173" s="31"/>
      <c r="N173" s="31"/>
      <c r="O173" s="3" t="s">
        <v>425</v>
      </c>
    </row>
    <row r="174" spans="1:15" ht="15.6">
      <c r="A174" s="3">
        <f t="shared" si="3"/>
        <v>173</v>
      </c>
      <c r="B174" s="41" t="s">
        <v>636</v>
      </c>
      <c r="C174" s="3">
        <v>9161254595</v>
      </c>
      <c r="D174" s="6"/>
      <c r="E174" s="3" t="s">
        <v>637</v>
      </c>
      <c r="F174" s="70" t="s">
        <v>638</v>
      </c>
      <c r="G174" s="3" t="s">
        <v>330</v>
      </c>
      <c r="H174" s="3" t="s">
        <v>630</v>
      </c>
      <c r="I174" s="37" t="s">
        <v>94</v>
      </c>
      <c r="J174" s="31">
        <v>45675</v>
      </c>
      <c r="K174" s="31">
        <v>45681</v>
      </c>
      <c r="L174" s="31">
        <v>45659</v>
      </c>
      <c r="M174" s="31">
        <v>45689</v>
      </c>
      <c r="N174" s="31">
        <v>45689</v>
      </c>
      <c r="O174" s="3" t="s">
        <v>297</v>
      </c>
    </row>
    <row r="175" spans="1:15" ht="15.6">
      <c r="A175" s="3">
        <f t="shared" si="3"/>
        <v>174</v>
      </c>
      <c r="B175" s="41" t="s">
        <v>639</v>
      </c>
      <c r="C175" s="3">
        <v>8895771723</v>
      </c>
      <c r="D175" s="6"/>
      <c r="E175" s="3" t="s">
        <v>640</v>
      </c>
      <c r="F175" s="70" t="s">
        <v>277</v>
      </c>
      <c r="G175" s="3" t="s">
        <v>424</v>
      </c>
      <c r="H175" s="3" t="s">
        <v>630</v>
      </c>
      <c r="I175" s="37" t="s">
        <v>94</v>
      </c>
      <c r="J175" s="31">
        <v>45675</v>
      </c>
      <c r="K175" s="31">
        <v>45675</v>
      </c>
      <c r="L175" s="31"/>
      <c r="M175" s="31"/>
      <c r="N175" s="31"/>
      <c r="O175" s="3" t="s">
        <v>425</v>
      </c>
    </row>
    <row r="176" spans="1:15">
      <c r="A176" s="3">
        <f t="shared" si="3"/>
        <v>175</v>
      </c>
      <c r="B176" s="41" t="s">
        <v>641</v>
      </c>
      <c r="C176" s="3">
        <v>8738014043</v>
      </c>
      <c r="D176" s="6"/>
      <c r="E176" s="3" t="s">
        <v>640</v>
      </c>
      <c r="F176" s="41" t="s">
        <v>293</v>
      </c>
      <c r="G176" s="3" t="s">
        <v>424</v>
      </c>
      <c r="H176" s="3" t="s">
        <v>630</v>
      </c>
      <c r="I176" s="37" t="s">
        <v>94</v>
      </c>
      <c r="J176" s="31">
        <v>45675</v>
      </c>
      <c r="K176" s="31">
        <v>45675</v>
      </c>
      <c r="L176" s="31"/>
      <c r="M176" s="31"/>
      <c r="N176" s="31"/>
      <c r="O176" s="3" t="s">
        <v>425</v>
      </c>
    </row>
    <row r="177" spans="1:15" ht="15.6">
      <c r="A177" s="3">
        <f t="shared" si="3"/>
        <v>176</v>
      </c>
      <c r="B177" s="41" t="s">
        <v>642</v>
      </c>
      <c r="C177" s="3">
        <v>7029881920</v>
      </c>
      <c r="D177" s="6"/>
      <c r="E177" s="3" t="s">
        <v>643</v>
      </c>
      <c r="F177" s="70" t="s">
        <v>644</v>
      </c>
      <c r="G177" s="3" t="s">
        <v>295</v>
      </c>
      <c r="H177" s="3" t="s">
        <v>630</v>
      </c>
      <c r="I177" s="37" t="s">
        <v>94</v>
      </c>
      <c r="J177" s="31">
        <v>45675</v>
      </c>
      <c r="K177" s="31">
        <v>45678</v>
      </c>
      <c r="L177" s="31">
        <v>45688</v>
      </c>
      <c r="M177" s="31"/>
      <c r="N177" s="31"/>
      <c r="O177" s="3" t="s">
        <v>297</v>
      </c>
    </row>
    <row r="178" spans="1:15">
      <c r="A178" s="3">
        <f t="shared" si="3"/>
        <v>177</v>
      </c>
      <c r="B178" s="41" t="s">
        <v>645</v>
      </c>
      <c r="C178" s="3">
        <v>9837219536</v>
      </c>
      <c r="D178" s="6"/>
      <c r="E178" s="3" t="s">
        <v>646</v>
      </c>
      <c r="F178" s="41" t="s">
        <v>431</v>
      </c>
      <c r="G178" s="3" t="s">
        <v>424</v>
      </c>
      <c r="H178" s="3" t="s">
        <v>630</v>
      </c>
      <c r="I178" s="37" t="s">
        <v>94</v>
      </c>
      <c r="J178" s="31">
        <v>45675</v>
      </c>
      <c r="K178" s="31">
        <v>45675</v>
      </c>
      <c r="L178" s="31"/>
      <c r="M178" s="31"/>
      <c r="N178" s="31"/>
      <c r="O178" s="3" t="s">
        <v>425</v>
      </c>
    </row>
    <row r="179" spans="1:15">
      <c r="A179" s="3">
        <f t="shared" si="3"/>
        <v>178</v>
      </c>
      <c r="B179" s="41" t="s">
        <v>647</v>
      </c>
      <c r="C179" s="3">
        <v>9735785743</v>
      </c>
      <c r="D179" s="6"/>
      <c r="E179" s="3" t="s">
        <v>646</v>
      </c>
      <c r="F179" s="41" t="s">
        <v>293</v>
      </c>
      <c r="G179" s="3" t="s">
        <v>424</v>
      </c>
      <c r="H179" s="3" t="s">
        <v>630</v>
      </c>
      <c r="I179" s="37" t="s">
        <v>94</v>
      </c>
      <c r="J179" s="31">
        <v>45675</v>
      </c>
      <c r="K179" s="31">
        <v>45675</v>
      </c>
      <c r="L179" s="31"/>
      <c r="M179" s="31"/>
      <c r="N179" s="31"/>
      <c r="O179" s="3" t="s">
        <v>425</v>
      </c>
    </row>
    <row r="180" spans="1:15">
      <c r="A180" s="3">
        <f t="shared" si="3"/>
        <v>179</v>
      </c>
      <c r="B180" s="41" t="s">
        <v>648</v>
      </c>
      <c r="C180" s="3">
        <v>9515852979</v>
      </c>
      <c r="D180" s="6"/>
      <c r="E180" s="3" t="s">
        <v>322</v>
      </c>
      <c r="F180" s="67" t="s">
        <v>310</v>
      </c>
      <c r="G180" s="3" t="s">
        <v>16</v>
      </c>
      <c r="H180" s="3" t="s">
        <v>305</v>
      </c>
      <c r="I180" s="37" t="s">
        <v>94</v>
      </c>
      <c r="J180" s="31">
        <v>45604</v>
      </c>
      <c r="K180" s="31">
        <v>45619</v>
      </c>
      <c r="L180" s="31">
        <v>45684</v>
      </c>
      <c r="M180" s="31">
        <v>45744</v>
      </c>
      <c r="N180" s="31">
        <v>45744</v>
      </c>
      <c r="O180" s="3" t="s">
        <v>297</v>
      </c>
    </row>
    <row r="181" spans="1:15">
      <c r="A181" s="3">
        <f t="shared" si="3"/>
        <v>180</v>
      </c>
      <c r="B181" s="41" t="s">
        <v>649</v>
      </c>
      <c r="C181" s="3">
        <v>8839757884</v>
      </c>
      <c r="D181" s="6"/>
      <c r="E181" s="2" t="s">
        <v>650</v>
      </c>
      <c r="F181" s="41" t="s">
        <v>651</v>
      </c>
      <c r="G181" s="3" t="s">
        <v>16</v>
      </c>
      <c r="H181" s="3" t="s">
        <v>162</v>
      </c>
      <c r="I181" s="37" t="s">
        <v>94</v>
      </c>
      <c r="J181" s="31">
        <v>45665</v>
      </c>
      <c r="K181" s="31">
        <v>45665</v>
      </c>
      <c r="L181" s="31">
        <v>45681</v>
      </c>
      <c r="M181" s="31">
        <v>45706</v>
      </c>
      <c r="N181" s="31">
        <v>45706</v>
      </c>
      <c r="O181" s="3" t="s">
        <v>297</v>
      </c>
    </row>
    <row r="182" spans="1:15">
      <c r="A182" s="3">
        <f t="shared" si="3"/>
        <v>181</v>
      </c>
      <c r="B182" s="41" t="s">
        <v>652</v>
      </c>
      <c r="C182" s="3">
        <v>8333003631</v>
      </c>
      <c r="D182" s="6">
        <v>6302724783</v>
      </c>
      <c r="E182" s="3" t="s">
        <v>653</v>
      </c>
      <c r="F182" s="41" t="s">
        <v>654</v>
      </c>
      <c r="G182" s="3" t="s">
        <v>16</v>
      </c>
      <c r="H182" s="3" t="s">
        <v>590</v>
      </c>
      <c r="I182" s="37" t="s">
        <v>88</v>
      </c>
      <c r="J182" s="31">
        <v>45674</v>
      </c>
      <c r="K182" s="31">
        <v>45675</v>
      </c>
      <c r="L182" s="31">
        <v>45675</v>
      </c>
      <c r="M182" s="31">
        <v>45682</v>
      </c>
      <c r="N182" s="31">
        <v>45682</v>
      </c>
      <c r="O182" s="3" t="s">
        <v>297</v>
      </c>
    </row>
    <row r="183" spans="1:15">
      <c r="A183" s="3">
        <f t="shared" si="3"/>
        <v>182</v>
      </c>
      <c r="B183" s="41" t="s">
        <v>655</v>
      </c>
      <c r="C183" s="3">
        <v>8754194690</v>
      </c>
      <c r="D183" s="6"/>
      <c r="E183" s="3" t="s">
        <v>598</v>
      </c>
      <c r="F183" s="41" t="s">
        <v>656</v>
      </c>
      <c r="G183" s="3" t="s">
        <v>16</v>
      </c>
      <c r="H183" s="3" t="s">
        <v>590</v>
      </c>
      <c r="I183" s="37" t="s">
        <v>88</v>
      </c>
      <c r="J183" s="31">
        <v>45674</v>
      </c>
      <c r="K183" s="31">
        <v>45675</v>
      </c>
      <c r="L183" s="31">
        <v>45675</v>
      </c>
      <c r="M183" s="31">
        <v>45708</v>
      </c>
      <c r="N183" s="31">
        <v>45708</v>
      </c>
      <c r="O183" s="3" t="s">
        <v>297</v>
      </c>
    </row>
    <row r="184" spans="1:15">
      <c r="A184" s="3">
        <f t="shared" si="3"/>
        <v>183</v>
      </c>
      <c r="B184" s="41" t="s">
        <v>657</v>
      </c>
      <c r="C184" s="3">
        <v>9655555916</v>
      </c>
      <c r="D184" s="6"/>
      <c r="E184" s="3" t="s">
        <v>588</v>
      </c>
      <c r="F184" s="41" t="s">
        <v>589</v>
      </c>
      <c r="G184" s="3" t="s">
        <v>16</v>
      </c>
      <c r="H184" s="3" t="s">
        <v>590</v>
      </c>
      <c r="I184" s="37" t="s">
        <v>88</v>
      </c>
      <c r="J184" s="31">
        <v>45675</v>
      </c>
      <c r="K184" s="31">
        <v>45677</v>
      </c>
      <c r="L184" s="31">
        <v>45677</v>
      </c>
      <c r="M184" s="31">
        <v>45686</v>
      </c>
      <c r="N184" s="31">
        <v>45686</v>
      </c>
      <c r="O184" s="3" t="s">
        <v>297</v>
      </c>
    </row>
    <row r="185" spans="1:15" ht="15.6">
      <c r="A185" s="3">
        <f t="shared" si="3"/>
        <v>184</v>
      </c>
      <c r="B185" s="41" t="s">
        <v>658</v>
      </c>
      <c r="C185" s="3">
        <v>8499043962</v>
      </c>
      <c r="D185" s="6">
        <v>7382652206</v>
      </c>
      <c r="E185" s="3" t="s">
        <v>59</v>
      </c>
      <c r="F185" s="71" t="s">
        <v>659</v>
      </c>
      <c r="G185" s="3" t="s">
        <v>424</v>
      </c>
      <c r="H185" s="3" t="s">
        <v>660</v>
      </c>
      <c r="I185" s="37" t="s">
        <v>42</v>
      </c>
      <c r="J185" s="31">
        <v>45663</v>
      </c>
      <c r="K185" s="31">
        <v>45663</v>
      </c>
      <c r="L185" s="31"/>
      <c r="M185" s="31"/>
      <c r="N185" s="31"/>
      <c r="O185" s="3" t="s">
        <v>425</v>
      </c>
    </row>
    <row r="186" spans="1:15" ht="15.6">
      <c r="A186" s="3">
        <f t="shared" ref="A186:A249" si="4">ROW()-1</f>
        <v>185</v>
      </c>
      <c r="B186" s="41" t="s">
        <v>661</v>
      </c>
      <c r="C186" s="3">
        <v>8790672015</v>
      </c>
      <c r="D186" s="6"/>
      <c r="E186" s="3" t="s">
        <v>52</v>
      </c>
      <c r="F186" s="71" t="s">
        <v>662</v>
      </c>
      <c r="G186" s="3" t="s">
        <v>424</v>
      </c>
      <c r="H186" s="3" t="s">
        <v>660</v>
      </c>
      <c r="I186" s="37" t="s">
        <v>42</v>
      </c>
      <c r="J186" s="31">
        <v>45663</v>
      </c>
      <c r="K186" s="31">
        <v>45663</v>
      </c>
      <c r="L186" s="31"/>
      <c r="M186" s="31"/>
      <c r="N186" s="31"/>
      <c r="O186" s="3" t="s">
        <v>425</v>
      </c>
    </row>
    <row r="187" spans="1:15" ht="15.6">
      <c r="A187" s="3">
        <f t="shared" si="4"/>
        <v>186</v>
      </c>
      <c r="B187" s="41" t="s">
        <v>663</v>
      </c>
      <c r="C187" s="3">
        <v>8008882949</v>
      </c>
      <c r="D187" s="6"/>
      <c r="E187" s="3" t="s">
        <v>48</v>
      </c>
      <c r="F187" s="71" t="s">
        <v>664</v>
      </c>
      <c r="G187" s="3" t="s">
        <v>295</v>
      </c>
      <c r="H187" s="3" t="s">
        <v>660</v>
      </c>
      <c r="I187" s="37" t="s">
        <v>42</v>
      </c>
      <c r="J187" s="31">
        <v>45663</v>
      </c>
      <c r="K187" s="31">
        <v>45736</v>
      </c>
      <c r="L187" s="31">
        <v>45737</v>
      </c>
      <c r="M187" s="31"/>
      <c r="N187" s="31"/>
      <c r="O187" s="3" t="s">
        <v>297</v>
      </c>
    </row>
    <row r="188" spans="1:15" ht="15.6">
      <c r="A188" s="3">
        <f t="shared" si="4"/>
        <v>187</v>
      </c>
      <c r="B188" s="41" t="s">
        <v>665</v>
      </c>
      <c r="C188" s="3">
        <v>8109205406</v>
      </c>
      <c r="D188" s="6"/>
      <c r="E188" s="3" t="s">
        <v>121</v>
      </c>
      <c r="F188" s="71" t="s">
        <v>666</v>
      </c>
      <c r="G188" s="3" t="s">
        <v>16</v>
      </c>
      <c r="H188" s="3" t="s">
        <v>660</v>
      </c>
      <c r="I188" s="37" t="s">
        <v>42</v>
      </c>
      <c r="J188" s="31">
        <v>45663</v>
      </c>
      <c r="K188" s="31">
        <v>45663</v>
      </c>
      <c r="L188" s="31">
        <v>45680</v>
      </c>
      <c r="M188" s="31">
        <v>45688</v>
      </c>
      <c r="N188" s="31">
        <v>45687</v>
      </c>
      <c r="O188" s="3" t="s">
        <v>297</v>
      </c>
    </row>
    <row r="189" spans="1:15">
      <c r="A189" s="3">
        <f t="shared" si="4"/>
        <v>188</v>
      </c>
      <c r="B189" s="41" t="s">
        <v>667</v>
      </c>
      <c r="C189" s="3">
        <v>8522977244</v>
      </c>
      <c r="D189" s="6"/>
      <c r="E189" s="3" t="s">
        <v>72</v>
      </c>
      <c r="F189" s="67" t="s">
        <v>333</v>
      </c>
      <c r="G189" s="3" t="s">
        <v>295</v>
      </c>
      <c r="H189" s="3" t="s">
        <v>660</v>
      </c>
      <c r="I189" s="37" t="s">
        <v>42</v>
      </c>
      <c r="J189" s="31">
        <v>45663</v>
      </c>
      <c r="K189" s="31">
        <v>45663</v>
      </c>
      <c r="L189" s="31">
        <v>45698</v>
      </c>
      <c r="M189" s="31">
        <v>45747</v>
      </c>
      <c r="N189" s="31"/>
      <c r="O189" s="3" t="s">
        <v>297</v>
      </c>
    </row>
    <row r="190" spans="1:15">
      <c r="A190" s="3">
        <f t="shared" si="4"/>
        <v>189</v>
      </c>
      <c r="B190" s="41" t="s">
        <v>668</v>
      </c>
      <c r="C190" s="3">
        <v>8466853429</v>
      </c>
      <c r="D190" s="6"/>
      <c r="E190" s="3" t="s">
        <v>72</v>
      </c>
      <c r="F190" s="67" t="s">
        <v>333</v>
      </c>
      <c r="G190" s="3" t="s">
        <v>295</v>
      </c>
      <c r="H190" s="3" t="s">
        <v>660</v>
      </c>
      <c r="I190" s="37" t="s">
        <v>42</v>
      </c>
      <c r="J190" s="31">
        <v>45663</v>
      </c>
      <c r="K190" s="31">
        <v>45663</v>
      </c>
      <c r="L190" s="31">
        <v>45695</v>
      </c>
      <c r="M190" s="31">
        <v>45747</v>
      </c>
      <c r="N190" s="31"/>
      <c r="O190" s="3" t="s">
        <v>297</v>
      </c>
    </row>
    <row r="191" spans="1:15">
      <c r="A191" s="3">
        <f t="shared" si="4"/>
        <v>190</v>
      </c>
      <c r="B191" s="41" t="s">
        <v>669</v>
      </c>
      <c r="C191" s="3">
        <v>9421719032</v>
      </c>
      <c r="D191" s="6">
        <v>7987521655</v>
      </c>
      <c r="E191" s="3" t="s">
        <v>52</v>
      </c>
      <c r="F191" s="67" t="s">
        <v>670</v>
      </c>
      <c r="G191" s="3" t="s">
        <v>424</v>
      </c>
      <c r="H191" s="3" t="s">
        <v>660</v>
      </c>
      <c r="I191" s="37" t="s">
        <v>42</v>
      </c>
      <c r="J191" s="31">
        <v>45663</v>
      </c>
      <c r="K191" s="31">
        <v>45698</v>
      </c>
      <c r="L191" s="31"/>
      <c r="M191" s="31"/>
      <c r="N191" s="31"/>
      <c r="O191" s="3" t="s">
        <v>425</v>
      </c>
    </row>
    <row r="192" spans="1:15">
      <c r="A192" s="3">
        <f t="shared" si="4"/>
        <v>191</v>
      </c>
      <c r="B192" s="41" t="s">
        <v>671</v>
      </c>
      <c r="C192" s="3">
        <v>8328375757</v>
      </c>
      <c r="D192" s="6"/>
      <c r="E192" s="3" t="s">
        <v>672</v>
      </c>
      <c r="F192" s="67" t="s">
        <v>673</v>
      </c>
      <c r="G192" s="3" t="s">
        <v>416</v>
      </c>
      <c r="H192" s="38" t="s">
        <v>674</v>
      </c>
      <c r="I192" s="37" t="s">
        <v>42</v>
      </c>
      <c r="J192" s="31">
        <v>45663</v>
      </c>
      <c r="K192" s="31">
        <v>45664</v>
      </c>
      <c r="L192" s="31"/>
      <c r="M192" s="31"/>
      <c r="N192" s="31"/>
      <c r="O192" s="3" t="s">
        <v>297</v>
      </c>
    </row>
    <row r="193" spans="1:15" ht="15.6">
      <c r="A193" s="3">
        <f t="shared" si="4"/>
        <v>192</v>
      </c>
      <c r="B193" s="41" t="s">
        <v>675</v>
      </c>
      <c r="C193" s="3">
        <v>9948422344</v>
      </c>
      <c r="D193" s="6"/>
      <c r="E193" s="3" t="s">
        <v>52</v>
      </c>
      <c r="F193" s="71" t="s">
        <v>676</v>
      </c>
      <c r="G193" s="3" t="s">
        <v>18</v>
      </c>
      <c r="H193" s="3" t="s">
        <v>41</v>
      </c>
      <c r="I193" s="37" t="s">
        <v>42</v>
      </c>
      <c r="J193" s="31">
        <v>45663</v>
      </c>
      <c r="K193" s="31">
        <v>45664</v>
      </c>
      <c r="L193" s="31"/>
      <c r="M193" s="31"/>
      <c r="N193" s="31"/>
      <c r="O193" s="3" t="s">
        <v>297</v>
      </c>
    </row>
    <row r="194" spans="1:15">
      <c r="A194" s="3">
        <f t="shared" si="4"/>
        <v>193</v>
      </c>
      <c r="B194" s="41" t="s">
        <v>677</v>
      </c>
      <c r="C194" s="3">
        <v>9790489762</v>
      </c>
      <c r="D194" s="6"/>
      <c r="E194" s="3" t="s">
        <v>52</v>
      </c>
      <c r="F194" s="67" t="s">
        <v>678</v>
      </c>
      <c r="G194" s="3" t="s">
        <v>424</v>
      </c>
      <c r="H194" s="4" t="s">
        <v>679</v>
      </c>
      <c r="I194" s="37" t="s">
        <v>42</v>
      </c>
      <c r="J194" s="31">
        <v>45663</v>
      </c>
      <c r="K194" s="31">
        <v>45665</v>
      </c>
      <c r="L194" s="31"/>
      <c r="M194" s="31"/>
      <c r="N194" s="31"/>
      <c r="O194" s="3" t="s">
        <v>425</v>
      </c>
    </row>
    <row r="195" spans="1:15">
      <c r="A195" s="3">
        <f t="shared" si="4"/>
        <v>194</v>
      </c>
      <c r="B195" s="98" t="s">
        <v>680</v>
      </c>
      <c r="C195" s="3">
        <v>9959738396</v>
      </c>
      <c r="D195" s="6">
        <v>7989355253</v>
      </c>
      <c r="E195" s="3" t="s">
        <v>72</v>
      </c>
      <c r="F195" s="67" t="s">
        <v>681</v>
      </c>
      <c r="G195" s="3" t="s">
        <v>16</v>
      </c>
      <c r="H195" s="4" t="s">
        <v>679</v>
      </c>
      <c r="I195" s="37" t="s">
        <v>42</v>
      </c>
      <c r="J195" s="31">
        <v>45663</v>
      </c>
      <c r="K195" s="31">
        <v>45665</v>
      </c>
      <c r="L195" s="31">
        <v>45702</v>
      </c>
      <c r="M195" s="31">
        <v>45726</v>
      </c>
      <c r="N195" s="31">
        <v>45726</v>
      </c>
      <c r="O195" s="3" t="s">
        <v>297</v>
      </c>
    </row>
    <row r="196" spans="1:15">
      <c r="A196" s="3">
        <f t="shared" si="4"/>
        <v>195</v>
      </c>
      <c r="B196" s="41" t="s">
        <v>682</v>
      </c>
      <c r="C196" s="3">
        <v>7680084480</v>
      </c>
      <c r="D196" s="6"/>
      <c r="E196" s="3" t="s">
        <v>59</v>
      </c>
      <c r="F196" s="67" t="s">
        <v>683</v>
      </c>
      <c r="G196" s="3" t="s">
        <v>424</v>
      </c>
      <c r="H196" s="4" t="s">
        <v>679</v>
      </c>
      <c r="I196" s="37" t="s">
        <v>42</v>
      </c>
      <c r="J196" s="31">
        <v>45663</v>
      </c>
      <c r="K196" s="31">
        <v>45665</v>
      </c>
      <c r="L196" s="31"/>
      <c r="M196" s="31"/>
      <c r="N196" s="31"/>
      <c r="O196" s="3" t="s">
        <v>425</v>
      </c>
    </row>
    <row r="197" spans="1:15" ht="15.6">
      <c r="A197" s="3">
        <f t="shared" si="4"/>
        <v>196</v>
      </c>
      <c r="B197" s="41" t="s">
        <v>684</v>
      </c>
      <c r="C197" s="3">
        <v>9550162191</v>
      </c>
      <c r="D197" s="6"/>
      <c r="E197" s="3" t="s">
        <v>59</v>
      </c>
      <c r="F197" s="71" t="s">
        <v>685</v>
      </c>
      <c r="G197" s="3" t="s">
        <v>424</v>
      </c>
      <c r="H197" s="4" t="s">
        <v>679</v>
      </c>
      <c r="I197" s="37" t="s">
        <v>42</v>
      </c>
      <c r="J197" s="31">
        <v>45663</v>
      </c>
      <c r="K197" s="31">
        <v>45666</v>
      </c>
      <c r="L197" s="31"/>
      <c r="M197" s="31"/>
      <c r="N197" s="31"/>
      <c r="O197" s="3" t="s">
        <v>425</v>
      </c>
    </row>
    <row r="198" spans="1:15">
      <c r="A198" s="3">
        <f t="shared" si="4"/>
        <v>197</v>
      </c>
      <c r="B198" s="41" t="s">
        <v>686</v>
      </c>
      <c r="C198" s="3">
        <v>9177433121</v>
      </c>
      <c r="D198" s="6">
        <v>8247056797</v>
      </c>
      <c r="E198" s="3" t="s">
        <v>59</v>
      </c>
      <c r="F198" s="67" t="s">
        <v>687</v>
      </c>
      <c r="G198" s="3" t="s">
        <v>16</v>
      </c>
      <c r="H198" s="4" t="s">
        <v>679</v>
      </c>
      <c r="I198" s="37" t="s">
        <v>42</v>
      </c>
      <c r="J198" s="31">
        <v>45663</v>
      </c>
      <c r="K198" s="31">
        <v>45666</v>
      </c>
      <c r="L198" s="31">
        <v>45716</v>
      </c>
      <c r="M198" s="31">
        <v>45767</v>
      </c>
      <c r="N198" s="31">
        <v>45767</v>
      </c>
      <c r="O198" s="3" t="s">
        <v>297</v>
      </c>
    </row>
    <row r="199" spans="1:15" ht="15.6">
      <c r="A199" s="3">
        <f t="shared" si="4"/>
        <v>198</v>
      </c>
      <c r="B199" s="41" t="s">
        <v>688</v>
      </c>
      <c r="C199" s="3">
        <v>9618970394</v>
      </c>
      <c r="D199" s="6">
        <v>9118991129</v>
      </c>
      <c r="E199" s="3" t="s">
        <v>59</v>
      </c>
      <c r="F199" s="71" t="s">
        <v>689</v>
      </c>
      <c r="G199" s="3" t="s">
        <v>16</v>
      </c>
      <c r="H199" s="3" t="s">
        <v>660</v>
      </c>
      <c r="I199" s="37" t="s">
        <v>42</v>
      </c>
      <c r="J199" s="31">
        <v>45663</v>
      </c>
      <c r="K199" s="31">
        <v>45666</v>
      </c>
      <c r="L199" s="31">
        <v>45702</v>
      </c>
      <c r="M199" s="31">
        <v>45719</v>
      </c>
      <c r="N199" s="31">
        <v>45719</v>
      </c>
      <c r="O199" s="3" t="s">
        <v>297</v>
      </c>
    </row>
    <row r="200" spans="1:15">
      <c r="A200" s="3">
        <f t="shared" si="4"/>
        <v>199</v>
      </c>
      <c r="B200" s="41" t="s">
        <v>690</v>
      </c>
      <c r="C200" s="3">
        <v>9676462673</v>
      </c>
      <c r="D200" s="6">
        <v>9912544777</v>
      </c>
      <c r="E200" s="3" t="s">
        <v>52</v>
      </c>
      <c r="F200" s="41" t="s">
        <v>691</v>
      </c>
      <c r="G200" s="3" t="s">
        <v>424</v>
      </c>
      <c r="H200" s="3" t="s">
        <v>41</v>
      </c>
      <c r="I200" s="37" t="s">
        <v>42</v>
      </c>
      <c r="J200" s="31">
        <v>45663</v>
      </c>
      <c r="K200" s="31">
        <v>45668</v>
      </c>
      <c r="L200" s="31"/>
      <c r="M200" s="31"/>
      <c r="N200" s="31"/>
      <c r="O200" s="3" t="s">
        <v>425</v>
      </c>
    </row>
    <row r="201" spans="1:15">
      <c r="A201" s="3">
        <f t="shared" si="4"/>
        <v>200</v>
      </c>
      <c r="B201" s="41" t="s">
        <v>692</v>
      </c>
      <c r="C201" s="3">
        <v>9703438988</v>
      </c>
      <c r="D201" s="6">
        <v>9885727911</v>
      </c>
      <c r="E201" s="3" t="s">
        <v>52</v>
      </c>
      <c r="F201" s="41" t="s">
        <v>691</v>
      </c>
      <c r="G201" s="3" t="s">
        <v>424</v>
      </c>
      <c r="H201" s="3" t="s">
        <v>41</v>
      </c>
      <c r="I201" s="37" t="s">
        <v>42</v>
      </c>
      <c r="J201" s="31">
        <v>45663</v>
      </c>
      <c r="K201" s="31">
        <v>45668</v>
      </c>
      <c r="L201" s="31"/>
      <c r="M201" s="31"/>
      <c r="N201" s="31"/>
      <c r="O201" s="3" t="s">
        <v>425</v>
      </c>
    </row>
    <row r="202" spans="1:15">
      <c r="A202" s="3">
        <f t="shared" si="4"/>
        <v>201</v>
      </c>
      <c r="B202" s="41" t="s">
        <v>693</v>
      </c>
      <c r="C202" s="3">
        <v>8837376365</v>
      </c>
      <c r="D202" s="6"/>
      <c r="E202" s="3" t="s">
        <v>52</v>
      </c>
      <c r="F202" s="67" t="s">
        <v>694</v>
      </c>
      <c r="G202" s="3" t="s">
        <v>424</v>
      </c>
      <c r="H202" s="3" t="s">
        <v>41</v>
      </c>
      <c r="I202" s="37" t="s">
        <v>42</v>
      </c>
      <c r="J202" s="31">
        <v>45663</v>
      </c>
      <c r="K202" s="31">
        <v>45668</v>
      </c>
      <c r="L202" s="31"/>
      <c r="M202" s="31"/>
      <c r="N202" s="31"/>
      <c r="O202" s="3" t="s">
        <v>425</v>
      </c>
    </row>
    <row r="203" spans="1:15">
      <c r="A203" s="3">
        <f t="shared" si="4"/>
        <v>202</v>
      </c>
      <c r="B203" s="41" t="s">
        <v>695</v>
      </c>
      <c r="C203" s="27">
        <v>9963245236</v>
      </c>
      <c r="D203" s="6">
        <v>9006307668</v>
      </c>
      <c r="E203" s="3" t="s">
        <v>104</v>
      </c>
      <c r="F203" s="67" t="s">
        <v>696</v>
      </c>
      <c r="G203" s="3" t="s">
        <v>16</v>
      </c>
      <c r="H203" s="4" t="s">
        <v>679</v>
      </c>
      <c r="I203" s="37" t="s">
        <v>42</v>
      </c>
      <c r="J203" s="31">
        <v>45663</v>
      </c>
      <c r="K203" s="31">
        <v>45698</v>
      </c>
      <c r="L203" s="31">
        <v>45709</v>
      </c>
      <c r="M203" s="31">
        <v>45719</v>
      </c>
      <c r="N203" s="31">
        <v>45719</v>
      </c>
      <c r="O203" s="3" t="s">
        <v>297</v>
      </c>
    </row>
    <row r="204" spans="1:15" ht="15.6">
      <c r="A204" s="3">
        <f t="shared" si="4"/>
        <v>203</v>
      </c>
      <c r="B204" s="41" t="s">
        <v>697</v>
      </c>
      <c r="C204" s="3">
        <v>9949935600</v>
      </c>
      <c r="D204" s="6">
        <v>7094476003</v>
      </c>
      <c r="E204" s="3" t="s">
        <v>48</v>
      </c>
      <c r="F204" s="71" t="s">
        <v>698</v>
      </c>
      <c r="G204" s="3" t="s">
        <v>424</v>
      </c>
      <c r="H204" s="4" t="s">
        <v>679</v>
      </c>
      <c r="I204" s="37" t="s">
        <v>42</v>
      </c>
      <c r="J204" s="31">
        <v>45663</v>
      </c>
      <c r="K204" s="31">
        <v>45675</v>
      </c>
      <c r="L204" s="31"/>
      <c r="M204" s="31"/>
      <c r="N204" s="31"/>
      <c r="O204" s="3" t="s">
        <v>425</v>
      </c>
    </row>
    <row r="205" spans="1:15">
      <c r="A205" s="3">
        <f t="shared" si="4"/>
        <v>204</v>
      </c>
      <c r="B205" s="41" t="s">
        <v>699</v>
      </c>
      <c r="C205" s="3">
        <v>8985788839</v>
      </c>
      <c r="D205" s="6">
        <v>9148794568</v>
      </c>
      <c r="E205" s="3" t="s">
        <v>52</v>
      </c>
      <c r="F205" s="67" t="s">
        <v>700</v>
      </c>
      <c r="G205" s="3" t="s">
        <v>424</v>
      </c>
      <c r="H205" s="4" t="s">
        <v>679</v>
      </c>
      <c r="I205" s="37" t="s">
        <v>42</v>
      </c>
      <c r="J205" s="31">
        <v>45663</v>
      </c>
      <c r="K205" s="31">
        <v>45698</v>
      </c>
      <c r="L205" s="31"/>
      <c r="M205" s="31"/>
      <c r="N205" s="31"/>
      <c r="O205" s="3" t="s">
        <v>425</v>
      </c>
    </row>
    <row r="206" spans="1:15">
      <c r="A206" s="3">
        <f t="shared" si="4"/>
        <v>205</v>
      </c>
      <c r="B206" s="41" t="s">
        <v>701</v>
      </c>
      <c r="C206" s="3">
        <v>9701216521</v>
      </c>
      <c r="D206" s="6">
        <v>8500145030</v>
      </c>
      <c r="E206" s="3" t="s">
        <v>121</v>
      </c>
      <c r="F206" s="67" t="s">
        <v>702</v>
      </c>
      <c r="G206" s="3" t="s">
        <v>424</v>
      </c>
      <c r="H206" s="4" t="s">
        <v>679</v>
      </c>
      <c r="I206" s="37" t="s">
        <v>42</v>
      </c>
      <c r="J206" s="31">
        <v>45663</v>
      </c>
      <c r="K206" s="31">
        <v>45675</v>
      </c>
      <c r="L206" s="31"/>
      <c r="M206" s="31"/>
      <c r="N206" s="31"/>
      <c r="O206" s="3" t="s">
        <v>425</v>
      </c>
    </row>
    <row r="207" spans="1:15">
      <c r="A207" s="3">
        <f t="shared" si="4"/>
        <v>206</v>
      </c>
      <c r="B207" s="41" t="s">
        <v>704</v>
      </c>
      <c r="C207" s="3">
        <v>8309177412</v>
      </c>
      <c r="D207" s="6">
        <v>7799141323</v>
      </c>
      <c r="E207" s="3" t="s">
        <v>59</v>
      </c>
      <c r="F207" s="67" t="s">
        <v>705</v>
      </c>
      <c r="G207" s="3" t="s">
        <v>424</v>
      </c>
      <c r="H207" s="4" t="s">
        <v>679</v>
      </c>
      <c r="I207" s="37" t="s">
        <v>42</v>
      </c>
      <c r="J207" s="31">
        <v>45663</v>
      </c>
      <c r="K207" s="31">
        <v>45675</v>
      </c>
      <c r="L207" s="31"/>
      <c r="M207" s="31"/>
      <c r="N207" s="31"/>
      <c r="O207" s="3" t="s">
        <v>425</v>
      </c>
    </row>
    <row r="208" spans="1:15">
      <c r="A208" s="3">
        <f t="shared" si="4"/>
        <v>207</v>
      </c>
      <c r="B208" s="41" t="s">
        <v>706</v>
      </c>
      <c r="C208" s="27">
        <v>7389053445</v>
      </c>
      <c r="D208" s="6"/>
      <c r="E208" s="3" t="s">
        <v>107</v>
      </c>
      <c r="F208" s="72" t="s">
        <v>707</v>
      </c>
      <c r="G208" s="3" t="s">
        <v>708</v>
      </c>
      <c r="H208" s="4" t="s">
        <v>679</v>
      </c>
      <c r="I208" s="37" t="s">
        <v>42</v>
      </c>
      <c r="J208" s="31">
        <v>45663</v>
      </c>
      <c r="K208" s="31">
        <v>45675</v>
      </c>
      <c r="L208" s="31"/>
      <c r="M208" s="31"/>
      <c r="N208" s="31"/>
      <c r="O208" s="3" t="s">
        <v>297</v>
      </c>
    </row>
    <row r="209" spans="1:15">
      <c r="A209" s="3">
        <f t="shared" si="4"/>
        <v>208</v>
      </c>
      <c r="B209" s="41" t="s">
        <v>709</v>
      </c>
      <c r="C209" s="3">
        <v>9373866044</v>
      </c>
      <c r="D209" s="6">
        <v>9985108199</v>
      </c>
      <c r="E209" s="3" t="s">
        <v>52</v>
      </c>
      <c r="F209" s="67" t="s">
        <v>710</v>
      </c>
      <c r="G209" s="3" t="s">
        <v>330</v>
      </c>
      <c r="H209" s="4" t="s">
        <v>679</v>
      </c>
      <c r="I209" s="37" t="s">
        <v>42</v>
      </c>
      <c r="J209" s="31">
        <v>45663</v>
      </c>
      <c r="K209" s="31">
        <v>45676</v>
      </c>
      <c r="L209" s="31">
        <v>45709</v>
      </c>
      <c r="M209" s="31">
        <v>45757</v>
      </c>
      <c r="N209" s="31">
        <v>45757</v>
      </c>
      <c r="O209" s="3" t="s">
        <v>297</v>
      </c>
    </row>
    <row r="210" spans="1:15">
      <c r="A210" s="3">
        <f t="shared" si="4"/>
        <v>209</v>
      </c>
      <c r="B210" s="41" t="s">
        <v>711</v>
      </c>
      <c r="C210" s="23">
        <v>6263299604</v>
      </c>
      <c r="D210" s="6">
        <v>9985995652</v>
      </c>
      <c r="E210" s="3" t="s">
        <v>672</v>
      </c>
      <c r="F210" s="67" t="s">
        <v>694</v>
      </c>
      <c r="G210" s="3" t="s">
        <v>416</v>
      </c>
      <c r="H210" s="38" t="s">
        <v>674</v>
      </c>
      <c r="I210" s="37" t="s">
        <v>42</v>
      </c>
      <c r="J210" s="31">
        <v>45663</v>
      </c>
      <c r="K210" s="31">
        <v>45676</v>
      </c>
      <c r="L210" s="31"/>
      <c r="M210" s="31"/>
      <c r="N210" s="31"/>
      <c r="O210" s="3" t="s">
        <v>297</v>
      </c>
    </row>
    <row r="211" spans="1:15">
      <c r="A211" s="3">
        <f t="shared" si="4"/>
        <v>210</v>
      </c>
      <c r="B211" s="41" t="s">
        <v>712</v>
      </c>
      <c r="C211" s="3">
        <v>9790545058</v>
      </c>
      <c r="D211" s="6">
        <v>9025654170</v>
      </c>
      <c r="E211" s="3" t="s">
        <v>52</v>
      </c>
      <c r="F211" s="67" t="s">
        <v>683</v>
      </c>
      <c r="G211" s="3" t="s">
        <v>18</v>
      </c>
      <c r="H211" s="4" t="s">
        <v>679</v>
      </c>
      <c r="I211" s="37" t="s">
        <v>42</v>
      </c>
      <c r="J211" s="31">
        <v>45663</v>
      </c>
      <c r="K211" s="31">
        <v>45676</v>
      </c>
      <c r="L211" s="31"/>
      <c r="M211" s="31"/>
      <c r="N211" s="31"/>
      <c r="O211" s="3" t="s">
        <v>297</v>
      </c>
    </row>
    <row r="212" spans="1:15">
      <c r="A212" s="3">
        <f t="shared" si="4"/>
        <v>211</v>
      </c>
      <c r="B212" s="41" t="s">
        <v>713</v>
      </c>
      <c r="C212" s="3">
        <v>7302319577</v>
      </c>
      <c r="D212" s="6">
        <v>9618401133</v>
      </c>
      <c r="E212" s="3" t="s">
        <v>48</v>
      </c>
      <c r="F212" s="41" t="s">
        <v>714</v>
      </c>
      <c r="G212" s="3" t="s">
        <v>424</v>
      </c>
      <c r="H212" s="4" t="s">
        <v>679</v>
      </c>
      <c r="I212" s="37" t="s">
        <v>42</v>
      </c>
      <c r="J212" s="31">
        <v>45663</v>
      </c>
      <c r="K212" s="31">
        <v>45676</v>
      </c>
      <c r="L212" s="31"/>
      <c r="M212" s="31"/>
      <c r="N212" s="31"/>
      <c r="O212" s="3" t="s">
        <v>425</v>
      </c>
    </row>
    <row r="213" spans="1:15">
      <c r="A213" s="3">
        <f t="shared" si="4"/>
        <v>212</v>
      </c>
      <c r="B213" s="98" t="s">
        <v>715</v>
      </c>
      <c r="C213" s="3">
        <v>7799392950</v>
      </c>
      <c r="D213" s="6"/>
      <c r="E213" s="3" t="s">
        <v>72</v>
      </c>
      <c r="F213" s="41" t="s">
        <v>716</v>
      </c>
      <c r="G213" s="3" t="s">
        <v>16</v>
      </c>
      <c r="H213" s="3" t="s">
        <v>717</v>
      </c>
      <c r="I213" s="37" t="s">
        <v>42</v>
      </c>
      <c r="J213" s="31">
        <v>45663</v>
      </c>
      <c r="K213" s="31">
        <v>45682</v>
      </c>
      <c r="L213" s="31">
        <v>45748</v>
      </c>
      <c r="M213" s="31">
        <v>45784</v>
      </c>
      <c r="N213" s="31">
        <v>45786</v>
      </c>
      <c r="O213" s="3" t="s">
        <v>297</v>
      </c>
    </row>
    <row r="214" spans="1:15">
      <c r="A214" s="3">
        <f t="shared" si="4"/>
        <v>213</v>
      </c>
      <c r="B214" s="98" t="s">
        <v>718</v>
      </c>
      <c r="C214" s="3">
        <v>8356964226</v>
      </c>
      <c r="D214" s="6"/>
      <c r="E214" s="3" t="s">
        <v>72</v>
      </c>
      <c r="F214" s="41" t="s">
        <v>716</v>
      </c>
      <c r="G214" s="3" t="s">
        <v>330</v>
      </c>
      <c r="H214" s="3" t="s">
        <v>717</v>
      </c>
      <c r="I214" s="37" t="s">
        <v>42</v>
      </c>
      <c r="J214" s="31">
        <v>45663</v>
      </c>
      <c r="K214" s="31">
        <v>45696</v>
      </c>
      <c r="L214" s="31">
        <v>45702</v>
      </c>
      <c r="M214" s="31">
        <v>45726</v>
      </c>
      <c r="N214" s="31">
        <v>45728</v>
      </c>
      <c r="O214" s="3" t="s">
        <v>297</v>
      </c>
    </row>
    <row r="215" spans="1:15">
      <c r="A215" s="3">
        <f t="shared" si="4"/>
        <v>214</v>
      </c>
      <c r="B215" s="41" t="s">
        <v>719</v>
      </c>
      <c r="C215" s="3">
        <v>7007632968</v>
      </c>
      <c r="D215" s="6"/>
      <c r="E215" s="3" t="s">
        <v>381</v>
      </c>
      <c r="F215" s="41" t="s">
        <v>303</v>
      </c>
      <c r="G215" s="3" t="s">
        <v>330</v>
      </c>
      <c r="H215" s="2" t="s">
        <v>296</v>
      </c>
      <c r="I215" s="37" t="s">
        <v>94</v>
      </c>
      <c r="J215" s="31">
        <v>45673</v>
      </c>
      <c r="K215" s="31">
        <v>45673</v>
      </c>
      <c r="L215" s="31">
        <v>45681</v>
      </c>
      <c r="M215" s="31">
        <v>45684</v>
      </c>
      <c r="N215" s="31">
        <v>45684</v>
      </c>
      <c r="O215" s="3" t="s">
        <v>297</v>
      </c>
    </row>
    <row r="216" spans="1:15" ht="15.6">
      <c r="A216" s="3">
        <f t="shared" si="4"/>
        <v>215</v>
      </c>
      <c r="B216" s="41" t="s">
        <v>720</v>
      </c>
      <c r="C216" s="3">
        <v>9441619171</v>
      </c>
      <c r="D216" s="6"/>
      <c r="E216" s="3" t="s">
        <v>59</v>
      </c>
      <c r="F216" s="71" t="s">
        <v>685</v>
      </c>
      <c r="G216" s="2" t="s">
        <v>16</v>
      </c>
      <c r="H216" s="3" t="s">
        <v>41</v>
      </c>
      <c r="I216" s="37" t="s">
        <v>42</v>
      </c>
      <c r="J216" s="31">
        <v>45675</v>
      </c>
      <c r="K216" s="31">
        <v>45698</v>
      </c>
      <c r="L216" s="31">
        <v>45702</v>
      </c>
      <c r="M216" s="31">
        <v>45751</v>
      </c>
      <c r="N216" s="31">
        <v>45750</v>
      </c>
      <c r="O216" s="3" t="s">
        <v>297</v>
      </c>
    </row>
    <row r="217" spans="1:15" ht="15.6">
      <c r="A217" s="3">
        <f t="shared" si="4"/>
        <v>216</v>
      </c>
      <c r="B217" s="41" t="s">
        <v>721</v>
      </c>
      <c r="C217" s="3">
        <v>9512125119</v>
      </c>
      <c r="D217" s="6"/>
      <c r="E217" s="3" t="s">
        <v>59</v>
      </c>
      <c r="F217" s="71" t="s">
        <v>685</v>
      </c>
      <c r="G217" s="3" t="s">
        <v>708</v>
      </c>
      <c r="H217" s="3" t="s">
        <v>41</v>
      </c>
      <c r="I217" s="37" t="s">
        <v>42</v>
      </c>
      <c r="J217" s="31">
        <v>45675</v>
      </c>
      <c r="K217" s="31">
        <v>45677</v>
      </c>
      <c r="L217" s="31"/>
      <c r="M217" s="31"/>
      <c r="N217" s="31"/>
      <c r="O217" s="3" t="s">
        <v>297</v>
      </c>
    </row>
    <row r="218" spans="1:15">
      <c r="A218" s="3">
        <f t="shared" si="4"/>
        <v>217</v>
      </c>
      <c r="B218" s="41" t="s">
        <v>722</v>
      </c>
      <c r="C218" s="3">
        <v>9000210214</v>
      </c>
      <c r="D218" s="6"/>
      <c r="E218" s="3" t="s">
        <v>723</v>
      </c>
      <c r="F218" s="41" t="s">
        <v>397</v>
      </c>
      <c r="G218" s="3" t="s">
        <v>295</v>
      </c>
      <c r="H218" s="3" t="s">
        <v>162</v>
      </c>
      <c r="I218" s="37" t="s">
        <v>94</v>
      </c>
      <c r="J218" s="31">
        <v>45675</v>
      </c>
      <c r="K218" s="31">
        <v>45682</v>
      </c>
      <c r="L218" s="31">
        <v>45682</v>
      </c>
      <c r="M218" s="31">
        <v>45706</v>
      </c>
      <c r="N218" s="31"/>
      <c r="O218" s="3" t="s">
        <v>297</v>
      </c>
    </row>
    <row r="219" spans="1:15">
      <c r="A219" s="3">
        <f t="shared" si="4"/>
        <v>218</v>
      </c>
      <c r="B219" s="41" t="s">
        <v>724</v>
      </c>
      <c r="C219" s="3">
        <v>9182437151</v>
      </c>
      <c r="D219" s="6"/>
      <c r="E219" s="3" t="s">
        <v>475</v>
      </c>
      <c r="F219" s="41" t="s">
        <v>725</v>
      </c>
      <c r="G219" s="3" t="s">
        <v>16</v>
      </c>
      <c r="H219" s="3" t="s">
        <v>162</v>
      </c>
      <c r="I219" s="37" t="s">
        <v>94</v>
      </c>
      <c r="J219" s="31">
        <v>45675</v>
      </c>
      <c r="K219" s="31">
        <v>45682</v>
      </c>
      <c r="L219" s="31">
        <v>45682</v>
      </c>
      <c r="M219" s="31">
        <v>45706</v>
      </c>
      <c r="N219" s="31">
        <v>45706</v>
      </c>
      <c r="O219" s="3" t="s">
        <v>297</v>
      </c>
    </row>
    <row r="220" spans="1:15">
      <c r="A220" s="3">
        <f t="shared" si="4"/>
        <v>219</v>
      </c>
      <c r="B220" s="41" t="s">
        <v>726</v>
      </c>
      <c r="C220" s="39">
        <v>9581657322</v>
      </c>
      <c r="D220" s="6"/>
      <c r="E220" s="3" t="s">
        <v>355</v>
      </c>
      <c r="F220" s="41" t="s">
        <v>727</v>
      </c>
      <c r="G220" s="3" t="s">
        <v>416</v>
      </c>
      <c r="H220" s="3" t="s">
        <v>357</v>
      </c>
      <c r="I220" s="37" t="s">
        <v>94</v>
      </c>
      <c r="J220" s="31">
        <v>45675</v>
      </c>
      <c r="K220" s="31">
        <v>45678</v>
      </c>
      <c r="L220" s="31"/>
      <c r="M220" s="31"/>
      <c r="N220" s="31"/>
      <c r="O220" s="3" t="s">
        <v>297</v>
      </c>
    </row>
    <row r="221" spans="1:15">
      <c r="A221" s="3">
        <f t="shared" si="4"/>
        <v>220</v>
      </c>
      <c r="B221" s="68" t="s">
        <v>728</v>
      </c>
      <c r="C221" s="39">
        <v>8240905168</v>
      </c>
      <c r="D221" s="6"/>
      <c r="E221" s="3" t="s">
        <v>386</v>
      </c>
      <c r="F221" s="41" t="s">
        <v>268</v>
      </c>
      <c r="G221" s="3" t="s">
        <v>416</v>
      </c>
      <c r="H221" s="3" t="s">
        <v>357</v>
      </c>
      <c r="I221" s="37" t="s">
        <v>94</v>
      </c>
      <c r="J221" s="31">
        <v>45675</v>
      </c>
      <c r="K221" s="31">
        <v>45678</v>
      </c>
      <c r="L221" s="31"/>
      <c r="M221" s="31"/>
      <c r="N221" s="31"/>
      <c r="O221" s="3" t="s">
        <v>297</v>
      </c>
    </row>
    <row r="222" spans="1:15">
      <c r="A222" s="3">
        <f t="shared" si="4"/>
        <v>221</v>
      </c>
      <c r="B222" s="68" t="s">
        <v>729</v>
      </c>
      <c r="C222" s="39">
        <v>9848285462</v>
      </c>
      <c r="D222" s="6"/>
      <c r="E222" s="3" t="s">
        <v>355</v>
      </c>
      <c r="F222" s="41" t="s">
        <v>727</v>
      </c>
      <c r="G222" s="3" t="s">
        <v>416</v>
      </c>
      <c r="H222" s="3" t="s">
        <v>357</v>
      </c>
      <c r="I222" s="37" t="s">
        <v>94</v>
      </c>
      <c r="J222" s="31">
        <v>45675</v>
      </c>
      <c r="K222" s="31">
        <v>45678</v>
      </c>
      <c r="L222" s="31"/>
      <c r="M222" s="31"/>
      <c r="N222" s="31"/>
      <c r="O222" s="3" t="s">
        <v>297</v>
      </c>
    </row>
    <row r="223" spans="1:15">
      <c r="A223" s="3">
        <f t="shared" si="4"/>
        <v>222</v>
      </c>
      <c r="B223" s="41" t="s">
        <v>730</v>
      </c>
      <c r="C223" s="39">
        <v>9110033140</v>
      </c>
      <c r="D223" s="6"/>
      <c r="E223" s="3" t="s">
        <v>355</v>
      </c>
      <c r="F223" s="41" t="s">
        <v>727</v>
      </c>
      <c r="G223" s="3" t="s">
        <v>416</v>
      </c>
      <c r="H223" s="3" t="s">
        <v>357</v>
      </c>
      <c r="I223" s="37" t="s">
        <v>94</v>
      </c>
      <c r="J223" s="31">
        <v>45675</v>
      </c>
      <c r="K223" s="31">
        <v>45678</v>
      </c>
      <c r="L223" s="31"/>
      <c r="M223" s="31"/>
      <c r="N223" s="31"/>
      <c r="O223" s="3" t="s">
        <v>297</v>
      </c>
    </row>
    <row r="224" spans="1:15">
      <c r="A224" s="3">
        <f t="shared" si="4"/>
        <v>223</v>
      </c>
      <c r="B224" s="41" t="s">
        <v>731</v>
      </c>
      <c r="C224" s="39">
        <v>8789732524</v>
      </c>
      <c r="D224" s="6"/>
      <c r="E224" s="3" t="s">
        <v>355</v>
      </c>
      <c r="F224" s="41" t="s">
        <v>727</v>
      </c>
      <c r="G224" s="3" t="s">
        <v>424</v>
      </c>
      <c r="H224" s="3" t="s">
        <v>357</v>
      </c>
      <c r="I224" s="37" t="s">
        <v>94</v>
      </c>
      <c r="J224" s="31">
        <v>45675</v>
      </c>
      <c r="K224" s="31">
        <v>45678</v>
      </c>
      <c r="L224" s="31"/>
      <c r="M224" s="31"/>
      <c r="N224" s="31"/>
      <c r="O224" s="3" t="s">
        <v>425</v>
      </c>
    </row>
    <row r="225" spans="1:15">
      <c r="A225" s="3">
        <f t="shared" si="4"/>
        <v>224</v>
      </c>
      <c r="B225" s="41" t="s">
        <v>732</v>
      </c>
      <c r="C225" s="39">
        <v>8707372035</v>
      </c>
      <c r="D225" s="6">
        <v>8576900946</v>
      </c>
      <c r="E225" s="3" t="s">
        <v>386</v>
      </c>
      <c r="F225" s="41" t="s">
        <v>268</v>
      </c>
      <c r="G225" s="3" t="s">
        <v>416</v>
      </c>
      <c r="H225" s="3" t="s">
        <v>357</v>
      </c>
      <c r="I225" s="37" t="s">
        <v>94</v>
      </c>
      <c r="J225" s="31">
        <v>45675</v>
      </c>
      <c r="K225" s="31">
        <v>45678</v>
      </c>
      <c r="L225" s="31"/>
      <c r="M225" s="31"/>
      <c r="N225" s="31"/>
      <c r="O225" s="3" t="s">
        <v>297</v>
      </c>
    </row>
    <row r="226" spans="1:15">
      <c r="A226" s="3">
        <f t="shared" si="4"/>
        <v>225</v>
      </c>
      <c r="B226" s="68" t="s">
        <v>733</v>
      </c>
      <c r="C226" s="39">
        <v>9799461601</v>
      </c>
      <c r="D226" s="6"/>
      <c r="E226" s="3" t="s">
        <v>355</v>
      </c>
      <c r="F226" s="41" t="s">
        <v>727</v>
      </c>
      <c r="G226" s="3" t="s">
        <v>416</v>
      </c>
      <c r="H226" s="3" t="s">
        <v>357</v>
      </c>
      <c r="I226" s="37" t="s">
        <v>94</v>
      </c>
      <c r="J226" s="31">
        <v>45675</v>
      </c>
      <c r="K226" s="31">
        <v>45678</v>
      </c>
      <c r="L226" s="31"/>
      <c r="M226" s="31"/>
      <c r="N226" s="31"/>
      <c r="O226" s="3" t="s">
        <v>297</v>
      </c>
    </row>
    <row r="227" spans="1:15">
      <c r="A227" s="3">
        <f t="shared" si="4"/>
        <v>226</v>
      </c>
      <c r="B227" s="68" t="s">
        <v>734</v>
      </c>
      <c r="C227" s="39">
        <v>7992454180</v>
      </c>
      <c r="D227" s="6">
        <v>8507177517</v>
      </c>
      <c r="E227" s="3" t="s">
        <v>355</v>
      </c>
      <c r="F227" s="41" t="s">
        <v>727</v>
      </c>
      <c r="G227" s="3" t="s">
        <v>416</v>
      </c>
      <c r="H227" s="3" t="s">
        <v>357</v>
      </c>
      <c r="I227" s="37" t="s">
        <v>94</v>
      </c>
      <c r="J227" s="31">
        <v>45675</v>
      </c>
      <c r="K227" s="31">
        <v>45678</v>
      </c>
      <c r="L227" s="31"/>
      <c r="M227" s="31"/>
      <c r="N227" s="31"/>
      <c r="O227" s="3" t="s">
        <v>297</v>
      </c>
    </row>
    <row r="228" spans="1:15" ht="15.6">
      <c r="A228" s="3">
        <f t="shared" si="4"/>
        <v>227</v>
      </c>
      <c r="B228" s="70" t="s">
        <v>735</v>
      </c>
      <c r="C228" s="3">
        <v>8639653124</v>
      </c>
      <c r="D228" s="6"/>
      <c r="E228" s="3" t="s">
        <v>72</v>
      </c>
      <c r="F228" s="70" t="s">
        <v>736</v>
      </c>
      <c r="G228" s="2" t="s">
        <v>330</v>
      </c>
      <c r="H228" s="3" t="s">
        <v>717</v>
      </c>
      <c r="I228" s="37" t="s">
        <v>42</v>
      </c>
      <c r="J228" s="31">
        <v>45675</v>
      </c>
      <c r="K228" s="31">
        <v>45696</v>
      </c>
      <c r="L228" s="31">
        <v>45716</v>
      </c>
      <c r="M228" s="31">
        <v>45737</v>
      </c>
      <c r="N228" s="31">
        <v>45740</v>
      </c>
      <c r="O228" s="3" t="s">
        <v>297</v>
      </c>
    </row>
    <row r="229" spans="1:15">
      <c r="A229" s="3">
        <f t="shared" si="4"/>
        <v>228</v>
      </c>
      <c r="B229" s="41" t="s">
        <v>737</v>
      </c>
      <c r="C229" s="3">
        <v>9039521852</v>
      </c>
      <c r="D229" s="6"/>
      <c r="E229" s="3" t="s">
        <v>72</v>
      </c>
      <c r="F229" s="41" t="s">
        <v>738</v>
      </c>
      <c r="G229" s="3" t="s">
        <v>16</v>
      </c>
      <c r="H229" s="3" t="s">
        <v>717</v>
      </c>
      <c r="I229" s="37" t="s">
        <v>42</v>
      </c>
      <c r="J229" s="31">
        <v>45675</v>
      </c>
      <c r="K229" s="31">
        <v>45696</v>
      </c>
      <c r="L229" s="31">
        <v>45765</v>
      </c>
      <c r="M229" s="31">
        <v>45809</v>
      </c>
      <c r="N229" s="31">
        <v>45808</v>
      </c>
      <c r="O229" s="3" t="s">
        <v>297</v>
      </c>
    </row>
    <row r="230" spans="1:15">
      <c r="A230" s="3">
        <f t="shared" si="4"/>
        <v>229</v>
      </c>
      <c r="B230" s="99" t="s">
        <v>739</v>
      </c>
      <c r="C230" s="3">
        <v>6202284113</v>
      </c>
      <c r="D230" s="6"/>
      <c r="E230" s="3" t="s">
        <v>85</v>
      </c>
      <c r="F230" s="41" t="s">
        <v>740</v>
      </c>
      <c r="G230" s="3" t="s">
        <v>16</v>
      </c>
      <c r="H230" s="3" t="s">
        <v>717</v>
      </c>
      <c r="I230" s="37" t="s">
        <v>42</v>
      </c>
      <c r="J230" s="31">
        <v>45675</v>
      </c>
      <c r="K230" s="31">
        <v>45696</v>
      </c>
      <c r="L230" s="31">
        <v>45702</v>
      </c>
      <c r="M230" s="31">
        <v>45726</v>
      </c>
      <c r="N230" s="31">
        <v>45726</v>
      </c>
      <c r="O230" s="3" t="s">
        <v>297</v>
      </c>
    </row>
    <row r="231" spans="1:15">
      <c r="A231" s="3">
        <f t="shared" si="4"/>
        <v>230</v>
      </c>
      <c r="B231" s="41" t="s">
        <v>741</v>
      </c>
      <c r="C231" s="3">
        <v>9666505221</v>
      </c>
      <c r="D231" s="6">
        <v>9533358869</v>
      </c>
      <c r="E231" s="3" t="s">
        <v>72</v>
      </c>
      <c r="F231" s="41" t="s">
        <v>742</v>
      </c>
      <c r="G231" s="3" t="s">
        <v>424</v>
      </c>
      <c r="H231" s="3" t="s">
        <v>717</v>
      </c>
      <c r="I231" s="37" t="s">
        <v>42</v>
      </c>
      <c r="J231" s="31">
        <v>45675</v>
      </c>
      <c r="K231" s="31">
        <v>45696</v>
      </c>
      <c r="L231" s="31"/>
      <c r="M231" s="31"/>
      <c r="N231" s="31"/>
      <c r="O231" s="3" t="s">
        <v>425</v>
      </c>
    </row>
    <row r="232" spans="1:15">
      <c r="A232" s="3">
        <f t="shared" si="4"/>
        <v>231</v>
      </c>
      <c r="B232" s="41" t="s">
        <v>743</v>
      </c>
      <c r="C232" s="3">
        <v>9004124924</v>
      </c>
      <c r="D232" s="6"/>
      <c r="E232" s="3" t="s">
        <v>52</v>
      </c>
      <c r="F232" s="41" t="s">
        <v>744</v>
      </c>
      <c r="G232" s="3" t="s">
        <v>18</v>
      </c>
      <c r="H232" s="3" t="s">
        <v>41</v>
      </c>
      <c r="I232" s="37" t="s">
        <v>42</v>
      </c>
      <c r="J232" s="31">
        <v>45675</v>
      </c>
      <c r="K232" s="31">
        <v>45679</v>
      </c>
      <c r="L232" s="31"/>
      <c r="M232" s="31"/>
      <c r="N232" s="31"/>
      <c r="O232" s="3" t="s">
        <v>297</v>
      </c>
    </row>
    <row r="233" spans="1:15">
      <c r="A233" s="3">
        <f t="shared" si="4"/>
        <v>232</v>
      </c>
      <c r="B233" s="41" t="s">
        <v>745</v>
      </c>
      <c r="C233" s="3">
        <v>8247500806</v>
      </c>
      <c r="D233" s="6"/>
      <c r="E233" s="3" t="s">
        <v>72</v>
      </c>
      <c r="F233" s="67" t="s">
        <v>746</v>
      </c>
      <c r="G233" s="3" t="s">
        <v>16</v>
      </c>
      <c r="H233" s="3" t="s">
        <v>717</v>
      </c>
      <c r="I233" s="37" t="s">
        <v>42</v>
      </c>
      <c r="J233" s="31">
        <v>45675</v>
      </c>
      <c r="K233" s="31">
        <v>45696</v>
      </c>
      <c r="L233" s="31">
        <v>45703</v>
      </c>
      <c r="M233" s="31">
        <v>45735</v>
      </c>
      <c r="N233" s="31">
        <v>45734</v>
      </c>
      <c r="O233" s="3" t="s">
        <v>297</v>
      </c>
    </row>
    <row r="234" spans="1:15">
      <c r="A234" s="3">
        <f t="shared" si="4"/>
        <v>233</v>
      </c>
      <c r="B234" s="41" t="s">
        <v>747</v>
      </c>
      <c r="C234" s="3">
        <v>8798024950</v>
      </c>
      <c r="D234" s="6">
        <v>9935226820</v>
      </c>
      <c r="E234" s="3" t="s">
        <v>79</v>
      </c>
      <c r="F234" s="67" t="s">
        <v>748</v>
      </c>
      <c r="G234" s="3" t="s">
        <v>424</v>
      </c>
      <c r="H234" s="3" t="s">
        <v>717</v>
      </c>
      <c r="I234" s="37" t="s">
        <v>42</v>
      </c>
      <c r="J234" s="31">
        <v>45675</v>
      </c>
      <c r="K234" s="31">
        <v>45696</v>
      </c>
      <c r="L234" s="31"/>
      <c r="M234" s="31"/>
      <c r="N234" s="31"/>
      <c r="O234" s="3" t="s">
        <v>749</v>
      </c>
    </row>
    <row r="235" spans="1:15">
      <c r="A235" s="3">
        <f t="shared" si="4"/>
        <v>234</v>
      </c>
      <c r="B235" s="41" t="s">
        <v>750</v>
      </c>
      <c r="C235" s="3">
        <v>8919035801</v>
      </c>
      <c r="D235" s="6"/>
      <c r="E235" s="3" t="s">
        <v>67</v>
      </c>
      <c r="F235" s="73" t="s">
        <v>751</v>
      </c>
      <c r="G235" s="2" t="s">
        <v>16</v>
      </c>
      <c r="H235" s="3" t="s">
        <v>752</v>
      </c>
      <c r="I235" s="37" t="s">
        <v>42</v>
      </c>
      <c r="J235" s="31">
        <v>45675</v>
      </c>
      <c r="K235" s="31">
        <v>45688</v>
      </c>
      <c r="L235" s="31">
        <v>45702</v>
      </c>
      <c r="M235" s="31">
        <v>45740</v>
      </c>
      <c r="N235" s="31">
        <v>45748</v>
      </c>
      <c r="O235" s="3" t="s">
        <v>297</v>
      </c>
    </row>
    <row r="236" spans="1:15">
      <c r="A236" s="3">
        <f t="shared" si="4"/>
        <v>235</v>
      </c>
      <c r="B236" s="100" t="s">
        <v>753</v>
      </c>
      <c r="C236" s="3">
        <v>8220188085</v>
      </c>
      <c r="D236" s="6"/>
      <c r="E236" s="3" t="s">
        <v>67</v>
      </c>
      <c r="F236" s="67" t="s">
        <v>754</v>
      </c>
      <c r="G236" s="3" t="s">
        <v>330</v>
      </c>
      <c r="H236" s="3" t="s">
        <v>752</v>
      </c>
      <c r="I236" s="37" t="s">
        <v>42</v>
      </c>
      <c r="J236" s="31">
        <v>45675</v>
      </c>
      <c r="K236" s="31">
        <v>45688</v>
      </c>
      <c r="L236" s="31">
        <v>45695</v>
      </c>
      <c r="M236" s="31">
        <v>45726</v>
      </c>
      <c r="N236" s="31">
        <v>45726</v>
      </c>
      <c r="O236" s="3" t="s">
        <v>297</v>
      </c>
    </row>
    <row r="237" spans="1:15">
      <c r="A237" s="3">
        <f t="shared" si="4"/>
        <v>236</v>
      </c>
      <c r="B237" s="41" t="s">
        <v>755</v>
      </c>
      <c r="C237" s="3">
        <v>7989864712</v>
      </c>
      <c r="D237" s="6"/>
      <c r="E237" s="3" t="s">
        <v>67</v>
      </c>
      <c r="F237" s="73" t="s">
        <v>751</v>
      </c>
      <c r="G237" s="3" t="s">
        <v>16</v>
      </c>
      <c r="H237" s="3" t="s">
        <v>752</v>
      </c>
      <c r="I237" s="37" t="s">
        <v>42</v>
      </c>
      <c r="J237" s="31">
        <v>45675</v>
      </c>
      <c r="K237" s="31">
        <v>45688</v>
      </c>
      <c r="L237" s="31">
        <v>45709</v>
      </c>
      <c r="M237" s="31">
        <v>45744</v>
      </c>
      <c r="N237" s="31">
        <v>45744</v>
      </c>
      <c r="O237" s="3" t="s">
        <v>297</v>
      </c>
    </row>
    <row r="238" spans="1:15">
      <c r="A238" s="3">
        <f t="shared" si="4"/>
        <v>237</v>
      </c>
      <c r="B238" s="41" t="s">
        <v>756</v>
      </c>
      <c r="C238" s="27">
        <v>9885102843</v>
      </c>
      <c r="D238" s="6"/>
      <c r="E238" s="3" t="s">
        <v>75</v>
      </c>
      <c r="F238" s="41" t="s">
        <v>313</v>
      </c>
      <c r="G238" s="3" t="s">
        <v>416</v>
      </c>
      <c r="H238" s="3" t="s">
        <v>752</v>
      </c>
      <c r="I238" s="37" t="s">
        <v>42</v>
      </c>
      <c r="J238" s="31">
        <v>45675</v>
      </c>
      <c r="K238" s="31">
        <v>45688</v>
      </c>
      <c r="L238" s="31"/>
      <c r="M238" s="31"/>
      <c r="N238" s="31"/>
      <c r="O238" s="3" t="s">
        <v>297</v>
      </c>
    </row>
    <row r="239" spans="1:15">
      <c r="A239" s="3">
        <f t="shared" si="4"/>
        <v>238</v>
      </c>
      <c r="B239" s="41" t="s">
        <v>757</v>
      </c>
      <c r="C239" s="3">
        <v>9502271098</v>
      </c>
      <c r="D239" s="6">
        <v>9494231098</v>
      </c>
      <c r="E239" s="3" t="s">
        <v>67</v>
      </c>
      <c r="F239" s="67" t="s">
        <v>758</v>
      </c>
      <c r="G239" s="3" t="s">
        <v>424</v>
      </c>
      <c r="H239" s="3" t="s">
        <v>752</v>
      </c>
      <c r="I239" s="37" t="s">
        <v>42</v>
      </c>
      <c r="J239" s="31">
        <v>45675</v>
      </c>
      <c r="K239" s="31">
        <v>45688</v>
      </c>
      <c r="L239" s="31"/>
      <c r="M239" s="31"/>
      <c r="N239" s="31"/>
      <c r="O239" s="3" t="s">
        <v>425</v>
      </c>
    </row>
    <row r="240" spans="1:15">
      <c r="A240" s="3">
        <f t="shared" si="4"/>
        <v>239</v>
      </c>
      <c r="B240" s="41" t="s">
        <v>759</v>
      </c>
      <c r="C240" s="3">
        <v>8008238231</v>
      </c>
      <c r="D240" s="6"/>
      <c r="E240" s="3" t="s">
        <v>75</v>
      </c>
      <c r="F240" s="67" t="s">
        <v>760</v>
      </c>
      <c r="G240" s="3" t="s">
        <v>424</v>
      </c>
      <c r="H240" s="3" t="s">
        <v>752</v>
      </c>
      <c r="I240" s="37" t="s">
        <v>42</v>
      </c>
      <c r="J240" s="31">
        <v>45675</v>
      </c>
      <c r="K240" s="31">
        <v>45675</v>
      </c>
      <c r="L240" s="31"/>
      <c r="M240" s="31"/>
      <c r="N240" s="31"/>
      <c r="O240" s="3" t="s">
        <v>749</v>
      </c>
    </row>
    <row r="241" spans="1:15">
      <c r="A241" s="3">
        <f t="shared" si="4"/>
        <v>240</v>
      </c>
      <c r="B241" s="41" t="s">
        <v>761</v>
      </c>
      <c r="C241" s="3">
        <v>9441773961</v>
      </c>
      <c r="D241" s="6"/>
      <c r="E241" s="3" t="s">
        <v>67</v>
      </c>
      <c r="F241" s="73" t="s">
        <v>751</v>
      </c>
      <c r="G241" s="3" t="s">
        <v>295</v>
      </c>
      <c r="H241" s="3" t="s">
        <v>752</v>
      </c>
      <c r="I241" s="37" t="s">
        <v>42</v>
      </c>
      <c r="J241" s="31">
        <v>45675</v>
      </c>
      <c r="K241" s="31">
        <v>45688</v>
      </c>
      <c r="L241" s="31">
        <v>45695</v>
      </c>
      <c r="M241" s="31">
        <v>45757</v>
      </c>
      <c r="N241" s="31"/>
      <c r="O241" s="3" t="s">
        <v>297</v>
      </c>
    </row>
    <row r="242" spans="1:15">
      <c r="A242" s="3">
        <f t="shared" si="4"/>
        <v>241</v>
      </c>
      <c r="B242" s="100" t="s">
        <v>762</v>
      </c>
      <c r="C242" s="3">
        <v>6300410767</v>
      </c>
      <c r="D242" s="6"/>
      <c r="E242" s="3" t="s">
        <v>67</v>
      </c>
      <c r="F242" s="73" t="s">
        <v>751</v>
      </c>
      <c r="G242" s="3" t="s">
        <v>16</v>
      </c>
      <c r="H242" s="3" t="s">
        <v>752</v>
      </c>
      <c r="I242" s="37" t="s">
        <v>42</v>
      </c>
      <c r="J242" s="31">
        <v>45675</v>
      </c>
      <c r="K242" s="31">
        <v>45688</v>
      </c>
      <c r="L242" s="31">
        <v>45702</v>
      </c>
      <c r="M242" s="31">
        <v>45765</v>
      </c>
      <c r="N242" s="31">
        <v>45765</v>
      </c>
      <c r="O242" s="3" t="s">
        <v>297</v>
      </c>
    </row>
    <row r="243" spans="1:15">
      <c r="A243" s="3">
        <f t="shared" si="4"/>
        <v>242</v>
      </c>
      <c r="B243" s="41" t="s">
        <v>763</v>
      </c>
      <c r="C243" s="3">
        <v>6309624503</v>
      </c>
      <c r="D243" s="6"/>
      <c r="E243" s="3" t="s">
        <v>52</v>
      </c>
      <c r="F243" s="67" t="s">
        <v>694</v>
      </c>
      <c r="G243" s="3" t="s">
        <v>764</v>
      </c>
      <c r="H243" s="3" t="s">
        <v>660</v>
      </c>
      <c r="I243" s="37" t="s">
        <v>42</v>
      </c>
      <c r="J243" s="31">
        <v>45675</v>
      </c>
      <c r="K243" s="31"/>
      <c r="L243" s="31"/>
      <c r="M243" s="31"/>
      <c r="N243" s="31"/>
      <c r="O243" s="3" t="s">
        <v>425</v>
      </c>
    </row>
    <row r="244" spans="1:15">
      <c r="A244" s="3">
        <f t="shared" si="4"/>
        <v>243</v>
      </c>
      <c r="B244" s="41" t="s">
        <v>765</v>
      </c>
      <c r="C244" s="3">
        <v>7999809230</v>
      </c>
      <c r="D244" s="6"/>
      <c r="E244" s="3" t="s">
        <v>75</v>
      </c>
      <c r="F244" s="67" t="s">
        <v>766</v>
      </c>
      <c r="G244" s="3" t="s">
        <v>424</v>
      </c>
      <c r="H244" s="3" t="s">
        <v>752</v>
      </c>
      <c r="I244" s="37" t="s">
        <v>42</v>
      </c>
      <c r="J244" s="31">
        <v>45675</v>
      </c>
      <c r="K244" s="31">
        <v>45689</v>
      </c>
      <c r="L244" s="31"/>
      <c r="M244" s="31"/>
      <c r="N244" s="31"/>
      <c r="O244" s="3" t="s">
        <v>749</v>
      </c>
    </row>
    <row r="245" spans="1:15">
      <c r="A245" s="3">
        <f t="shared" si="4"/>
        <v>244</v>
      </c>
      <c r="B245" s="100" t="s">
        <v>767</v>
      </c>
      <c r="C245" s="3">
        <v>9704525850</v>
      </c>
      <c r="D245" s="6"/>
      <c r="E245" s="3" t="s">
        <v>82</v>
      </c>
      <c r="F245" s="67" t="s">
        <v>768</v>
      </c>
      <c r="G245" s="3" t="s">
        <v>16</v>
      </c>
      <c r="H245" s="3" t="s">
        <v>752</v>
      </c>
      <c r="I245" s="37" t="s">
        <v>42</v>
      </c>
      <c r="J245" s="31">
        <v>45675</v>
      </c>
      <c r="K245" s="31">
        <v>45689</v>
      </c>
      <c r="L245" s="31">
        <v>45716</v>
      </c>
      <c r="M245" s="31">
        <v>45726</v>
      </c>
      <c r="N245" s="31">
        <v>45733</v>
      </c>
      <c r="O245" s="3" t="s">
        <v>297</v>
      </c>
    </row>
    <row r="246" spans="1:15">
      <c r="A246" s="3">
        <f t="shared" si="4"/>
        <v>245</v>
      </c>
      <c r="B246" s="100" t="s">
        <v>769</v>
      </c>
      <c r="C246" s="3">
        <v>9502515990</v>
      </c>
      <c r="D246" s="6"/>
      <c r="E246" s="3" t="s">
        <v>75</v>
      </c>
      <c r="F246" s="67" t="s">
        <v>770</v>
      </c>
      <c r="G246" s="3" t="s">
        <v>16</v>
      </c>
      <c r="H246" s="3" t="s">
        <v>752</v>
      </c>
      <c r="I246" s="37" t="s">
        <v>42</v>
      </c>
      <c r="J246" s="31">
        <v>45675</v>
      </c>
      <c r="K246" s="31">
        <v>45693</v>
      </c>
      <c r="L246" s="31">
        <v>45699</v>
      </c>
      <c r="M246" s="31">
        <v>45723</v>
      </c>
      <c r="N246" s="31">
        <v>45719</v>
      </c>
      <c r="O246" s="3" t="s">
        <v>297</v>
      </c>
    </row>
    <row r="247" spans="1:15">
      <c r="A247" s="3">
        <f t="shared" si="4"/>
        <v>246</v>
      </c>
      <c r="B247" s="41" t="s">
        <v>771</v>
      </c>
      <c r="C247" s="3">
        <v>8339996255</v>
      </c>
      <c r="D247" s="6"/>
      <c r="E247" s="3" t="s">
        <v>75</v>
      </c>
      <c r="F247" s="67" t="s">
        <v>772</v>
      </c>
      <c r="G247" s="3" t="s">
        <v>416</v>
      </c>
      <c r="H247" s="3" t="s">
        <v>752</v>
      </c>
      <c r="I247" s="37" t="s">
        <v>42</v>
      </c>
      <c r="J247" s="31">
        <v>45675</v>
      </c>
      <c r="K247" s="31">
        <v>45693</v>
      </c>
      <c r="L247" s="31"/>
      <c r="M247" s="31"/>
      <c r="N247" s="31"/>
      <c r="O247" s="3" t="s">
        <v>297</v>
      </c>
    </row>
    <row r="248" spans="1:15">
      <c r="A248" s="3">
        <f t="shared" si="4"/>
        <v>247</v>
      </c>
      <c r="B248" s="41" t="s">
        <v>773</v>
      </c>
      <c r="C248" s="3">
        <v>9553627420</v>
      </c>
      <c r="D248" s="6"/>
      <c r="E248" s="3" t="s">
        <v>75</v>
      </c>
      <c r="F248" s="67" t="s">
        <v>774</v>
      </c>
      <c r="G248" s="3" t="s">
        <v>424</v>
      </c>
      <c r="H248" s="3" t="s">
        <v>752</v>
      </c>
      <c r="I248" s="37" t="s">
        <v>42</v>
      </c>
      <c r="J248" s="31">
        <v>45675</v>
      </c>
      <c r="K248" s="31">
        <v>45735</v>
      </c>
      <c r="L248" s="31"/>
      <c r="M248" s="31"/>
      <c r="N248" s="31"/>
      <c r="O248" s="3" t="s">
        <v>425</v>
      </c>
    </row>
    <row r="249" spans="1:15">
      <c r="A249" s="3">
        <f t="shared" si="4"/>
        <v>248</v>
      </c>
      <c r="B249" s="41" t="s">
        <v>775</v>
      </c>
      <c r="C249" s="3">
        <v>8500475281</v>
      </c>
      <c r="D249" s="6">
        <v>9154937911</v>
      </c>
      <c r="E249" s="3" t="s">
        <v>75</v>
      </c>
      <c r="F249" s="67" t="s">
        <v>774</v>
      </c>
      <c r="G249" s="3" t="s">
        <v>424</v>
      </c>
      <c r="H249" s="3" t="s">
        <v>752</v>
      </c>
      <c r="I249" s="37" t="s">
        <v>42</v>
      </c>
      <c r="J249" s="31">
        <v>45675</v>
      </c>
      <c r="K249" s="31">
        <v>45675</v>
      </c>
      <c r="L249" s="31"/>
      <c r="M249" s="31"/>
      <c r="N249" s="31"/>
      <c r="O249" s="3" t="s">
        <v>749</v>
      </c>
    </row>
    <row r="250" spans="1:15">
      <c r="A250" s="3">
        <f t="shared" ref="A250:A313" si="5">ROW()-1</f>
        <v>249</v>
      </c>
      <c r="B250" s="41" t="s">
        <v>776</v>
      </c>
      <c r="C250" s="3">
        <v>9640732472</v>
      </c>
      <c r="D250" s="6"/>
      <c r="E250" s="3" t="s">
        <v>67</v>
      </c>
      <c r="F250" s="67" t="s">
        <v>777</v>
      </c>
      <c r="G250" s="3" t="s">
        <v>295</v>
      </c>
      <c r="H250" s="3" t="s">
        <v>752</v>
      </c>
      <c r="I250" s="37" t="s">
        <v>42</v>
      </c>
      <c r="J250" s="31">
        <v>45675</v>
      </c>
      <c r="K250" s="31">
        <v>45689</v>
      </c>
      <c r="L250" s="31">
        <v>45702</v>
      </c>
      <c r="M250" s="31">
        <v>45757</v>
      </c>
      <c r="N250" s="31"/>
      <c r="O250" s="3" t="s">
        <v>297</v>
      </c>
    </row>
    <row r="251" spans="1:15">
      <c r="A251" s="3">
        <f t="shared" si="5"/>
        <v>250</v>
      </c>
      <c r="B251" s="41" t="s">
        <v>778</v>
      </c>
      <c r="C251" s="3">
        <v>7862928270</v>
      </c>
      <c r="D251" s="6">
        <v>9451502580</v>
      </c>
      <c r="E251" s="3" t="s">
        <v>75</v>
      </c>
      <c r="F251" s="67" t="s">
        <v>774</v>
      </c>
      <c r="G251" s="3" t="s">
        <v>424</v>
      </c>
      <c r="H251" s="3" t="s">
        <v>752</v>
      </c>
      <c r="I251" s="37" t="s">
        <v>42</v>
      </c>
      <c r="J251" s="31">
        <v>45675</v>
      </c>
      <c r="K251" s="31">
        <v>45693</v>
      </c>
      <c r="L251" s="31"/>
      <c r="M251" s="31"/>
      <c r="N251" s="31"/>
      <c r="O251" s="3" t="s">
        <v>749</v>
      </c>
    </row>
    <row r="252" spans="1:15">
      <c r="A252" s="3">
        <f t="shared" si="5"/>
        <v>251</v>
      </c>
      <c r="B252" s="41" t="s">
        <v>779</v>
      </c>
      <c r="C252" s="3">
        <v>8807281816</v>
      </c>
      <c r="D252" s="6"/>
      <c r="E252" s="3" t="s">
        <v>598</v>
      </c>
      <c r="F252" s="41" t="s">
        <v>599</v>
      </c>
      <c r="G252" s="3" t="s">
        <v>330</v>
      </c>
      <c r="H252" s="3" t="s">
        <v>582</v>
      </c>
      <c r="I252" s="37" t="s">
        <v>88</v>
      </c>
      <c r="J252" s="31">
        <v>45677</v>
      </c>
      <c r="K252" s="31">
        <v>45677</v>
      </c>
      <c r="L252" s="31">
        <v>45678</v>
      </c>
      <c r="M252" s="31">
        <v>45686</v>
      </c>
      <c r="N252" s="31">
        <v>45686</v>
      </c>
      <c r="O252" s="3" t="s">
        <v>297</v>
      </c>
    </row>
    <row r="253" spans="1:15">
      <c r="A253" s="3">
        <f t="shared" si="5"/>
        <v>252</v>
      </c>
      <c r="B253" s="41" t="s">
        <v>780</v>
      </c>
      <c r="C253" s="3">
        <v>9490769273</v>
      </c>
      <c r="D253" s="6"/>
      <c r="E253" s="3" t="s">
        <v>781</v>
      </c>
      <c r="F253" s="41" t="s">
        <v>626</v>
      </c>
      <c r="G253" s="3" t="s">
        <v>16</v>
      </c>
      <c r="H253" s="3" t="s">
        <v>361</v>
      </c>
      <c r="I253" s="37" t="s">
        <v>88</v>
      </c>
      <c r="J253" s="31">
        <v>45675</v>
      </c>
      <c r="K253" s="31">
        <v>45677</v>
      </c>
      <c r="L253" s="31">
        <v>45678</v>
      </c>
      <c r="M253" s="31">
        <v>45710</v>
      </c>
      <c r="N253" s="31">
        <v>45710</v>
      </c>
      <c r="O253" s="3" t="s">
        <v>297</v>
      </c>
    </row>
    <row r="254" spans="1:15">
      <c r="A254" s="3">
        <f t="shared" si="5"/>
        <v>253</v>
      </c>
      <c r="B254" s="41" t="s">
        <v>782</v>
      </c>
      <c r="C254" s="3">
        <v>7660050057</v>
      </c>
      <c r="D254" s="6"/>
      <c r="E254" s="3" t="s">
        <v>783</v>
      </c>
      <c r="F254" s="41" t="s">
        <v>784</v>
      </c>
      <c r="G254" s="3" t="s">
        <v>16</v>
      </c>
      <c r="H254" s="3" t="s">
        <v>785</v>
      </c>
      <c r="I254" s="37" t="s">
        <v>88</v>
      </c>
      <c r="J254" s="31">
        <v>45677</v>
      </c>
      <c r="K254" s="31">
        <v>45677</v>
      </c>
      <c r="L254" s="31">
        <v>45678</v>
      </c>
      <c r="M254" s="31">
        <v>45681</v>
      </c>
      <c r="N254" s="31">
        <v>45681</v>
      </c>
      <c r="O254" s="3" t="s">
        <v>297</v>
      </c>
    </row>
    <row r="255" spans="1:15">
      <c r="A255" s="3">
        <f t="shared" si="5"/>
        <v>254</v>
      </c>
      <c r="B255" s="41" t="s">
        <v>786</v>
      </c>
      <c r="C255" s="3">
        <v>8096317345</v>
      </c>
      <c r="D255" s="6">
        <v>9110736929</v>
      </c>
      <c r="E255" s="3" t="s">
        <v>124</v>
      </c>
      <c r="F255" s="67" t="s">
        <v>787</v>
      </c>
      <c r="G255" s="3" t="s">
        <v>416</v>
      </c>
      <c r="H255" s="3" t="s">
        <v>788</v>
      </c>
      <c r="I255" s="37" t="s">
        <v>42</v>
      </c>
      <c r="J255" s="31">
        <v>45677</v>
      </c>
      <c r="K255" s="31">
        <v>45694</v>
      </c>
      <c r="L255" s="31"/>
      <c r="M255" s="31"/>
      <c r="N255" s="31"/>
      <c r="O255" s="3" t="s">
        <v>297</v>
      </c>
    </row>
    <row r="256" spans="1:15">
      <c r="A256" s="3">
        <f t="shared" si="5"/>
        <v>255</v>
      </c>
      <c r="B256" s="41" t="s">
        <v>789</v>
      </c>
      <c r="C256" s="3">
        <v>8247743451</v>
      </c>
      <c r="D256" s="6"/>
      <c r="E256" s="3" t="s">
        <v>124</v>
      </c>
      <c r="F256" s="67" t="s">
        <v>790</v>
      </c>
      <c r="G256" s="3" t="s">
        <v>424</v>
      </c>
      <c r="H256" s="3" t="s">
        <v>788</v>
      </c>
      <c r="I256" s="37" t="s">
        <v>42</v>
      </c>
      <c r="J256" s="31">
        <v>45677</v>
      </c>
      <c r="K256" s="31">
        <v>45689</v>
      </c>
      <c r="L256" s="31"/>
      <c r="M256" s="31"/>
      <c r="N256" s="31"/>
      <c r="O256" s="3" t="s">
        <v>425</v>
      </c>
    </row>
    <row r="257" spans="1:15">
      <c r="A257" s="3">
        <f t="shared" si="5"/>
        <v>256</v>
      </c>
      <c r="B257" s="41" t="s">
        <v>791</v>
      </c>
      <c r="C257" s="3">
        <v>9347866201</v>
      </c>
      <c r="D257" s="6"/>
      <c r="E257" s="3" t="s">
        <v>124</v>
      </c>
      <c r="F257" s="67" t="s">
        <v>792</v>
      </c>
      <c r="G257" s="3" t="s">
        <v>424</v>
      </c>
      <c r="H257" s="3" t="s">
        <v>788</v>
      </c>
      <c r="I257" s="37" t="s">
        <v>42</v>
      </c>
      <c r="J257" s="31">
        <v>45677</v>
      </c>
      <c r="K257" s="31">
        <v>45689</v>
      </c>
      <c r="L257" s="31"/>
      <c r="M257" s="31"/>
      <c r="N257" s="31"/>
      <c r="O257" s="3" t="s">
        <v>425</v>
      </c>
    </row>
    <row r="258" spans="1:15">
      <c r="A258" s="3">
        <f t="shared" si="5"/>
        <v>257</v>
      </c>
      <c r="B258" s="41" t="s">
        <v>793</v>
      </c>
      <c r="C258" s="3">
        <v>8309689626</v>
      </c>
      <c r="D258" s="6"/>
      <c r="E258" s="3" t="s">
        <v>127</v>
      </c>
      <c r="F258" s="67" t="s">
        <v>267</v>
      </c>
      <c r="G258" s="3" t="s">
        <v>16</v>
      </c>
      <c r="H258" s="3" t="s">
        <v>788</v>
      </c>
      <c r="I258" s="37" t="s">
        <v>42</v>
      </c>
      <c r="J258" s="31">
        <v>45677</v>
      </c>
      <c r="K258" s="31">
        <v>45689</v>
      </c>
      <c r="L258" s="31">
        <v>45716</v>
      </c>
      <c r="M258" s="31">
        <v>45729</v>
      </c>
      <c r="N258" s="31">
        <v>45729</v>
      </c>
      <c r="O258" s="3" t="s">
        <v>297</v>
      </c>
    </row>
    <row r="259" spans="1:15">
      <c r="A259" s="3">
        <f t="shared" si="5"/>
        <v>258</v>
      </c>
      <c r="B259" s="41" t="s">
        <v>794</v>
      </c>
      <c r="C259" s="3">
        <v>9550162502</v>
      </c>
      <c r="D259" s="6"/>
      <c r="E259" s="3" t="s">
        <v>121</v>
      </c>
      <c r="F259" s="67" t="s">
        <v>795</v>
      </c>
      <c r="G259" s="3" t="s">
        <v>295</v>
      </c>
      <c r="H259" s="3" t="s">
        <v>788</v>
      </c>
      <c r="I259" s="37" t="s">
        <v>42</v>
      </c>
      <c r="J259" s="31">
        <v>45677</v>
      </c>
      <c r="K259" s="31">
        <v>45689</v>
      </c>
      <c r="L259" s="31">
        <v>45695</v>
      </c>
      <c r="M259" s="31">
        <v>45744</v>
      </c>
      <c r="N259" s="31"/>
      <c r="O259" s="3" t="s">
        <v>297</v>
      </c>
    </row>
    <row r="260" spans="1:15">
      <c r="A260" s="3">
        <f t="shared" si="5"/>
        <v>259</v>
      </c>
      <c r="B260" s="41" t="s">
        <v>796</v>
      </c>
      <c r="C260" s="3">
        <v>9160143169</v>
      </c>
      <c r="D260" s="6"/>
      <c r="E260" s="3" t="s">
        <v>90</v>
      </c>
      <c r="F260" s="67" t="s">
        <v>319</v>
      </c>
      <c r="G260" s="3" t="s">
        <v>424</v>
      </c>
      <c r="H260" s="3" t="s">
        <v>717</v>
      </c>
      <c r="I260" s="37" t="s">
        <v>42</v>
      </c>
      <c r="J260" s="31">
        <v>45694</v>
      </c>
      <c r="K260" s="31">
        <v>45695</v>
      </c>
      <c r="L260" s="31"/>
      <c r="M260" s="31"/>
      <c r="N260" s="31"/>
      <c r="O260" s="3" t="s">
        <v>425</v>
      </c>
    </row>
    <row r="261" spans="1:15">
      <c r="A261" s="3">
        <f t="shared" si="5"/>
        <v>260</v>
      </c>
      <c r="B261" s="41" t="s">
        <v>797</v>
      </c>
      <c r="C261" s="3">
        <v>9492688924</v>
      </c>
      <c r="D261" s="6"/>
      <c r="E261" s="3" t="s">
        <v>798</v>
      </c>
      <c r="F261" s="41" t="s">
        <v>799</v>
      </c>
      <c r="G261" s="3" t="s">
        <v>16</v>
      </c>
      <c r="H261" s="3" t="s">
        <v>785</v>
      </c>
      <c r="I261" s="37" t="s">
        <v>42</v>
      </c>
      <c r="J261" s="31">
        <v>45659</v>
      </c>
      <c r="K261" s="31">
        <v>45674</v>
      </c>
      <c r="L261" s="31">
        <v>45679</v>
      </c>
      <c r="M261" s="31">
        <v>45684</v>
      </c>
      <c r="N261" s="31">
        <v>45684</v>
      </c>
      <c r="O261" s="3" t="s">
        <v>297</v>
      </c>
    </row>
    <row r="262" spans="1:15" ht="15.6">
      <c r="A262" s="3">
        <f t="shared" si="5"/>
        <v>261</v>
      </c>
      <c r="B262" s="41" t="s">
        <v>800</v>
      </c>
      <c r="C262" s="3">
        <v>9030110953</v>
      </c>
      <c r="D262" s="6"/>
      <c r="E262" s="3" t="s">
        <v>59</v>
      </c>
      <c r="F262" s="71" t="s">
        <v>659</v>
      </c>
      <c r="G262" s="3" t="s">
        <v>16</v>
      </c>
      <c r="H262" s="3" t="s">
        <v>717</v>
      </c>
      <c r="I262" s="37" t="s">
        <v>42</v>
      </c>
      <c r="J262" s="31">
        <v>45679</v>
      </c>
      <c r="K262" s="31">
        <v>45705</v>
      </c>
      <c r="L262" s="31">
        <v>45709</v>
      </c>
      <c r="M262" s="31">
        <v>45731</v>
      </c>
      <c r="N262" s="31">
        <v>45731</v>
      </c>
      <c r="O262" s="3" t="s">
        <v>297</v>
      </c>
    </row>
    <row r="263" spans="1:15">
      <c r="A263" s="3">
        <f t="shared" si="5"/>
        <v>262</v>
      </c>
      <c r="B263" s="98" t="s">
        <v>801</v>
      </c>
      <c r="C263" s="3">
        <v>6300621662</v>
      </c>
      <c r="D263" s="6"/>
      <c r="E263" s="3" t="s">
        <v>72</v>
      </c>
      <c r="F263" s="67" t="s">
        <v>802</v>
      </c>
      <c r="G263" s="3" t="s">
        <v>330</v>
      </c>
      <c r="H263" s="3" t="s">
        <v>717</v>
      </c>
      <c r="I263" s="37" t="s">
        <v>42</v>
      </c>
      <c r="J263" s="31">
        <v>45679</v>
      </c>
      <c r="K263" s="31">
        <v>45696</v>
      </c>
      <c r="L263" s="31">
        <v>45703</v>
      </c>
      <c r="M263" s="31">
        <v>45723</v>
      </c>
      <c r="N263" s="31">
        <v>45723</v>
      </c>
      <c r="O263" s="3" t="s">
        <v>297</v>
      </c>
    </row>
    <row r="264" spans="1:15">
      <c r="A264" s="3">
        <f t="shared" si="5"/>
        <v>263</v>
      </c>
      <c r="B264" s="41" t="s">
        <v>803</v>
      </c>
      <c r="C264" s="3">
        <v>7373732806</v>
      </c>
      <c r="D264" s="6"/>
      <c r="E264" s="3" t="s">
        <v>52</v>
      </c>
      <c r="F264" s="67" t="s">
        <v>678</v>
      </c>
      <c r="G264" s="3" t="s">
        <v>424</v>
      </c>
      <c r="H264" s="3" t="s">
        <v>660</v>
      </c>
      <c r="I264" s="37" t="s">
        <v>42</v>
      </c>
      <c r="J264" s="31">
        <v>45679</v>
      </c>
      <c r="K264" s="31">
        <v>45695</v>
      </c>
      <c r="L264" s="31"/>
      <c r="M264" s="31"/>
      <c r="N264" s="31"/>
      <c r="O264" s="3" t="s">
        <v>425</v>
      </c>
    </row>
    <row r="265" spans="1:15">
      <c r="A265" s="3">
        <f t="shared" si="5"/>
        <v>264</v>
      </c>
      <c r="B265" s="41" t="s">
        <v>804</v>
      </c>
      <c r="C265" s="3">
        <v>9866354415</v>
      </c>
      <c r="D265" s="6"/>
      <c r="E265" s="3" t="s">
        <v>72</v>
      </c>
      <c r="F265" s="67" t="s">
        <v>805</v>
      </c>
      <c r="G265" s="3" t="s">
        <v>18</v>
      </c>
      <c r="H265" s="3" t="s">
        <v>717</v>
      </c>
      <c r="I265" s="37" t="s">
        <v>42</v>
      </c>
      <c r="J265" s="31">
        <v>45679</v>
      </c>
      <c r="K265" s="31">
        <v>45696</v>
      </c>
      <c r="L265" s="31"/>
      <c r="M265" s="31"/>
      <c r="N265" s="31"/>
      <c r="O265" s="3" t="s">
        <v>297</v>
      </c>
    </row>
    <row r="266" spans="1:15">
      <c r="A266" s="3">
        <f t="shared" si="5"/>
        <v>265</v>
      </c>
      <c r="B266" s="98" t="s">
        <v>806</v>
      </c>
      <c r="C266" s="3">
        <v>9100881902</v>
      </c>
      <c r="D266" s="6"/>
      <c r="E266" s="3" t="s">
        <v>72</v>
      </c>
      <c r="F266" s="67" t="s">
        <v>802</v>
      </c>
      <c r="G266" s="3" t="s">
        <v>16</v>
      </c>
      <c r="H266" s="3" t="s">
        <v>717</v>
      </c>
      <c r="I266" s="37" t="s">
        <v>42</v>
      </c>
      <c r="J266" s="31">
        <v>45679</v>
      </c>
      <c r="K266" s="31">
        <v>45696</v>
      </c>
      <c r="L266" s="31">
        <v>45702</v>
      </c>
      <c r="M266" s="31">
        <v>45734</v>
      </c>
      <c r="N266" s="31">
        <v>45733</v>
      </c>
      <c r="O266" s="3" t="s">
        <v>297</v>
      </c>
    </row>
    <row r="267" spans="1:15" ht="15.6">
      <c r="A267" s="3">
        <f t="shared" si="5"/>
        <v>266</v>
      </c>
      <c r="B267" s="41" t="s">
        <v>807</v>
      </c>
      <c r="C267" s="3">
        <v>8897890523</v>
      </c>
      <c r="D267" s="6">
        <v>9329147321</v>
      </c>
      <c r="E267" s="3" t="s">
        <v>59</v>
      </c>
      <c r="F267" s="71" t="s">
        <v>685</v>
      </c>
      <c r="G267" s="3" t="s">
        <v>424</v>
      </c>
      <c r="H267" s="3" t="s">
        <v>660</v>
      </c>
      <c r="I267" s="37" t="s">
        <v>42</v>
      </c>
      <c r="J267" s="31">
        <v>45679</v>
      </c>
      <c r="K267" s="31">
        <v>45695</v>
      </c>
      <c r="L267" s="31"/>
      <c r="M267" s="31"/>
      <c r="N267" s="31"/>
      <c r="O267" s="3" t="s">
        <v>425</v>
      </c>
    </row>
    <row r="268" spans="1:15">
      <c r="A268" s="3">
        <f t="shared" si="5"/>
        <v>267</v>
      </c>
      <c r="B268" s="99" t="s">
        <v>808</v>
      </c>
      <c r="C268" s="3">
        <v>9944506896</v>
      </c>
      <c r="D268" s="6"/>
      <c r="E268" s="3" t="s">
        <v>79</v>
      </c>
      <c r="F268" s="67" t="s">
        <v>802</v>
      </c>
      <c r="G268" s="3" t="s">
        <v>16</v>
      </c>
      <c r="H268" s="3" t="s">
        <v>717</v>
      </c>
      <c r="I268" s="37" t="s">
        <v>42</v>
      </c>
      <c r="J268" s="31">
        <v>45679</v>
      </c>
      <c r="K268" s="31">
        <v>45696</v>
      </c>
      <c r="L268" s="31">
        <v>45729</v>
      </c>
      <c r="M268" s="31">
        <v>45789</v>
      </c>
      <c r="N268" s="31">
        <v>45789</v>
      </c>
      <c r="O268" s="3" t="s">
        <v>297</v>
      </c>
    </row>
    <row r="269" spans="1:15">
      <c r="A269" s="3">
        <f t="shared" si="5"/>
        <v>268</v>
      </c>
      <c r="B269" s="41" t="s">
        <v>809</v>
      </c>
      <c r="C269" s="3">
        <v>8639605888</v>
      </c>
      <c r="D269" s="6"/>
      <c r="E269" s="3" t="s">
        <v>72</v>
      </c>
      <c r="F269" s="67" t="s">
        <v>810</v>
      </c>
      <c r="G269" s="3" t="s">
        <v>424</v>
      </c>
      <c r="H269" s="3" t="s">
        <v>717</v>
      </c>
      <c r="I269" s="37" t="s">
        <v>42</v>
      </c>
      <c r="J269" s="31">
        <v>45679</v>
      </c>
      <c r="K269" s="31">
        <v>45696</v>
      </c>
      <c r="L269" s="31"/>
      <c r="M269" s="31"/>
      <c r="N269" s="31"/>
      <c r="O269" s="3" t="s">
        <v>749</v>
      </c>
    </row>
    <row r="270" spans="1:15" ht="15.6">
      <c r="A270" s="3">
        <f t="shared" si="5"/>
        <v>269</v>
      </c>
      <c r="B270" s="41" t="s">
        <v>811</v>
      </c>
      <c r="C270" s="3">
        <v>9842592900</v>
      </c>
      <c r="D270" s="6"/>
      <c r="E270" s="3" t="s">
        <v>59</v>
      </c>
      <c r="F270" s="71" t="s">
        <v>685</v>
      </c>
      <c r="G270" s="3" t="s">
        <v>764</v>
      </c>
      <c r="H270" s="3" t="s">
        <v>717</v>
      </c>
      <c r="I270" s="37" t="s">
        <v>42</v>
      </c>
      <c r="J270" s="31">
        <v>45679</v>
      </c>
      <c r="K270" s="31">
        <v>45696</v>
      </c>
      <c r="L270" s="31"/>
      <c r="M270" s="31"/>
      <c r="N270" s="31"/>
      <c r="O270" s="3" t="s">
        <v>425</v>
      </c>
    </row>
    <row r="271" spans="1:15">
      <c r="A271" s="3">
        <f t="shared" si="5"/>
        <v>270</v>
      </c>
      <c r="B271" s="41" t="s">
        <v>812</v>
      </c>
      <c r="C271" s="3">
        <v>9008011937</v>
      </c>
      <c r="D271" s="6"/>
      <c r="E271" s="3" t="s">
        <v>75</v>
      </c>
      <c r="F271" s="67" t="s">
        <v>766</v>
      </c>
      <c r="G271" s="3" t="s">
        <v>330</v>
      </c>
      <c r="H271" s="3" t="s">
        <v>752</v>
      </c>
      <c r="I271" s="37" t="s">
        <v>42</v>
      </c>
      <c r="J271" s="31">
        <v>45679</v>
      </c>
      <c r="K271" s="31">
        <v>45693</v>
      </c>
      <c r="L271" s="31">
        <v>45702</v>
      </c>
      <c r="M271" s="31">
        <v>45726</v>
      </c>
      <c r="N271" s="31">
        <v>45726</v>
      </c>
      <c r="O271" s="3" t="s">
        <v>297</v>
      </c>
    </row>
    <row r="272" spans="1:15">
      <c r="A272" s="3">
        <f t="shared" si="5"/>
        <v>271</v>
      </c>
      <c r="B272" s="41" t="s">
        <v>813</v>
      </c>
      <c r="C272" s="27">
        <v>7905564727</v>
      </c>
      <c r="D272" s="6"/>
      <c r="E272" s="3" t="s">
        <v>138</v>
      </c>
      <c r="F272" s="67" t="s">
        <v>814</v>
      </c>
      <c r="G272" s="3" t="s">
        <v>424</v>
      </c>
      <c r="H272" s="3" t="s">
        <v>815</v>
      </c>
      <c r="I272" s="37" t="s">
        <v>42</v>
      </c>
      <c r="J272" s="31">
        <v>45679</v>
      </c>
      <c r="K272" s="31">
        <v>45688</v>
      </c>
      <c r="L272" s="31"/>
      <c r="M272" s="31"/>
      <c r="N272" s="31"/>
      <c r="O272" s="3" t="s">
        <v>749</v>
      </c>
    </row>
    <row r="273" spans="1:15">
      <c r="A273" s="3">
        <f t="shared" si="5"/>
        <v>272</v>
      </c>
      <c r="B273" s="41" t="s">
        <v>816</v>
      </c>
      <c r="C273" s="3">
        <v>9949391002</v>
      </c>
      <c r="D273" s="6">
        <v>8328009231</v>
      </c>
      <c r="E273" s="3" t="s">
        <v>135</v>
      </c>
      <c r="F273" s="67" t="s">
        <v>817</v>
      </c>
      <c r="G273" s="3" t="s">
        <v>424</v>
      </c>
      <c r="H273" s="3" t="s">
        <v>815</v>
      </c>
      <c r="I273" s="37" t="s">
        <v>42</v>
      </c>
      <c r="J273" s="31">
        <v>45679</v>
      </c>
      <c r="K273" s="31">
        <v>45688</v>
      </c>
      <c r="L273" s="31"/>
      <c r="M273" s="31"/>
      <c r="N273" s="31"/>
      <c r="O273" s="3" t="s">
        <v>425</v>
      </c>
    </row>
    <row r="274" spans="1:15">
      <c r="A274" s="3">
        <f t="shared" si="5"/>
        <v>273</v>
      </c>
      <c r="B274" s="41" t="s">
        <v>818</v>
      </c>
      <c r="C274" s="3">
        <v>9380734804</v>
      </c>
      <c r="D274" s="6"/>
      <c r="E274" s="3" t="s">
        <v>141</v>
      </c>
      <c r="F274" s="67" t="s">
        <v>819</v>
      </c>
      <c r="G274" s="3" t="s">
        <v>295</v>
      </c>
      <c r="H274" s="3" t="s">
        <v>815</v>
      </c>
      <c r="I274" s="37" t="s">
        <v>42</v>
      </c>
      <c r="J274" s="31">
        <v>45679</v>
      </c>
      <c r="K274" s="31">
        <v>45688</v>
      </c>
      <c r="L274" s="31">
        <v>45702</v>
      </c>
      <c r="M274" s="31">
        <v>45724</v>
      </c>
      <c r="N274" s="31"/>
      <c r="O274" s="3" t="s">
        <v>297</v>
      </c>
    </row>
    <row r="275" spans="1:15">
      <c r="A275" s="3">
        <f t="shared" si="5"/>
        <v>274</v>
      </c>
      <c r="B275" s="41" t="s">
        <v>820</v>
      </c>
      <c r="C275" s="27">
        <v>6301060382</v>
      </c>
      <c r="D275" s="6"/>
      <c r="E275" s="3" t="s">
        <v>138</v>
      </c>
      <c r="F275" s="41" t="s">
        <v>821</v>
      </c>
      <c r="G275" s="3" t="s">
        <v>295</v>
      </c>
      <c r="H275" s="3" t="s">
        <v>815</v>
      </c>
      <c r="I275" s="37" t="s">
        <v>42</v>
      </c>
      <c r="J275" s="31">
        <v>45679</v>
      </c>
      <c r="K275" s="31">
        <v>45688</v>
      </c>
      <c r="L275" s="31">
        <v>45723</v>
      </c>
      <c r="M275" s="31">
        <v>45754</v>
      </c>
      <c r="N275" s="31"/>
      <c r="O275" s="3" t="s">
        <v>297</v>
      </c>
    </row>
    <row r="276" spans="1:15">
      <c r="A276" s="3">
        <f t="shared" si="5"/>
        <v>275</v>
      </c>
      <c r="B276" s="41" t="s">
        <v>822</v>
      </c>
      <c r="C276" s="27">
        <v>9270136834</v>
      </c>
      <c r="D276" s="6"/>
      <c r="E276" s="3" t="s">
        <v>141</v>
      </c>
      <c r="F276" s="41" t="s">
        <v>823</v>
      </c>
      <c r="G276" s="3" t="s">
        <v>424</v>
      </c>
      <c r="H276" s="3" t="s">
        <v>815</v>
      </c>
      <c r="I276" s="37" t="s">
        <v>42</v>
      </c>
      <c r="J276" s="31">
        <v>45679</v>
      </c>
      <c r="K276" s="31">
        <v>45691</v>
      </c>
      <c r="L276" s="31"/>
      <c r="M276" s="31"/>
      <c r="N276" s="31"/>
      <c r="O276" s="3" t="s">
        <v>425</v>
      </c>
    </row>
    <row r="277" spans="1:15">
      <c r="A277" s="3">
        <f t="shared" si="5"/>
        <v>276</v>
      </c>
      <c r="B277" s="41" t="s">
        <v>824</v>
      </c>
      <c r="C277" s="27">
        <v>8210178889</v>
      </c>
      <c r="D277" s="6"/>
      <c r="E277" s="3" t="s">
        <v>138</v>
      </c>
      <c r="F277" s="41" t="s">
        <v>825</v>
      </c>
      <c r="G277" s="2" t="s">
        <v>330</v>
      </c>
      <c r="H277" s="3" t="s">
        <v>815</v>
      </c>
      <c r="I277" s="37" t="s">
        <v>42</v>
      </c>
      <c r="J277" s="31">
        <v>45679</v>
      </c>
      <c r="K277" s="31">
        <v>45688</v>
      </c>
      <c r="L277" s="31">
        <v>45703</v>
      </c>
      <c r="M277" s="31">
        <v>45737</v>
      </c>
      <c r="N277" s="31">
        <v>45737</v>
      </c>
      <c r="O277" s="3" t="s">
        <v>297</v>
      </c>
    </row>
    <row r="278" spans="1:15">
      <c r="A278" s="3">
        <f t="shared" si="5"/>
        <v>277</v>
      </c>
      <c r="B278" s="41" t="s">
        <v>826</v>
      </c>
      <c r="C278" s="3">
        <v>8368046843</v>
      </c>
      <c r="D278" s="6"/>
      <c r="E278" s="3" t="s">
        <v>292</v>
      </c>
      <c r="F278" s="41" t="s">
        <v>293</v>
      </c>
      <c r="G278" s="3" t="s">
        <v>416</v>
      </c>
      <c r="H278" s="2" t="s">
        <v>296</v>
      </c>
      <c r="I278" s="37" t="s">
        <v>88</v>
      </c>
      <c r="J278" s="31">
        <v>45677</v>
      </c>
      <c r="K278" s="31">
        <v>45684</v>
      </c>
      <c r="L278" s="31"/>
      <c r="M278" s="31"/>
      <c r="N278" s="31"/>
      <c r="O278" s="3" t="s">
        <v>297</v>
      </c>
    </row>
    <row r="279" spans="1:15">
      <c r="A279" s="3">
        <f t="shared" si="5"/>
        <v>278</v>
      </c>
      <c r="B279" s="41" t="s">
        <v>827</v>
      </c>
      <c r="C279" s="40">
        <v>7909020031</v>
      </c>
      <c r="D279" s="6"/>
      <c r="E279" s="3" t="s">
        <v>828</v>
      </c>
      <c r="F279" s="41" t="s">
        <v>829</v>
      </c>
      <c r="G279" s="3" t="s">
        <v>330</v>
      </c>
      <c r="H279" s="3" t="s">
        <v>162</v>
      </c>
      <c r="I279" s="37" t="s">
        <v>94</v>
      </c>
      <c r="J279" s="31">
        <v>45677</v>
      </c>
      <c r="K279" s="31">
        <v>45682</v>
      </c>
      <c r="L279" s="31">
        <v>45682</v>
      </c>
      <c r="M279" s="31">
        <v>45706</v>
      </c>
      <c r="N279" s="31">
        <v>45731</v>
      </c>
      <c r="O279" s="3" t="s">
        <v>297</v>
      </c>
    </row>
    <row r="280" spans="1:15">
      <c r="A280" s="3">
        <f t="shared" si="5"/>
        <v>279</v>
      </c>
      <c r="B280" s="41" t="s">
        <v>830</v>
      </c>
      <c r="C280" s="40">
        <v>9805819697</v>
      </c>
      <c r="D280" s="6">
        <v>9679004222</v>
      </c>
      <c r="E280" s="3" t="s">
        <v>831</v>
      </c>
      <c r="F280" s="41" t="s">
        <v>431</v>
      </c>
      <c r="G280" s="3" t="s">
        <v>424</v>
      </c>
      <c r="H280" s="2" t="s">
        <v>296</v>
      </c>
      <c r="I280" s="37" t="s">
        <v>88</v>
      </c>
      <c r="J280" s="31">
        <v>45677</v>
      </c>
      <c r="K280" s="31">
        <v>45684</v>
      </c>
      <c r="L280" s="31"/>
      <c r="M280" s="31"/>
      <c r="N280" s="31"/>
      <c r="O280" s="3" t="s">
        <v>425</v>
      </c>
    </row>
    <row r="281" spans="1:15">
      <c r="A281" s="3">
        <f t="shared" si="5"/>
        <v>280</v>
      </c>
      <c r="B281" s="41" t="s">
        <v>832</v>
      </c>
      <c r="C281" s="3">
        <v>7018405198</v>
      </c>
      <c r="D281" s="6"/>
      <c r="E281" s="3" t="s">
        <v>831</v>
      </c>
      <c r="F281" s="41" t="s">
        <v>431</v>
      </c>
      <c r="G281" s="3" t="s">
        <v>424</v>
      </c>
      <c r="H281" s="2" t="s">
        <v>296</v>
      </c>
      <c r="I281" s="37" t="s">
        <v>88</v>
      </c>
      <c r="J281" s="31">
        <v>45677</v>
      </c>
      <c r="K281" s="31">
        <v>45684</v>
      </c>
      <c r="L281" s="31"/>
      <c r="M281" s="31"/>
      <c r="N281" s="31"/>
      <c r="O281" s="3" t="s">
        <v>425</v>
      </c>
    </row>
    <row r="282" spans="1:15">
      <c r="A282" s="3">
        <f t="shared" si="5"/>
        <v>281</v>
      </c>
      <c r="B282" s="41" t="s">
        <v>833</v>
      </c>
      <c r="C282" s="3">
        <v>7905247272</v>
      </c>
      <c r="D282" s="6"/>
      <c r="E282" s="3" t="s">
        <v>292</v>
      </c>
      <c r="F282" s="41" t="s">
        <v>293</v>
      </c>
      <c r="G282" s="3" t="s">
        <v>424</v>
      </c>
      <c r="H282" s="2" t="s">
        <v>296</v>
      </c>
      <c r="I282" s="37" t="s">
        <v>88</v>
      </c>
      <c r="J282" s="31">
        <v>45677</v>
      </c>
      <c r="K282" s="31">
        <v>45684</v>
      </c>
      <c r="L282" s="31"/>
      <c r="M282" s="31"/>
      <c r="N282" s="31"/>
      <c r="O282" s="3" t="s">
        <v>425</v>
      </c>
    </row>
    <row r="283" spans="1:15">
      <c r="A283" s="3">
        <f t="shared" si="5"/>
        <v>282</v>
      </c>
      <c r="B283" s="41" t="s">
        <v>834</v>
      </c>
      <c r="C283" s="3">
        <v>8016189797</v>
      </c>
      <c r="D283" s="6"/>
      <c r="E283" s="3" t="s">
        <v>831</v>
      </c>
      <c r="F283" s="41" t="s">
        <v>431</v>
      </c>
      <c r="G283" s="3" t="s">
        <v>16</v>
      </c>
      <c r="H283" s="2" t="s">
        <v>296</v>
      </c>
      <c r="I283" s="37" t="s">
        <v>88</v>
      </c>
      <c r="J283" s="31">
        <v>45677</v>
      </c>
      <c r="K283" s="31">
        <v>45683</v>
      </c>
      <c r="L283" s="31">
        <v>45686</v>
      </c>
      <c r="M283" s="31">
        <v>45716</v>
      </c>
      <c r="N283" s="31">
        <v>45716</v>
      </c>
      <c r="O283" s="3" t="s">
        <v>297</v>
      </c>
    </row>
    <row r="284" spans="1:15">
      <c r="A284" s="3">
        <f t="shared" si="5"/>
        <v>283</v>
      </c>
      <c r="B284" s="41" t="s">
        <v>835</v>
      </c>
      <c r="C284" s="3">
        <v>7001872381</v>
      </c>
      <c r="D284" s="6">
        <v>9933323355</v>
      </c>
      <c r="E284" s="3" t="s">
        <v>831</v>
      </c>
      <c r="F284" s="41" t="s">
        <v>431</v>
      </c>
      <c r="G284" s="3" t="s">
        <v>424</v>
      </c>
      <c r="H284" s="2" t="s">
        <v>296</v>
      </c>
      <c r="I284" s="37" t="s">
        <v>88</v>
      </c>
      <c r="J284" s="31">
        <v>45677</v>
      </c>
      <c r="K284" s="31">
        <v>45684</v>
      </c>
      <c r="L284" s="31"/>
      <c r="M284" s="31"/>
      <c r="N284" s="31"/>
      <c r="O284" s="3" t="s">
        <v>425</v>
      </c>
    </row>
    <row r="285" spans="1:15">
      <c r="A285" s="3">
        <f t="shared" si="5"/>
        <v>284</v>
      </c>
      <c r="B285" s="41" t="s">
        <v>836</v>
      </c>
      <c r="C285" s="3">
        <v>9760666622</v>
      </c>
      <c r="D285" s="6">
        <v>9084666622</v>
      </c>
      <c r="E285" s="3" t="s">
        <v>831</v>
      </c>
      <c r="F285" s="41" t="s">
        <v>431</v>
      </c>
      <c r="G285" s="3" t="s">
        <v>16</v>
      </c>
      <c r="H285" s="2" t="s">
        <v>296</v>
      </c>
      <c r="I285" s="37" t="s">
        <v>88</v>
      </c>
      <c r="J285" s="31">
        <v>45677</v>
      </c>
      <c r="K285" s="31">
        <v>45684</v>
      </c>
      <c r="L285" s="31">
        <v>45686</v>
      </c>
      <c r="M285" s="31">
        <v>45716</v>
      </c>
      <c r="N285" s="31">
        <v>45716</v>
      </c>
      <c r="O285" s="3" t="s">
        <v>297</v>
      </c>
    </row>
    <row r="286" spans="1:15">
      <c r="A286" s="3">
        <f t="shared" si="5"/>
        <v>285</v>
      </c>
      <c r="B286" s="41" t="s">
        <v>837</v>
      </c>
      <c r="C286" s="3">
        <v>731896285</v>
      </c>
      <c r="D286" s="6">
        <v>906461331</v>
      </c>
      <c r="E286" s="3" t="s">
        <v>292</v>
      </c>
      <c r="F286" s="41" t="s">
        <v>293</v>
      </c>
      <c r="G286" s="3" t="s">
        <v>424</v>
      </c>
      <c r="H286" s="2" t="s">
        <v>296</v>
      </c>
      <c r="I286" s="37" t="s">
        <v>88</v>
      </c>
      <c r="J286" s="31">
        <v>45680</v>
      </c>
      <c r="K286" s="31">
        <v>45681</v>
      </c>
      <c r="L286" s="31"/>
      <c r="M286" s="31"/>
      <c r="N286" s="31"/>
      <c r="O286" s="3" t="s">
        <v>425</v>
      </c>
    </row>
    <row r="287" spans="1:15">
      <c r="A287" s="3">
        <f t="shared" si="5"/>
        <v>286</v>
      </c>
      <c r="B287" s="41" t="s">
        <v>838</v>
      </c>
      <c r="C287" s="3">
        <v>9476293543</v>
      </c>
      <c r="D287" s="6"/>
      <c r="E287" s="3" t="s">
        <v>831</v>
      </c>
      <c r="F287" s="41" t="s">
        <v>431</v>
      </c>
      <c r="G287" s="3" t="s">
        <v>424</v>
      </c>
      <c r="H287" s="2" t="s">
        <v>296</v>
      </c>
      <c r="I287" s="37" t="s">
        <v>88</v>
      </c>
      <c r="J287" s="31">
        <v>45680</v>
      </c>
      <c r="K287" s="31">
        <v>45684</v>
      </c>
      <c r="L287" s="31"/>
      <c r="M287" s="31"/>
      <c r="N287" s="31"/>
      <c r="O287" s="3" t="s">
        <v>425</v>
      </c>
    </row>
    <row r="288" spans="1:15">
      <c r="A288" s="3">
        <f t="shared" si="5"/>
        <v>287</v>
      </c>
      <c r="B288" s="41" t="s">
        <v>839</v>
      </c>
      <c r="C288" s="3">
        <v>9490364707</v>
      </c>
      <c r="D288" s="6">
        <v>8639088292</v>
      </c>
      <c r="E288" s="3" t="s">
        <v>44</v>
      </c>
      <c r="F288" s="41" t="s">
        <v>840</v>
      </c>
      <c r="G288" s="3" t="s">
        <v>708</v>
      </c>
      <c r="H288" s="3" t="s">
        <v>660</v>
      </c>
      <c r="I288" s="37" t="s">
        <v>42</v>
      </c>
      <c r="J288" s="31">
        <v>45680</v>
      </c>
      <c r="K288" s="31">
        <v>45682</v>
      </c>
      <c r="L288" s="31"/>
      <c r="M288" s="31"/>
      <c r="N288" s="31"/>
      <c r="O288" s="3" t="s">
        <v>297</v>
      </c>
    </row>
    <row r="289" spans="1:15">
      <c r="A289" s="3">
        <f t="shared" si="5"/>
        <v>288</v>
      </c>
      <c r="B289" s="41" t="s">
        <v>841</v>
      </c>
      <c r="C289" s="3">
        <v>8435161999</v>
      </c>
      <c r="D289" s="6">
        <v>9346113767</v>
      </c>
      <c r="E289" s="3" t="s">
        <v>52</v>
      </c>
      <c r="F289" s="67" t="s">
        <v>842</v>
      </c>
      <c r="G289" s="3" t="s">
        <v>16</v>
      </c>
      <c r="H289" s="3" t="s">
        <v>660</v>
      </c>
      <c r="I289" s="37" t="s">
        <v>42</v>
      </c>
      <c r="J289" s="31">
        <v>45680</v>
      </c>
      <c r="K289" s="31">
        <v>45696</v>
      </c>
      <c r="L289" s="31">
        <v>45709</v>
      </c>
      <c r="M289" s="31">
        <v>45742</v>
      </c>
      <c r="N289" s="31">
        <v>45742</v>
      </c>
      <c r="O289" s="3" t="s">
        <v>297</v>
      </c>
    </row>
    <row r="290" spans="1:15">
      <c r="A290" s="3">
        <f t="shared" si="5"/>
        <v>289</v>
      </c>
      <c r="B290" s="41" t="s">
        <v>843</v>
      </c>
      <c r="C290" s="3">
        <v>7670904495</v>
      </c>
      <c r="D290" s="6">
        <v>9963633309</v>
      </c>
      <c r="E290" s="3" t="s">
        <v>48</v>
      </c>
      <c r="F290" s="41" t="s">
        <v>844</v>
      </c>
      <c r="G290" s="3" t="s">
        <v>424</v>
      </c>
      <c r="H290" s="3" t="s">
        <v>41</v>
      </c>
      <c r="I290" s="37" t="s">
        <v>42</v>
      </c>
      <c r="J290" s="31">
        <v>45680</v>
      </c>
      <c r="K290" s="31">
        <v>45680</v>
      </c>
      <c r="L290" s="31"/>
      <c r="M290" s="31"/>
      <c r="N290" s="31"/>
      <c r="O290" s="3" t="s">
        <v>425</v>
      </c>
    </row>
    <row r="291" spans="1:15">
      <c r="A291" s="3">
        <f t="shared" si="5"/>
        <v>290</v>
      </c>
      <c r="B291" s="41" t="s">
        <v>845</v>
      </c>
      <c r="C291" s="3">
        <v>9967635246</v>
      </c>
      <c r="D291" s="6">
        <v>7624019981</v>
      </c>
      <c r="E291" s="3" t="s">
        <v>48</v>
      </c>
      <c r="F291" s="67" t="s">
        <v>846</v>
      </c>
      <c r="G291" s="3" t="s">
        <v>424</v>
      </c>
      <c r="H291" s="3" t="s">
        <v>41</v>
      </c>
      <c r="I291" s="37" t="s">
        <v>42</v>
      </c>
      <c r="J291" s="31">
        <v>45680</v>
      </c>
      <c r="K291" s="31">
        <v>45680</v>
      </c>
      <c r="L291" s="31"/>
      <c r="M291" s="31"/>
      <c r="N291" s="31"/>
      <c r="O291" s="3" t="s">
        <v>425</v>
      </c>
    </row>
    <row r="292" spans="1:15">
      <c r="A292" s="3">
        <f t="shared" si="5"/>
        <v>291</v>
      </c>
      <c r="B292" s="41" t="s">
        <v>847</v>
      </c>
      <c r="C292" s="3">
        <v>9586541705</v>
      </c>
      <c r="D292" s="6">
        <v>8295919713</v>
      </c>
      <c r="E292" s="3" t="s">
        <v>48</v>
      </c>
      <c r="F292" s="67" t="s">
        <v>714</v>
      </c>
      <c r="G292" s="3" t="s">
        <v>764</v>
      </c>
      <c r="H292" s="3" t="s">
        <v>660</v>
      </c>
      <c r="I292" s="37" t="s">
        <v>42</v>
      </c>
      <c r="J292" s="31">
        <v>45680</v>
      </c>
      <c r="K292" s="31"/>
      <c r="L292" s="31"/>
      <c r="M292" s="31"/>
      <c r="N292" s="31"/>
      <c r="O292" s="3" t="s">
        <v>425</v>
      </c>
    </row>
    <row r="293" spans="1:15">
      <c r="A293" s="3">
        <f t="shared" si="5"/>
        <v>292</v>
      </c>
      <c r="B293" s="41" t="s">
        <v>848</v>
      </c>
      <c r="C293" s="27">
        <v>9665281406</v>
      </c>
      <c r="D293" s="6"/>
      <c r="E293" s="3" t="s">
        <v>402</v>
      </c>
      <c r="F293" s="68" t="s">
        <v>849</v>
      </c>
      <c r="G293" s="3" t="s">
        <v>424</v>
      </c>
      <c r="H293" s="3" t="s">
        <v>815</v>
      </c>
      <c r="I293" s="37" t="s">
        <v>88</v>
      </c>
      <c r="J293" s="31">
        <v>45679</v>
      </c>
      <c r="K293" s="31">
        <v>45688</v>
      </c>
      <c r="L293" s="31"/>
      <c r="M293" s="31"/>
      <c r="N293" s="31"/>
      <c r="O293" s="3" t="s">
        <v>425</v>
      </c>
    </row>
    <row r="294" spans="1:15">
      <c r="A294" s="3">
        <f t="shared" si="5"/>
        <v>293</v>
      </c>
      <c r="B294" s="41" t="s">
        <v>850</v>
      </c>
      <c r="C294" s="27">
        <v>7022476275</v>
      </c>
      <c r="D294" s="6"/>
      <c r="E294" s="3" t="s">
        <v>851</v>
      </c>
      <c r="F294" s="68" t="s">
        <v>849</v>
      </c>
      <c r="G294" s="3" t="s">
        <v>330</v>
      </c>
      <c r="H294" s="3" t="s">
        <v>815</v>
      </c>
      <c r="I294" s="37" t="s">
        <v>94</v>
      </c>
      <c r="J294" s="31">
        <v>45679</v>
      </c>
      <c r="K294" s="31">
        <v>45688</v>
      </c>
      <c r="L294" s="31">
        <v>45709</v>
      </c>
      <c r="M294" s="31">
        <v>45742</v>
      </c>
      <c r="N294" s="31">
        <v>45737</v>
      </c>
      <c r="O294" s="3" t="s">
        <v>297</v>
      </c>
    </row>
    <row r="295" spans="1:15">
      <c r="A295" s="3">
        <f t="shared" si="5"/>
        <v>294</v>
      </c>
      <c r="B295" s="42" t="s">
        <v>852</v>
      </c>
      <c r="C295" s="32">
        <v>9131996173</v>
      </c>
      <c r="D295" s="6"/>
      <c r="E295" s="2" t="s">
        <v>402</v>
      </c>
      <c r="F295" s="74" t="s">
        <v>849</v>
      </c>
      <c r="G295" s="2" t="s">
        <v>424</v>
      </c>
      <c r="H295" s="2" t="s">
        <v>815</v>
      </c>
      <c r="I295" s="37" t="s">
        <v>88</v>
      </c>
      <c r="J295" s="31">
        <v>45679</v>
      </c>
      <c r="K295" s="31">
        <v>45688</v>
      </c>
      <c r="L295" s="31"/>
      <c r="M295" s="31"/>
      <c r="N295" s="31"/>
      <c r="O295" s="2" t="s">
        <v>425</v>
      </c>
    </row>
    <row r="296" spans="1:15">
      <c r="A296" s="3">
        <f t="shared" si="5"/>
        <v>295</v>
      </c>
      <c r="B296" s="42" t="s">
        <v>853</v>
      </c>
      <c r="C296" s="32">
        <v>6263038855</v>
      </c>
      <c r="D296" s="6"/>
      <c r="E296" s="2" t="s">
        <v>402</v>
      </c>
      <c r="F296" s="74" t="s">
        <v>849</v>
      </c>
      <c r="G296" s="2" t="s">
        <v>424</v>
      </c>
      <c r="H296" s="2" t="s">
        <v>815</v>
      </c>
      <c r="I296" s="37" t="s">
        <v>88</v>
      </c>
      <c r="J296" s="31">
        <v>45679</v>
      </c>
      <c r="K296" s="31">
        <v>45679</v>
      </c>
      <c r="L296" s="31"/>
      <c r="M296" s="31"/>
      <c r="N296" s="31"/>
      <c r="O296" s="2" t="s">
        <v>425</v>
      </c>
    </row>
    <row r="297" spans="1:15">
      <c r="A297" s="3">
        <f t="shared" si="5"/>
        <v>296</v>
      </c>
      <c r="B297" s="41" t="s">
        <v>854</v>
      </c>
      <c r="C297" s="27">
        <v>8917459425</v>
      </c>
      <c r="D297" s="6"/>
      <c r="E297" s="3" t="s">
        <v>402</v>
      </c>
      <c r="F297" s="68" t="s">
        <v>849</v>
      </c>
      <c r="G297" s="3" t="s">
        <v>295</v>
      </c>
      <c r="H297" s="3" t="s">
        <v>815</v>
      </c>
      <c r="I297" s="37" t="s">
        <v>94</v>
      </c>
      <c r="J297" s="31">
        <v>45679</v>
      </c>
      <c r="K297" s="31">
        <v>45688</v>
      </c>
      <c r="L297" s="31">
        <v>45716</v>
      </c>
      <c r="M297" s="31">
        <v>45731</v>
      </c>
      <c r="N297" s="31"/>
      <c r="O297" s="3" t="s">
        <v>297</v>
      </c>
    </row>
    <row r="298" spans="1:15">
      <c r="A298" s="3">
        <f t="shared" si="5"/>
        <v>297</v>
      </c>
      <c r="B298" s="68" t="s">
        <v>855</v>
      </c>
      <c r="C298" s="27">
        <v>7504323205</v>
      </c>
      <c r="D298" s="6"/>
      <c r="E298" s="3" t="s">
        <v>856</v>
      </c>
      <c r="F298" s="68" t="s">
        <v>849</v>
      </c>
      <c r="G298" s="3" t="s">
        <v>295</v>
      </c>
      <c r="H298" s="3" t="s">
        <v>815</v>
      </c>
      <c r="I298" s="37" t="s">
        <v>94</v>
      </c>
      <c r="J298" s="31">
        <v>45679</v>
      </c>
      <c r="K298" s="31">
        <v>45688</v>
      </c>
      <c r="L298" s="31">
        <v>45709</v>
      </c>
      <c r="M298" s="31">
        <v>45762</v>
      </c>
      <c r="N298" s="31"/>
      <c r="O298" s="3" t="s">
        <v>297</v>
      </c>
    </row>
    <row r="299" spans="1:15">
      <c r="A299" s="3">
        <f t="shared" si="5"/>
        <v>298</v>
      </c>
      <c r="B299" s="74" t="s">
        <v>857</v>
      </c>
      <c r="C299" s="32">
        <v>9506222415</v>
      </c>
      <c r="D299" s="6"/>
      <c r="E299" s="2" t="s">
        <v>402</v>
      </c>
      <c r="F299" s="74" t="s">
        <v>849</v>
      </c>
      <c r="G299" s="2" t="s">
        <v>424</v>
      </c>
      <c r="H299" s="2" t="s">
        <v>815</v>
      </c>
      <c r="I299" s="37" t="s">
        <v>88</v>
      </c>
      <c r="J299" s="31">
        <v>45679</v>
      </c>
      <c r="K299" s="31">
        <v>45679</v>
      </c>
      <c r="L299" s="31"/>
      <c r="M299" s="31"/>
      <c r="N299" s="31"/>
      <c r="O299" s="2" t="s">
        <v>425</v>
      </c>
    </row>
    <row r="300" spans="1:15">
      <c r="A300" s="3">
        <f t="shared" si="5"/>
        <v>299</v>
      </c>
      <c r="B300" s="68" t="s">
        <v>858</v>
      </c>
      <c r="C300" s="27">
        <v>6388201695</v>
      </c>
      <c r="D300" s="6"/>
      <c r="E300" s="3" t="s">
        <v>402</v>
      </c>
      <c r="F300" s="68" t="s">
        <v>859</v>
      </c>
      <c r="G300" s="3" t="s">
        <v>416</v>
      </c>
      <c r="H300" s="3" t="s">
        <v>815</v>
      </c>
      <c r="I300" s="37" t="s">
        <v>88</v>
      </c>
      <c r="J300" s="31">
        <v>45679</v>
      </c>
      <c r="K300" s="31">
        <v>45687</v>
      </c>
      <c r="L300" s="31"/>
      <c r="M300" s="31"/>
      <c r="N300" s="31"/>
      <c r="O300" s="3" t="s">
        <v>297</v>
      </c>
    </row>
    <row r="301" spans="1:15">
      <c r="A301" s="3">
        <f t="shared" si="5"/>
        <v>300</v>
      </c>
      <c r="B301" s="68" t="s">
        <v>860</v>
      </c>
      <c r="C301" s="27">
        <v>8218477424</v>
      </c>
      <c r="D301" s="6"/>
      <c r="E301" s="3" t="s">
        <v>402</v>
      </c>
      <c r="F301" s="68" t="s">
        <v>861</v>
      </c>
      <c r="G301" s="3" t="s">
        <v>295</v>
      </c>
      <c r="H301" s="3" t="s">
        <v>815</v>
      </c>
      <c r="I301" s="37" t="s">
        <v>94</v>
      </c>
      <c r="J301" s="31">
        <v>45679</v>
      </c>
      <c r="K301" s="31">
        <v>45688</v>
      </c>
      <c r="L301" s="31">
        <v>45716</v>
      </c>
      <c r="M301" s="31">
        <v>45744</v>
      </c>
      <c r="N301" s="31"/>
      <c r="O301" s="3" t="s">
        <v>297</v>
      </c>
    </row>
    <row r="302" spans="1:15">
      <c r="A302" s="3">
        <f t="shared" si="5"/>
        <v>301</v>
      </c>
      <c r="B302" s="68" t="s">
        <v>862</v>
      </c>
      <c r="C302" s="3">
        <v>8101803491</v>
      </c>
      <c r="D302" s="6"/>
      <c r="E302" s="3" t="s">
        <v>402</v>
      </c>
      <c r="F302" s="41" t="s">
        <v>863</v>
      </c>
      <c r="G302" s="3" t="s">
        <v>295</v>
      </c>
      <c r="H302" s="3" t="s">
        <v>815</v>
      </c>
      <c r="I302" s="37" t="s">
        <v>94</v>
      </c>
      <c r="J302" s="31">
        <v>45679</v>
      </c>
      <c r="K302" s="31">
        <v>45688</v>
      </c>
      <c r="L302" s="31">
        <v>45709</v>
      </c>
      <c r="M302" s="31">
        <v>45723</v>
      </c>
      <c r="N302" s="31"/>
      <c r="O302" s="3" t="s">
        <v>297</v>
      </c>
    </row>
    <row r="303" spans="1:15">
      <c r="A303" s="3">
        <f t="shared" si="5"/>
        <v>302</v>
      </c>
      <c r="B303" s="74" t="s">
        <v>864</v>
      </c>
      <c r="C303" s="32">
        <v>6201834542</v>
      </c>
      <c r="D303" s="6"/>
      <c r="E303" s="2" t="s">
        <v>402</v>
      </c>
      <c r="F303" s="74" t="s">
        <v>825</v>
      </c>
      <c r="G303" s="2" t="s">
        <v>424</v>
      </c>
      <c r="H303" s="2" t="s">
        <v>815</v>
      </c>
      <c r="I303" s="37" t="s">
        <v>88</v>
      </c>
      <c r="J303" s="31">
        <v>45679</v>
      </c>
      <c r="K303" s="31">
        <v>45679</v>
      </c>
      <c r="L303" s="31"/>
      <c r="M303" s="31"/>
      <c r="N303" s="31"/>
      <c r="O303" s="2" t="s">
        <v>425</v>
      </c>
    </row>
    <row r="304" spans="1:15">
      <c r="A304" s="3">
        <f t="shared" si="5"/>
        <v>303</v>
      </c>
      <c r="B304" s="68" t="s">
        <v>865</v>
      </c>
      <c r="C304" s="27">
        <v>8099194682</v>
      </c>
      <c r="D304" s="6"/>
      <c r="E304" s="3" t="s">
        <v>866</v>
      </c>
      <c r="F304" s="68" t="s">
        <v>867</v>
      </c>
      <c r="G304" s="3" t="s">
        <v>416</v>
      </c>
      <c r="H304" s="3" t="s">
        <v>815</v>
      </c>
      <c r="I304" s="37" t="s">
        <v>94</v>
      </c>
      <c r="J304" s="31">
        <v>45679</v>
      </c>
      <c r="K304" s="31">
        <v>45688</v>
      </c>
      <c r="L304" s="31"/>
      <c r="M304" s="31"/>
      <c r="N304" s="31"/>
      <c r="O304" s="3" t="s">
        <v>297</v>
      </c>
    </row>
    <row r="305" spans="1:15">
      <c r="A305" s="3">
        <f t="shared" si="5"/>
        <v>304</v>
      </c>
      <c r="B305" s="68" t="s">
        <v>868</v>
      </c>
      <c r="C305" s="27">
        <v>8235332619</v>
      </c>
      <c r="D305" s="6"/>
      <c r="E305" s="3" t="s">
        <v>869</v>
      </c>
      <c r="F305" s="68" t="s">
        <v>308</v>
      </c>
      <c r="G305" s="3" t="s">
        <v>16</v>
      </c>
      <c r="H305" s="3" t="s">
        <v>162</v>
      </c>
      <c r="I305" s="37" t="s">
        <v>94</v>
      </c>
      <c r="J305" s="31">
        <v>45680</v>
      </c>
      <c r="K305" s="31">
        <v>45686</v>
      </c>
      <c r="L305" s="31">
        <v>45695</v>
      </c>
      <c r="M305" s="31">
        <v>45723</v>
      </c>
      <c r="N305" s="31">
        <v>45721</v>
      </c>
      <c r="O305" s="3" t="s">
        <v>297</v>
      </c>
    </row>
    <row r="306" spans="1:15">
      <c r="A306" s="3">
        <f t="shared" si="5"/>
        <v>305</v>
      </c>
      <c r="B306" s="68" t="s">
        <v>870</v>
      </c>
      <c r="C306" s="27">
        <v>9955770044</v>
      </c>
      <c r="D306" s="6"/>
      <c r="E306" s="3" t="s">
        <v>869</v>
      </c>
      <c r="F306" s="68" t="s">
        <v>308</v>
      </c>
      <c r="G306" s="3" t="s">
        <v>424</v>
      </c>
      <c r="H306" s="3" t="s">
        <v>162</v>
      </c>
      <c r="I306" s="37" t="s">
        <v>94</v>
      </c>
      <c r="J306" s="31">
        <v>45680</v>
      </c>
      <c r="K306" s="31">
        <v>45680</v>
      </c>
      <c r="L306" s="31"/>
      <c r="M306" s="31"/>
      <c r="N306" s="31"/>
      <c r="O306" s="3" t="s">
        <v>425</v>
      </c>
    </row>
    <row r="307" spans="1:15">
      <c r="A307" s="3">
        <f t="shared" si="5"/>
        <v>306</v>
      </c>
      <c r="B307" s="68" t="s">
        <v>871</v>
      </c>
      <c r="C307" s="27">
        <v>9494553406</v>
      </c>
      <c r="D307" s="6"/>
      <c r="E307" s="3" t="s">
        <v>872</v>
      </c>
      <c r="F307" s="68" t="s">
        <v>308</v>
      </c>
      <c r="G307" s="3" t="s">
        <v>424</v>
      </c>
      <c r="H307" s="3" t="s">
        <v>162</v>
      </c>
      <c r="I307" s="37" t="s">
        <v>94</v>
      </c>
      <c r="J307" s="31">
        <v>45680</v>
      </c>
      <c r="K307" s="31">
        <v>45688</v>
      </c>
      <c r="L307" s="31"/>
      <c r="M307" s="31"/>
      <c r="N307" s="31"/>
      <c r="O307" s="3" t="s">
        <v>425</v>
      </c>
    </row>
    <row r="308" spans="1:15">
      <c r="A308" s="3">
        <f t="shared" si="5"/>
        <v>307</v>
      </c>
      <c r="B308" s="68" t="s">
        <v>873</v>
      </c>
      <c r="C308" s="27">
        <v>7032471459</v>
      </c>
      <c r="D308" s="6"/>
      <c r="E308" s="3" t="s">
        <v>872</v>
      </c>
      <c r="F308" s="68" t="s">
        <v>308</v>
      </c>
      <c r="G308" s="3" t="s">
        <v>424</v>
      </c>
      <c r="H308" s="3" t="s">
        <v>162</v>
      </c>
      <c r="I308" s="37" t="s">
        <v>94</v>
      </c>
      <c r="J308" s="31">
        <v>45680</v>
      </c>
      <c r="K308" s="31">
        <v>45690</v>
      </c>
      <c r="L308" s="31"/>
      <c r="M308" s="31"/>
      <c r="N308" s="31"/>
      <c r="O308" s="3" t="s">
        <v>425</v>
      </c>
    </row>
    <row r="309" spans="1:15">
      <c r="A309" s="3">
        <f t="shared" si="5"/>
        <v>308</v>
      </c>
      <c r="B309" s="68" t="s">
        <v>874</v>
      </c>
      <c r="C309" s="3">
        <v>8309154839</v>
      </c>
      <c r="D309" s="6">
        <v>9440878889</v>
      </c>
      <c r="E309" s="3" t="s">
        <v>52</v>
      </c>
      <c r="F309" s="67" t="s">
        <v>875</v>
      </c>
      <c r="G309" s="3" t="s">
        <v>16</v>
      </c>
      <c r="H309" s="3" t="s">
        <v>660</v>
      </c>
      <c r="I309" s="37" t="s">
        <v>42</v>
      </c>
      <c r="J309" s="31">
        <v>45680</v>
      </c>
      <c r="K309" s="31">
        <v>45712</v>
      </c>
      <c r="L309" s="31">
        <v>45723</v>
      </c>
      <c r="M309" s="31">
        <v>45754</v>
      </c>
      <c r="N309" s="31">
        <v>45731</v>
      </c>
      <c r="O309" s="3" t="s">
        <v>297</v>
      </c>
    </row>
    <row r="310" spans="1:15">
      <c r="A310" s="3">
        <f t="shared" si="5"/>
        <v>309</v>
      </c>
      <c r="B310" s="68" t="s">
        <v>876</v>
      </c>
      <c r="C310" s="3">
        <v>6369428770</v>
      </c>
      <c r="D310" s="6">
        <v>9751340268</v>
      </c>
      <c r="E310" s="3" t="s">
        <v>52</v>
      </c>
      <c r="F310" s="67" t="s">
        <v>877</v>
      </c>
      <c r="G310" s="3" t="s">
        <v>424</v>
      </c>
      <c r="H310" s="3" t="s">
        <v>660</v>
      </c>
      <c r="I310" s="37" t="s">
        <v>42</v>
      </c>
      <c r="J310" s="31">
        <v>45680</v>
      </c>
      <c r="K310" s="31">
        <v>45680</v>
      </c>
      <c r="L310" s="31"/>
      <c r="M310" s="31"/>
      <c r="N310" s="31"/>
      <c r="O310" s="3" t="s">
        <v>425</v>
      </c>
    </row>
    <row r="311" spans="1:15" ht="15.6">
      <c r="A311" s="3">
        <f t="shared" si="5"/>
        <v>310</v>
      </c>
      <c r="B311" s="68" t="s">
        <v>878</v>
      </c>
      <c r="C311" s="3">
        <v>8722214739</v>
      </c>
      <c r="D311" s="6"/>
      <c r="E311" s="3" t="s">
        <v>59</v>
      </c>
      <c r="F311" s="71" t="s">
        <v>685</v>
      </c>
      <c r="G311" s="3" t="s">
        <v>424</v>
      </c>
      <c r="H311" s="3" t="s">
        <v>660</v>
      </c>
      <c r="I311" s="37" t="s">
        <v>42</v>
      </c>
      <c r="J311" s="31">
        <v>45680</v>
      </c>
      <c r="K311" s="31">
        <v>45695</v>
      </c>
      <c r="L311" s="31"/>
      <c r="M311" s="31"/>
      <c r="N311" s="31"/>
      <c r="O311" s="3" t="s">
        <v>425</v>
      </c>
    </row>
    <row r="312" spans="1:15" ht="15.6">
      <c r="A312" s="3">
        <f t="shared" si="5"/>
        <v>311</v>
      </c>
      <c r="B312" s="68" t="s">
        <v>879</v>
      </c>
      <c r="C312" s="3">
        <v>9000286290</v>
      </c>
      <c r="D312" s="6"/>
      <c r="E312" s="3" t="s">
        <v>59</v>
      </c>
      <c r="F312" s="71" t="s">
        <v>685</v>
      </c>
      <c r="G312" s="3" t="s">
        <v>424</v>
      </c>
      <c r="H312" s="3" t="s">
        <v>660</v>
      </c>
      <c r="I312" s="37" t="s">
        <v>42</v>
      </c>
      <c r="J312" s="31">
        <v>45680</v>
      </c>
      <c r="K312" s="31">
        <v>45696</v>
      </c>
      <c r="L312" s="31"/>
      <c r="M312" s="31"/>
      <c r="N312" s="31"/>
      <c r="O312" s="3" t="s">
        <v>425</v>
      </c>
    </row>
    <row r="313" spans="1:15" ht="15.6">
      <c r="A313" s="3">
        <f t="shared" si="5"/>
        <v>312</v>
      </c>
      <c r="B313" s="68" t="s">
        <v>880</v>
      </c>
      <c r="C313" s="3">
        <v>9618025151</v>
      </c>
      <c r="D313" s="6">
        <v>7470884470</v>
      </c>
      <c r="E313" s="3" t="s">
        <v>59</v>
      </c>
      <c r="F313" s="71" t="s">
        <v>685</v>
      </c>
      <c r="G313" s="3" t="s">
        <v>424</v>
      </c>
      <c r="H313" s="3" t="s">
        <v>660</v>
      </c>
      <c r="I313" s="37" t="s">
        <v>42</v>
      </c>
      <c r="J313" s="31">
        <v>45680</v>
      </c>
      <c r="K313" s="31">
        <v>45680</v>
      </c>
      <c r="L313" s="31"/>
      <c r="M313" s="31"/>
      <c r="N313" s="31"/>
      <c r="O313" s="3" t="s">
        <v>749</v>
      </c>
    </row>
    <row r="314" spans="1:15" ht="15.6">
      <c r="A314" s="3">
        <f t="shared" ref="A314:A377" si="6">ROW()-1</f>
        <v>313</v>
      </c>
      <c r="B314" s="68" t="s">
        <v>881</v>
      </c>
      <c r="C314" s="3">
        <v>7650951686</v>
      </c>
      <c r="D314" s="6">
        <v>9928800000</v>
      </c>
      <c r="E314" s="3" t="s">
        <v>341</v>
      </c>
      <c r="F314" s="71" t="s">
        <v>481</v>
      </c>
      <c r="G314" s="3" t="s">
        <v>424</v>
      </c>
      <c r="H314" s="3" t="s">
        <v>162</v>
      </c>
      <c r="I314" s="37" t="s">
        <v>88</v>
      </c>
      <c r="J314" s="31">
        <v>45680</v>
      </c>
      <c r="K314" s="31">
        <v>45681</v>
      </c>
      <c r="L314" s="31"/>
      <c r="M314" s="31"/>
      <c r="N314" s="31"/>
      <c r="O314" s="3" t="s">
        <v>425</v>
      </c>
    </row>
    <row r="315" spans="1:15">
      <c r="A315" s="3">
        <f t="shared" si="6"/>
        <v>314</v>
      </c>
      <c r="B315" s="68" t="s">
        <v>882</v>
      </c>
      <c r="C315" s="27">
        <v>8803091935</v>
      </c>
      <c r="D315" s="6"/>
      <c r="E315" s="2" t="s">
        <v>883</v>
      </c>
      <c r="F315" s="41" t="s">
        <v>481</v>
      </c>
      <c r="G315" s="3" t="s">
        <v>16</v>
      </c>
      <c r="H315" s="3" t="s">
        <v>162</v>
      </c>
      <c r="I315" s="37" t="s">
        <v>88</v>
      </c>
      <c r="J315" s="31">
        <v>45680</v>
      </c>
      <c r="K315" s="31">
        <v>45686</v>
      </c>
      <c r="L315" s="31">
        <v>45687</v>
      </c>
      <c r="M315" s="31">
        <v>45782</v>
      </c>
      <c r="N315" s="31">
        <v>45782</v>
      </c>
      <c r="O315" s="3" t="s">
        <v>297</v>
      </c>
    </row>
    <row r="316" spans="1:15">
      <c r="A316" s="3">
        <f t="shared" si="6"/>
        <v>315</v>
      </c>
      <c r="B316" s="68" t="s">
        <v>884</v>
      </c>
      <c r="C316" s="27">
        <v>8894052810</v>
      </c>
      <c r="D316" s="6">
        <v>9805705518</v>
      </c>
      <c r="E316" s="3" t="s">
        <v>478</v>
      </c>
      <c r="F316" s="41" t="s">
        <v>885</v>
      </c>
      <c r="G316" s="3" t="s">
        <v>424</v>
      </c>
      <c r="H316" s="3" t="s">
        <v>162</v>
      </c>
      <c r="I316" s="37" t="s">
        <v>42</v>
      </c>
      <c r="J316" s="31">
        <v>45680</v>
      </c>
      <c r="K316" s="31">
        <v>45690</v>
      </c>
      <c r="L316" s="31"/>
      <c r="M316" s="31"/>
      <c r="N316" s="31"/>
      <c r="O316" s="3" t="s">
        <v>425</v>
      </c>
    </row>
    <row r="317" spans="1:15">
      <c r="A317" s="3">
        <f t="shared" si="6"/>
        <v>316</v>
      </c>
      <c r="B317" s="68" t="s">
        <v>886</v>
      </c>
      <c r="C317" s="3">
        <v>9816286425</v>
      </c>
      <c r="D317" s="6">
        <v>8305134248</v>
      </c>
      <c r="E317" s="3" t="s">
        <v>478</v>
      </c>
      <c r="F317" s="41" t="s">
        <v>885</v>
      </c>
      <c r="G317" s="3" t="s">
        <v>424</v>
      </c>
      <c r="H317" s="3" t="s">
        <v>162</v>
      </c>
      <c r="I317" s="37" t="s">
        <v>42</v>
      </c>
      <c r="J317" s="31">
        <v>45681</v>
      </c>
      <c r="K317" s="31">
        <v>45690</v>
      </c>
      <c r="L317" s="31"/>
      <c r="M317" s="31"/>
      <c r="N317" s="31"/>
      <c r="O317" s="3" t="s">
        <v>425</v>
      </c>
    </row>
    <row r="318" spans="1:15">
      <c r="A318" s="3">
        <f t="shared" si="6"/>
        <v>317</v>
      </c>
      <c r="B318" s="68" t="s">
        <v>887</v>
      </c>
      <c r="C318" s="3">
        <v>9000535670</v>
      </c>
      <c r="D318" s="6"/>
      <c r="E318" s="3" t="s">
        <v>341</v>
      </c>
      <c r="F318" s="41" t="s">
        <v>481</v>
      </c>
      <c r="G318" s="3" t="s">
        <v>424</v>
      </c>
      <c r="H318" s="3" t="s">
        <v>162</v>
      </c>
      <c r="I318" s="37" t="s">
        <v>88</v>
      </c>
      <c r="J318" s="31">
        <v>45681</v>
      </c>
      <c r="K318" s="31">
        <v>45690</v>
      </c>
      <c r="L318" s="31"/>
      <c r="M318" s="31"/>
      <c r="N318" s="31"/>
      <c r="O318" s="3" t="s">
        <v>425</v>
      </c>
    </row>
    <row r="319" spans="1:15">
      <c r="A319" s="3">
        <f t="shared" si="6"/>
        <v>318</v>
      </c>
      <c r="B319" s="68" t="s">
        <v>888</v>
      </c>
      <c r="C319" s="3">
        <v>9131333247</v>
      </c>
      <c r="D319" s="6"/>
      <c r="E319" s="3" t="s">
        <v>341</v>
      </c>
      <c r="F319" s="41" t="s">
        <v>481</v>
      </c>
      <c r="G319" s="3" t="s">
        <v>424</v>
      </c>
      <c r="H319" s="3" t="s">
        <v>162</v>
      </c>
      <c r="I319" s="37" t="s">
        <v>88</v>
      </c>
      <c r="J319" s="31">
        <v>45681</v>
      </c>
      <c r="K319" s="31">
        <v>45690</v>
      </c>
      <c r="L319" s="31"/>
      <c r="M319" s="31"/>
      <c r="N319" s="31"/>
      <c r="O319" s="3" t="s">
        <v>425</v>
      </c>
    </row>
    <row r="320" spans="1:15">
      <c r="A320" s="3">
        <f t="shared" si="6"/>
        <v>319</v>
      </c>
      <c r="B320" s="68" t="s">
        <v>889</v>
      </c>
      <c r="C320" s="3">
        <v>8987522488</v>
      </c>
      <c r="D320" s="6"/>
      <c r="E320" s="3" t="s">
        <v>341</v>
      </c>
      <c r="F320" s="41" t="s">
        <v>481</v>
      </c>
      <c r="G320" s="3" t="s">
        <v>424</v>
      </c>
      <c r="H320" s="3" t="s">
        <v>162</v>
      </c>
      <c r="I320" s="37" t="s">
        <v>88</v>
      </c>
      <c r="J320" s="31">
        <v>45681</v>
      </c>
      <c r="K320" s="31">
        <v>45690</v>
      </c>
      <c r="L320" s="31"/>
      <c r="M320" s="31"/>
      <c r="N320" s="31"/>
      <c r="O320" s="3" t="s">
        <v>425</v>
      </c>
    </row>
    <row r="321" spans="1:15">
      <c r="A321" s="3">
        <f t="shared" si="6"/>
        <v>320</v>
      </c>
      <c r="B321" s="68" t="s">
        <v>890</v>
      </c>
      <c r="C321" s="3">
        <v>9882815060</v>
      </c>
      <c r="D321" s="6"/>
      <c r="E321" s="3" t="s">
        <v>485</v>
      </c>
      <c r="F321" s="41" t="s">
        <v>891</v>
      </c>
      <c r="G321" s="3" t="s">
        <v>18</v>
      </c>
      <c r="H321" s="2" t="s">
        <v>487</v>
      </c>
      <c r="I321" s="37" t="s">
        <v>88</v>
      </c>
      <c r="J321" s="31">
        <v>45680</v>
      </c>
      <c r="K321" s="31"/>
      <c r="L321" s="31"/>
      <c r="M321" s="31"/>
      <c r="N321" s="31"/>
      <c r="O321" s="3" t="s">
        <v>425</v>
      </c>
    </row>
    <row r="322" spans="1:15">
      <c r="A322" s="3">
        <f t="shared" si="6"/>
        <v>321</v>
      </c>
      <c r="B322" s="68" t="s">
        <v>892</v>
      </c>
      <c r="C322" s="3">
        <v>8955841073</v>
      </c>
      <c r="D322" s="6"/>
      <c r="E322" s="3" t="s">
        <v>485</v>
      </c>
      <c r="F322" s="41" t="s">
        <v>891</v>
      </c>
      <c r="G322" s="3" t="s">
        <v>424</v>
      </c>
      <c r="H322" s="2" t="s">
        <v>487</v>
      </c>
      <c r="I322" s="37" t="s">
        <v>88</v>
      </c>
      <c r="J322" s="31">
        <v>45680</v>
      </c>
      <c r="K322" s="31">
        <v>45681</v>
      </c>
      <c r="L322" s="31"/>
      <c r="M322" s="31"/>
      <c r="N322" s="31"/>
      <c r="O322" s="3" t="s">
        <v>425</v>
      </c>
    </row>
    <row r="323" spans="1:15">
      <c r="A323" s="3">
        <f t="shared" si="6"/>
        <v>322</v>
      </c>
      <c r="B323" s="68" t="s">
        <v>893</v>
      </c>
      <c r="C323" s="3">
        <v>7051165108</v>
      </c>
      <c r="D323" s="6"/>
      <c r="E323" s="3" t="s">
        <v>894</v>
      </c>
      <c r="F323" s="41" t="s">
        <v>895</v>
      </c>
      <c r="G323" s="3" t="s">
        <v>424</v>
      </c>
      <c r="H323" s="2" t="s">
        <v>487</v>
      </c>
      <c r="I323" s="37" t="s">
        <v>88</v>
      </c>
      <c r="J323" s="31">
        <v>45680</v>
      </c>
      <c r="K323" s="31">
        <v>45681</v>
      </c>
      <c r="L323" s="31"/>
      <c r="M323" s="31"/>
      <c r="N323" s="31"/>
      <c r="O323" s="3" t="s">
        <v>425</v>
      </c>
    </row>
    <row r="324" spans="1:15">
      <c r="A324" s="3">
        <f t="shared" si="6"/>
        <v>323</v>
      </c>
      <c r="B324" s="68" t="s">
        <v>896</v>
      </c>
      <c r="C324" s="3">
        <v>6006229426</v>
      </c>
      <c r="D324" s="6"/>
      <c r="E324" s="3" t="s">
        <v>485</v>
      </c>
      <c r="F324" s="41" t="s">
        <v>891</v>
      </c>
      <c r="G324" s="3" t="s">
        <v>416</v>
      </c>
      <c r="H324" s="2" t="s">
        <v>487</v>
      </c>
      <c r="I324" s="37" t="s">
        <v>88</v>
      </c>
      <c r="J324" s="31">
        <v>45680</v>
      </c>
      <c r="K324" s="31">
        <v>45681</v>
      </c>
      <c r="L324" s="31"/>
      <c r="M324" s="31"/>
      <c r="N324" s="31"/>
      <c r="O324" s="3" t="s">
        <v>297</v>
      </c>
    </row>
    <row r="325" spans="1:15">
      <c r="A325" s="3">
        <f t="shared" si="6"/>
        <v>324</v>
      </c>
      <c r="B325" s="68" t="s">
        <v>897</v>
      </c>
      <c r="C325" s="3">
        <v>9415118711</v>
      </c>
      <c r="D325" s="6"/>
      <c r="E325" s="3" t="s">
        <v>898</v>
      </c>
      <c r="F325" s="41" t="s">
        <v>899</v>
      </c>
      <c r="G325" s="3" t="s">
        <v>424</v>
      </c>
      <c r="H325" s="2" t="s">
        <v>487</v>
      </c>
      <c r="I325" s="37" t="s">
        <v>42</v>
      </c>
      <c r="J325" s="31">
        <v>45680</v>
      </c>
      <c r="K325" s="31">
        <v>45680</v>
      </c>
      <c r="L325" s="31"/>
      <c r="M325" s="31"/>
      <c r="N325" s="31"/>
      <c r="O325" s="3" t="s">
        <v>425</v>
      </c>
    </row>
    <row r="326" spans="1:15">
      <c r="A326" s="3">
        <f t="shared" si="6"/>
        <v>325</v>
      </c>
      <c r="B326" s="68" t="s">
        <v>900</v>
      </c>
      <c r="C326" s="3">
        <v>7702589216</v>
      </c>
      <c r="D326" s="6"/>
      <c r="E326" s="3" t="s">
        <v>894</v>
      </c>
      <c r="F326" s="41" t="s">
        <v>895</v>
      </c>
      <c r="G326" s="3" t="s">
        <v>16</v>
      </c>
      <c r="H326" s="2" t="s">
        <v>487</v>
      </c>
      <c r="I326" s="37" t="s">
        <v>88</v>
      </c>
      <c r="J326" s="31">
        <v>45680</v>
      </c>
      <c r="K326" s="31">
        <v>45681</v>
      </c>
      <c r="L326" s="31">
        <v>45686</v>
      </c>
      <c r="M326" s="31">
        <v>45716</v>
      </c>
      <c r="N326" s="31">
        <v>45716</v>
      </c>
      <c r="O326" s="3" t="s">
        <v>297</v>
      </c>
    </row>
    <row r="327" spans="1:15">
      <c r="A327" s="3">
        <f t="shared" si="6"/>
        <v>326</v>
      </c>
      <c r="B327" s="68" t="s">
        <v>901</v>
      </c>
      <c r="C327" s="27">
        <v>9118358745</v>
      </c>
      <c r="D327" s="6">
        <v>7398080668</v>
      </c>
      <c r="E327" s="3" t="s">
        <v>485</v>
      </c>
      <c r="F327" s="41" t="s">
        <v>891</v>
      </c>
      <c r="G327" s="3" t="s">
        <v>295</v>
      </c>
      <c r="H327" s="2" t="s">
        <v>487</v>
      </c>
      <c r="I327" s="37" t="s">
        <v>88</v>
      </c>
      <c r="J327" s="31">
        <v>45680</v>
      </c>
      <c r="K327" s="31">
        <v>45681</v>
      </c>
      <c r="L327" s="31">
        <v>45686</v>
      </c>
      <c r="M327" s="31">
        <v>45716</v>
      </c>
      <c r="N327" s="31"/>
      <c r="O327" s="3" t="s">
        <v>297</v>
      </c>
    </row>
    <row r="328" spans="1:15">
      <c r="A328" s="3">
        <f t="shared" si="6"/>
        <v>327</v>
      </c>
      <c r="B328" s="68" t="s">
        <v>902</v>
      </c>
      <c r="C328" s="3">
        <v>7006193816</v>
      </c>
      <c r="D328" s="6"/>
      <c r="E328" s="3" t="s">
        <v>894</v>
      </c>
      <c r="F328" s="41" t="s">
        <v>895</v>
      </c>
      <c r="G328" s="3" t="s">
        <v>295</v>
      </c>
      <c r="H328" s="2" t="s">
        <v>487</v>
      </c>
      <c r="I328" s="37" t="s">
        <v>88</v>
      </c>
      <c r="J328" s="31">
        <v>45680</v>
      </c>
      <c r="K328" s="31">
        <v>45680</v>
      </c>
      <c r="L328" s="31">
        <v>45694</v>
      </c>
      <c r="M328" s="31">
        <v>45762</v>
      </c>
      <c r="N328" s="31"/>
      <c r="O328" s="3" t="s">
        <v>297</v>
      </c>
    </row>
    <row r="329" spans="1:15">
      <c r="A329" s="3">
        <f t="shared" si="6"/>
        <v>328</v>
      </c>
      <c r="B329" s="68" t="s">
        <v>903</v>
      </c>
      <c r="C329" s="27">
        <v>8894281034</v>
      </c>
      <c r="D329" s="6"/>
      <c r="E329" s="3" t="s">
        <v>894</v>
      </c>
      <c r="F329" s="41" t="s">
        <v>895</v>
      </c>
      <c r="G329" s="3" t="s">
        <v>16</v>
      </c>
      <c r="H329" s="2" t="s">
        <v>487</v>
      </c>
      <c r="I329" s="37" t="s">
        <v>88</v>
      </c>
      <c r="J329" s="31">
        <v>45680</v>
      </c>
      <c r="K329" s="31">
        <v>45681</v>
      </c>
      <c r="L329" s="31">
        <v>45686</v>
      </c>
      <c r="M329" s="31">
        <v>45716</v>
      </c>
      <c r="N329" s="31">
        <v>45716</v>
      </c>
      <c r="O329" s="3" t="s">
        <v>297</v>
      </c>
    </row>
    <row r="330" spans="1:15">
      <c r="A330" s="3">
        <f t="shared" si="6"/>
        <v>329</v>
      </c>
      <c r="B330" s="68" t="s">
        <v>904</v>
      </c>
      <c r="C330" s="3">
        <v>9682643795</v>
      </c>
      <c r="D330" s="6"/>
      <c r="E330" s="3" t="s">
        <v>485</v>
      </c>
      <c r="F330" s="41" t="s">
        <v>891</v>
      </c>
      <c r="G330" s="3" t="s">
        <v>424</v>
      </c>
      <c r="H330" s="2" t="s">
        <v>487</v>
      </c>
      <c r="I330" s="37" t="s">
        <v>88</v>
      </c>
      <c r="J330" s="31">
        <v>45680</v>
      </c>
      <c r="K330" s="31">
        <v>45681</v>
      </c>
      <c r="L330" s="31"/>
      <c r="M330" s="31"/>
      <c r="N330" s="31"/>
      <c r="O330" s="3" t="s">
        <v>425</v>
      </c>
    </row>
    <row r="331" spans="1:15">
      <c r="A331" s="3">
        <f t="shared" si="6"/>
        <v>330</v>
      </c>
      <c r="B331" s="68" t="s">
        <v>905</v>
      </c>
      <c r="C331" s="3">
        <v>7408500122</v>
      </c>
      <c r="D331" s="6"/>
      <c r="E331" s="3" t="s">
        <v>485</v>
      </c>
      <c r="F331" s="41" t="s">
        <v>891</v>
      </c>
      <c r="G331" s="3" t="s">
        <v>16</v>
      </c>
      <c r="H331" s="2" t="s">
        <v>487</v>
      </c>
      <c r="I331" s="37" t="s">
        <v>88</v>
      </c>
      <c r="J331" s="31">
        <v>45680</v>
      </c>
      <c r="K331" s="31">
        <v>45681</v>
      </c>
      <c r="L331" s="31">
        <v>45686</v>
      </c>
      <c r="M331" s="31">
        <v>45685</v>
      </c>
      <c r="N331" s="31">
        <v>45685</v>
      </c>
      <c r="O331" s="3" t="s">
        <v>297</v>
      </c>
    </row>
    <row r="332" spans="1:15">
      <c r="A332" s="3">
        <f t="shared" si="6"/>
        <v>331</v>
      </c>
      <c r="B332" s="68" t="s">
        <v>906</v>
      </c>
      <c r="C332" s="27">
        <v>9797679093</v>
      </c>
      <c r="D332" s="6"/>
      <c r="E332" s="3" t="s">
        <v>907</v>
      </c>
      <c r="F332" s="41" t="s">
        <v>895</v>
      </c>
      <c r="G332" s="3" t="s">
        <v>16</v>
      </c>
      <c r="H332" s="2" t="s">
        <v>487</v>
      </c>
      <c r="I332" s="37" t="s">
        <v>88</v>
      </c>
      <c r="J332" s="31">
        <v>45680</v>
      </c>
      <c r="K332" s="31">
        <v>45681</v>
      </c>
      <c r="L332" s="31">
        <v>45686</v>
      </c>
      <c r="M332" s="31">
        <v>45685</v>
      </c>
      <c r="N332" s="31">
        <v>45685</v>
      </c>
      <c r="O332" s="3" t="s">
        <v>297</v>
      </c>
    </row>
    <row r="333" spans="1:15">
      <c r="A333" s="3">
        <f t="shared" si="6"/>
        <v>332</v>
      </c>
      <c r="B333" s="68" t="s">
        <v>908</v>
      </c>
      <c r="C333" s="3">
        <v>9761544154</v>
      </c>
      <c r="D333" s="6"/>
      <c r="E333" s="3" t="s">
        <v>909</v>
      </c>
      <c r="F333" s="41" t="s">
        <v>891</v>
      </c>
      <c r="G333" s="3" t="s">
        <v>16</v>
      </c>
      <c r="H333" s="2" t="s">
        <v>487</v>
      </c>
      <c r="I333" s="37" t="s">
        <v>88</v>
      </c>
      <c r="J333" s="31">
        <v>45680</v>
      </c>
      <c r="K333" s="31">
        <v>45681</v>
      </c>
      <c r="L333" s="31">
        <v>45686</v>
      </c>
      <c r="M333" s="31">
        <v>45716</v>
      </c>
      <c r="N333" s="31">
        <v>45716</v>
      </c>
      <c r="O333" s="3" t="s">
        <v>297</v>
      </c>
    </row>
    <row r="334" spans="1:15">
      <c r="A334" s="3">
        <f t="shared" si="6"/>
        <v>333</v>
      </c>
      <c r="B334" s="68" t="s">
        <v>910</v>
      </c>
      <c r="C334" s="27">
        <v>8101323673</v>
      </c>
      <c r="D334" s="6"/>
      <c r="E334" s="3" t="s">
        <v>909</v>
      </c>
      <c r="F334" s="41" t="s">
        <v>891</v>
      </c>
      <c r="G334" s="3" t="s">
        <v>16</v>
      </c>
      <c r="H334" s="2" t="s">
        <v>487</v>
      </c>
      <c r="I334" s="37" t="s">
        <v>88</v>
      </c>
      <c r="J334" s="31">
        <v>45680</v>
      </c>
      <c r="K334" s="31">
        <v>45681</v>
      </c>
      <c r="L334" s="31">
        <v>45686</v>
      </c>
      <c r="M334" s="31">
        <v>45716</v>
      </c>
      <c r="N334" s="31">
        <v>45716</v>
      </c>
      <c r="O334" s="3" t="s">
        <v>297</v>
      </c>
    </row>
    <row r="335" spans="1:15">
      <c r="A335" s="3">
        <f t="shared" si="6"/>
        <v>334</v>
      </c>
      <c r="B335" s="68" t="s">
        <v>911</v>
      </c>
      <c r="C335" s="27">
        <v>6352449136</v>
      </c>
      <c r="D335" s="6"/>
      <c r="E335" s="3" t="s">
        <v>912</v>
      </c>
      <c r="F335" s="68" t="s">
        <v>308</v>
      </c>
      <c r="G335" s="3" t="s">
        <v>295</v>
      </c>
      <c r="H335" s="3" t="s">
        <v>913</v>
      </c>
      <c r="I335" s="37" t="s">
        <v>94</v>
      </c>
      <c r="J335" s="31">
        <v>45681</v>
      </c>
      <c r="K335" s="31">
        <v>45698</v>
      </c>
      <c r="L335" s="31">
        <v>45709</v>
      </c>
      <c r="M335" s="31">
        <v>45742</v>
      </c>
      <c r="N335" s="31"/>
      <c r="O335" s="3" t="s">
        <v>297</v>
      </c>
    </row>
    <row r="336" spans="1:15">
      <c r="A336" s="3">
        <f t="shared" si="6"/>
        <v>335</v>
      </c>
      <c r="B336" s="68" t="s">
        <v>914</v>
      </c>
      <c r="C336" s="27">
        <v>6350659361</v>
      </c>
      <c r="D336" s="6"/>
      <c r="E336" s="3" t="s">
        <v>915</v>
      </c>
      <c r="F336" s="68" t="s">
        <v>543</v>
      </c>
      <c r="G336" s="3" t="s">
        <v>424</v>
      </c>
      <c r="H336" s="3" t="s">
        <v>913</v>
      </c>
      <c r="I336" s="37" t="s">
        <v>42</v>
      </c>
      <c r="J336" s="31">
        <v>45681</v>
      </c>
      <c r="K336" s="31">
        <v>45699</v>
      </c>
      <c r="L336" s="31"/>
      <c r="M336" s="31"/>
      <c r="N336" s="31"/>
      <c r="O336" s="3" t="s">
        <v>425</v>
      </c>
    </row>
    <row r="337" spans="1:15">
      <c r="A337" s="3">
        <f t="shared" si="6"/>
        <v>336</v>
      </c>
      <c r="B337" s="68" t="s">
        <v>916</v>
      </c>
      <c r="C337" s="27">
        <v>7602300290</v>
      </c>
      <c r="D337" s="6"/>
      <c r="E337" s="3" t="s">
        <v>917</v>
      </c>
      <c r="F337" s="68" t="s">
        <v>419</v>
      </c>
      <c r="G337" s="3" t="s">
        <v>416</v>
      </c>
      <c r="H337" s="3" t="s">
        <v>913</v>
      </c>
      <c r="I337" s="37" t="s">
        <v>94</v>
      </c>
      <c r="J337" s="31">
        <v>45681</v>
      </c>
      <c r="K337" s="31">
        <v>45699</v>
      </c>
      <c r="L337" s="31"/>
      <c r="M337" s="31"/>
      <c r="N337" s="31"/>
      <c r="O337" s="3" t="s">
        <v>297</v>
      </c>
    </row>
    <row r="338" spans="1:15">
      <c r="A338" s="3">
        <f t="shared" si="6"/>
        <v>337</v>
      </c>
      <c r="B338" s="68" t="s">
        <v>918</v>
      </c>
      <c r="C338" s="27">
        <v>9875088941</v>
      </c>
      <c r="D338" s="6"/>
      <c r="E338" s="3" t="s">
        <v>917</v>
      </c>
      <c r="F338" s="68" t="s">
        <v>308</v>
      </c>
      <c r="G338" s="3" t="s">
        <v>424</v>
      </c>
      <c r="H338" s="3" t="s">
        <v>913</v>
      </c>
      <c r="I338" s="37" t="s">
        <v>94</v>
      </c>
      <c r="J338" s="31">
        <v>45681</v>
      </c>
      <c r="K338" s="31">
        <v>45701</v>
      </c>
      <c r="L338" s="31"/>
      <c r="M338" s="31"/>
      <c r="N338" s="31"/>
      <c r="O338" s="3" t="s">
        <v>425</v>
      </c>
    </row>
    <row r="339" spans="1:15">
      <c r="A339" s="3">
        <f t="shared" si="6"/>
        <v>338</v>
      </c>
      <c r="B339" s="68" t="s">
        <v>919</v>
      </c>
      <c r="C339" s="27">
        <v>6306261485</v>
      </c>
      <c r="D339" s="6"/>
      <c r="E339" s="3" t="s">
        <v>917</v>
      </c>
      <c r="F339" s="68" t="s">
        <v>920</v>
      </c>
      <c r="G339" s="3" t="s">
        <v>424</v>
      </c>
      <c r="H339" s="3" t="s">
        <v>913</v>
      </c>
      <c r="I339" s="37" t="s">
        <v>94</v>
      </c>
      <c r="J339" s="31">
        <v>45681</v>
      </c>
      <c r="K339" s="31">
        <v>45701</v>
      </c>
      <c r="L339" s="31"/>
      <c r="M339" s="31"/>
      <c r="N339" s="31"/>
      <c r="O339" s="3" t="s">
        <v>425</v>
      </c>
    </row>
    <row r="340" spans="1:15">
      <c r="A340" s="3">
        <f t="shared" si="6"/>
        <v>339</v>
      </c>
      <c r="B340" s="68" t="s">
        <v>921</v>
      </c>
      <c r="C340" s="27">
        <v>9014458418</v>
      </c>
      <c r="D340" s="6"/>
      <c r="E340" s="3" t="s">
        <v>922</v>
      </c>
      <c r="F340" s="68" t="s">
        <v>333</v>
      </c>
      <c r="G340" s="3" t="s">
        <v>330</v>
      </c>
      <c r="H340" s="3" t="s">
        <v>913</v>
      </c>
      <c r="I340" s="37" t="s">
        <v>94</v>
      </c>
      <c r="J340" s="31">
        <v>45681</v>
      </c>
      <c r="K340" s="31">
        <v>45698</v>
      </c>
      <c r="L340" s="31">
        <v>45709</v>
      </c>
      <c r="M340" s="31">
        <v>45742</v>
      </c>
      <c r="N340" s="31">
        <v>45732</v>
      </c>
      <c r="O340" s="3" t="s">
        <v>297</v>
      </c>
    </row>
    <row r="341" spans="1:15">
      <c r="A341" s="3">
        <f t="shared" si="6"/>
        <v>340</v>
      </c>
      <c r="B341" s="68" t="s">
        <v>923</v>
      </c>
      <c r="C341" s="27">
        <v>8297974814</v>
      </c>
      <c r="D341" s="6"/>
      <c r="E341" s="3" t="s">
        <v>917</v>
      </c>
      <c r="F341" s="68" t="s">
        <v>308</v>
      </c>
      <c r="G341" s="3" t="s">
        <v>424</v>
      </c>
      <c r="H341" s="3" t="s">
        <v>913</v>
      </c>
      <c r="I341" s="37" t="s">
        <v>94</v>
      </c>
      <c r="J341" s="31">
        <v>45681</v>
      </c>
      <c r="K341" s="31">
        <v>45701</v>
      </c>
      <c r="L341" s="31"/>
      <c r="M341" s="31"/>
      <c r="N341" s="31"/>
      <c r="O341" s="3" t="s">
        <v>425</v>
      </c>
    </row>
    <row r="342" spans="1:15">
      <c r="A342" s="3">
        <f t="shared" si="6"/>
        <v>341</v>
      </c>
      <c r="B342" s="68" t="s">
        <v>924</v>
      </c>
      <c r="C342" s="27">
        <v>6303274589</v>
      </c>
      <c r="D342" s="6"/>
      <c r="E342" s="3" t="s">
        <v>922</v>
      </c>
      <c r="F342" s="68" t="s">
        <v>333</v>
      </c>
      <c r="G342" s="3" t="s">
        <v>330</v>
      </c>
      <c r="H342" s="3" t="s">
        <v>913</v>
      </c>
      <c r="I342" s="37" t="s">
        <v>94</v>
      </c>
      <c r="J342" s="31">
        <v>45681</v>
      </c>
      <c r="K342" s="31">
        <v>45698</v>
      </c>
      <c r="L342" s="31">
        <v>45709</v>
      </c>
      <c r="M342" s="31">
        <v>45737</v>
      </c>
      <c r="N342" s="31">
        <v>45732</v>
      </c>
      <c r="O342" s="3" t="s">
        <v>297</v>
      </c>
    </row>
    <row r="343" spans="1:15">
      <c r="A343" s="3">
        <f t="shared" si="6"/>
        <v>342</v>
      </c>
      <c r="B343" s="68" t="s">
        <v>925</v>
      </c>
      <c r="C343" s="27">
        <v>7000843807</v>
      </c>
      <c r="D343" s="6"/>
      <c r="E343" s="3" t="s">
        <v>912</v>
      </c>
      <c r="F343" s="68" t="s">
        <v>308</v>
      </c>
      <c r="G343" s="3" t="s">
        <v>424</v>
      </c>
      <c r="H343" s="3" t="s">
        <v>913</v>
      </c>
      <c r="I343" s="37" t="s">
        <v>94</v>
      </c>
      <c r="J343" s="31">
        <v>45681</v>
      </c>
      <c r="K343" s="31">
        <v>45701</v>
      </c>
      <c r="L343" s="31"/>
      <c r="M343" s="31"/>
      <c r="N343" s="31"/>
      <c r="O343" s="3" t="s">
        <v>425</v>
      </c>
    </row>
    <row r="344" spans="1:15">
      <c r="A344" s="3">
        <f t="shared" si="6"/>
        <v>343</v>
      </c>
      <c r="B344" s="68" t="s">
        <v>926</v>
      </c>
      <c r="C344" s="27">
        <v>7995875532</v>
      </c>
      <c r="D344" s="6"/>
      <c r="E344" s="3" t="s">
        <v>912</v>
      </c>
      <c r="F344" s="41" t="s">
        <v>308</v>
      </c>
      <c r="G344" s="3" t="s">
        <v>330</v>
      </c>
      <c r="H344" s="3" t="s">
        <v>913</v>
      </c>
      <c r="I344" s="37" t="s">
        <v>94</v>
      </c>
      <c r="J344" s="31">
        <v>45681</v>
      </c>
      <c r="K344" s="31">
        <v>45698</v>
      </c>
      <c r="L344" s="31">
        <v>45709</v>
      </c>
      <c r="M344" s="31">
        <v>45807</v>
      </c>
      <c r="N344" s="31">
        <v>45787</v>
      </c>
      <c r="O344" s="3" t="s">
        <v>297</v>
      </c>
    </row>
    <row r="345" spans="1:15">
      <c r="A345" s="3">
        <f t="shared" si="6"/>
        <v>344</v>
      </c>
      <c r="B345" s="68" t="s">
        <v>927</v>
      </c>
      <c r="C345" s="27">
        <v>8917555384</v>
      </c>
      <c r="D345" s="6"/>
      <c r="E345" s="3" t="s">
        <v>912</v>
      </c>
      <c r="F345" s="41" t="s">
        <v>308</v>
      </c>
      <c r="G345" s="3" t="s">
        <v>424</v>
      </c>
      <c r="H345" s="3" t="s">
        <v>913</v>
      </c>
      <c r="I345" s="37" t="s">
        <v>94</v>
      </c>
      <c r="J345" s="31">
        <v>45681</v>
      </c>
      <c r="K345" s="31">
        <v>45701</v>
      </c>
      <c r="L345" s="31"/>
      <c r="M345" s="31"/>
      <c r="N345" s="31"/>
      <c r="O345" s="3" t="s">
        <v>425</v>
      </c>
    </row>
    <row r="346" spans="1:15">
      <c r="A346" s="3">
        <f t="shared" si="6"/>
        <v>345</v>
      </c>
      <c r="B346" s="68" t="s">
        <v>928</v>
      </c>
      <c r="C346" s="27">
        <v>9939722888</v>
      </c>
      <c r="D346" s="6"/>
      <c r="E346" s="3" t="s">
        <v>929</v>
      </c>
      <c r="F346" s="41" t="s">
        <v>419</v>
      </c>
      <c r="G346" s="3" t="s">
        <v>295</v>
      </c>
      <c r="H346" s="3" t="s">
        <v>930</v>
      </c>
      <c r="I346" s="37" t="s">
        <v>94</v>
      </c>
      <c r="J346" s="31">
        <v>45681</v>
      </c>
      <c r="K346" s="31">
        <v>45699</v>
      </c>
      <c r="L346" s="31">
        <v>45709</v>
      </c>
      <c r="M346" s="31">
        <v>45798</v>
      </c>
      <c r="N346" s="31"/>
      <c r="O346" s="3" t="s">
        <v>297</v>
      </c>
    </row>
    <row r="347" spans="1:15">
      <c r="A347" s="3">
        <f t="shared" si="6"/>
        <v>346</v>
      </c>
      <c r="B347" s="68" t="s">
        <v>931</v>
      </c>
      <c r="C347" s="27">
        <v>9893807309</v>
      </c>
      <c r="D347" s="6"/>
      <c r="E347" s="3" t="s">
        <v>929</v>
      </c>
      <c r="F347" s="41" t="s">
        <v>308</v>
      </c>
      <c r="G347" s="3" t="s">
        <v>16</v>
      </c>
      <c r="H347" s="3" t="s">
        <v>930</v>
      </c>
      <c r="I347" s="37" t="s">
        <v>94</v>
      </c>
      <c r="J347" s="31">
        <v>45681</v>
      </c>
      <c r="K347" s="31">
        <v>45699</v>
      </c>
      <c r="L347" s="31">
        <v>45709</v>
      </c>
      <c r="M347" s="31">
        <v>45787</v>
      </c>
      <c r="N347" s="31">
        <v>45798</v>
      </c>
      <c r="O347" s="3" t="s">
        <v>297</v>
      </c>
    </row>
    <row r="348" spans="1:15">
      <c r="A348" s="3">
        <f t="shared" si="6"/>
        <v>347</v>
      </c>
      <c r="B348" s="68" t="s">
        <v>903</v>
      </c>
      <c r="C348" s="27">
        <v>9985891412</v>
      </c>
      <c r="D348" s="6"/>
      <c r="E348" s="3" t="s">
        <v>932</v>
      </c>
      <c r="F348" s="41" t="s">
        <v>333</v>
      </c>
      <c r="G348" s="3" t="s">
        <v>416</v>
      </c>
      <c r="H348" s="3" t="s">
        <v>930</v>
      </c>
      <c r="I348" s="37" t="s">
        <v>94</v>
      </c>
      <c r="J348" s="31">
        <v>45681</v>
      </c>
      <c r="K348" s="31">
        <v>45716</v>
      </c>
      <c r="L348" s="31"/>
      <c r="M348" s="31"/>
      <c r="N348" s="31"/>
      <c r="O348" s="3" t="s">
        <v>297</v>
      </c>
    </row>
    <row r="349" spans="1:15">
      <c r="A349" s="3">
        <f t="shared" si="6"/>
        <v>348</v>
      </c>
      <c r="B349" s="68" t="s">
        <v>933</v>
      </c>
      <c r="C349" s="27">
        <v>7007998126</v>
      </c>
      <c r="D349" s="6"/>
      <c r="E349" s="3" t="s">
        <v>922</v>
      </c>
      <c r="F349" s="41" t="s">
        <v>333</v>
      </c>
      <c r="G349" s="3" t="s">
        <v>16</v>
      </c>
      <c r="H349" s="3" t="s">
        <v>930</v>
      </c>
      <c r="I349" s="37" t="s">
        <v>94</v>
      </c>
      <c r="J349" s="31">
        <v>45681</v>
      </c>
      <c r="K349" s="31">
        <v>45699</v>
      </c>
      <c r="L349" s="31">
        <v>45716</v>
      </c>
      <c r="M349" s="31">
        <v>45744</v>
      </c>
      <c r="N349" s="31">
        <v>45735</v>
      </c>
      <c r="O349" s="3" t="s">
        <v>297</v>
      </c>
    </row>
    <row r="350" spans="1:15">
      <c r="A350" s="3">
        <f t="shared" si="6"/>
        <v>349</v>
      </c>
      <c r="B350" s="68" t="s">
        <v>934</v>
      </c>
      <c r="C350" s="27">
        <v>8887573548</v>
      </c>
      <c r="D350" s="6"/>
      <c r="E350" s="3" t="s">
        <v>932</v>
      </c>
      <c r="F350" s="41" t="s">
        <v>333</v>
      </c>
      <c r="G350" s="3" t="s">
        <v>764</v>
      </c>
      <c r="H350" s="3" t="s">
        <v>930</v>
      </c>
      <c r="I350" s="37" t="s">
        <v>94</v>
      </c>
      <c r="J350" s="31">
        <v>45681</v>
      </c>
      <c r="K350" s="31">
        <v>45716</v>
      </c>
      <c r="L350" s="31"/>
      <c r="M350" s="31"/>
      <c r="N350" s="31"/>
      <c r="O350" s="3" t="s">
        <v>425</v>
      </c>
    </row>
    <row r="351" spans="1:15">
      <c r="A351" s="3">
        <f t="shared" si="6"/>
        <v>350</v>
      </c>
      <c r="B351" s="68" t="s">
        <v>935</v>
      </c>
      <c r="C351" s="27">
        <v>6300406985</v>
      </c>
      <c r="D351" s="6"/>
      <c r="E351" s="3" t="s">
        <v>932</v>
      </c>
      <c r="F351" s="41" t="s">
        <v>333</v>
      </c>
      <c r="G351" s="3" t="s">
        <v>424</v>
      </c>
      <c r="H351" s="3" t="s">
        <v>930</v>
      </c>
      <c r="I351" s="37" t="s">
        <v>94</v>
      </c>
      <c r="J351" s="31">
        <v>45681</v>
      </c>
      <c r="K351" s="31">
        <v>45716</v>
      </c>
      <c r="L351" s="31"/>
      <c r="M351" s="31"/>
      <c r="N351" s="31"/>
      <c r="O351" s="3" t="s">
        <v>425</v>
      </c>
    </row>
    <row r="352" spans="1:15">
      <c r="A352" s="3">
        <f t="shared" si="6"/>
        <v>351</v>
      </c>
      <c r="B352" s="68" t="s">
        <v>936</v>
      </c>
      <c r="C352" s="27">
        <v>9581794565</v>
      </c>
      <c r="D352" s="6"/>
      <c r="E352" s="3" t="s">
        <v>937</v>
      </c>
      <c r="F352" s="41" t="s">
        <v>543</v>
      </c>
      <c r="G352" s="3" t="s">
        <v>16</v>
      </c>
      <c r="H352" s="3" t="s">
        <v>930</v>
      </c>
      <c r="I352" s="37" t="s">
        <v>42</v>
      </c>
      <c r="J352" s="31">
        <v>45681</v>
      </c>
      <c r="K352" s="31">
        <v>45716</v>
      </c>
      <c r="L352" s="31">
        <v>45721</v>
      </c>
      <c r="M352" s="31">
        <v>45752</v>
      </c>
      <c r="N352" s="31">
        <v>45773</v>
      </c>
      <c r="O352" s="3" t="s">
        <v>297</v>
      </c>
    </row>
    <row r="353" spans="1:15">
      <c r="A353" s="3">
        <f t="shared" si="6"/>
        <v>352</v>
      </c>
      <c r="B353" s="68" t="s">
        <v>938</v>
      </c>
      <c r="C353" s="27">
        <v>7988174179</v>
      </c>
      <c r="D353" s="6"/>
      <c r="E353" s="3" t="s">
        <v>917</v>
      </c>
      <c r="F353" s="41" t="s">
        <v>920</v>
      </c>
      <c r="G353" s="3" t="s">
        <v>424</v>
      </c>
      <c r="H353" s="3" t="s">
        <v>930</v>
      </c>
      <c r="I353" s="37" t="s">
        <v>94</v>
      </c>
      <c r="J353" s="31">
        <v>45681</v>
      </c>
      <c r="K353" s="31">
        <v>45716</v>
      </c>
      <c r="L353" s="31"/>
      <c r="M353" s="31"/>
      <c r="N353" s="31"/>
      <c r="O353" s="3" t="s">
        <v>425</v>
      </c>
    </row>
    <row r="354" spans="1:15">
      <c r="A354" s="3">
        <f t="shared" si="6"/>
        <v>353</v>
      </c>
      <c r="B354" s="68" t="s">
        <v>939</v>
      </c>
      <c r="C354" s="27">
        <v>9668776587</v>
      </c>
      <c r="D354" s="6"/>
      <c r="E354" s="3" t="s">
        <v>917</v>
      </c>
      <c r="F354" s="41" t="s">
        <v>920</v>
      </c>
      <c r="G354" s="3" t="s">
        <v>330</v>
      </c>
      <c r="H354" s="3" t="s">
        <v>930</v>
      </c>
      <c r="I354" s="37" t="s">
        <v>94</v>
      </c>
      <c r="J354" s="31">
        <v>45681</v>
      </c>
      <c r="K354" s="31">
        <v>45699</v>
      </c>
      <c r="L354" s="31">
        <v>45709</v>
      </c>
      <c r="M354" s="31">
        <v>45737</v>
      </c>
      <c r="N354" s="31">
        <v>45745</v>
      </c>
      <c r="O354" s="3" t="s">
        <v>297</v>
      </c>
    </row>
    <row r="355" spans="1:15">
      <c r="A355" s="3">
        <f t="shared" si="6"/>
        <v>354</v>
      </c>
      <c r="B355" s="68" t="s">
        <v>940</v>
      </c>
      <c r="C355" s="40">
        <v>7632920932</v>
      </c>
      <c r="D355" s="6"/>
      <c r="E355" s="3" t="s">
        <v>907</v>
      </c>
      <c r="F355" s="41" t="s">
        <v>941</v>
      </c>
      <c r="G355" s="3" t="s">
        <v>16</v>
      </c>
      <c r="H355" s="2" t="s">
        <v>487</v>
      </c>
      <c r="I355" s="37" t="s">
        <v>88</v>
      </c>
      <c r="J355" s="31">
        <v>45681</v>
      </c>
      <c r="K355" s="31">
        <v>45685</v>
      </c>
      <c r="L355" s="31">
        <v>45686</v>
      </c>
      <c r="M355" s="31">
        <v>45716</v>
      </c>
      <c r="N355" s="31">
        <v>45716</v>
      </c>
      <c r="O355" s="3" t="s">
        <v>297</v>
      </c>
    </row>
    <row r="356" spans="1:15">
      <c r="A356" s="3">
        <f t="shared" si="6"/>
        <v>355</v>
      </c>
      <c r="B356" s="68" t="s">
        <v>942</v>
      </c>
      <c r="C356" s="40">
        <v>6006051131</v>
      </c>
      <c r="D356" s="6"/>
      <c r="E356" s="3" t="s">
        <v>907</v>
      </c>
      <c r="F356" s="41" t="s">
        <v>941</v>
      </c>
      <c r="G356" s="3" t="s">
        <v>16</v>
      </c>
      <c r="H356" s="2" t="s">
        <v>487</v>
      </c>
      <c r="I356" s="37" t="s">
        <v>88</v>
      </c>
      <c r="J356" s="31">
        <v>45681</v>
      </c>
      <c r="K356" s="31">
        <v>45681</v>
      </c>
      <c r="L356" s="31">
        <v>45686</v>
      </c>
      <c r="M356" s="31">
        <v>45716</v>
      </c>
      <c r="N356" s="31">
        <v>45716</v>
      </c>
      <c r="O356" s="3" t="s">
        <v>297</v>
      </c>
    </row>
    <row r="357" spans="1:15">
      <c r="A357" s="3">
        <f t="shared" si="6"/>
        <v>356</v>
      </c>
      <c r="B357" s="68" t="s">
        <v>943</v>
      </c>
      <c r="C357" s="3">
        <v>9966048388</v>
      </c>
      <c r="D357" s="6"/>
      <c r="E357" s="3" t="s">
        <v>470</v>
      </c>
      <c r="F357" s="41" t="s">
        <v>278</v>
      </c>
      <c r="G357" s="3" t="s">
        <v>424</v>
      </c>
      <c r="H357" s="2" t="s">
        <v>296</v>
      </c>
      <c r="I357" s="37" t="s">
        <v>88</v>
      </c>
      <c r="J357" s="31">
        <v>45681</v>
      </c>
      <c r="K357" s="31">
        <v>45688</v>
      </c>
      <c r="L357" s="31"/>
      <c r="M357" s="31"/>
      <c r="N357" s="31"/>
      <c r="O357" s="3" t="s">
        <v>425</v>
      </c>
    </row>
    <row r="358" spans="1:15">
      <c r="A358" s="3">
        <f t="shared" si="6"/>
        <v>357</v>
      </c>
      <c r="B358" s="68" t="s">
        <v>944</v>
      </c>
      <c r="C358" s="3">
        <v>7889613657</v>
      </c>
      <c r="D358" s="6"/>
      <c r="E358" s="3" t="s">
        <v>500</v>
      </c>
      <c r="F358" s="41" t="s">
        <v>945</v>
      </c>
      <c r="G358" s="3" t="s">
        <v>416</v>
      </c>
      <c r="H358" s="3" t="s">
        <v>361</v>
      </c>
      <c r="I358" s="37" t="s">
        <v>88</v>
      </c>
      <c r="J358" s="31">
        <v>45681</v>
      </c>
      <c r="K358" s="31">
        <v>45686</v>
      </c>
      <c r="L358" s="31"/>
      <c r="M358" s="31"/>
      <c r="N358" s="31"/>
      <c r="O358" s="3" t="s">
        <v>297</v>
      </c>
    </row>
    <row r="359" spans="1:15">
      <c r="A359" s="3">
        <f t="shared" si="6"/>
        <v>358</v>
      </c>
      <c r="B359" s="68" t="s">
        <v>946</v>
      </c>
      <c r="C359" s="3">
        <v>8985585566</v>
      </c>
      <c r="D359" s="6">
        <v>9676363292</v>
      </c>
      <c r="E359" s="3" t="s">
        <v>164</v>
      </c>
      <c r="F359" s="67" t="s">
        <v>947</v>
      </c>
      <c r="G359" s="3" t="s">
        <v>424</v>
      </c>
      <c r="H359" s="3" t="s">
        <v>162</v>
      </c>
      <c r="I359" s="37" t="s">
        <v>42</v>
      </c>
      <c r="J359" s="31">
        <v>45681</v>
      </c>
      <c r="K359" s="31">
        <v>45688</v>
      </c>
      <c r="L359" s="31"/>
      <c r="M359" s="31"/>
      <c r="N359" s="31"/>
      <c r="O359" s="3" t="s">
        <v>425</v>
      </c>
    </row>
    <row r="360" spans="1:15">
      <c r="A360" s="3">
        <f t="shared" si="6"/>
        <v>359</v>
      </c>
      <c r="B360" s="68" t="s">
        <v>948</v>
      </c>
      <c r="C360" s="3">
        <v>9182521058</v>
      </c>
      <c r="D360" s="6"/>
      <c r="E360" s="3" t="s">
        <v>164</v>
      </c>
      <c r="F360" s="67" t="s">
        <v>949</v>
      </c>
      <c r="G360" s="3" t="s">
        <v>16</v>
      </c>
      <c r="H360" s="3" t="s">
        <v>162</v>
      </c>
      <c r="I360" s="37" t="s">
        <v>42</v>
      </c>
      <c r="J360" s="31">
        <v>45681</v>
      </c>
      <c r="K360" s="31">
        <v>45688</v>
      </c>
      <c r="L360" s="31">
        <v>45709</v>
      </c>
      <c r="M360" s="31">
        <v>45765</v>
      </c>
      <c r="N360" s="31">
        <v>45765</v>
      </c>
      <c r="O360" s="3" t="s">
        <v>297</v>
      </c>
    </row>
    <row r="361" spans="1:15">
      <c r="A361" s="3">
        <f t="shared" si="6"/>
        <v>360</v>
      </c>
      <c r="B361" s="68" t="s">
        <v>950</v>
      </c>
      <c r="C361" s="3">
        <v>9676769664</v>
      </c>
      <c r="D361" s="6"/>
      <c r="E361" s="3" t="s">
        <v>167</v>
      </c>
      <c r="F361" s="41" t="s">
        <v>397</v>
      </c>
      <c r="G361" s="3" t="s">
        <v>424</v>
      </c>
      <c r="H361" s="3" t="s">
        <v>162</v>
      </c>
      <c r="I361" s="37" t="s">
        <v>42</v>
      </c>
      <c r="J361" s="31">
        <v>45681</v>
      </c>
      <c r="K361" s="31">
        <v>45688</v>
      </c>
      <c r="L361" s="31"/>
      <c r="M361" s="31"/>
      <c r="N361" s="31"/>
      <c r="O361" s="3" t="s">
        <v>425</v>
      </c>
    </row>
    <row r="362" spans="1:15">
      <c r="A362" s="3">
        <f t="shared" si="6"/>
        <v>361</v>
      </c>
      <c r="B362" s="68" t="s">
        <v>951</v>
      </c>
      <c r="C362" s="3">
        <v>8143801434</v>
      </c>
      <c r="D362" s="6"/>
      <c r="E362" s="3" t="s">
        <v>167</v>
      </c>
      <c r="F362" s="67" t="s">
        <v>952</v>
      </c>
      <c r="G362" s="3" t="s">
        <v>424</v>
      </c>
      <c r="H362" s="3" t="s">
        <v>162</v>
      </c>
      <c r="I362" s="37" t="s">
        <v>42</v>
      </c>
      <c r="J362" s="31">
        <v>45681</v>
      </c>
      <c r="K362" s="31">
        <v>45688</v>
      </c>
      <c r="L362" s="31"/>
      <c r="M362" s="31"/>
      <c r="N362" s="31"/>
      <c r="O362" s="3" t="s">
        <v>425</v>
      </c>
    </row>
    <row r="363" spans="1:15">
      <c r="A363" s="3">
        <f t="shared" si="6"/>
        <v>362</v>
      </c>
      <c r="B363" s="68" t="s">
        <v>953</v>
      </c>
      <c r="C363" s="3">
        <v>9490800077</v>
      </c>
      <c r="D363" s="6">
        <v>7702393333</v>
      </c>
      <c r="E363" s="3" t="s">
        <v>164</v>
      </c>
      <c r="F363" s="67" t="s">
        <v>954</v>
      </c>
      <c r="G363" s="3" t="s">
        <v>424</v>
      </c>
      <c r="H363" s="3" t="s">
        <v>162</v>
      </c>
      <c r="I363" s="37" t="s">
        <v>42</v>
      </c>
      <c r="J363" s="31">
        <v>45681</v>
      </c>
      <c r="K363" s="31">
        <v>45688</v>
      </c>
      <c r="L363" s="31"/>
      <c r="M363" s="31"/>
      <c r="N363" s="31"/>
      <c r="O363" s="3" t="s">
        <v>425</v>
      </c>
    </row>
    <row r="364" spans="1:15">
      <c r="A364" s="3">
        <f t="shared" si="6"/>
        <v>363</v>
      </c>
      <c r="B364" s="68" t="s">
        <v>955</v>
      </c>
      <c r="C364" s="3">
        <v>9866273185</v>
      </c>
      <c r="D364" s="6"/>
      <c r="E364" s="3" t="s">
        <v>164</v>
      </c>
      <c r="F364" s="67" t="s">
        <v>956</v>
      </c>
      <c r="G364" s="3" t="s">
        <v>424</v>
      </c>
      <c r="H364" s="3" t="s">
        <v>162</v>
      </c>
      <c r="I364" s="37" t="s">
        <v>42</v>
      </c>
      <c r="J364" s="31">
        <v>45681</v>
      </c>
      <c r="K364" s="31">
        <v>45688</v>
      </c>
      <c r="L364" s="31"/>
      <c r="M364" s="31"/>
      <c r="N364" s="31"/>
      <c r="O364" s="3" t="s">
        <v>425</v>
      </c>
    </row>
    <row r="365" spans="1:15" ht="15.6">
      <c r="A365" s="3">
        <f t="shared" si="6"/>
        <v>364</v>
      </c>
      <c r="B365" s="68" t="s">
        <v>957</v>
      </c>
      <c r="C365" s="27">
        <v>7525826372</v>
      </c>
      <c r="D365" s="6"/>
      <c r="E365" s="3" t="s">
        <v>132</v>
      </c>
      <c r="F365" s="69" t="s">
        <v>958</v>
      </c>
      <c r="G365" s="3" t="s">
        <v>424</v>
      </c>
      <c r="H365" s="3" t="s">
        <v>815</v>
      </c>
      <c r="I365" s="37" t="s">
        <v>42</v>
      </c>
      <c r="J365" s="31">
        <v>45681</v>
      </c>
      <c r="K365" s="31">
        <v>45688</v>
      </c>
      <c r="L365" s="31"/>
      <c r="M365" s="31"/>
      <c r="N365" s="31"/>
      <c r="O365" s="3" t="s">
        <v>425</v>
      </c>
    </row>
    <row r="366" spans="1:15" ht="15.6">
      <c r="A366" s="3">
        <f t="shared" si="6"/>
        <v>365</v>
      </c>
      <c r="B366" s="68" t="s">
        <v>959</v>
      </c>
      <c r="C366" s="27">
        <v>8757514653</v>
      </c>
      <c r="D366" s="6"/>
      <c r="E366" s="3" t="s">
        <v>138</v>
      </c>
      <c r="F366" s="69" t="s">
        <v>825</v>
      </c>
      <c r="G366" s="3" t="s">
        <v>424</v>
      </c>
      <c r="H366" s="3" t="s">
        <v>815</v>
      </c>
      <c r="I366" s="37" t="s">
        <v>42</v>
      </c>
      <c r="J366" s="31">
        <v>45681</v>
      </c>
      <c r="K366" s="31">
        <v>45688</v>
      </c>
      <c r="L366" s="31"/>
      <c r="M366" s="31"/>
      <c r="N366" s="31"/>
      <c r="O366" s="3" t="s">
        <v>749</v>
      </c>
    </row>
    <row r="367" spans="1:15" ht="15.6">
      <c r="A367" s="3">
        <f t="shared" si="6"/>
        <v>366</v>
      </c>
      <c r="B367" s="68" t="s">
        <v>960</v>
      </c>
      <c r="C367" s="27">
        <v>9441681846</v>
      </c>
      <c r="D367" s="6"/>
      <c r="E367" s="3" t="s">
        <v>138</v>
      </c>
      <c r="F367" s="69" t="s">
        <v>961</v>
      </c>
      <c r="G367" s="3" t="s">
        <v>424</v>
      </c>
      <c r="H367" s="3" t="s">
        <v>815</v>
      </c>
      <c r="I367" s="37" t="s">
        <v>42</v>
      </c>
      <c r="J367" s="31">
        <v>45681</v>
      </c>
      <c r="K367" s="31">
        <v>45691</v>
      </c>
      <c r="L367" s="31"/>
      <c r="M367" s="31"/>
      <c r="N367" s="31"/>
      <c r="O367" s="3" t="s">
        <v>425</v>
      </c>
    </row>
    <row r="368" spans="1:15" ht="15.6">
      <c r="A368" s="3">
        <f t="shared" si="6"/>
        <v>367</v>
      </c>
      <c r="B368" s="41" t="s">
        <v>962</v>
      </c>
      <c r="C368" s="27">
        <v>9100445039</v>
      </c>
      <c r="D368" s="6">
        <v>6303089801</v>
      </c>
      <c r="E368" s="3" t="s">
        <v>135</v>
      </c>
      <c r="F368" s="69" t="s">
        <v>817</v>
      </c>
      <c r="G368" s="3" t="s">
        <v>424</v>
      </c>
      <c r="H368" s="3" t="s">
        <v>815</v>
      </c>
      <c r="I368" s="37" t="s">
        <v>42</v>
      </c>
      <c r="J368" s="31">
        <v>45681</v>
      </c>
      <c r="K368" s="31">
        <v>45681</v>
      </c>
      <c r="L368" s="31"/>
      <c r="M368" s="31"/>
      <c r="N368" s="31"/>
      <c r="O368" s="3" t="s">
        <v>425</v>
      </c>
    </row>
    <row r="369" spans="1:15" ht="15.6">
      <c r="A369" s="3">
        <f t="shared" si="6"/>
        <v>368</v>
      </c>
      <c r="B369" s="41" t="s">
        <v>963</v>
      </c>
      <c r="C369" s="27">
        <v>9492787296</v>
      </c>
      <c r="D369" s="6"/>
      <c r="E369" s="3" t="s">
        <v>138</v>
      </c>
      <c r="F369" s="69" t="s">
        <v>814</v>
      </c>
      <c r="G369" s="3" t="s">
        <v>16</v>
      </c>
      <c r="H369" s="3" t="s">
        <v>815</v>
      </c>
      <c r="I369" s="37" t="s">
        <v>42</v>
      </c>
      <c r="J369" s="31">
        <v>45681</v>
      </c>
      <c r="K369" s="31">
        <v>45688</v>
      </c>
      <c r="L369" s="31">
        <v>45702</v>
      </c>
      <c r="M369" s="31">
        <v>45734</v>
      </c>
      <c r="N369" s="31">
        <v>45734</v>
      </c>
      <c r="O369" s="3" t="s">
        <v>297</v>
      </c>
    </row>
    <row r="370" spans="1:15" ht="15.6">
      <c r="A370" s="3">
        <f t="shared" si="6"/>
        <v>369</v>
      </c>
      <c r="B370" s="41" t="s">
        <v>964</v>
      </c>
      <c r="C370" s="27">
        <v>9938394265</v>
      </c>
      <c r="D370" s="6">
        <v>7008869207</v>
      </c>
      <c r="E370" s="3" t="s">
        <v>138</v>
      </c>
      <c r="F370" s="69" t="s">
        <v>814</v>
      </c>
      <c r="G370" s="3" t="s">
        <v>424</v>
      </c>
      <c r="H370" s="3" t="s">
        <v>815</v>
      </c>
      <c r="I370" s="37" t="s">
        <v>42</v>
      </c>
      <c r="J370" s="31">
        <v>45681</v>
      </c>
      <c r="K370" s="31">
        <v>45688</v>
      </c>
      <c r="L370" s="31"/>
      <c r="M370" s="31"/>
      <c r="N370" s="31"/>
      <c r="O370" s="3" t="s">
        <v>749</v>
      </c>
    </row>
    <row r="371" spans="1:15" ht="15.6">
      <c r="A371" s="3">
        <f t="shared" si="6"/>
        <v>370</v>
      </c>
      <c r="B371" s="41" t="s">
        <v>965</v>
      </c>
      <c r="C371" s="27">
        <v>7619511838</v>
      </c>
      <c r="D371" s="6">
        <v>8709765070</v>
      </c>
      <c r="E371" s="3" t="s">
        <v>141</v>
      </c>
      <c r="F371" s="69" t="s">
        <v>966</v>
      </c>
      <c r="G371" s="3" t="s">
        <v>424</v>
      </c>
      <c r="H371" s="3" t="s">
        <v>815</v>
      </c>
      <c r="I371" s="37" t="s">
        <v>42</v>
      </c>
      <c r="J371" s="31">
        <v>45681</v>
      </c>
      <c r="K371" s="31">
        <v>45691</v>
      </c>
      <c r="L371" s="31"/>
      <c r="M371" s="31"/>
      <c r="N371" s="31"/>
      <c r="O371" s="3" t="s">
        <v>749</v>
      </c>
    </row>
    <row r="372" spans="1:15" ht="15.6">
      <c r="A372" s="3">
        <f t="shared" si="6"/>
        <v>371</v>
      </c>
      <c r="B372" s="41" t="s">
        <v>967</v>
      </c>
      <c r="C372" s="27">
        <v>9326560234</v>
      </c>
      <c r="D372" s="6"/>
      <c r="E372" s="3" t="s">
        <v>141</v>
      </c>
      <c r="F372" s="69" t="s">
        <v>968</v>
      </c>
      <c r="G372" s="3" t="s">
        <v>330</v>
      </c>
      <c r="H372" s="3" t="s">
        <v>815</v>
      </c>
      <c r="I372" s="37" t="s">
        <v>42</v>
      </c>
      <c r="J372" s="31">
        <v>45681</v>
      </c>
      <c r="K372" s="31">
        <v>45691</v>
      </c>
      <c r="L372" s="31">
        <v>45702</v>
      </c>
      <c r="M372" s="31">
        <v>45735</v>
      </c>
      <c r="N372" s="31">
        <v>45735</v>
      </c>
      <c r="O372" s="3" t="s">
        <v>297</v>
      </c>
    </row>
    <row r="373" spans="1:15" ht="15.6">
      <c r="A373" s="3">
        <f t="shared" si="6"/>
        <v>372</v>
      </c>
      <c r="B373" s="41" t="s">
        <v>969</v>
      </c>
      <c r="C373" s="27">
        <v>9776604894</v>
      </c>
      <c r="D373" s="6">
        <v>9439236454</v>
      </c>
      <c r="E373" s="3" t="s">
        <v>141</v>
      </c>
      <c r="F373" s="69" t="s">
        <v>823</v>
      </c>
      <c r="G373" s="3" t="s">
        <v>16</v>
      </c>
      <c r="H373" s="3" t="s">
        <v>815</v>
      </c>
      <c r="I373" s="37" t="s">
        <v>42</v>
      </c>
      <c r="J373" s="31">
        <v>45681</v>
      </c>
      <c r="K373" s="31">
        <v>45688</v>
      </c>
      <c r="L373" s="31">
        <v>45703</v>
      </c>
      <c r="M373" s="31">
        <v>45734</v>
      </c>
      <c r="N373" s="31">
        <v>45734</v>
      </c>
      <c r="O373" s="3" t="s">
        <v>297</v>
      </c>
    </row>
    <row r="374" spans="1:15">
      <c r="A374" s="3">
        <f t="shared" si="6"/>
        <v>373</v>
      </c>
      <c r="B374" s="41" t="s">
        <v>970</v>
      </c>
      <c r="C374" s="3">
        <v>8074309348</v>
      </c>
      <c r="D374" s="6"/>
      <c r="E374" s="3" t="s">
        <v>971</v>
      </c>
      <c r="F374" s="41" t="s">
        <v>972</v>
      </c>
      <c r="G374" s="3" t="s">
        <v>424</v>
      </c>
      <c r="H374" s="3" t="s">
        <v>41</v>
      </c>
      <c r="I374" s="37" t="s">
        <v>42</v>
      </c>
      <c r="J374" s="31">
        <v>45681</v>
      </c>
      <c r="K374" s="31">
        <v>45681</v>
      </c>
      <c r="L374" s="31"/>
      <c r="M374" s="31"/>
      <c r="N374" s="31"/>
      <c r="O374" s="3" t="s">
        <v>425</v>
      </c>
    </row>
    <row r="375" spans="1:15">
      <c r="A375" s="3">
        <f t="shared" si="6"/>
        <v>374</v>
      </c>
      <c r="B375" s="41" t="s">
        <v>973</v>
      </c>
      <c r="C375" s="3">
        <v>9588269242</v>
      </c>
      <c r="D375" s="6"/>
      <c r="E375" s="3" t="s">
        <v>292</v>
      </c>
      <c r="F375" s="41" t="s">
        <v>293</v>
      </c>
      <c r="G375" s="3" t="s">
        <v>416</v>
      </c>
      <c r="H375" s="2" t="s">
        <v>296</v>
      </c>
      <c r="I375" s="37" t="s">
        <v>88</v>
      </c>
      <c r="J375" s="31">
        <v>45681</v>
      </c>
      <c r="K375" s="31">
        <v>45684</v>
      </c>
      <c r="L375" s="31"/>
      <c r="M375" s="31"/>
      <c r="N375" s="31"/>
      <c r="O375" s="3" t="s">
        <v>297</v>
      </c>
    </row>
    <row r="376" spans="1:15">
      <c r="A376" s="3">
        <f t="shared" si="6"/>
        <v>375</v>
      </c>
      <c r="B376" s="41" t="s">
        <v>974</v>
      </c>
      <c r="C376" s="3">
        <v>9775380592</v>
      </c>
      <c r="D376" s="6"/>
      <c r="E376" s="3" t="s">
        <v>831</v>
      </c>
      <c r="F376" s="41" t="s">
        <v>431</v>
      </c>
      <c r="G376" s="3" t="s">
        <v>424</v>
      </c>
      <c r="H376" s="2" t="s">
        <v>296</v>
      </c>
      <c r="I376" s="37" t="s">
        <v>88</v>
      </c>
      <c r="J376" s="31">
        <v>45681</v>
      </c>
      <c r="K376" s="31">
        <v>45684</v>
      </c>
      <c r="L376" s="31"/>
      <c r="M376" s="31"/>
      <c r="N376" s="31"/>
      <c r="O376" s="3" t="s">
        <v>425</v>
      </c>
    </row>
    <row r="377" spans="1:15">
      <c r="A377" s="3">
        <f t="shared" si="6"/>
        <v>376</v>
      </c>
      <c r="B377" s="41" t="s">
        <v>975</v>
      </c>
      <c r="C377" s="3">
        <v>8101181715</v>
      </c>
      <c r="D377" s="6"/>
      <c r="E377" s="3" t="s">
        <v>831</v>
      </c>
      <c r="F377" s="41" t="s">
        <v>431</v>
      </c>
      <c r="G377" s="3" t="s">
        <v>416</v>
      </c>
      <c r="H377" s="2" t="s">
        <v>296</v>
      </c>
      <c r="I377" s="37" t="s">
        <v>88</v>
      </c>
      <c r="J377" s="31">
        <v>45681</v>
      </c>
      <c r="K377" s="31">
        <v>45683</v>
      </c>
      <c r="L377" s="31"/>
      <c r="M377" s="31"/>
      <c r="N377" s="31"/>
      <c r="O377" s="3" t="s">
        <v>297</v>
      </c>
    </row>
    <row r="378" spans="1:15">
      <c r="A378" s="3">
        <f t="shared" ref="A378:A441" si="7">ROW()-1</f>
        <v>377</v>
      </c>
      <c r="B378" s="41" t="s">
        <v>976</v>
      </c>
      <c r="C378" s="3">
        <v>9717846563</v>
      </c>
      <c r="D378" s="6"/>
      <c r="E378" s="3" t="s">
        <v>292</v>
      </c>
      <c r="F378" s="41" t="s">
        <v>293</v>
      </c>
      <c r="G378" s="3" t="s">
        <v>18</v>
      </c>
      <c r="H378" s="2" t="s">
        <v>296</v>
      </c>
      <c r="I378" s="37" t="s">
        <v>88</v>
      </c>
      <c r="J378" s="31">
        <v>45681</v>
      </c>
      <c r="K378" s="31">
        <v>45683</v>
      </c>
      <c r="L378" s="31"/>
      <c r="M378" s="31"/>
      <c r="N378" s="31"/>
      <c r="O378" s="3" t="s">
        <v>425</v>
      </c>
    </row>
    <row r="379" spans="1:15">
      <c r="A379" s="3">
        <f t="shared" si="7"/>
        <v>378</v>
      </c>
      <c r="B379" s="68" t="s">
        <v>977</v>
      </c>
      <c r="C379" s="3">
        <v>8210707662</v>
      </c>
      <c r="D379" s="6"/>
      <c r="E379" s="3" t="s">
        <v>99</v>
      </c>
      <c r="F379" s="41" t="s">
        <v>503</v>
      </c>
      <c r="G379" s="3" t="s">
        <v>416</v>
      </c>
      <c r="H379" s="3" t="s">
        <v>361</v>
      </c>
      <c r="I379" s="37" t="s">
        <v>42</v>
      </c>
      <c r="J379" s="31">
        <v>45682</v>
      </c>
      <c r="K379" s="31">
        <v>45694</v>
      </c>
      <c r="L379" s="31"/>
      <c r="M379" s="31"/>
      <c r="N379" s="31"/>
      <c r="O379" s="3" t="s">
        <v>297</v>
      </c>
    </row>
    <row r="380" spans="1:15">
      <c r="A380" s="3">
        <f t="shared" si="7"/>
        <v>379</v>
      </c>
      <c r="B380" s="41" t="s">
        <v>978</v>
      </c>
      <c r="C380" s="3">
        <v>7396845622</v>
      </c>
      <c r="D380" s="6"/>
      <c r="E380" s="3" t="s">
        <v>299</v>
      </c>
      <c r="F380" s="41" t="s">
        <v>294</v>
      </c>
      <c r="G380" s="3" t="s">
        <v>16</v>
      </c>
      <c r="H380" s="2" t="s">
        <v>487</v>
      </c>
      <c r="I380" s="37" t="s">
        <v>94</v>
      </c>
      <c r="J380" s="31">
        <v>45682</v>
      </c>
      <c r="K380" s="31">
        <v>45684</v>
      </c>
      <c r="L380" s="31">
        <v>45685</v>
      </c>
      <c r="M380" s="31">
        <v>45726</v>
      </c>
      <c r="N380" s="31">
        <v>45725</v>
      </c>
      <c r="O380" s="3" t="s">
        <v>297</v>
      </c>
    </row>
    <row r="381" spans="1:15">
      <c r="A381" s="3">
        <f t="shared" si="7"/>
        <v>380</v>
      </c>
      <c r="B381" s="41" t="s">
        <v>979</v>
      </c>
      <c r="C381" s="3">
        <v>9406529008</v>
      </c>
      <c r="D381" s="6"/>
      <c r="E381" s="3" t="s">
        <v>980</v>
      </c>
      <c r="F381" s="41" t="s">
        <v>981</v>
      </c>
      <c r="G381" s="3" t="s">
        <v>416</v>
      </c>
      <c r="H381" s="3" t="s">
        <v>352</v>
      </c>
      <c r="I381" s="37" t="s">
        <v>94</v>
      </c>
      <c r="J381" s="31">
        <v>45663</v>
      </c>
      <c r="K381" s="31">
        <v>45668</v>
      </c>
      <c r="L381" s="31"/>
      <c r="M381" s="31"/>
      <c r="N381" s="31"/>
      <c r="O381" s="3" t="s">
        <v>297</v>
      </c>
    </row>
    <row r="382" spans="1:15">
      <c r="A382" s="3">
        <f t="shared" si="7"/>
        <v>381</v>
      </c>
      <c r="B382" s="41" t="s">
        <v>982</v>
      </c>
      <c r="C382" s="3">
        <v>7905320697</v>
      </c>
      <c r="D382" s="6">
        <v>9453050334</v>
      </c>
      <c r="E382" s="3" t="s">
        <v>980</v>
      </c>
      <c r="F382" s="41" t="s">
        <v>981</v>
      </c>
      <c r="G382" s="3" t="s">
        <v>295</v>
      </c>
      <c r="H382" s="3" t="s">
        <v>352</v>
      </c>
      <c r="I382" s="37" t="s">
        <v>94</v>
      </c>
      <c r="J382" s="31">
        <v>45668</v>
      </c>
      <c r="K382" s="31">
        <v>45668</v>
      </c>
      <c r="L382" s="31">
        <v>45695</v>
      </c>
      <c r="M382" s="31">
        <v>45790</v>
      </c>
      <c r="N382" s="31"/>
      <c r="O382" s="3" t="s">
        <v>297</v>
      </c>
    </row>
    <row r="383" spans="1:15">
      <c r="A383" s="3">
        <f t="shared" si="7"/>
        <v>382</v>
      </c>
      <c r="B383" s="41" t="s">
        <v>983</v>
      </c>
      <c r="C383" s="3">
        <v>8881808138</v>
      </c>
      <c r="D383" s="6">
        <v>7017070466</v>
      </c>
      <c r="E383" s="3" t="s">
        <v>980</v>
      </c>
      <c r="F383" s="41" t="s">
        <v>981</v>
      </c>
      <c r="G383" s="3" t="s">
        <v>16</v>
      </c>
      <c r="H383" s="3" t="s">
        <v>352</v>
      </c>
      <c r="I383" s="37" t="s">
        <v>94</v>
      </c>
      <c r="J383" s="31">
        <v>45659</v>
      </c>
      <c r="K383" s="31">
        <v>45659</v>
      </c>
      <c r="L383" s="31">
        <v>45681</v>
      </c>
      <c r="M383" s="31">
        <v>45718</v>
      </c>
      <c r="N383" s="31">
        <v>45725</v>
      </c>
      <c r="O383" s="3" t="s">
        <v>297</v>
      </c>
    </row>
    <row r="384" spans="1:15">
      <c r="A384" s="3">
        <f t="shared" si="7"/>
        <v>383</v>
      </c>
      <c r="B384" s="41" t="s">
        <v>984</v>
      </c>
      <c r="C384" s="3">
        <v>9584050292</v>
      </c>
      <c r="D384" s="6"/>
      <c r="E384" s="3" t="s">
        <v>980</v>
      </c>
      <c r="F384" s="41" t="s">
        <v>981</v>
      </c>
      <c r="G384" s="3" t="s">
        <v>330</v>
      </c>
      <c r="H384" s="3" t="s">
        <v>352</v>
      </c>
      <c r="I384" s="37" t="s">
        <v>94</v>
      </c>
      <c r="J384" s="31">
        <v>45663</v>
      </c>
      <c r="K384" s="31">
        <v>45665</v>
      </c>
      <c r="L384" s="31">
        <v>45681</v>
      </c>
      <c r="M384" s="31">
        <v>45687</v>
      </c>
      <c r="N384" s="31">
        <v>45687</v>
      </c>
      <c r="O384" s="3" t="s">
        <v>297</v>
      </c>
    </row>
    <row r="385" spans="1:15">
      <c r="A385" s="3">
        <f t="shared" si="7"/>
        <v>384</v>
      </c>
      <c r="B385" s="41" t="s">
        <v>985</v>
      </c>
      <c r="C385" s="3">
        <v>9509128956</v>
      </c>
      <c r="D385" s="6"/>
      <c r="E385" s="3" t="s">
        <v>986</v>
      </c>
      <c r="F385" s="41" t="s">
        <v>987</v>
      </c>
      <c r="G385" s="3" t="s">
        <v>16</v>
      </c>
      <c r="H385" s="3" t="s">
        <v>357</v>
      </c>
      <c r="I385" s="37" t="s">
        <v>94</v>
      </c>
      <c r="J385" s="31">
        <v>45665</v>
      </c>
      <c r="K385" s="31">
        <v>45665</v>
      </c>
      <c r="L385" s="31">
        <v>45681</v>
      </c>
      <c r="M385" s="31">
        <v>45713</v>
      </c>
      <c r="N385" s="31">
        <v>45713</v>
      </c>
      <c r="O385" s="3" t="s">
        <v>297</v>
      </c>
    </row>
    <row r="386" spans="1:15">
      <c r="A386" s="3">
        <f t="shared" si="7"/>
        <v>385</v>
      </c>
      <c r="B386" s="41" t="s">
        <v>988</v>
      </c>
      <c r="C386" s="3">
        <v>6299403641</v>
      </c>
      <c r="D386" s="6"/>
      <c r="E386" s="3" t="s">
        <v>500</v>
      </c>
      <c r="F386" s="41" t="s">
        <v>989</v>
      </c>
      <c r="G386" s="3" t="s">
        <v>295</v>
      </c>
      <c r="H386" s="3" t="s">
        <v>361</v>
      </c>
      <c r="I386" s="37" t="s">
        <v>88</v>
      </c>
      <c r="J386" s="31">
        <v>45680</v>
      </c>
      <c r="K386" s="31">
        <v>45681</v>
      </c>
      <c r="L386" s="31">
        <v>45682</v>
      </c>
      <c r="M386" s="31">
        <v>45716</v>
      </c>
      <c r="N386" s="31"/>
      <c r="O386" s="3" t="s">
        <v>297</v>
      </c>
    </row>
    <row r="387" spans="1:15">
      <c r="A387" s="3">
        <f t="shared" si="7"/>
        <v>386</v>
      </c>
      <c r="B387" s="41" t="s">
        <v>990</v>
      </c>
      <c r="C387" s="3">
        <v>8598946507</v>
      </c>
      <c r="D387" s="6"/>
      <c r="E387" s="3" t="s">
        <v>500</v>
      </c>
      <c r="F387" s="41" t="s">
        <v>989</v>
      </c>
      <c r="G387" s="3" t="s">
        <v>16</v>
      </c>
      <c r="H387" s="3" t="s">
        <v>361</v>
      </c>
      <c r="I387" s="37" t="s">
        <v>88</v>
      </c>
      <c r="J387" s="31">
        <v>45680</v>
      </c>
      <c r="K387" s="31">
        <v>45681</v>
      </c>
      <c r="L387" s="31">
        <v>45682</v>
      </c>
      <c r="M387" s="31">
        <v>45716</v>
      </c>
      <c r="N387" s="31">
        <v>45716</v>
      </c>
      <c r="O387" s="3" t="s">
        <v>297</v>
      </c>
    </row>
    <row r="388" spans="1:15">
      <c r="A388" s="3">
        <f t="shared" si="7"/>
        <v>387</v>
      </c>
      <c r="B388" s="41" t="s">
        <v>991</v>
      </c>
      <c r="C388" s="39">
        <v>8906263779</v>
      </c>
      <c r="D388" s="6">
        <v>8617893729</v>
      </c>
      <c r="E388" s="3" t="s">
        <v>292</v>
      </c>
      <c r="F388" s="41" t="s">
        <v>293</v>
      </c>
      <c r="G388" s="3" t="s">
        <v>424</v>
      </c>
      <c r="H388" s="2" t="s">
        <v>487</v>
      </c>
      <c r="I388" s="37" t="s">
        <v>88</v>
      </c>
      <c r="J388" s="31">
        <v>45682</v>
      </c>
      <c r="K388" s="31">
        <v>45684</v>
      </c>
      <c r="L388" s="31"/>
      <c r="M388" s="31"/>
      <c r="N388" s="31"/>
      <c r="O388" s="3" t="s">
        <v>425</v>
      </c>
    </row>
    <row r="389" spans="1:15">
      <c r="A389" s="3">
        <f t="shared" si="7"/>
        <v>388</v>
      </c>
      <c r="B389" s="41" t="s">
        <v>992</v>
      </c>
      <c r="C389" s="3">
        <v>7538888524</v>
      </c>
      <c r="D389" s="6"/>
      <c r="E389" s="3" t="s">
        <v>467</v>
      </c>
      <c r="F389" s="41" t="s">
        <v>468</v>
      </c>
      <c r="G389" s="3" t="s">
        <v>424</v>
      </c>
      <c r="H389" s="2" t="s">
        <v>296</v>
      </c>
      <c r="I389" s="37" t="s">
        <v>88</v>
      </c>
      <c r="J389" s="31">
        <v>45681</v>
      </c>
      <c r="K389" s="31">
        <v>45688</v>
      </c>
      <c r="L389" s="31"/>
      <c r="M389" s="31"/>
      <c r="N389" s="31"/>
      <c r="O389" s="3" t="s">
        <v>425</v>
      </c>
    </row>
    <row r="390" spans="1:15">
      <c r="A390" s="3">
        <f t="shared" si="7"/>
        <v>389</v>
      </c>
      <c r="B390" s="41" t="s">
        <v>993</v>
      </c>
      <c r="C390" s="3">
        <v>9621530897</v>
      </c>
      <c r="D390" s="6"/>
      <c r="E390" s="3" t="s">
        <v>411</v>
      </c>
      <c r="F390" s="41" t="s">
        <v>994</v>
      </c>
      <c r="G390" s="3" t="s">
        <v>330</v>
      </c>
      <c r="H390" s="23" t="s">
        <v>464</v>
      </c>
      <c r="I390" s="37" t="s">
        <v>94</v>
      </c>
      <c r="J390" s="31">
        <v>45682</v>
      </c>
      <c r="K390" s="31">
        <v>45682</v>
      </c>
      <c r="L390" s="31">
        <v>45682</v>
      </c>
      <c r="M390" s="31">
        <v>45687</v>
      </c>
      <c r="N390" s="31">
        <v>45687</v>
      </c>
      <c r="O390" s="3" t="s">
        <v>297</v>
      </c>
    </row>
    <row r="391" spans="1:15">
      <c r="A391" s="3">
        <f t="shared" si="7"/>
        <v>390</v>
      </c>
      <c r="B391" s="41" t="s">
        <v>995</v>
      </c>
      <c r="C391" s="3">
        <v>9110713123</v>
      </c>
      <c r="D391" s="6"/>
      <c r="E391" s="3" t="s">
        <v>411</v>
      </c>
      <c r="F391" s="41" t="s">
        <v>245</v>
      </c>
      <c r="G391" s="3" t="s">
        <v>16</v>
      </c>
      <c r="H391" s="2" t="s">
        <v>296</v>
      </c>
      <c r="I391" s="37" t="s">
        <v>94</v>
      </c>
      <c r="J391" s="31">
        <v>45680</v>
      </c>
      <c r="K391" s="31">
        <v>45680</v>
      </c>
      <c r="L391" s="31">
        <v>45682</v>
      </c>
      <c r="M391" s="31">
        <v>45763</v>
      </c>
      <c r="N391" s="31">
        <v>45765</v>
      </c>
      <c r="O391" s="3" t="s">
        <v>297</v>
      </c>
    </row>
    <row r="392" spans="1:15">
      <c r="A392" s="3">
        <f t="shared" si="7"/>
        <v>391</v>
      </c>
      <c r="B392" s="41" t="s">
        <v>996</v>
      </c>
      <c r="C392" s="3"/>
      <c r="D392" s="6"/>
      <c r="E392" s="3" t="s">
        <v>997</v>
      </c>
      <c r="F392" s="41" t="s">
        <v>998</v>
      </c>
      <c r="G392" s="3" t="s">
        <v>295</v>
      </c>
      <c r="H392" s="3" t="s">
        <v>999</v>
      </c>
      <c r="I392" s="37" t="s">
        <v>42</v>
      </c>
      <c r="J392" s="31">
        <v>45665</v>
      </c>
      <c r="K392" s="31">
        <v>45665</v>
      </c>
      <c r="L392" s="31">
        <v>45665</v>
      </c>
      <c r="M392" s="31"/>
      <c r="N392" s="31"/>
      <c r="O392" s="3" t="s">
        <v>297</v>
      </c>
    </row>
    <row r="393" spans="1:15">
      <c r="A393" s="3">
        <f t="shared" si="7"/>
        <v>392</v>
      </c>
      <c r="B393" s="41" t="s">
        <v>1000</v>
      </c>
      <c r="C393" s="27">
        <v>9002265846</v>
      </c>
      <c r="D393" s="6"/>
      <c r="E393" s="3" t="s">
        <v>79</v>
      </c>
      <c r="F393" s="67" t="s">
        <v>1001</v>
      </c>
      <c r="G393" s="3" t="s">
        <v>416</v>
      </c>
      <c r="H393" s="3" t="s">
        <v>717</v>
      </c>
      <c r="I393" s="37" t="s">
        <v>42</v>
      </c>
      <c r="J393" s="31">
        <v>45682</v>
      </c>
      <c r="K393" s="31">
        <v>45701</v>
      </c>
      <c r="L393" s="31"/>
      <c r="M393" s="31"/>
      <c r="N393" s="31"/>
      <c r="O393" s="3" t="s">
        <v>297</v>
      </c>
    </row>
    <row r="394" spans="1:15">
      <c r="A394" s="3">
        <f t="shared" si="7"/>
        <v>393</v>
      </c>
      <c r="B394" s="41" t="s">
        <v>1002</v>
      </c>
      <c r="C394" s="27">
        <v>7007445711</v>
      </c>
      <c r="D394" s="6"/>
      <c r="E394" s="3" t="s">
        <v>72</v>
      </c>
      <c r="F394" s="67" t="s">
        <v>1003</v>
      </c>
      <c r="G394" s="3" t="s">
        <v>18</v>
      </c>
      <c r="H394" s="3" t="s">
        <v>717</v>
      </c>
      <c r="I394" s="37" t="s">
        <v>42</v>
      </c>
      <c r="J394" s="31">
        <v>45682</v>
      </c>
      <c r="K394" s="31"/>
      <c r="L394" s="31"/>
      <c r="M394" s="31"/>
      <c r="N394" s="31"/>
      <c r="O394" s="3" t="s">
        <v>1004</v>
      </c>
    </row>
    <row r="395" spans="1:15">
      <c r="A395" s="3">
        <f t="shared" si="7"/>
        <v>394</v>
      </c>
      <c r="B395" s="41" t="s">
        <v>1005</v>
      </c>
      <c r="C395" s="27">
        <v>6352719673</v>
      </c>
      <c r="D395" s="6">
        <v>8908487759</v>
      </c>
      <c r="E395" s="3" t="s">
        <v>72</v>
      </c>
      <c r="F395" s="67" t="s">
        <v>1003</v>
      </c>
      <c r="G395" s="3" t="s">
        <v>424</v>
      </c>
      <c r="H395" s="3" t="s">
        <v>717</v>
      </c>
      <c r="I395" s="37" t="s">
        <v>42</v>
      </c>
      <c r="J395" s="31">
        <v>45682</v>
      </c>
      <c r="K395" s="31">
        <v>45705</v>
      </c>
      <c r="L395" s="31"/>
      <c r="M395" s="31"/>
      <c r="N395" s="31"/>
      <c r="O395" s="3" t="s">
        <v>749</v>
      </c>
    </row>
    <row r="396" spans="1:15">
      <c r="A396" s="3">
        <f t="shared" si="7"/>
        <v>395</v>
      </c>
      <c r="B396" s="99" t="s">
        <v>1006</v>
      </c>
      <c r="C396" s="27">
        <v>6305599162</v>
      </c>
      <c r="D396" s="6">
        <v>9010510539</v>
      </c>
      <c r="E396" s="3" t="s">
        <v>79</v>
      </c>
      <c r="F396" s="67" t="s">
        <v>1007</v>
      </c>
      <c r="G396" s="3" t="s">
        <v>16</v>
      </c>
      <c r="H396" s="3" t="s">
        <v>717</v>
      </c>
      <c r="I396" s="37" t="s">
        <v>42</v>
      </c>
      <c r="J396" s="31">
        <v>45682</v>
      </c>
      <c r="K396" s="31">
        <v>45701</v>
      </c>
      <c r="L396" s="31">
        <v>45723</v>
      </c>
      <c r="M396" s="31">
        <v>45736</v>
      </c>
      <c r="N396" s="31">
        <v>45736</v>
      </c>
      <c r="O396" s="3" t="s">
        <v>297</v>
      </c>
    </row>
    <row r="397" spans="1:15">
      <c r="A397" s="3">
        <f t="shared" si="7"/>
        <v>396</v>
      </c>
      <c r="B397" s="41" t="s">
        <v>1008</v>
      </c>
      <c r="C397" s="27">
        <v>9347310361</v>
      </c>
      <c r="D397" s="6">
        <v>8500399809</v>
      </c>
      <c r="E397" s="3" t="s">
        <v>72</v>
      </c>
      <c r="F397" s="67" t="s">
        <v>802</v>
      </c>
      <c r="G397" s="3" t="s">
        <v>424</v>
      </c>
      <c r="H397" s="3" t="s">
        <v>717</v>
      </c>
      <c r="I397" s="37" t="s">
        <v>42</v>
      </c>
      <c r="J397" s="31">
        <v>45682</v>
      </c>
      <c r="K397" s="31">
        <v>45701</v>
      </c>
      <c r="L397" s="31"/>
      <c r="M397" s="31"/>
      <c r="N397" s="31"/>
      <c r="O397" s="3" t="s">
        <v>749</v>
      </c>
    </row>
    <row r="398" spans="1:15">
      <c r="A398" s="3">
        <f t="shared" si="7"/>
        <v>397</v>
      </c>
      <c r="B398" s="41" t="s">
        <v>1009</v>
      </c>
      <c r="C398" s="27">
        <v>9764792123</v>
      </c>
      <c r="D398" s="6"/>
      <c r="E398" s="3" t="s">
        <v>1010</v>
      </c>
      <c r="F398" s="67" t="s">
        <v>1011</v>
      </c>
      <c r="G398" s="3" t="s">
        <v>330</v>
      </c>
      <c r="H398" s="3" t="s">
        <v>930</v>
      </c>
      <c r="I398" s="37" t="s">
        <v>94</v>
      </c>
      <c r="J398" s="31">
        <v>45665</v>
      </c>
      <c r="K398" s="31">
        <v>45665</v>
      </c>
      <c r="L398" s="31">
        <v>45684</v>
      </c>
      <c r="M398" s="31">
        <v>45717</v>
      </c>
      <c r="N398" s="31">
        <v>45717</v>
      </c>
      <c r="O398" s="3" t="s">
        <v>297</v>
      </c>
    </row>
    <row r="399" spans="1:15">
      <c r="A399" s="3">
        <f t="shared" si="7"/>
        <v>398</v>
      </c>
      <c r="B399" s="68" t="s">
        <v>1012</v>
      </c>
      <c r="C399" s="27">
        <v>6281638274</v>
      </c>
      <c r="D399" s="6"/>
      <c r="E399" s="3" t="s">
        <v>640</v>
      </c>
      <c r="F399" s="41" t="s">
        <v>294</v>
      </c>
      <c r="G399" s="3" t="s">
        <v>424</v>
      </c>
      <c r="H399" s="3" t="s">
        <v>630</v>
      </c>
      <c r="I399" s="37" t="s">
        <v>94</v>
      </c>
      <c r="J399" s="31">
        <v>45684</v>
      </c>
      <c r="K399" s="31">
        <v>45685</v>
      </c>
      <c r="L399" s="31"/>
      <c r="M399" s="31"/>
      <c r="N399" s="31"/>
      <c r="O399" s="3" t="s">
        <v>425</v>
      </c>
    </row>
    <row r="400" spans="1:15">
      <c r="A400" s="3">
        <f t="shared" si="7"/>
        <v>399</v>
      </c>
      <c r="B400" s="68" t="s">
        <v>1013</v>
      </c>
      <c r="C400" s="27">
        <v>8637292465</v>
      </c>
      <c r="D400" s="6"/>
      <c r="E400" s="3" t="s">
        <v>1014</v>
      </c>
      <c r="F400" s="41" t="s">
        <v>294</v>
      </c>
      <c r="G400" s="3" t="s">
        <v>416</v>
      </c>
      <c r="H400" s="3" t="s">
        <v>630</v>
      </c>
      <c r="I400" s="37" t="s">
        <v>94</v>
      </c>
      <c r="J400" s="31">
        <v>45684</v>
      </c>
      <c r="K400" s="31">
        <v>45685</v>
      </c>
      <c r="L400" s="31"/>
      <c r="M400" s="31"/>
      <c r="N400" s="31"/>
      <c r="O400" s="3" t="s">
        <v>297</v>
      </c>
    </row>
    <row r="401" spans="1:15">
      <c r="A401" s="3">
        <f t="shared" si="7"/>
        <v>400</v>
      </c>
      <c r="B401" s="68" t="s">
        <v>1015</v>
      </c>
      <c r="C401" s="27">
        <v>8109003284</v>
      </c>
      <c r="D401" s="6"/>
      <c r="E401" s="3" t="s">
        <v>1014</v>
      </c>
      <c r="F401" s="41" t="s">
        <v>294</v>
      </c>
      <c r="G401" s="3" t="s">
        <v>424</v>
      </c>
      <c r="H401" s="3" t="s">
        <v>630</v>
      </c>
      <c r="I401" s="37" t="s">
        <v>94</v>
      </c>
      <c r="J401" s="31">
        <v>45684</v>
      </c>
      <c r="K401" s="31">
        <v>45686</v>
      </c>
      <c r="L401" s="31"/>
      <c r="M401" s="31"/>
      <c r="N401" s="31"/>
      <c r="O401" s="3" t="s">
        <v>425</v>
      </c>
    </row>
    <row r="402" spans="1:15">
      <c r="A402" s="3">
        <f t="shared" si="7"/>
        <v>401</v>
      </c>
      <c r="B402" s="68" t="s">
        <v>1016</v>
      </c>
      <c r="C402" s="27">
        <v>9093230772</v>
      </c>
      <c r="D402" s="6">
        <v>7074366018</v>
      </c>
      <c r="E402" s="3" t="s">
        <v>1014</v>
      </c>
      <c r="F402" s="41" t="s">
        <v>294</v>
      </c>
      <c r="G402" s="3" t="s">
        <v>416</v>
      </c>
      <c r="H402" s="3" t="s">
        <v>630</v>
      </c>
      <c r="I402" s="37" t="s">
        <v>94</v>
      </c>
      <c r="J402" s="31">
        <v>45684</v>
      </c>
      <c r="K402" s="31">
        <v>45686</v>
      </c>
      <c r="L402" s="31"/>
      <c r="M402" s="31"/>
      <c r="N402" s="31"/>
      <c r="O402" s="3" t="s">
        <v>297</v>
      </c>
    </row>
    <row r="403" spans="1:15">
      <c r="A403" s="3">
        <f t="shared" si="7"/>
        <v>402</v>
      </c>
      <c r="B403" s="68" t="s">
        <v>477</v>
      </c>
      <c r="C403" s="27">
        <v>8726697890</v>
      </c>
      <c r="D403" s="6"/>
      <c r="E403" s="3" t="s">
        <v>646</v>
      </c>
      <c r="F403" s="41" t="s">
        <v>294</v>
      </c>
      <c r="G403" s="3" t="s">
        <v>424</v>
      </c>
      <c r="H403" s="3" t="s">
        <v>630</v>
      </c>
      <c r="I403" s="37" t="s">
        <v>94</v>
      </c>
      <c r="J403" s="31">
        <v>45684</v>
      </c>
      <c r="K403" s="31">
        <v>45685</v>
      </c>
      <c r="L403" s="31"/>
      <c r="M403" s="31"/>
      <c r="N403" s="31"/>
      <c r="O403" s="3" t="s">
        <v>425</v>
      </c>
    </row>
    <row r="404" spans="1:15">
      <c r="A404" s="3">
        <f t="shared" si="7"/>
        <v>403</v>
      </c>
      <c r="B404" s="68" t="s">
        <v>1017</v>
      </c>
      <c r="C404" s="27">
        <v>7000083647</v>
      </c>
      <c r="D404" s="6"/>
      <c r="E404" s="3" t="s">
        <v>646</v>
      </c>
      <c r="F404" s="41" t="s">
        <v>294</v>
      </c>
      <c r="G404" s="3" t="s">
        <v>416</v>
      </c>
      <c r="H404" s="3" t="s">
        <v>630</v>
      </c>
      <c r="I404" s="37" t="s">
        <v>94</v>
      </c>
      <c r="J404" s="31">
        <v>45684</v>
      </c>
      <c r="K404" s="31">
        <v>45686</v>
      </c>
      <c r="L404" s="31"/>
      <c r="M404" s="31"/>
      <c r="N404" s="31"/>
      <c r="O404" s="3" t="s">
        <v>297</v>
      </c>
    </row>
    <row r="405" spans="1:15">
      <c r="A405" s="3">
        <f t="shared" si="7"/>
        <v>404</v>
      </c>
      <c r="B405" s="68" t="s">
        <v>1018</v>
      </c>
      <c r="C405" s="27">
        <v>8051065213</v>
      </c>
      <c r="D405" s="6"/>
      <c r="E405" s="3" t="s">
        <v>533</v>
      </c>
      <c r="F405" s="41" t="s">
        <v>891</v>
      </c>
      <c r="G405" s="3" t="s">
        <v>16</v>
      </c>
      <c r="H405" s="3" t="s">
        <v>527</v>
      </c>
      <c r="I405" s="37" t="s">
        <v>94</v>
      </c>
      <c r="J405" s="31">
        <v>45665</v>
      </c>
      <c r="K405" s="31">
        <v>45665</v>
      </c>
      <c r="L405" s="31">
        <v>45684</v>
      </c>
      <c r="M405" s="31">
        <v>45691</v>
      </c>
      <c r="N405" s="31">
        <v>45734</v>
      </c>
      <c r="O405" s="3" t="s">
        <v>297</v>
      </c>
    </row>
    <row r="406" spans="1:15">
      <c r="A406" s="3">
        <f t="shared" si="7"/>
        <v>405</v>
      </c>
      <c r="B406" s="68" t="s">
        <v>1019</v>
      </c>
      <c r="C406" s="3">
        <v>7981807969</v>
      </c>
      <c r="D406" s="6"/>
      <c r="E406" s="3" t="s">
        <v>646</v>
      </c>
      <c r="F406" s="41" t="s">
        <v>294</v>
      </c>
      <c r="G406" s="3" t="s">
        <v>416</v>
      </c>
      <c r="H406" s="3" t="s">
        <v>630</v>
      </c>
      <c r="I406" s="37" t="s">
        <v>94</v>
      </c>
      <c r="J406" s="31">
        <v>45684</v>
      </c>
      <c r="K406" s="31">
        <v>45685</v>
      </c>
      <c r="L406" s="31"/>
      <c r="M406" s="31"/>
      <c r="N406" s="31"/>
      <c r="O406" s="3" t="s">
        <v>297</v>
      </c>
    </row>
    <row r="407" spans="1:15">
      <c r="A407" s="3">
        <f t="shared" si="7"/>
        <v>406</v>
      </c>
      <c r="B407" s="101" t="s">
        <v>1020</v>
      </c>
      <c r="C407" s="2">
        <v>7978720321</v>
      </c>
      <c r="D407" s="6"/>
      <c r="E407" s="3" t="s">
        <v>607</v>
      </c>
      <c r="F407" s="41" t="s">
        <v>304</v>
      </c>
      <c r="G407" s="3" t="s">
        <v>16</v>
      </c>
      <c r="H407" s="3" t="s">
        <v>305</v>
      </c>
      <c r="I407" s="37" t="s">
        <v>94</v>
      </c>
      <c r="J407" s="31">
        <v>45684</v>
      </c>
      <c r="K407" s="31">
        <v>45694</v>
      </c>
      <c r="L407" s="31">
        <v>45709</v>
      </c>
      <c r="M407" s="31">
        <v>45742</v>
      </c>
      <c r="N407" s="31">
        <v>45742</v>
      </c>
      <c r="O407" s="3" t="s">
        <v>297</v>
      </c>
    </row>
    <row r="408" spans="1:15">
      <c r="A408" s="3">
        <f t="shared" si="7"/>
        <v>407</v>
      </c>
      <c r="B408" s="68" t="s">
        <v>1021</v>
      </c>
      <c r="C408" s="2">
        <v>9766320104</v>
      </c>
      <c r="D408" s="6"/>
      <c r="E408" s="3" t="s">
        <v>573</v>
      </c>
      <c r="F408" s="41" t="s">
        <v>304</v>
      </c>
      <c r="G408" s="3" t="s">
        <v>416</v>
      </c>
      <c r="H408" s="3" t="s">
        <v>305</v>
      </c>
      <c r="I408" s="37" t="s">
        <v>94</v>
      </c>
      <c r="J408" s="31">
        <v>45684</v>
      </c>
      <c r="K408" s="31">
        <v>45684</v>
      </c>
      <c r="L408" s="31"/>
      <c r="M408" s="31"/>
      <c r="N408" s="31"/>
      <c r="O408" s="3" t="s">
        <v>297</v>
      </c>
    </row>
    <row r="409" spans="1:15">
      <c r="A409" s="3">
        <f t="shared" si="7"/>
        <v>408</v>
      </c>
      <c r="B409" s="68" t="s">
        <v>1022</v>
      </c>
      <c r="C409" s="2">
        <v>9398169302</v>
      </c>
      <c r="D409" s="6"/>
      <c r="E409" s="3" t="s">
        <v>1023</v>
      </c>
      <c r="F409" s="41"/>
      <c r="G409" s="3" t="s">
        <v>16</v>
      </c>
      <c r="H409" s="3" t="s">
        <v>305</v>
      </c>
      <c r="I409" s="37" t="s">
        <v>94</v>
      </c>
      <c r="J409" s="31">
        <v>45684</v>
      </c>
      <c r="K409" s="31">
        <v>45685</v>
      </c>
      <c r="L409" s="31">
        <v>45743</v>
      </c>
      <c r="M409" s="31">
        <v>45761</v>
      </c>
      <c r="N409" s="31">
        <v>45761</v>
      </c>
      <c r="O409" s="3" t="s">
        <v>297</v>
      </c>
    </row>
    <row r="410" spans="1:15">
      <c r="A410" s="3">
        <f t="shared" si="7"/>
        <v>409</v>
      </c>
      <c r="B410" s="68" t="s">
        <v>1024</v>
      </c>
      <c r="C410" s="2">
        <v>8317660929</v>
      </c>
      <c r="D410" s="6">
        <v>7075480948</v>
      </c>
      <c r="E410" s="3" t="s">
        <v>598</v>
      </c>
      <c r="F410" s="42" t="s">
        <v>891</v>
      </c>
      <c r="G410" s="2" t="s">
        <v>18</v>
      </c>
      <c r="H410" s="3" t="s">
        <v>590</v>
      </c>
      <c r="I410" s="37" t="s">
        <v>88</v>
      </c>
      <c r="J410" s="31">
        <v>45682</v>
      </c>
      <c r="K410" s="31">
        <v>45684</v>
      </c>
      <c r="L410" s="31"/>
      <c r="M410" s="31"/>
      <c r="N410" s="31"/>
      <c r="O410" s="3" t="s">
        <v>297</v>
      </c>
    </row>
    <row r="411" spans="1:15">
      <c r="A411" s="3">
        <f t="shared" si="7"/>
        <v>410</v>
      </c>
      <c r="B411" s="68" t="s">
        <v>1025</v>
      </c>
      <c r="C411" s="2">
        <v>7205584795</v>
      </c>
      <c r="D411" s="6"/>
      <c r="E411" s="3" t="s">
        <v>598</v>
      </c>
      <c r="F411" s="42" t="s">
        <v>891</v>
      </c>
      <c r="G411" s="2" t="s">
        <v>18</v>
      </c>
      <c r="H411" s="3" t="s">
        <v>590</v>
      </c>
      <c r="I411" s="37" t="s">
        <v>88</v>
      </c>
      <c r="J411" s="31">
        <v>45682</v>
      </c>
      <c r="K411" s="31">
        <v>45684</v>
      </c>
      <c r="L411" s="31"/>
      <c r="M411" s="31"/>
      <c r="N411" s="31"/>
      <c r="O411" s="3" t="s">
        <v>297</v>
      </c>
    </row>
    <row r="412" spans="1:15">
      <c r="A412" s="3">
        <f t="shared" si="7"/>
        <v>411</v>
      </c>
      <c r="B412" s="68" t="s">
        <v>1026</v>
      </c>
      <c r="C412" s="2">
        <v>7900576227</v>
      </c>
      <c r="D412" s="6"/>
      <c r="E412" s="3" t="s">
        <v>350</v>
      </c>
      <c r="F412" s="42" t="s">
        <v>1027</v>
      </c>
      <c r="G412" s="3" t="s">
        <v>16</v>
      </c>
      <c r="H412" s="2" t="s">
        <v>352</v>
      </c>
      <c r="I412" s="37" t="s">
        <v>94</v>
      </c>
      <c r="J412" s="31">
        <v>45684</v>
      </c>
      <c r="K412" s="31">
        <v>45699</v>
      </c>
      <c r="L412" s="31">
        <v>45709</v>
      </c>
      <c r="M412" s="31">
        <v>45733</v>
      </c>
      <c r="N412" s="31">
        <v>45733</v>
      </c>
      <c r="O412" s="3" t="s">
        <v>297</v>
      </c>
    </row>
    <row r="413" spans="1:15">
      <c r="A413" s="3">
        <f t="shared" si="7"/>
        <v>412</v>
      </c>
      <c r="B413" s="68" t="s">
        <v>1028</v>
      </c>
      <c r="C413" s="2">
        <v>7002738924</v>
      </c>
      <c r="D413" s="6"/>
      <c r="E413" s="3" t="s">
        <v>1029</v>
      </c>
      <c r="F413" s="41" t="s">
        <v>1030</v>
      </c>
      <c r="G413" s="3" t="s">
        <v>16</v>
      </c>
      <c r="H413" s="2" t="s">
        <v>487</v>
      </c>
      <c r="I413" s="37" t="s">
        <v>88</v>
      </c>
      <c r="J413" s="31">
        <v>45684</v>
      </c>
      <c r="K413" s="31">
        <v>45685</v>
      </c>
      <c r="L413" s="31">
        <v>45686</v>
      </c>
      <c r="M413" s="31">
        <v>45716</v>
      </c>
      <c r="N413" s="31">
        <v>45716</v>
      </c>
      <c r="O413" s="3" t="s">
        <v>297</v>
      </c>
    </row>
    <row r="414" spans="1:15">
      <c r="A414" s="3">
        <f t="shared" si="7"/>
        <v>413</v>
      </c>
      <c r="B414" s="68" t="s">
        <v>1031</v>
      </c>
      <c r="C414" s="2">
        <v>9966631188</v>
      </c>
      <c r="D414" s="6"/>
      <c r="E414" s="3" t="s">
        <v>1032</v>
      </c>
      <c r="F414" s="42" t="s">
        <v>972</v>
      </c>
      <c r="G414" s="3" t="s">
        <v>424</v>
      </c>
      <c r="H414" s="3" t="s">
        <v>41</v>
      </c>
      <c r="I414" s="37" t="s">
        <v>42</v>
      </c>
      <c r="J414" s="31">
        <v>45684</v>
      </c>
      <c r="K414" s="31">
        <v>45684</v>
      </c>
      <c r="L414" s="31"/>
      <c r="M414" s="31"/>
      <c r="N414" s="31"/>
      <c r="O414" s="2" t="s">
        <v>425</v>
      </c>
    </row>
    <row r="415" spans="1:15">
      <c r="A415" s="3">
        <f t="shared" si="7"/>
        <v>414</v>
      </c>
      <c r="B415" s="68" t="s">
        <v>1033</v>
      </c>
      <c r="C415" s="2">
        <v>9866343624</v>
      </c>
      <c r="D415" s="6">
        <v>8328664424</v>
      </c>
      <c r="E415" s="3" t="s">
        <v>1032</v>
      </c>
      <c r="F415" s="42" t="s">
        <v>972</v>
      </c>
      <c r="G415" s="3" t="s">
        <v>416</v>
      </c>
      <c r="H415" s="3" t="s">
        <v>41</v>
      </c>
      <c r="I415" s="37" t="s">
        <v>42</v>
      </c>
      <c r="J415" s="31">
        <v>45684</v>
      </c>
      <c r="K415" s="31">
        <v>45684</v>
      </c>
      <c r="L415" s="31"/>
      <c r="M415" s="31"/>
      <c r="N415" s="31"/>
      <c r="O415" s="2" t="s">
        <v>297</v>
      </c>
    </row>
    <row r="416" spans="1:15" ht="15.6">
      <c r="A416" s="3">
        <f t="shared" si="7"/>
        <v>415</v>
      </c>
      <c r="B416" s="68" t="s">
        <v>1034</v>
      </c>
      <c r="C416" s="27">
        <v>7008511972</v>
      </c>
      <c r="D416" s="6">
        <v>9439349959</v>
      </c>
      <c r="E416" s="3" t="s">
        <v>1035</v>
      </c>
      <c r="F416" s="75" t="s">
        <v>1036</v>
      </c>
      <c r="G416" s="3" t="s">
        <v>424</v>
      </c>
      <c r="H416" s="3" t="s">
        <v>788</v>
      </c>
      <c r="I416" s="37" t="s">
        <v>88</v>
      </c>
      <c r="J416" s="31">
        <v>45684</v>
      </c>
      <c r="K416" s="31">
        <v>45703</v>
      </c>
      <c r="L416" s="31"/>
      <c r="M416" s="31"/>
      <c r="N416" s="31"/>
      <c r="O416" s="2" t="s">
        <v>425</v>
      </c>
    </row>
    <row r="417" spans="1:15" ht="15.6">
      <c r="A417" s="3">
        <f t="shared" si="7"/>
        <v>416</v>
      </c>
      <c r="B417" s="68" t="s">
        <v>1037</v>
      </c>
      <c r="C417" s="27">
        <v>9010931195</v>
      </c>
      <c r="D417" s="6"/>
      <c r="E417" s="3" t="s">
        <v>1038</v>
      </c>
      <c r="F417" s="75" t="s">
        <v>1039</v>
      </c>
      <c r="G417" s="3" t="s">
        <v>16</v>
      </c>
      <c r="H417" s="3" t="s">
        <v>788</v>
      </c>
      <c r="I417" s="37" t="s">
        <v>88</v>
      </c>
      <c r="J417" s="31">
        <v>45684</v>
      </c>
      <c r="K417" s="31">
        <v>45689</v>
      </c>
      <c r="L417" s="31">
        <v>45709</v>
      </c>
      <c r="M417" s="31">
        <v>45742</v>
      </c>
      <c r="N417" s="31">
        <v>45752</v>
      </c>
      <c r="O417" s="2" t="s">
        <v>297</v>
      </c>
    </row>
    <row r="418" spans="1:15" ht="15.6">
      <c r="A418" s="3">
        <f t="shared" si="7"/>
        <v>417</v>
      </c>
      <c r="B418" s="68" t="s">
        <v>1040</v>
      </c>
      <c r="C418" s="27">
        <v>8099246585</v>
      </c>
      <c r="D418" s="6"/>
      <c r="E418" s="3" t="s">
        <v>1038</v>
      </c>
      <c r="F418" s="75" t="s">
        <v>1041</v>
      </c>
      <c r="G418" s="3" t="s">
        <v>16</v>
      </c>
      <c r="H418" s="3" t="s">
        <v>788</v>
      </c>
      <c r="I418" s="37" t="s">
        <v>88</v>
      </c>
      <c r="J418" s="31">
        <v>45684</v>
      </c>
      <c r="K418" s="31">
        <v>45689</v>
      </c>
      <c r="L418" s="31">
        <v>45716</v>
      </c>
      <c r="M418" s="31">
        <v>45719</v>
      </c>
      <c r="N418" s="31">
        <v>45719</v>
      </c>
      <c r="O418" s="2" t="s">
        <v>297</v>
      </c>
    </row>
    <row r="419" spans="1:15">
      <c r="A419" s="3">
        <f t="shared" si="7"/>
        <v>418</v>
      </c>
      <c r="B419" s="68" t="s">
        <v>1042</v>
      </c>
      <c r="C419" s="27">
        <v>9506010094</v>
      </c>
      <c r="D419" s="6"/>
      <c r="E419" s="3" t="s">
        <v>1043</v>
      </c>
      <c r="F419" s="68" t="s">
        <v>1044</v>
      </c>
      <c r="G419" s="3" t="s">
        <v>16</v>
      </c>
      <c r="H419" s="3" t="s">
        <v>361</v>
      </c>
      <c r="I419" s="37" t="s">
        <v>94</v>
      </c>
      <c r="J419" s="31">
        <v>45682</v>
      </c>
      <c r="K419" s="31">
        <v>45689</v>
      </c>
      <c r="L419" s="31">
        <v>45709</v>
      </c>
      <c r="M419" s="31">
        <v>45737</v>
      </c>
      <c r="N419" s="31">
        <v>45739</v>
      </c>
      <c r="O419" s="3" t="s">
        <v>297</v>
      </c>
    </row>
    <row r="420" spans="1:15">
      <c r="A420" s="3">
        <f t="shared" si="7"/>
        <v>419</v>
      </c>
      <c r="B420" s="68" t="s">
        <v>1045</v>
      </c>
      <c r="C420" s="27">
        <v>7305481665</v>
      </c>
      <c r="D420" s="6"/>
      <c r="E420" s="3" t="s">
        <v>1043</v>
      </c>
      <c r="F420" s="68" t="s">
        <v>1044</v>
      </c>
      <c r="G420" s="3" t="s">
        <v>295</v>
      </c>
      <c r="H420" s="3" t="s">
        <v>361</v>
      </c>
      <c r="I420" s="37" t="s">
        <v>94</v>
      </c>
      <c r="J420" s="31">
        <v>45682</v>
      </c>
      <c r="K420" s="31">
        <v>45690</v>
      </c>
      <c r="L420" s="31">
        <v>45723</v>
      </c>
      <c r="M420" s="31">
        <v>45754</v>
      </c>
      <c r="N420" s="31"/>
      <c r="O420" s="3" t="s">
        <v>297</v>
      </c>
    </row>
    <row r="421" spans="1:15">
      <c r="A421" s="3">
        <f t="shared" si="7"/>
        <v>420</v>
      </c>
      <c r="B421" s="68" t="s">
        <v>1026</v>
      </c>
      <c r="C421" s="27">
        <v>9518485586</v>
      </c>
      <c r="D421" s="6"/>
      <c r="E421" s="3" t="s">
        <v>1043</v>
      </c>
      <c r="F421" s="68" t="s">
        <v>1044</v>
      </c>
      <c r="G421" s="3" t="s">
        <v>295</v>
      </c>
      <c r="H421" s="3" t="s">
        <v>361</v>
      </c>
      <c r="I421" s="37" t="s">
        <v>94</v>
      </c>
      <c r="J421" s="31">
        <v>45682</v>
      </c>
      <c r="K421" s="31">
        <v>45685</v>
      </c>
      <c r="L421" s="31">
        <v>45708</v>
      </c>
      <c r="M421" s="31">
        <v>45736</v>
      </c>
      <c r="N421" s="31"/>
      <c r="O421" s="3" t="s">
        <v>297</v>
      </c>
    </row>
    <row r="422" spans="1:15">
      <c r="A422" s="3">
        <f t="shared" si="7"/>
        <v>421</v>
      </c>
      <c r="B422" s="68" t="s">
        <v>1046</v>
      </c>
      <c r="C422" s="27">
        <v>8757794492</v>
      </c>
      <c r="D422" s="6"/>
      <c r="E422" s="3" t="s">
        <v>1043</v>
      </c>
      <c r="F422" s="68" t="s">
        <v>1044</v>
      </c>
      <c r="G422" s="3" t="s">
        <v>424</v>
      </c>
      <c r="H422" s="3" t="s">
        <v>361</v>
      </c>
      <c r="I422" s="37" t="s">
        <v>94</v>
      </c>
      <c r="J422" s="31">
        <v>45682</v>
      </c>
      <c r="K422" s="31">
        <v>45689</v>
      </c>
      <c r="L422" s="31"/>
      <c r="M422" s="31"/>
      <c r="N422" s="31"/>
      <c r="O422" s="3" t="s">
        <v>425</v>
      </c>
    </row>
    <row r="423" spans="1:15">
      <c r="A423" s="3">
        <f t="shared" si="7"/>
        <v>422</v>
      </c>
      <c r="B423" s="68" t="s">
        <v>1047</v>
      </c>
      <c r="C423" s="27">
        <v>6387319743</v>
      </c>
      <c r="D423" s="6"/>
      <c r="E423" s="3" t="s">
        <v>1048</v>
      </c>
      <c r="F423" s="68" t="s">
        <v>1044</v>
      </c>
      <c r="G423" s="3" t="s">
        <v>295</v>
      </c>
      <c r="H423" s="3" t="s">
        <v>361</v>
      </c>
      <c r="I423" s="37" t="s">
        <v>94</v>
      </c>
      <c r="J423" s="31">
        <v>45682</v>
      </c>
      <c r="K423" s="31">
        <v>45690</v>
      </c>
      <c r="L423" s="31">
        <v>45723</v>
      </c>
      <c r="M423" s="31">
        <v>45754</v>
      </c>
      <c r="N423" s="31"/>
      <c r="O423" s="3" t="s">
        <v>297</v>
      </c>
    </row>
    <row r="424" spans="1:15">
      <c r="A424" s="3">
        <f t="shared" si="7"/>
        <v>423</v>
      </c>
      <c r="B424" s="68" t="s">
        <v>1049</v>
      </c>
      <c r="C424" s="27">
        <v>7633865175</v>
      </c>
      <c r="D424" s="6"/>
      <c r="E424" s="3" t="s">
        <v>1048</v>
      </c>
      <c r="F424" s="68" t="s">
        <v>1050</v>
      </c>
      <c r="G424" s="3" t="s">
        <v>416</v>
      </c>
      <c r="H424" s="3" t="s">
        <v>361</v>
      </c>
      <c r="I424" s="37" t="s">
        <v>94</v>
      </c>
      <c r="J424" s="31">
        <v>45682</v>
      </c>
      <c r="K424" s="31">
        <v>45692</v>
      </c>
      <c r="L424" s="31"/>
      <c r="M424" s="31"/>
      <c r="N424" s="31"/>
      <c r="O424" s="3" t="s">
        <v>297</v>
      </c>
    </row>
    <row r="425" spans="1:15">
      <c r="A425" s="3">
        <f t="shared" si="7"/>
        <v>424</v>
      </c>
      <c r="B425" s="68" t="s">
        <v>1051</v>
      </c>
      <c r="C425" s="27">
        <v>7903158032</v>
      </c>
      <c r="D425" s="6"/>
      <c r="E425" s="3" t="s">
        <v>1048</v>
      </c>
      <c r="F425" s="68" t="s">
        <v>1044</v>
      </c>
      <c r="G425" s="3" t="s">
        <v>295</v>
      </c>
      <c r="H425" s="3" t="s">
        <v>361</v>
      </c>
      <c r="I425" s="37" t="s">
        <v>94</v>
      </c>
      <c r="J425" s="31">
        <v>45682</v>
      </c>
      <c r="K425" s="31">
        <v>45691</v>
      </c>
      <c r="L425" s="31">
        <v>45709</v>
      </c>
      <c r="M425" s="31">
        <v>45733</v>
      </c>
      <c r="N425" s="31"/>
      <c r="O425" s="3" t="s">
        <v>297</v>
      </c>
    </row>
    <row r="426" spans="1:15">
      <c r="A426" s="3">
        <f t="shared" si="7"/>
        <v>425</v>
      </c>
      <c r="B426" s="68" t="s">
        <v>1052</v>
      </c>
      <c r="C426" s="27">
        <v>9771313253</v>
      </c>
      <c r="D426" s="6"/>
      <c r="E426" s="3" t="s">
        <v>1048</v>
      </c>
      <c r="F426" s="68" t="s">
        <v>1044</v>
      </c>
      <c r="G426" s="3" t="s">
        <v>18</v>
      </c>
      <c r="H426" s="3" t="s">
        <v>361</v>
      </c>
      <c r="I426" s="37" t="s">
        <v>94</v>
      </c>
      <c r="J426" s="31">
        <v>45682</v>
      </c>
      <c r="K426" s="31">
        <v>45690</v>
      </c>
      <c r="L426" s="31"/>
      <c r="M426" s="31"/>
      <c r="N426" s="31"/>
      <c r="O426" s="3" t="s">
        <v>297</v>
      </c>
    </row>
    <row r="427" spans="1:15">
      <c r="A427" s="3">
        <f t="shared" si="7"/>
        <v>426</v>
      </c>
      <c r="B427" s="68" t="s">
        <v>1053</v>
      </c>
      <c r="C427" s="27">
        <v>7667143986</v>
      </c>
      <c r="D427" s="6"/>
      <c r="E427" s="3" t="s">
        <v>1054</v>
      </c>
      <c r="F427" s="68" t="s">
        <v>1044</v>
      </c>
      <c r="G427" s="3" t="s">
        <v>416</v>
      </c>
      <c r="H427" s="3" t="s">
        <v>361</v>
      </c>
      <c r="I427" s="37" t="s">
        <v>94</v>
      </c>
      <c r="J427" s="31">
        <v>45682</v>
      </c>
      <c r="K427" s="31">
        <v>45690</v>
      </c>
      <c r="L427" s="31"/>
      <c r="M427" s="31"/>
      <c r="N427" s="31"/>
      <c r="O427" s="3" t="s">
        <v>297</v>
      </c>
    </row>
    <row r="428" spans="1:15">
      <c r="A428" s="3">
        <f t="shared" si="7"/>
        <v>427</v>
      </c>
      <c r="B428" s="68" t="s">
        <v>1055</v>
      </c>
      <c r="C428" s="27">
        <v>9142773055</v>
      </c>
      <c r="D428" s="6"/>
      <c r="E428" s="3" t="s">
        <v>1054</v>
      </c>
      <c r="F428" s="68" t="s">
        <v>1044</v>
      </c>
      <c r="G428" s="3" t="s">
        <v>295</v>
      </c>
      <c r="H428" s="3" t="s">
        <v>361</v>
      </c>
      <c r="I428" s="37" t="s">
        <v>94</v>
      </c>
      <c r="J428" s="31">
        <v>45682</v>
      </c>
      <c r="K428" s="31">
        <v>45691</v>
      </c>
      <c r="L428" s="31">
        <v>45728</v>
      </c>
      <c r="M428" s="31">
        <v>45807</v>
      </c>
      <c r="N428" s="31"/>
      <c r="O428" s="3" t="s">
        <v>297</v>
      </c>
    </row>
    <row r="429" spans="1:15">
      <c r="A429" s="3">
        <f t="shared" si="7"/>
        <v>428</v>
      </c>
      <c r="B429" s="68" t="s">
        <v>1056</v>
      </c>
      <c r="C429" s="27">
        <v>7682806685</v>
      </c>
      <c r="D429" s="6"/>
      <c r="E429" s="3" t="s">
        <v>1054</v>
      </c>
      <c r="F429" s="68" t="s">
        <v>1044</v>
      </c>
      <c r="G429" s="3" t="s">
        <v>18</v>
      </c>
      <c r="H429" s="3" t="s">
        <v>361</v>
      </c>
      <c r="I429" s="37" t="s">
        <v>94</v>
      </c>
      <c r="J429" s="31">
        <v>45682</v>
      </c>
      <c r="K429" s="31">
        <v>45691</v>
      </c>
      <c r="L429" s="31"/>
      <c r="M429" s="31"/>
      <c r="N429" s="31"/>
      <c r="O429" s="3" t="s">
        <v>297</v>
      </c>
    </row>
    <row r="430" spans="1:15">
      <c r="A430" s="3">
        <f t="shared" si="7"/>
        <v>429</v>
      </c>
      <c r="B430" s="68" t="s">
        <v>1057</v>
      </c>
      <c r="C430" s="27">
        <v>7008510089</v>
      </c>
      <c r="D430" s="6"/>
      <c r="E430" s="3" t="s">
        <v>1048</v>
      </c>
      <c r="F430" s="68" t="s">
        <v>1044</v>
      </c>
      <c r="G430" s="3" t="s">
        <v>416</v>
      </c>
      <c r="H430" s="3" t="s">
        <v>361</v>
      </c>
      <c r="I430" s="37" t="s">
        <v>94</v>
      </c>
      <c r="J430" s="31">
        <v>45682</v>
      </c>
      <c r="K430" s="31">
        <v>45685</v>
      </c>
      <c r="L430" s="31"/>
      <c r="M430" s="31"/>
      <c r="N430" s="31"/>
      <c r="O430" s="3" t="s">
        <v>297</v>
      </c>
    </row>
    <row r="431" spans="1:15">
      <c r="A431" s="3">
        <f t="shared" si="7"/>
        <v>430</v>
      </c>
      <c r="B431" s="68" t="s">
        <v>1058</v>
      </c>
      <c r="C431" s="27">
        <v>9693737840</v>
      </c>
      <c r="D431" s="6"/>
      <c r="E431" s="3" t="s">
        <v>1048</v>
      </c>
      <c r="F431" s="68" t="s">
        <v>1044</v>
      </c>
      <c r="G431" s="3" t="s">
        <v>16</v>
      </c>
      <c r="H431" s="3" t="s">
        <v>361</v>
      </c>
      <c r="I431" s="37" t="s">
        <v>94</v>
      </c>
      <c r="J431" s="31">
        <v>45682</v>
      </c>
      <c r="K431" s="31">
        <v>45691</v>
      </c>
      <c r="L431" s="31">
        <v>45716</v>
      </c>
      <c r="M431" s="31">
        <v>45744</v>
      </c>
      <c r="N431" s="31">
        <v>45751</v>
      </c>
      <c r="O431" s="3" t="s">
        <v>297</v>
      </c>
    </row>
    <row r="432" spans="1:15">
      <c r="A432" s="3">
        <f t="shared" si="7"/>
        <v>431</v>
      </c>
      <c r="B432" s="42" t="s">
        <v>1059</v>
      </c>
      <c r="C432" s="2">
        <v>7568097749</v>
      </c>
      <c r="D432" s="6"/>
      <c r="E432" s="3" t="s">
        <v>394</v>
      </c>
      <c r="F432" s="42" t="s">
        <v>1060</v>
      </c>
      <c r="G432" s="2" t="s">
        <v>16</v>
      </c>
      <c r="H432" s="3" t="s">
        <v>357</v>
      </c>
      <c r="I432" s="37" t="s">
        <v>94</v>
      </c>
      <c r="J432" s="31">
        <v>45665</v>
      </c>
      <c r="K432" s="31">
        <v>45665</v>
      </c>
      <c r="L432" s="31">
        <v>45684</v>
      </c>
      <c r="M432" s="31">
        <v>45698</v>
      </c>
      <c r="N432" s="31">
        <v>45698</v>
      </c>
      <c r="O432" s="2" t="s">
        <v>297</v>
      </c>
    </row>
    <row r="433" spans="1:15" ht="15.6">
      <c r="A433" s="3">
        <f t="shared" si="7"/>
        <v>432</v>
      </c>
      <c r="B433" s="102" t="s">
        <v>1061</v>
      </c>
      <c r="C433" s="2">
        <v>9492102258</v>
      </c>
      <c r="D433" s="6"/>
      <c r="E433" s="3" t="s">
        <v>971</v>
      </c>
      <c r="F433" s="75" t="s">
        <v>972</v>
      </c>
      <c r="G433" s="2" t="s">
        <v>16</v>
      </c>
      <c r="H433" s="3" t="s">
        <v>41</v>
      </c>
      <c r="I433" s="37" t="s">
        <v>42</v>
      </c>
      <c r="J433" s="31">
        <v>45682</v>
      </c>
      <c r="K433" s="31">
        <v>45687</v>
      </c>
      <c r="L433" s="31">
        <v>45687</v>
      </c>
      <c r="M433" s="31">
        <v>45693</v>
      </c>
      <c r="N433" s="31">
        <v>45693</v>
      </c>
      <c r="O433" s="2" t="s">
        <v>297</v>
      </c>
    </row>
    <row r="434" spans="1:15" ht="15.6">
      <c r="A434" s="3">
        <f t="shared" si="7"/>
        <v>433</v>
      </c>
      <c r="B434" s="102" t="s">
        <v>1062</v>
      </c>
      <c r="C434" s="2">
        <v>9492219499</v>
      </c>
      <c r="D434" s="6"/>
      <c r="E434" s="3" t="s">
        <v>601</v>
      </c>
      <c r="F434" s="42" t="s">
        <v>1063</v>
      </c>
      <c r="G434" s="3" t="s">
        <v>424</v>
      </c>
      <c r="H434" s="3" t="s">
        <v>41</v>
      </c>
      <c r="I434" s="37" t="s">
        <v>42</v>
      </c>
      <c r="J434" s="31">
        <v>45684</v>
      </c>
      <c r="K434" s="31">
        <v>45696</v>
      </c>
      <c r="L434" s="31"/>
      <c r="M434" s="31"/>
      <c r="N434" s="31"/>
      <c r="O434" s="3" t="s">
        <v>749</v>
      </c>
    </row>
    <row r="435" spans="1:15">
      <c r="A435" s="3">
        <f t="shared" si="7"/>
        <v>434</v>
      </c>
      <c r="B435" s="42" t="s">
        <v>1064</v>
      </c>
      <c r="C435" s="2">
        <v>9629510981</v>
      </c>
      <c r="D435" s="6"/>
      <c r="E435" s="3" t="s">
        <v>1065</v>
      </c>
      <c r="F435" s="42" t="s">
        <v>1066</v>
      </c>
      <c r="G435" s="2" t="s">
        <v>416</v>
      </c>
      <c r="H435" s="3" t="s">
        <v>527</v>
      </c>
      <c r="I435" s="37" t="s">
        <v>42</v>
      </c>
      <c r="J435" s="31">
        <v>45684</v>
      </c>
      <c r="K435" s="31">
        <v>45687</v>
      </c>
      <c r="L435" s="31"/>
      <c r="M435" s="31"/>
      <c r="N435" s="31"/>
      <c r="O435" s="2" t="s">
        <v>297</v>
      </c>
    </row>
    <row r="436" spans="1:15">
      <c r="A436" s="3">
        <f t="shared" si="7"/>
        <v>435</v>
      </c>
      <c r="B436" s="42" t="s">
        <v>1067</v>
      </c>
      <c r="C436" s="2">
        <v>7415010639</v>
      </c>
      <c r="D436" s="6"/>
      <c r="E436" s="3" t="s">
        <v>1068</v>
      </c>
      <c r="F436" s="42" t="s">
        <v>1069</v>
      </c>
      <c r="G436" s="2" t="s">
        <v>424</v>
      </c>
      <c r="H436" s="3" t="s">
        <v>41</v>
      </c>
      <c r="I436" s="37" t="s">
        <v>42</v>
      </c>
      <c r="J436" s="31">
        <v>45684</v>
      </c>
      <c r="K436" s="31">
        <v>45684</v>
      </c>
      <c r="L436" s="31"/>
      <c r="M436" s="31"/>
      <c r="N436" s="31"/>
      <c r="O436" s="2" t="s">
        <v>425</v>
      </c>
    </row>
    <row r="437" spans="1:15">
      <c r="A437" s="3">
        <f t="shared" si="7"/>
        <v>436</v>
      </c>
      <c r="B437" s="42" t="s">
        <v>1070</v>
      </c>
      <c r="C437" s="2">
        <v>9676448345</v>
      </c>
      <c r="D437" s="6"/>
      <c r="E437" s="3" t="s">
        <v>1068</v>
      </c>
      <c r="F437" s="42" t="s">
        <v>1069</v>
      </c>
      <c r="G437" s="2" t="s">
        <v>764</v>
      </c>
      <c r="H437" s="3" t="s">
        <v>41</v>
      </c>
      <c r="I437" s="37" t="s">
        <v>42</v>
      </c>
      <c r="J437" s="31">
        <v>45684</v>
      </c>
      <c r="K437" s="31">
        <v>45691</v>
      </c>
      <c r="L437" s="31"/>
      <c r="M437" s="31"/>
      <c r="N437" s="31"/>
      <c r="O437" s="2" t="s">
        <v>425</v>
      </c>
    </row>
    <row r="438" spans="1:15" ht="15.6">
      <c r="A438" s="3">
        <f t="shared" si="7"/>
        <v>437</v>
      </c>
      <c r="B438" s="70" t="s">
        <v>1071</v>
      </c>
      <c r="C438" s="2">
        <v>9351061095</v>
      </c>
      <c r="D438" s="6"/>
      <c r="E438" s="3" t="s">
        <v>124</v>
      </c>
      <c r="F438" s="71" t="s">
        <v>1072</v>
      </c>
      <c r="G438" s="2" t="s">
        <v>424</v>
      </c>
      <c r="H438" s="3" t="s">
        <v>788</v>
      </c>
      <c r="I438" s="37" t="s">
        <v>42</v>
      </c>
      <c r="J438" s="31">
        <v>45685</v>
      </c>
      <c r="K438" s="31">
        <v>45703</v>
      </c>
      <c r="L438" s="31"/>
      <c r="M438" s="31"/>
      <c r="N438" s="31"/>
      <c r="O438" s="2" t="s">
        <v>425</v>
      </c>
    </row>
    <row r="439" spans="1:15">
      <c r="A439" s="3">
        <f t="shared" si="7"/>
        <v>438</v>
      </c>
      <c r="B439" s="42" t="s">
        <v>1073</v>
      </c>
      <c r="C439" s="2">
        <v>9966563285</v>
      </c>
      <c r="D439" s="6"/>
      <c r="E439" s="3" t="s">
        <v>1074</v>
      </c>
      <c r="F439" s="42" t="s">
        <v>275</v>
      </c>
      <c r="G439" s="2" t="s">
        <v>424</v>
      </c>
      <c r="H439" s="3" t="s">
        <v>41</v>
      </c>
      <c r="I439" s="37" t="s">
        <v>42</v>
      </c>
      <c r="J439" s="31">
        <v>45685</v>
      </c>
      <c r="K439" s="31">
        <v>45685</v>
      </c>
      <c r="L439" s="31"/>
      <c r="M439" s="31"/>
      <c r="N439" s="31"/>
      <c r="O439" s="2" t="s">
        <v>425</v>
      </c>
    </row>
    <row r="440" spans="1:15">
      <c r="A440" s="3">
        <f t="shared" si="7"/>
        <v>439</v>
      </c>
      <c r="B440" s="77" t="s">
        <v>1075</v>
      </c>
      <c r="C440" s="2">
        <v>6300217732</v>
      </c>
      <c r="D440" s="6"/>
      <c r="E440" s="3" t="s">
        <v>59</v>
      </c>
      <c r="F440" s="42" t="s">
        <v>275</v>
      </c>
      <c r="G440" s="2" t="s">
        <v>16</v>
      </c>
      <c r="H440" s="3" t="s">
        <v>41</v>
      </c>
      <c r="I440" s="37" t="s">
        <v>42</v>
      </c>
      <c r="J440" s="31">
        <v>45679</v>
      </c>
      <c r="K440" s="31">
        <v>45700</v>
      </c>
      <c r="L440" s="31">
        <v>45702</v>
      </c>
      <c r="M440" s="31">
        <v>45713</v>
      </c>
      <c r="N440" s="31">
        <v>45718</v>
      </c>
      <c r="O440" s="2" t="s">
        <v>297</v>
      </c>
    </row>
    <row r="441" spans="1:15">
      <c r="A441" s="3">
        <f t="shared" si="7"/>
        <v>440</v>
      </c>
      <c r="B441" s="42" t="s">
        <v>1076</v>
      </c>
      <c r="C441" s="2">
        <v>7078698270</v>
      </c>
      <c r="D441" s="6"/>
      <c r="E441" s="3" t="s">
        <v>517</v>
      </c>
      <c r="F441" s="42" t="s">
        <v>1077</v>
      </c>
      <c r="G441" s="2" t="s">
        <v>16</v>
      </c>
      <c r="H441" s="3" t="s">
        <v>361</v>
      </c>
      <c r="I441" s="37" t="s">
        <v>94</v>
      </c>
      <c r="J441" s="31">
        <v>45687</v>
      </c>
      <c r="K441" s="31">
        <v>45694</v>
      </c>
      <c r="L441" s="31">
        <v>45702</v>
      </c>
      <c r="M441" s="31">
        <v>45732</v>
      </c>
      <c r="N441" s="31">
        <v>45733</v>
      </c>
      <c r="O441" s="2" t="s">
        <v>297</v>
      </c>
    </row>
    <row r="442" spans="1:15">
      <c r="A442" s="3">
        <f t="shared" ref="A442:A505" si="8">ROW()-1</f>
        <v>441</v>
      </c>
      <c r="B442" s="41" t="s">
        <v>1078</v>
      </c>
      <c r="C442" s="40">
        <v>9065070501</v>
      </c>
      <c r="D442" s="6"/>
      <c r="E442" s="3" t="s">
        <v>502</v>
      </c>
      <c r="F442" s="41" t="s">
        <v>1079</v>
      </c>
      <c r="G442" s="3" t="s">
        <v>16</v>
      </c>
      <c r="H442" s="3" t="s">
        <v>361</v>
      </c>
      <c r="I442" s="37" t="s">
        <v>88</v>
      </c>
      <c r="J442" s="31">
        <v>45685</v>
      </c>
      <c r="K442" s="31">
        <v>45688</v>
      </c>
      <c r="L442" s="31">
        <v>45694</v>
      </c>
      <c r="M442" s="31">
        <v>45729</v>
      </c>
      <c r="N442" s="31">
        <v>45729</v>
      </c>
      <c r="O442" s="3" t="s">
        <v>297</v>
      </c>
    </row>
    <row r="443" spans="1:15">
      <c r="A443" s="3">
        <f t="shared" si="8"/>
        <v>442</v>
      </c>
      <c r="B443" s="41" t="s">
        <v>1080</v>
      </c>
      <c r="C443" s="3">
        <v>7762917532</v>
      </c>
      <c r="D443" s="6"/>
      <c r="E443" s="3" t="s">
        <v>500</v>
      </c>
      <c r="F443" s="41" t="s">
        <v>626</v>
      </c>
      <c r="G443" s="3" t="s">
        <v>295</v>
      </c>
      <c r="H443" s="3" t="s">
        <v>361</v>
      </c>
      <c r="I443" s="37" t="s">
        <v>88</v>
      </c>
      <c r="J443" s="31">
        <v>45685</v>
      </c>
      <c r="K443" s="31">
        <v>45688</v>
      </c>
      <c r="L443" s="31">
        <v>45694</v>
      </c>
      <c r="M443" s="31">
        <v>45754</v>
      </c>
      <c r="N443" s="31"/>
      <c r="O443" s="3" t="s">
        <v>297</v>
      </c>
    </row>
    <row r="444" spans="1:15">
      <c r="A444" s="3">
        <f t="shared" si="8"/>
        <v>443</v>
      </c>
      <c r="B444" s="41" t="s">
        <v>1081</v>
      </c>
      <c r="C444" s="3">
        <v>9453679334</v>
      </c>
      <c r="D444" s="6"/>
      <c r="E444" s="3" t="s">
        <v>500</v>
      </c>
      <c r="F444" s="41" t="s">
        <v>626</v>
      </c>
      <c r="G444" s="3" t="s">
        <v>424</v>
      </c>
      <c r="H444" s="3" t="s">
        <v>361</v>
      </c>
      <c r="I444" s="37" t="s">
        <v>88</v>
      </c>
      <c r="J444" s="31">
        <v>45685</v>
      </c>
      <c r="K444" s="31">
        <v>45688</v>
      </c>
      <c r="L444" s="31"/>
      <c r="M444" s="31"/>
      <c r="N444" s="31"/>
      <c r="O444" s="3" t="s">
        <v>425</v>
      </c>
    </row>
    <row r="445" spans="1:15">
      <c r="A445" s="3">
        <f t="shared" si="8"/>
        <v>444</v>
      </c>
      <c r="B445" s="41" t="s">
        <v>1082</v>
      </c>
      <c r="C445" s="3">
        <v>8492984625</v>
      </c>
      <c r="D445" s="6"/>
      <c r="E445" s="3" t="s">
        <v>502</v>
      </c>
      <c r="F445" s="41" t="s">
        <v>1079</v>
      </c>
      <c r="G445" s="3" t="s">
        <v>416</v>
      </c>
      <c r="H445" s="3" t="s">
        <v>361</v>
      </c>
      <c r="I445" s="37" t="s">
        <v>88</v>
      </c>
      <c r="J445" s="31">
        <v>45685</v>
      </c>
      <c r="K445" s="31">
        <v>45690</v>
      </c>
      <c r="L445" s="31"/>
      <c r="M445" s="31"/>
      <c r="N445" s="31"/>
      <c r="O445" s="3" t="s">
        <v>297</v>
      </c>
    </row>
    <row r="446" spans="1:15">
      <c r="A446" s="3">
        <f t="shared" si="8"/>
        <v>445</v>
      </c>
      <c r="B446" s="42" t="s">
        <v>1083</v>
      </c>
      <c r="C446" s="2">
        <v>8609900644</v>
      </c>
      <c r="D446" s="6">
        <v>8348810596</v>
      </c>
      <c r="E446" s="3" t="s">
        <v>500</v>
      </c>
      <c r="F446" s="41" t="s">
        <v>626</v>
      </c>
      <c r="G446" s="3" t="s">
        <v>416</v>
      </c>
      <c r="H446" s="3" t="s">
        <v>361</v>
      </c>
      <c r="I446" s="37" t="s">
        <v>88</v>
      </c>
      <c r="J446" s="31">
        <v>45685</v>
      </c>
      <c r="K446" s="31">
        <v>45689</v>
      </c>
      <c r="L446" s="31"/>
      <c r="M446" s="31"/>
      <c r="N446" s="31"/>
      <c r="O446" s="2" t="s">
        <v>297</v>
      </c>
    </row>
    <row r="447" spans="1:15">
      <c r="A447" s="3">
        <f t="shared" si="8"/>
        <v>446</v>
      </c>
      <c r="B447" s="42" t="s">
        <v>1084</v>
      </c>
      <c r="C447" s="2">
        <v>9083986054</v>
      </c>
      <c r="D447" s="6">
        <v>6294450113</v>
      </c>
      <c r="E447" s="3" t="s">
        <v>292</v>
      </c>
      <c r="F447" s="41" t="s">
        <v>293</v>
      </c>
      <c r="G447" s="3" t="s">
        <v>16</v>
      </c>
      <c r="H447" s="2" t="s">
        <v>487</v>
      </c>
      <c r="I447" s="37" t="s">
        <v>88</v>
      </c>
      <c r="J447" s="31">
        <v>45684</v>
      </c>
      <c r="K447" s="31">
        <v>45685</v>
      </c>
      <c r="L447" s="31">
        <v>45686</v>
      </c>
      <c r="M447" s="31">
        <v>45716</v>
      </c>
      <c r="N447" s="31">
        <v>45716</v>
      </c>
      <c r="O447" s="2" t="s">
        <v>297</v>
      </c>
    </row>
    <row r="448" spans="1:15">
      <c r="A448" s="3">
        <f t="shared" si="8"/>
        <v>447</v>
      </c>
      <c r="B448" s="41" t="s">
        <v>1085</v>
      </c>
      <c r="C448" s="3">
        <v>8889149446</v>
      </c>
      <c r="D448" s="6"/>
      <c r="E448" s="3" t="s">
        <v>1086</v>
      </c>
      <c r="F448" s="68" t="s">
        <v>308</v>
      </c>
      <c r="G448" s="3" t="s">
        <v>16</v>
      </c>
      <c r="H448" s="3" t="s">
        <v>527</v>
      </c>
      <c r="I448" s="37" t="s">
        <v>94</v>
      </c>
      <c r="J448" s="31">
        <v>45685</v>
      </c>
      <c r="K448" s="31">
        <v>45686</v>
      </c>
      <c r="L448" s="31">
        <v>45699</v>
      </c>
      <c r="M448" s="31">
        <v>45729</v>
      </c>
      <c r="N448" s="31">
        <v>45732</v>
      </c>
      <c r="O448" s="2" t="s">
        <v>297</v>
      </c>
    </row>
    <row r="449" spans="1:15">
      <c r="A449" s="3">
        <f t="shared" si="8"/>
        <v>448</v>
      </c>
      <c r="B449" s="41" t="s">
        <v>1087</v>
      </c>
      <c r="C449" s="3">
        <v>7232964070</v>
      </c>
      <c r="D449" s="6"/>
      <c r="E449" s="3" t="s">
        <v>1086</v>
      </c>
      <c r="F449" s="68" t="s">
        <v>333</v>
      </c>
      <c r="G449" s="3" t="s">
        <v>424</v>
      </c>
      <c r="H449" s="3" t="s">
        <v>527</v>
      </c>
      <c r="I449" s="37" t="s">
        <v>94</v>
      </c>
      <c r="J449" s="31">
        <v>45685</v>
      </c>
      <c r="K449" s="31">
        <v>45687</v>
      </c>
      <c r="L449" s="31"/>
      <c r="M449" s="31"/>
      <c r="N449" s="31"/>
      <c r="O449" s="2" t="s">
        <v>425</v>
      </c>
    </row>
    <row r="450" spans="1:15">
      <c r="A450" s="3">
        <f t="shared" si="8"/>
        <v>449</v>
      </c>
      <c r="B450" s="41" t="s">
        <v>1088</v>
      </c>
      <c r="C450" s="3">
        <v>8006622741</v>
      </c>
      <c r="D450" s="6"/>
      <c r="E450" s="3" t="s">
        <v>1089</v>
      </c>
      <c r="F450" s="68" t="s">
        <v>920</v>
      </c>
      <c r="G450" s="3" t="s">
        <v>424</v>
      </c>
      <c r="H450" s="3" t="s">
        <v>527</v>
      </c>
      <c r="I450" s="37" t="s">
        <v>94</v>
      </c>
      <c r="J450" s="31">
        <v>45685</v>
      </c>
      <c r="K450" s="31">
        <v>45687</v>
      </c>
      <c r="L450" s="31"/>
      <c r="M450" s="31"/>
      <c r="N450" s="31"/>
      <c r="O450" s="2" t="s">
        <v>425</v>
      </c>
    </row>
    <row r="451" spans="1:15">
      <c r="A451" s="3">
        <f t="shared" si="8"/>
        <v>450</v>
      </c>
      <c r="B451" s="41" t="s">
        <v>1090</v>
      </c>
      <c r="C451" s="3">
        <v>8933936661</v>
      </c>
      <c r="D451" s="6"/>
      <c r="E451" s="3" t="s">
        <v>526</v>
      </c>
      <c r="F451" s="68" t="s">
        <v>308</v>
      </c>
      <c r="G451" s="3" t="s">
        <v>424</v>
      </c>
      <c r="H451" s="3" t="s">
        <v>527</v>
      </c>
      <c r="I451" s="37" t="s">
        <v>94</v>
      </c>
      <c r="J451" s="31">
        <v>45685</v>
      </c>
      <c r="K451" s="31">
        <v>45686</v>
      </c>
      <c r="L451" s="31"/>
      <c r="M451" s="31"/>
      <c r="N451" s="31"/>
      <c r="O451" s="2" t="s">
        <v>425</v>
      </c>
    </row>
    <row r="452" spans="1:15">
      <c r="A452" s="3">
        <f t="shared" si="8"/>
        <v>451</v>
      </c>
      <c r="B452" s="41" t="s">
        <v>1091</v>
      </c>
      <c r="C452" s="3">
        <v>9170334169</v>
      </c>
      <c r="D452" s="6"/>
      <c r="E452" s="3" t="s">
        <v>1092</v>
      </c>
      <c r="F452" s="68" t="s">
        <v>333</v>
      </c>
      <c r="G452" s="3" t="s">
        <v>424</v>
      </c>
      <c r="H452" s="3" t="s">
        <v>527</v>
      </c>
      <c r="I452" s="37" t="s">
        <v>94</v>
      </c>
      <c r="J452" s="31">
        <v>45685</v>
      </c>
      <c r="K452" s="31">
        <v>45686</v>
      </c>
      <c r="L452" s="31"/>
      <c r="M452" s="31"/>
      <c r="N452" s="31"/>
      <c r="O452" s="2" t="s">
        <v>425</v>
      </c>
    </row>
    <row r="453" spans="1:15">
      <c r="A453" s="3">
        <f t="shared" si="8"/>
        <v>452</v>
      </c>
      <c r="B453" s="41" t="s">
        <v>1093</v>
      </c>
      <c r="C453" s="3">
        <v>9692561201</v>
      </c>
      <c r="D453" s="6"/>
      <c r="E453" s="3" t="s">
        <v>1092</v>
      </c>
      <c r="F453" s="68" t="s">
        <v>308</v>
      </c>
      <c r="G453" s="3" t="s">
        <v>18</v>
      </c>
      <c r="H453" s="3" t="s">
        <v>527</v>
      </c>
      <c r="I453" s="37" t="s">
        <v>94</v>
      </c>
      <c r="J453" s="31">
        <v>45685</v>
      </c>
      <c r="K453" s="31">
        <v>45686</v>
      </c>
      <c r="L453" s="31"/>
      <c r="M453" s="31"/>
      <c r="N453" s="31"/>
      <c r="O453" s="2" t="s">
        <v>297</v>
      </c>
    </row>
    <row r="454" spans="1:15">
      <c r="A454" s="3">
        <f t="shared" si="8"/>
        <v>453</v>
      </c>
      <c r="B454" s="41" t="s">
        <v>1094</v>
      </c>
      <c r="C454" s="3">
        <v>6393094886</v>
      </c>
      <c r="D454" s="6"/>
      <c r="E454" s="3" t="s">
        <v>526</v>
      </c>
      <c r="F454" s="68" t="s">
        <v>308</v>
      </c>
      <c r="G454" s="3" t="s">
        <v>16</v>
      </c>
      <c r="H454" s="3" t="s">
        <v>527</v>
      </c>
      <c r="I454" s="37" t="s">
        <v>94</v>
      </c>
      <c r="J454" s="31">
        <v>45685</v>
      </c>
      <c r="K454" s="31">
        <v>45686</v>
      </c>
      <c r="L454" s="31">
        <v>45702</v>
      </c>
      <c r="M454" s="31">
        <v>45734</v>
      </c>
      <c r="N454" s="31">
        <v>45725</v>
      </c>
      <c r="O454" s="2" t="s">
        <v>297</v>
      </c>
    </row>
    <row r="455" spans="1:15">
      <c r="A455" s="3">
        <f t="shared" si="8"/>
        <v>454</v>
      </c>
      <c r="B455" s="41" t="s">
        <v>1095</v>
      </c>
      <c r="C455" s="3">
        <v>9981105541</v>
      </c>
      <c r="D455" s="6"/>
      <c r="E455" s="3" t="s">
        <v>1089</v>
      </c>
      <c r="F455" s="68" t="s">
        <v>308</v>
      </c>
      <c r="G455" s="3" t="s">
        <v>295</v>
      </c>
      <c r="H455" s="3" t="s">
        <v>1096</v>
      </c>
      <c r="I455" s="37" t="s">
        <v>94</v>
      </c>
      <c r="J455" s="31">
        <v>45685</v>
      </c>
      <c r="K455" s="31">
        <v>45686</v>
      </c>
      <c r="L455" s="31">
        <v>45877</v>
      </c>
      <c r="M455" s="31">
        <v>45909</v>
      </c>
      <c r="N455" s="31"/>
      <c r="O455" s="2" t="s">
        <v>297</v>
      </c>
    </row>
    <row r="456" spans="1:15">
      <c r="A456" s="3">
        <f t="shared" si="8"/>
        <v>455</v>
      </c>
      <c r="B456" s="68" t="s">
        <v>1097</v>
      </c>
      <c r="C456" s="27">
        <v>9889088451</v>
      </c>
      <c r="D456" s="6"/>
      <c r="E456" s="3" t="s">
        <v>869</v>
      </c>
      <c r="F456" s="68" t="s">
        <v>308</v>
      </c>
      <c r="G456" s="3" t="s">
        <v>424</v>
      </c>
      <c r="H456" s="3" t="s">
        <v>162</v>
      </c>
      <c r="I456" s="37" t="s">
        <v>94</v>
      </c>
      <c r="J456" s="31">
        <v>45685</v>
      </c>
      <c r="K456" s="31">
        <v>45691</v>
      </c>
      <c r="L456" s="31"/>
      <c r="M456" s="31"/>
      <c r="N456" s="31"/>
      <c r="O456" s="2" t="s">
        <v>425</v>
      </c>
    </row>
    <row r="457" spans="1:15">
      <c r="A457" s="3">
        <f t="shared" si="8"/>
        <v>456</v>
      </c>
      <c r="B457" s="68" t="s">
        <v>1098</v>
      </c>
      <c r="C457" s="27">
        <v>9005899320</v>
      </c>
      <c r="D457" s="6">
        <v>8726443441</v>
      </c>
      <c r="E457" s="3" t="s">
        <v>872</v>
      </c>
      <c r="F457" s="68" t="s">
        <v>308</v>
      </c>
      <c r="G457" s="3" t="s">
        <v>16</v>
      </c>
      <c r="H457" s="3" t="s">
        <v>162</v>
      </c>
      <c r="I457" s="37" t="s">
        <v>94</v>
      </c>
      <c r="J457" s="31">
        <v>45685</v>
      </c>
      <c r="K457" s="31">
        <v>45691</v>
      </c>
      <c r="L457" s="31">
        <v>45702</v>
      </c>
      <c r="M457" s="31">
        <v>45734</v>
      </c>
      <c r="N457" s="31">
        <v>45734</v>
      </c>
      <c r="O457" s="2" t="s">
        <v>297</v>
      </c>
    </row>
    <row r="458" spans="1:15">
      <c r="A458" s="3">
        <f t="shared" si="8"/>
        <v>457</v>
      </c>
      <c r="B458" s="68" t="s">
        <v>1099</v>
      </c>
      <c r="C458" s="27">
        <v>7987448407</v>
      </c>
      <c r="D458" s="6"/>
      <c r="E458" s="3" t="s">
        <v>828</v>
      </c>
      <c r="F458" s="68" t="s">
        <v>308</v>
      </c>
      <c r="G458" s="3" t="s">
        <v>18</v>
      </c>
      <c r="H458" s="3" t="s">
        <v>162</v>
      </c>
      <c r="I458" s="37" t="s">
        <v>94</v>
      </c>
      <c r="J458" s="31">
        <v>45685</v>
      </c>
      <c r="K458" s="31">
        <v>45691</v>
      </c>
      <c r="L458" s="31"/>
      <c r="M458" s="31"/>
      <c r="N458" s="31"/>
      <c r="O458" s="2" t="s">
        <v>297</v>
      </c>
    </row>
    <row r="459" spans="1:15">
      <c r="A459" s="3">
        <f t="shared" si="8"/>
        <v>458</v>
      </c>
      <c r="B459" s="68" t="s">
        <v>1100</v>
      </c>
      <c r="C459" s="27">
        <v>7007703346</v>
      </c>
      <c r="D459" s="6"/>
      <c r="E459" s="3" t="s">
        <v>1101</v>
      </c>
      <c r="F459" s="68" t="s">
        <v>1102</v>
      </c>
      <c r="G459" s="3" t="s">
        <v>424</v>
      </c>
      <c r="H459" s="3" t="s">
        <v>815</v>
      </c>
      <c r="I459" s="37" t="s">
        <v>94</v>
      </c>
      <c r="J459" s="31">
        <v>45685</v>
      </c>
      <c r="K459" s="31">
        <v>45691</v>
      </c>
      <c r="L459" s="31"/>
      <c r="M459" s="31"/>
      <c r="N459" s="31"/>
      <c r="O459" s="2" t="s">
        <v>425</v>
      </c>
    </row>
    <row r="460" spans="1:15">
      <c r="A460" s="3">
        <f t="shared" si="8"/>
        <v>459</v>
      </c>
      <c r="B460" s="68" t="s">
        <v>1103</v>
      </c>
      <c r="C460" s="27">
        <v>9737018821</v>
      </c>
      <c r="D460" s="6"/>
      <c r="E460" s="3" t="s">
        <v>1101</v>
      </c>
      <c r="F460" s="68" t="s">
        <v>1102</v>
      </c>
      <c r="G460" s="3" t="s">
        <v>424</v>
      </c>
      <c r="H460" s="3" t="s">
        <v>815</v>
      </c>
      <c r="I460" s="37" t="s">
        <v>94</v>
      </c>
      <c r="J460" s="31">
        <v>45685</v>
      </c>
      <c r="K460" s="31">
        <v>45691</v>
      </c>
      <c r="L460" s="31"/>
      <c r="M460" s="31"/>
      <c r="N460" s="31"/>
      <c r="O460" s="2" t="s">
        <v>749</v>
      </c>
    </row>
    <row r="461" spans="1:15">
      <c r="A461" s="3">
        <f t="shared" si="8"/>
        <v>460</v>
      </c>
      <c r="B461" s="68" t="s">
        <v>1104</v>
      </c>
      <c r="C461" s="27">
        <v>9111522742</v>
      </c>
      <c r="D461" s="6"/>
      <c r="E461" s="3" t="s">
        <v>1105</v>
      </c>
      <c r="F461" s="68" t="s">
        <v>825</v>
      </c>
      <c r="G461" s="3" t="s">
        <v>295</v>
      </c>
      <c r="H461" s="3" t="s">
        <v>815</v>
      </c>
      <c r="I461" s="37" t="s">
        <v>94</v>
      </c>
      <c r="J461" s="31">
        <v>45685</v>
      </c>
      <c r="K461" s="31">
        <v>45691</v>
      </c>
      <c r="L461" s="31">
        <v>45786</v>
      </c>
      <c r="M461" s="31">
        <v>45801</v>
      </c>
      <c r="N461" s="31"/>
      <c r="O461" s="2" t="s">
        <v>297</v>
      </c>
    </row>
    <row r="462" spans="1:15">
      <c r="A462" s="3">
        <f t="shared" si="8"/>
        <v>461</v>
      </c>
      <c r="B462" s="68" t="s">
        <v>1106</v>
      </c>
      <c r="C462" s="27">
        <v>8319657753</v>
      </c>
      <c r="D462" s="6"/>
      <c r="E462" s="3" t="s">
        <v>1105</v>
      </c>
      <c r="F462" s="68" t="s">
        <v>825</v>
      </c>
      <c r="G462" s="3" t="s">
        <v>424</v>
      </c>
      <c r="H462" s="3" t="s">
        <v>815</v>
      </c>
      <c r="I462" s="37" t="s">
        <v>94</v>
      </c>
      <c r="J462" s="31">
        <v>45685</v>
      </c>
      <c r="K462" s="31">
        <v>45691</v>
      </c>
      <c r="L462" s="31"/>
      <c r="M462" s="31"/>
      <c r="N462" s="31"/>
      <c r="O462" s="2" t="s">
        <v>425</v>
      </c>
    </row>
    <row r="463" spans="1:15">
      <c r="A463" s="3">
        <f t="shared" si="8"/>
        <v>462</v>
      </c>
      <c r="B463" s="68" t="s">
        <v>1107</v>
      </c>
      <c r="C463" s="27">
        <v>9305090618</v>
      </c>
      <c r="D463" s="6"/>
      <c r="E463" s="3" t="s">
        <v>1108</v>
      </c>
      <c r="F463" s="68" t="s">
        <v>1109</v>
      </c>
      <c r="G463" s="3" t="s">
        <v>295</v>
      </c>
      <c r="H463" s="3" t="s">
        <v>815</v>
      </c>
      <c r="I463" s="37" t="s">
        <v>94</v>
      </c>
      <c r="J463" s="31">
        <v>45685</v>
      </c>
      <c r="K463" s="31">
        <v>45687</v>
      </c>
      <c r="L463" s="31">
        <v>45709</v>
      </c>
      <c r="M463" s="31">
        <v>45737</v>
      </c>
      <c r="N463" s="31"/>
      <c r="O463" s="2" t="s">
        <v>297</v>
      </c>
    </row>
    <row r="464" spans="1:15">
      <c r="A464" s="3">
        <f t="shared" si="8"/>
        <v>463</v>
      </c>
      <c r="B464" s="68" t="s">
        <v>1110</v>
      </c>
      <c r="C464" s="27">
        <v>9758426777</v>
      </c>
      <c r="D464" s="6"/>
      <c r="E464" s="3" t="s">
        <v>1108</v>
      </c>
      <c r="F464" s="68" t="s">
        <v>1109</v>
      </c>
      <c r="G464" s="3" t="s">
        <v>424</v>
      </c>
      <c r="H464" s="3" t="s">
        <v>815</v>
      </c>
      <c r="I464" s="37" t="s">
        <v>94</v>
      </c>
      <c r="J464" s="31">
        <v>45685</v>
      </c>
      <c r="K464" s="31">
        <v>45691</v>
      </c>
      <c r="L464" s="31"/>
      <c r="M464" s="31"/>
      <c r="N464" s="31"/>
      <c r="O464" s="2" t="s">
        <v>425</v>
      </c>
    </row>
    <row r="465" spans="1:15">
      <c r="A465" s="3">
        <f t="shared" si="8"/>
        <v>464</v>
      </c>
      <c r="B465" s="42" t="s">
        <v>1111</v>
      </c>
      <c r="C465" s="2">
        <v>8770320979</v>
      </c>
      <c r="D465" s="6"/>
      <c r="E465" s="3" t="s">
        <v>48</v>
      </c>
      <c r="F465" s="42" t="s">
        <v>1112</v>
      </c>
      <c r="G465" s="3" t="s">
        <v>424</v>
      </c>
      <c r="H465" s="3" t="s">
        <v>41</v>
      </c>
      <c r="I465" s="37" t="s">
        <v>42</v>
      </c>
      <c r="J465" s="31">
        <v>45685</v>
      </c>
      <c r="K465" s="31">
        <v>45695</v>
      </c>
      <c r="L465" s="31"/>
      <c r="M465" s="31"/>
      <c r="N465" s="31"/>
      <c r="O465" s="2" t="s">
        <v>425</v>
      </c>
    </row>
    <row r="466" spans="1:15">
      <c r="A466" s="3">
        <f t="shared" si="8"/>
        <v>465</v>
      </c>
      <c r="B466" s="42" t="s">
        <v>1113</v>
      </c>
      <c r="C466" s="2">
        <v>8500710150</v>
      </c>
      <c r="D466" s="6"/>
      <c r="E466" s="3" t="s">
        <v>1114</v>
      </c>
      <c r="F466" s="42" t="s">
        <v>1112</v>
      </c>
      <c r="G466" s="3" t="s">
        <v>424</v>
      </c>
      <c r="H466" s="3" t="s">
        <v>41</v>
      </c>
      <c r="I466" s="37" t="s">
        <v>42</v>
      </c>
      <c r="J466" s="31">
        <v>45685</v>
      </c>
      <c r="K466" s="31">
        <v>45685</v>
      </c>
      <c r="L466" s="31"/>
      <c r="M466" s="31"/>
      <c r="N466" s="31"/>
      <c r="O466" s="2" t="s">
        <v>425</v>
      </c>
    </row>
    <row r="467" spans="1:15">
      <c r="A467" s="3">
        <f t="shared" si="8"/>
        <v>466</v>
      </c>
      <c r="B467" s="42" t="s">
        <v>1115</v>
      </c>
      <c r="C467" s="2">
        <v>7008534915</v>
      </c>
      <c r="D467" s="6"/>
      <c r="E467" s="3" t="s">
        <v>1068</v>
      </c>
      <c r="F467" s="42" t="s">
        <v>1116</v>
      </c>
      <c r="G467" s="3" t="s">
        <v>424</v>
      </c>
      <c r="H467" s="3" t="s">
        <v>41</v>
      </c>
      <c r="I467" s="37" t="s">
        <v>42</v>
      </c>
      <c r="J467" s="31">
        <v>45685</v>
      </c>
      <c r="K467" s="31">
        <v>45685</v>
      </c>
      <c r="L467" s="31"/>
      <c r="M467" s="31"/>
      <c r="N467" s="31"/>
      <c r="O467" s="2" t="s">
        <v>425</v>
      </c>
    </row>
    <row r="468" spans="1:15">
      <c r="A468" s="3">
        <f t="shared" si="8"/>
        <v>467</v>
      </c>
      <c r="B468" s="42" t="s">
        <v>1117</v>
      </c>
      <c r="C468" s="2">
        <v>8125916196</v>
      </c>
      <c r="D468" s="6"/>
      <c r="E468" s="3" t="s">
        <v>1068</v>
      </c>
      <c r="F468" s="42" t="s">
        <v>1118</v>
      </c>
      <c r="G468" s="3" t="s">
        <v>764</v>
      </c>
      <c r="H468" s="3" t="s">
        <v>41</v>
      </c>
      <c r="I468" s="37" t="s">
        <v>42</v>
      </c>
      <c r="J468" s="31">
        <v>45685</v>
      </c>
      <c r="K468" s="31">
        <v>45691</v>
      </c>
      <c r="L468" s="31"/>
      <c r="M468" s="31"/>
      <c r="N468" s="31"/>
      <c r="O468" s="2" t="s">
        <v>425</v>
      </c>
    </row>
    <row r="469" spans="1:15">
      <c r="A469" s="3">
        <f t="shared" si="8"/>
        <v>468</v>
      </c>
      <c r="B469" s="42" t="s">
        <v>1119</v>
      </c>
      <c r="C469" s="2">
        <v>9713973763</v>
      </c>
      <c r="D469" s="6"/>
      <c r="E469" s="3" t="s">
        <v>1120</v>
      </c>
      <c r="F469" s="42" t="s">
        <v>1060</v>
      </c>
      <c r="G469" s="2" t="s">
        <v>16</v>
      </c>
      <c r="H469" s="3" t="s">
        <v>357</v>
      </c>
      <c r="I469" s="37" t="s">
        <v>94</v>
      </c>
      <c r="J469" s="31">
        <v>45686</v>
      </c>
      <c r="K469" s="31">
        <v>45686</v>
      </c>
      <c r="L469" s="31">
        <v>45688</v>
      </c>
      <c r="M469" s="31">
        <v>45688</v>
      </c>
      <c r="N469" s="31">
        <v>45688</v>
      </c>
      <c r="O469" s="2" t="s">
        <v>297</v>
      </c>
    </row>
    <row r="470" spans="1:15">
      <c r="A470" s="3">
        <f t="shared" si="8"/>
        <v>469</v>
      </c>
      <c r="B470" s="42" t="s">
        <v>1121</v>
      </c>
      <c r="C470" s="2">
        <v>8678820355</v>
      </c>
      <c r="D470" s="6"/>
      <c r="E470" s="3" t="s">
        <v>1120</v>
      </c>
      <c r="F470" s="42" t="s">
        <v>1060</v>
      </c>
      <c r="G470" s="3" t="s">
        <v>16</v>
      </c>
      <c r="H470" s="3" t="s">
        <v>357</v>
      </c>
      <c r="I470" s="37" t="s">
        <v>94</v>
      </c>
      <c r="J470" s="31">
        <v>45686</v>
      </c>
      <c r="K470" s="31">
        <v>45686</v>
      </c>
      <c r="L470" s="31">
        <v>45688</v>
      </c>
      <c r="M470" s="31">
        <v>45692</v>
      </c>
      <c r="N470" s="31">
        <v>45692</v>
      </c>
      <c r="O470" s="2" t="s">
        <v>297</v>
      </c>
    </row>
    <row r="471" spans="1:15">
      <c r="A471" s="3">
        <f t="shared" si="8"/>
        <v>470</v>
      </c>
      <c r="B471" s="42" t="s">
        <v>1122</v>
      </c>
      <c r="C471" s="2">
        <v>9992578005</v>
      </c>
      <c r="D471" s="6"/>
      <c r="E471" s="3" t="s">
        <v>341</v>
      </c>
      <c r="F471" s="42" t="s">
        <v>651</v>
      </c>
      <c r="G471" s="3" t="s">
        <v>424</v>
      </c>
      <c r="H471" s="3" t="s">
        <v>162</v>
      </c>
      <c r="I471" s="37" t="s">
        <v>88</v>
      </c>
      <c r="J471" s="31">
        <v>45686</v>
      </c>
      <c r="K471" s="31">
        <v>45690</v>
      </c>
      <c r="L471" s="31"/>
      <c r="M471" s="31"/>
      <c r="N471" s="31"/>
      <c r="O471" s="2" t="s">
        <v>425</v>
      </c>
    </row>
    <row r="472" spans="1:15" ht="15.6">
      <c r="A472" s="3">
        <f t="shared" si="8"/>
        <v>471</v>
      </c>
      <c r="B472" s="69" t="s">
        <v>1123</v>
      </c>
      <c r="C472" s="2">
        <v>9350162948</v>
      </c>
      <c r="D472" s="6"/>
      <c r="E472" s="3" t="s">
        <v>341</v>
      </c>
      <c r="F472" s="42" t="s">
        <v>651</v>
      </c>
      <c r="G472" s="3" t="s">
        <v>424</v>
      </c>
      <c r="H472" s="3" t="s">
        <v>162</v>
      </c>
      <c r="I472" s="37" t="s">
        <v>88</v>
      </c>
      <c r="J472" s="31">
        <v>45686</v>
      </c>
      <c r="K472" s="31">
        <v>45686</v>
      </c>
      <c r="L472" s="31"/>
      <c r="M472" s="31"/>
      <c r="N472" s="31"/>
      <c r="O472" s="2" t="s">
        <v>425</v>
      </c>
    </row>
    <row r="473" spans="1:15">
      <c r="A473" s="3">
        <f t="shared" si="8"/>
        <v>472</v>
      </c>
      <c r="B473" s="41" t="s">
        <v>477</v>
      </c>
      <c r="C473" s="27">
        <v>9682179050</v>
      </c>
      <c r="D473" s="6">
        <v>9653715372</v>
      </c>
      <c r="E473" s="3" t="s">
        <v>341</v>
      </c>
      <c r="F473" s="42" t="s">
        <v>651</v>
      </c>
      <c r="G473" s="3" t="s">
        <v>416</v>
      </c>
      <c r="H473" s="3" t="s">
        <v>162</v>
      </c>
      <c r="I473" s="37" t="s">
        <v>88</v>
      </c>
      <c r="J473" s="31">
        <v>45686</v>
      </c>
      <c r="K473" s="31">
        <v>45689</v>
      </c>
      <c r="L473" s="31"/>
      <c r="M473" s="31"/>
      <c r="N473" s="31"/>
      <c r="O473" s="2" t="s">
        <v>297</v>
      </c>
    </row>
    <row r="474" spans="1:15">
      <c r="A474" s="3">
        <f t="shared" si="8"/>
        <v>473</v>
      </c>
      <c r="B474" s="42" t="s">
        <v>1124</v>
      </c>
      <c r="C474" s="2">
        <v>6369893431</v>
      </c>
      <c r="D474" s="6"/>
      <c r="E474" s="3" t="s">
        <v>580</v>
      </c>
      <c r="F474" s="42" t="s">
        <v>654</v>
      </c>
      <c r="G474" s="3" t="s">
        <v>16</v>
      </c>
      <c r="H474" s="2" t="s">
        <v>582</v>
      </c>
      <c r="I474" s="37" t="s">
        <v>88</v>
      </c>
      <c r="J474" s="31">
        <v>45686</v>
      </c>
      <c r="K474" s="31">
        <v>45688</v>
      </c>
      <c r="L474" s="31">
        <v>45694</v>
      </c>
      <c r="M474" s="31">
        <v>45729</v>
      </c>
      <c r="N474" s="31">
        <v>45729</v>
      </c>
      <c r="O474" s="2" t="s">
        <v>297</v>
      </c>
    </row>
    <row r="475" spans="1:15">
      <c r="A475" s="3">
        <f t="shared" si="8"/>
        <v>474</v>
      </c>
      <c r="B475" s="42" t="s">
        <v>1125</v>
      </c>
      <c r="C475" s="2">
        <v>7671935461</v>
      </c>
      <c r="D475" s="6"/>
      <c r="E475" s="3" t="s">
        <v>1126</v>
      </c>
      <c r="F475" s="42" t="s">
        <v>1060</v>
      </c>
      <c r="G475" s="2" t="s">
        <v>330</v>
      </c>
      <c r="H475" s="3" t="s">
        <v>357</v>
      </c>
      <c r="I475" s="37" t="s">
        <v>94</v>
      </c>
      <c r="J475" s="31">
        <v>45686</v>
      </c>
      <c r="K475" s="31">
        <v>45686</v>
      </c>
      <c r="L475" s="31">
        <v>45695</v>
      </c>
      <c r="M475" s="31">
        <v>45708</v>
      </c>
      <c r="N475" s="31">
        <v>45714</v>
      </c>
      <c r="O475" s="2" t="s">
        <v>297</v>
      </c>
    </row>
    <row r="476" spans="1:15">
      <c r="A476" s="3">
        <f t="shared" si="8"/>
        <v>475</v>
      </c>
      <c r="B476" s="42" t="s">
        <v>1127</v>
      </c>
      <c r="C476" s="2">
        <v>9128555805</v>
      </c>
      <c r="D476" s="6"/>
      <c r="E476" s="3" t="s">
        <v>1126</v>
      </c>
      <c r="F476" s="42" t="s">
        <v>1060</v>
      </c>
      <c r="G476" s="2" t="s">
        <v>16</v>
      </c>
      <c r="H476" s="3" t="s">
        <v>357</v>
      </c>
      <c r="I476" s="37" t="s">
        <v>94</v>
      </c>
      <c r="J476" s="31">
        <v>45686</v>
      </c>
      <c r="K476" s="31">
        <v>45686</v>
      </c>
      <c r="L476" s="31">
        <v>45695</v>
      </c>
      <c r="M476" s="31">
        <v>45729</v>
      </c>
      <c r="N476" s="31">
        <v>45723</v>
      </c>
      <c r="O476" s="3" t="s">
        <v>297</v>
      </c>
    </row>
    <row r="477" spans="1:15">
      <c r="A477" s="3">
        <f t="shared" si="8"/>
        <v>476</v>
      </c>
      <c r="B477" s="68" t="s">
        <v>1128</v>
      </c>
      <c r="C477" s="27">
        <v>9852730485</v>
      </c>
      <c r="D477" s="6"/>
      <c r="E477" s="3" t="s">
        <v>1129</v>
      </c>
      <c r="F477" s="68" t="s">
        <v>1060</v>
      </c>
      <c r="G477" s="3" t="s">
        <v>16</v>
      </c>
      <c r="H477" s="3" t="s">
        <v>357</v>
      </c>
      <c r="I477" s="37" t="s">
        <v>94</v>
      </c>
      <c r="J477" s="31">
        <v>45686</v>
      </c>
      <c r="K477" s="31">
        <v>45687</v>
      </c>
      <c r="L477" s="31">
        <v>45695</v>
      </c>
      <c r="M477" s="31">
        <v>45700</v>
      </c>
      <c r="N477" s="31">
        <v>45700</v>
      </c>
      <c r="O477" s="2" t="s">
        <v>297</v>
      </c>
    </row>
    <row r="478" spans="1:15">
      <c r="A478" s="3">
        <f t="shared" si="8"/>
        <v>477</v>
      </c>
      <c r="B478" s="68" t="s">
        <v>1130</v>
      </c>
      <c r="C478" s="27">
        <v>7275846114</v>
      </c>
      <c r="D478" s="6"/>
      <c r="E478" s="3" t="s">
        <v>1131</v>
      </c>
      <c r="F478" s="68" t="s">
        <v>1132</v>
      </c>
      <c r="G478" s="3" t="s">
        <v>330</v>
      </c>
      <c r="H478" s="3" t="s">
        <v>357</v>
      </c>
      <c r="I478" s="37" t="s">
        <v>94</v>
      </c>
      <c r="J478" s="31">
        <v>45686</v>
      </c>
      <c r="K478" s="31">
        <v>45687</v>
      </c>
      <c r="L478" s="31">
        <v>45695</v>
      </c>
      <c r="M478" s="31">
        <v>45700</v>
      </c>
      <c r="N478" s="31">
        <v>45701</v>
      </c>
      <c r="O478" s="2" t="s">
        <v>297</v>
      </c>
    </row>
    <row r="479" spans="1:15">
      <c r="A479" s="3">
        <f t="shared" si="8"/>
        <v>478</v>
      </c>
      <c r="B479" s="68" t="s">
        <v>1133</v>
      </c>
      <c r="C479" s="27">
        <v>6394209268</v>
      </c>
      <c r="D479" s="6"/>
      <c r="E479" s="3" t="s">
        <v>986</v>
      </c>
      <c r="F479" s="68" t="s">
        <v>1134</v>
      </c>
      <c r="G479" s="3" t="s">
        <v>330</v>
      </c>
      <c r="H479" s="3" t="s">
        <v>357</v>
      </c>
      <c r="I479" s="37" t="s">
        <v>94</v>
      </c>
      <c r="J479" s="31">
        <v>45686</v>
      </c>
      <c r="K479" s="31">
        <v>45687</v>
      </c>
      <c r="L479" s="31">
        <v>45695</v>
      </c>
      <c r="M479" s="31">
        <v>45708</v>
      </c>
      <c r="N479" s="31">
        <v>45734</v>
      </c>
      <c r="O479" s="2" t="s">
        <v>297</v>
      </c>
    </row>
    <row r="480" spans="1:15">
      <c r="A480" s="3">
        <f t="shared" si="8"/>
        <v>479</v>
      </c>
      <c r="B480" s="68" t="s">
        <v>1135</v>
      </c>
      <c r="C480" s="27">
        <v>9593084062</v>
      </c>
      <c r="D480" s="6"/>
      <c r="E480" s="3" t="s">
        <v>1136</v>
      </c>
      <c r="F480" s="68" t="s">
        <v>1060</v>
      </c>
      <c r="G480" s="3" t="s">
        <v>295</v>
      </c>
      <c r="H480" s="3" t="s">
        <v>357</v>
      </c>
      <c r="I480" s="37" t="s">
        <v>94</v>
      </c>
      <c r="J480" s="31">
        <v>45686</v>
      </c>
      <c r="K480" s="31">
        <v>45686</v>
      </c>
      <c r="L480" s="31">
        <v>45695</v>
      </c>
      <c r="M480" s="31">
        <v>45723</v>
      </c>
      <c r="N480" s="31"/>
      <c r="O480" s="2" t="s">
        <v>297</v>
      </c>
    </row>
    <row r="481" spans="1:15">
      <c r="A481" s="3">
        <f t="shared" si="8"/>
        <v>480</v>
      </c>
      <c r="B481" s="68" t="s">
        <v>1137</v>
      </c>
      <c r="C481" s="27">
        <v>7080018212</v>
      </c>
      <c r="D481" s="6"/>
      <c r="E481" s="3" t="s">
        <v>1136</v>
      </c>
      <c r="F481" s="68" t="s">
        <v>1060</v>
      </c>
      <c r="G481" s="3" t="s">
        <v>330</v>
      </c>
      <c r="H481" s="3" t="s">
        <v>357</v>
      </c>
      <c r="I481" s="37" t="s">
        <v>94</v>
      </c>
      <c r="J481" s="31">
        <v>45686</v>
      </c>
      <c r="K481" s="31">
        <v>45686</v>
      </c>
      <c r="L481" s="31">
        <v>45695</v>
      </c>
      <c r="M481" s="31">
        <v>45729</v>
      </c>
      <c r="N481" s="31">
        <v>45726</v>
      </c>
      <c r="O481" s="2" t="s">
        <v>297</v>
      </c>
    </row>
    <row r="482" spans="1:15">
      <c r="A482" s="3">
        <f t="shared" si="8"/>
        <v>481</v>
      </c>
      <c r="B482" s="68" t="s">
        <v>1138</v>
      </c>
      <c r="C482" s="27">
        <v>9616032550</v>
      </c>
      <c r="D482" s="6"/>
      <c r="E482" s="3" t="s">
        <v>1136</v>
      </c>
      <c r="F482" s="68" t="s">
        <v>1060</v>
      </c>
      <c r="G482" s="3" t="s">
        <v>18</v>
      </c>
      <c r="H482" s="3" t="s">
        <v>357</v>
      </c>
      <c r="I482" s="37" t="s">
        <v>94</v>
      </c>
      <c r="J482" s="31">
        <v>45686</v>
      </c>
      <c r="K482" s="31">
        <v>45687</v>
      </c>
      <c r="L482" s="31"/>
      <c r="M482" s="31"/>
      <c r="N482" s="31"/>
      <c r="O482" s="2" t="s">
        <v>297</v>
      </c>
    </row>
    <row r="483" spans="1:15">
      <c r="A483" s="3">
        <f t="shared" si="8"/>
        <v>482</v>
      </c>
      <c r="B483" s="68" t="s">
        <v>1139</v>
      </c>
      <c r="C483" s="27">
        <v>9568339159</v>
      </c>
      <c r="D483" s="6"/>
      <c r="E483" s="3" t="s">
        <v>390</v>
      </c>
      <c r="F483" s="68" t="s">
        <v>1140</v>
      </c>
      <c r="G483" s="3" t="s">
        <v>330</v>
      </c>
      <c r="H483" s="3" t="s">
        <v>357</v>
      </c>
      <c r="I483" s="37" t="s">
        <v>94</v>
      </c>
      <c r="J483" s="31">
        <v>45686</v>
      </c>
      <c r="K483" s="31">
        <v>45687</v>
      </c>
      <c r="L483" s="31">
        <v>45695</v>
      </c>
      <c r="M483" s="31">
        <v>45762</v>
      </c>
      <c r="N483" s="31">
        <v>45762</v>
      </c>
      <c r="O483" s="2" t="s">
        <v>297</v>
      </c>
    </row>
    <row r="484" spans="1:15">
      <c r="A484" s="3">
        <f t="shared" si="8"/>
        <v>483</v>
      </c>
      <c r="B484" s="68" t="s">
        <v>1141</v>
      </c>
      <c r="C484" s="27">
        <v>8709666272</v>
      </c>
      <c r="D484" s="6"/>
      <c r="E484" s="3" t="s">
        <v>1142</v>
      </c>
      <c r="F484" s="68" t="s">
        <v>1060</v>
      </c>
      <c r="G484" s="3" t="s">
        <v>295</v>
      </c>
      <c r="H484" s="3" t="s">
        <v>357</v>
      </c>
      <c r="I484" s="37" t="s">
        <v>94</v>
      </c>
      <c r="J484" s="31">
        <v>45686</v>
      </c>
      <c r="K484" s="31">
        <v>45687</v>
      </c>
      <c r="L484" s="31">
        <v>45734</v>
      </c>
      <c r="M484" s="31">
        <v>45762</v>
      </c>
      <c r="N484" s="31"/>
      <c r="O484" s="2" t="s">
        <v>297</v>
      </c>
    </row>
    <row r="485" spans="1:15">
      <c r="A485" s="3">
        <f t="shared" si="8"/>
        <v>484</v>
      </c>
      <c r="B485" s="68" t="s">
        <v>1143</v>
      </c>
      <c r="C485" s="27">
        <v>9717679939</v>
      </c>
      <c r="D485" s="6">
        <v>9717679939</v>
      </c>
      <c r="E485" s="3" t="s">
        <v>1129</v>
      </c>
      <c r="F485" s="68" t="s">
        <v>1060</v>
      </c>
      <c r="G485" s="3" t="s">
        <v>295</v>
      </c>
      <c r="H485" s="3" t="s">
        <v>357</v>
      </c>
      <c r="I485" s="37" t="s">
        <v>94</v>
      </c>
      <c r="J485" s="31">
        <v>45686</v>
      </c>
      <c r="K485" s="31">
        <v>45687</v>
      </c>
      <c r="L485" s="31">
        <v>45695</v>
      </c>
      <c r="M485" s="31">
        <v>45782</v>
      </c>
      <c r="N485" s="31"/>
      <c r="O485" s="2" t="s">
        <v>297</v>
      </c>
    </row>
    <row r="486" spans="1:15">
      <c r="A486" s="3">
        <f t="shared" si="8"/>
        <v>485</v>
      </c>
      <c r="B486" s="68" t="s">
        <v>1144</v>
      </c>
      <c r="C486" s="27">
        <v>9828557973</v>
      </c>
      <c r="D486" s="6"/>
      <c r="E486" s="3" t="s">
        <v>1145</v>
      </c>
      <c r="F486" s="68" t="s">
        <v>1146</v>
      </c>
      <c r="G486" s="3" t="s">
        <v>16</v>
      </c>
      <c r="H486" s="3" t="s">
        <v>357</v>
      </c>
      <c r="I486" s="37" t="s">
        <v>94</v>
      </c>
      <c r="J486" s="31">
        <v>45686</v>
      </c>
      <c r="K486" s="31">
        <v>45688</v>
      </c>
      <c r="L486" s="31">
        <v>45699</v>
      </c>
      <c r="M486" s="31">
        <v>45719</v>
      </c>
      <c r="N486" s="31">
        <v>45735</v>
      </c>
      <c r="O486" s="2" t="s">
        <v>297</v>
      </c>
    </row>
    <row r="487" spans="1:15">
      <c r="A487" s="3">
        <f t="shared" si="8"/>
        <v>486</v>
      </c>
      <c r="B487" s="68" t="s">
        <v>1147</v>
      </c>
      <c r="C487" s="27">
        <v>9617886569</v>
      </c>
      <c r="D487" s="6"/>
      <c r="E487" s="3" t="s">
        <v>1148</v>
      </c>
      <c r="F487" s="68" t="s">
        <v>1149</v>
      </c>
      <c r="G487" s="3" t="s">
        <v>16</v>
      </c>
      <c r="H487" s="2" t="s">
        <v>352</v>
      </c>
      <c r="I487" s="37" t="s">
        <v>94</v>
      </c>
      <c r="J487" s="31">
        <v>45686</v>
      </c>
      <c r="K487" s="31">
        <v>45699</v>
      </c>
      <c r="L487" s="31">
        <v>45709</v>
      </c>
      <c r="M487" s="31">
        <v>45742</v>
      </c>
      <c r="N487" s="31">
        <v>45748</v>
      </c>
      <c r="O487" s="2" t="s">
        <v>297</v>
      </c>
    </row>
    <row r="488" spans="1:15">
      <c r="A488" s="3">
        <f t="shared" si="8"/>
        <v>487</v>
      </c>
      <c r="B488" s="68" t="s">
        <v>1150</v>
      </c>
      <c r="C488" s="27">
        <v>8240846240</v>
      </c>
      <c r="D488" s="6"/>
      <c r="E488" s="3" t="s">
        <v>99</v>
      </c>
      <c r="F488" s="68" t="s">
        <v>1151</v>
      </c>
      <c r="G488" s="3" t="s">
        <v>18</v>
      </c>
      <c r="H488" s="2" t="s">
        <v>361</v>
      </c>
      <c r="I488" s="37" t="s">
        <v>42</v>
      </c>
      <c r="J488" s="31">
        <v>45687</v>
      </c>
      <c r="K488" s="31">
        <v>45694</v>
      </c>
      <c r="L488" s="31"/>
      <c r="M488" s="31"/>
      <c r="N488" s="31"/>
      <c r="O488" s="2" t="s">
        <v>297</v>
      </c>
    </row>
    <row r="489" spans="1:15">
      <c r="A489" s="3">
        <f t="shared" si="8"/>
        <v>488</v>
      </c>
      <c r="B489" s="68" t="s">
        <v>1152</v>
      </c>
      <c r="C489" s="27">
        <v>9569389132</v>
      </c>
      <c r="D489" s="6"/>
      <c r="E489" s="3" t="s">
        <v>99</v>
      </c>
      <c r="F489" s="73" t="s">
        <v>1151</v>
      </c>
      <c r="G489" s="2" t="s">
        <v>424</v>
      </c>
      <c r="H489" s="3" t="s">
        <v>361</v>
      </c>
      <c r="I489" s="37" t="s">
        <v>42</v>
      </c>
      <c r="J489" s="31">
        <v>45687</v>
      </c>
      <c r="K489" s="31">
        <v>45692</v>
      </c>
      <c r="L489" s="31"/>
      <c r="M489" s="31"/>
      <c r="N489" s="31"/>
      <c r="O489" s="2" t="s">
        <v>425</v>
      </c>
    </row>
    <row r="490" spans="1:15">
      <c r="A490" s="3">
        <f t="shared" si="8"/>
        <v>489</v>
      </c>
      <c r="B490" s="68" t="s">
        <v>1153</v>
      </c>
      <c r="C490" s="27">
        <v>9792198469</v>
      </c>
      <c r="D490" s="6"/>
      <c r="E490" s="3" t="s">
        <v>1043</v>
      </c>
      <c r="F490" s="73" t="s">
        <v>1151</v>
      </c>
      <c r="G490" s="2" t="s">
        <v>18</v>
      </c>
      <c r="H490" s="3" t="s">
        <v>361</v>
      </c>
      <c r="I490" s="37" t="s">
        <v>94</v>
      </c>
      <c r="J490" s="31">
        <v>45687</v>
      </c>
      <c r="K490" s="31">
        <v>45692</v>
      </c>
      <c r="L490" s="31">
        <v>45741</v>
      </c>
      <c r="M490" s="31">
        <v>45802</v>
      </c>
      <c r="N490" s="31"/>
      <c r="O490" s="2" t="s">
        <v>297</v>
      </c>
    </row>
    <row r="491" spans="1:15">
      <c r="A491" s="3">
        <f t="shared" si="8"/>
        <v>490</v>
      </c>
      <c r="B491" s="68" t="s">
        <v>477</v>
      </c>
      <c r="C491" s="27">
        <v>9634122553</v>
      </c>
      <c r="D491" s="6"/>
      <c r="E491" s="3" t="s">
        <v>99</v>
      </c>
      <c r="F491" s="42" t="s">
        <v>1154</v>
      </c>
      <c r="G491" s="2" t="s">
        <v>416</v>
      </c>
      <c r="H491" s="3" t="s">
        <v>361</v>
      </c>
      <c r="I491" s="37" t="s">
        <v>42</v>
      </c>
      <c r="J491" s="31">
        <v>45687</v>
      </c>
      <c r="K491" s="31">
        <v>45694</v>
      </c>
      <c r="L491" s="31"/>
      <c r="M491" s="31"/>
      <c r="N491" s="31"/>
      <c r="O491" s="2" t="s">
        <v>297</v>
      </c>
    </row>
    <row r="492" spans="1:15">
      <c r="A492" s="3">
        <f t="shared" si="8"/>
        <v>491</v>
      </c>
      <c r="B492" s="77" t="s">
        <v>1155</v>
      </c>
      <c r="C492" s="36">
        <v>7897502276</v>
      </c>
      <c r="D492" s="6"/>
      <c r="E492" s="3" t="s">
        <v>1035</v>
      </c>
      <c r="F492" s="72" t="s">
        <v>1156</v>
      </c>
      <c r="G492" s="2" t="s">
        <v>424</v>
      </c>
      <c r="H492" s="3" t="s">
        <v>788</v>
      </c>
      <c r="I492" s="37" t="s">
        <v>88</v>
      </c>
      <c r="J492" s="31">
        <v>45687</v>
      </c>
      <c r="K492" s="31">
        <v>45689</v>
      </c>
      <c r="L492" s="31"/>
      <c r="M492" s="31"/>
      <c r="N492" s="31"/>
      <c r="O492" s="2" t="s">
        <v>425</v>
      </c>
    </row>
    <row r="493" spans="1:15">
      <c r="A493" s="3">
        <f t="shared" si="8"/>
        <v>492</v>
      </c>
      <c r="B493" s="77" t="s">
        <v>1157</v>
      </c>
      <c r="C493" s="36">
        <v>7088860485</v>
      </c>
      <c r="D493" s="6"/>
      <c r="E493" s="3" t="s">
        <v>1035</v>
      </c>
      <c r="F493" s="72" t="s">
        <v>1158</v>
      </c>
      <c r="G493" s="2" t="s">
        <v>424</v>
      </c>
      <c r="H493" s="3" t="s">
        <v>788</v>
      </c>
      <c r="I493" s="37" t="s">
        <v>88</v>
      </c>
      <c r="J493" s="31">
        <v>45687</v>
      </c>
      <c r="K493" s="31">
        <v>45689</v>
      </c>
      <c r="L493" s="31"/>
      <c r="M493" s="31"/>
      <c r="N493" s="31"/>
      <c r="O493" s="2" t="s">
        <v>425</v>
      </c>
    </row>
    <row r="494" spans="1:15">
      <c r="A494" s="3">
        <f t="shared" si="8"/>
        <v>493</v>
      </c>
      <c r="B494" s="41" t="s">
        <v>1159</v>
      </c>
      <c r="C494" s="3">
        <v>8294496318</v>
      </c>
      <c r="D494" s="6"/>
      <c r="E494" s="3" t="s">
        <v>1038</v>
      </c>
      <c r="F494" s="67" t="s">
        <v>1041</v>
      </c>
      <c r="G494" s="2" t="s">
        <v>424</v>
      </c>
      <c r="H494" s="3" t="s">
        <v>788</v>
      </c>
      <c r="I494" s="37" t="s">
        <v>88</v>
      </c>
      <c r="J494" s="31">
        <v>45687</v>
      </c>
      <c r="K494" s="31">
        <v>45689</v>
      </c>
      <c r="L494" s="31"/>
      <c r="M494" s="31"/>
      <c r="N494" s="31"/>
      <c r="O494" s="2" t="s">
        <v>425</v>
      </c>
    </row>
    <row r="495" spans="1:15">
      <c r="A495" s="3">
        <f t="shared" si="8"/>
        <v>494</v>
      </c>
      <c r="B495" s="42" t="s">
        <v>1160</v>
      </c>
      <c r="C495" s="2">
        <v>9516010605</v>
      </c>
      <c r="D495" s="6"/>
      <c r="E495" s="3" t="s">
        <v>1161</v>
      </c>
      <c r="F495" s="42" t="s">
        <v>1162</v>
      </c>
      <c r="G495" s="2" t="s">
        <v>424</v>
      </c>
      <c r="H495" s="3" t="s">
        <v>788</v>
      </c>
      <c r="I495" s="37" t="s">
        <v>88</v>
      </c>
      <c r="J495" s="31">
        <v>45687</v>
      </c>
      <c r="K495" s="31">
        <v>45689</v>
      </c>
      <c r="L495" s="31"/>
      <c r="M495" s="31"/>
      <c r="N495" s="31"/>
      <c r="O495" s="2" t="s">
        <v>425</v>
      </c>
    </row>
    <row r="496" spans="1:15">
      <c r="A496" s="3">
        <f t="shared" si="8"/>
        <v>495</v>
      </c>
      <c r="B496" s="42" t="s">
        <v>1163</v>
      </c>
      <c r="C496" s="2">
        <v>6200919643</v>
      </c>
      <c r="D496" s="6"/>
      <c r="E496" s="3" t="s">
        <v>440</v>
      </c>
      <c r="F496" s="42" t="s">
        <v>456</v>
      </c>
      <c r="G496" s="2" t="s">
        <v>295</v>
      </c>
      <c r="H496" s="2" t="s">
        <v>296</v>
      </c>
      <c r="I496" s="37" t="s">
        <v>94</v>
      </c>
      <c r="J496" s="31">
        <v>45685</v>
      </c>
      <c r="K496" s="31">
        <v>45685</v>
      </c>
      <c r="L496" s="31">
        <v>45687</v>
      </c>
      <c r="M496" s="31"/>
      <c r="N496" s="31"/>
      <c r="O496" s="2" t="s">
        <v>297</v>
      </c>
    </row>
    <row r="497" spans="1:15">
      <c r="A497" s="3">
        <f t="shared" si="8"/>
        <v>496</v>
      </c>
      <c r="B497" s="103" t="s">
        <v>1164</v>
      </c>
      <c r="C497" s="36">
        <v>8500785097</v>
      </c>
      <c r="D497" s="6"/>
      <c r="E497" s="3" t="s">
        <v>67</v>
      </c>
      <c r="F497" s="72" t="s">
        <v>1165</v>
      </c>
      <c r="G497" s="2" t="s">
        <v>16</v>
      </c>
      <c r="H497" s="3" t="s">
        <v>752</v>
      </c>
      <c r="I497" s="37" t="s">
        <v>42</v>
      </c>
      <c r="J497" s="31">
        <v>45693</v>
      </c>
      <c r="K497" s="31">
        <v>45693</v>
      </c>
      <c r="L497" s="31">
        <v>45702</v>
      </c>
      <c r="M497" s="31">
        <v>45777</v>
      </c>
      <c r="N497" s="31">
        <v>45777</v>
      </c>
      <c r="O497" s="2" t="s">
        <v>297</v>
      </c>
    </row>
    <row r="498" spans="1:15">
      <c r="A498" s="3">
        <f t="shared" si="8"/>
        <v>497</v>
      </c>
      <c r="B498" s="77" t="s">
        <v>1166</v>
      </c>
      <c r="C498" s="36">
        <v>8008060444</v>
      </c>
      <c r="D498" s="6"/>
      <c r="E498" s="3" t="s">
        <v>67</v>
      </c>
      <c r="F498" s="73" t="s">
        <v>751</v>
      </c>
      <c r="G498" s="2" t="s">
        <v>424</v>
      </c>
      <c r="H498" s="3" t="s">
        <v>752</v>
      </c>
      <c r="I498" s="37" t="s">
        <v>42</v>
      </c>
      <c r="J498" s="31">
        <v>45693</v>
      </c>
      <c r="K498" s="31">
        <v>45693</v>
      </c>
      <c r="L498" s="31"/>
      <c r="M498" s="31"/>
      <c r="N498" s="31"/>
      <c r="O498" s="2" t="s">
        <v>749</v>
      </c>
    </row>
    <row r="499" spans="1:15">
      <c r="A499" s="3">
        <f t="shared" si="8"/>
        <v>498</v>
      </c>
      <c r="B499" s="77" t="s">
        <v>1167</v>
      </c>
      <c r="C499" s="36">
        <v>7606061046</v>
      </c>
      <c r="D499" s="6"/>
      <c r="E499" s="3" t="s">
        <v>67</v>
      </c>
      <c r="F499" s="73" t="s">
        <v>751</v>
      </c>
      <c r="G499" s="2" t="s">
        <v>416</v>
      </c>
      <c r="H499" s="3" t="s">
        <v>752</v>
      </c>
      <c r="I499" s="37" t="s">
        <v>42</v>
      </c>
      <c r="J499" s="31">
        <v>45694</v>
      </c>
      <c r="K499" s="31">
        <v>45693</v>
      </c>
      <c r="L499" s="31"/>
      <c r="M499" s="31"/>
      <c r="N499" s="31"/>
      <c r="O499" s="2" t="s">
        <v>297</v>
      </c>
    </row>
    <row r="500" spans="1:15">
      <c r="A500" s="3">
        <f t="shared" si="8"/>
        <v>499</v>
      </c>
      <c r="B500" s="103" t="s">
        <v>1168</v>
      </c>
      <c r="C500" s="36">
        <v>8669339006</v>
      </c>
      <c r="D500" s="6"/>
      <c r="E500" s="3" t="s">
        <v>67</v>
      </c>
      <c r="F500" s="72" t="s">
        <v>1169</v>
      </c>
      <c r="G500" s="3" t="s">
        <v>16</v>
      </c>
      <c r="H500" s="3" t="s">
        <v>752</v>
      </c>
      <c r="I500" s="37" t="s">
        <v>42</v>
      </c>
      <c r="J500" s="31">
        <v>45693</v>
      </c>
      <c r="K500" s="31">
        <v>45693</v>
      </c>
      <c r="L500" s="31">
        <v>45703</v>
      </c>
      <c r="M500" s="31">
        <v>45726</v>
      </c>
      <c r="N500" s="31">
        <v>45726</v>
      </c>
      <c r="O500" s="2" t="s">
        <v>297</v>
      </c>
    </row>
    <row r="501" spans="1:15">
      <c r="A501" s="3">
        <f t="shared" si="8"/>
        <v>500</v>
      </c>
      <c r="B501" s="41" t="s">
        <v>1170</v>
      </c>
      <c r="C501" s="3">
        <v>6304786802</v>
      </c>
      <c r="D501" s="6">
        <v>9160886789</v>
      </c>
      <c r="E501" s="3" t="s">
        <v>67</v>
      </c>
      <c r="F501" s="67" t="s">
        <v>1171</v>
      </c>
      <c r="G501" s="2" t="s">
        <v>416</v>
      </c>
      <c r="H501" s="3" t="s">
        <v>752</v>
      </c>
      <c r="I501" s="37" t="s">
        <v>42</v>
      </c>
      <c r="J501" s="31">
        <v>45693</v>
      </c>
      <c r="K501" s="31">
        <v>45693</v>
      </c>
      <c r="L501" s="31"/>
      <c r="M501" s="31"/>
      <c r="N501" s="31"/>
      <c r="O501" s="2" t="s">
        <v>297</v>
      </c>
    </row>
    <row r="502" spans="1:15">
      <c r="A502" s="3">
        <f t="shared" si="8"/>
        <v>501</v>
      </c>
      <c r="B502" s="41" t="s">
        <v>1172</v>
      </c>
      <c r="C502" s="3">
        <v>9391070859</v>
      </c>
      <c r="D502" s="6"/>
      <c r="E502" s="3" t="s">
        <v>1173</v>
      </c>
      <c r="F502" s="68" t="s">
        <v>1174</v>
      </c>
      <c r="G502" s="3" t="s">
        <v>1175</v>
      </c>
      <c r="H502" s="3" t="s">
        <v>41</v>
      </c>
      <c r="I502" s="37" t="s">
        <v>94</v>
      </c>
      <c r="J502" s="31">
        <v>45688</v>
      </c>
      <c r="K502" s="31"/>
      <c r="L502" s="31"/>
      <c r="M502" s="31"/>
      <c r="N502" s="31"/>
      <c r="O502" s="3" t="s">
        <v>1004</v>
      </c>
    </row>
    <row r="503" spans="1:15">
      <c r="A503" s="3">
        <f t="shared" si="8"/>
        <v>502</v>
      </c>
      <c r="B503" s="104" t="s">
        <v>1176</v>
      </c>
      <c r="C503" s="36">
        <v>9182239865</v>
      </c>
      <c r="D503" s="6"/>
      <c r="E503" s="3" t="s">
        <v>79</v>
      </c>
      <c r="F503" s="72" t="s">
        <v>805</v>
      </c>
      <c r="G503" s="3" t="s">
        <v>16</v>
      </c>
      <c r="H503" s="3" t="s">
        <v>717</v>
      </c>
      <c r="I503" s="37" t="s">
        <v>42</v>
      </c>
      <c r="J503" s="31">
        <v>45688</v>
      </c>
      <c r="K503" s="31">
        <v>45705</v>
      </c>
      <c r="L503" s="31">
        <v>45709</v>
      </c>
      <c r="M503" s="31">
        <v>45744</v>
      </c>
      <c r="N503" s="31">
        <v>45744</v>
      </c>
      <c r="O503" s="2" t="s">
        <v>297</v>
      </c>
    </row>
    <row r="504" spans="1:15">
      <c r="A504" s="3">
        <f t="shared" si="8"/>
        <v>503</v>
      </c>
      <c r="B504" s="105" t="s">
        <v>1177</v>
      </c>
      <c r="C504" s="36">
        <v>9182841346</v>
      </c>
      <c r="D504" s="6">
        <v>8008207397</v>
      </c>
      <c r="E504" s="3" t="s">
        <v>72</v>
      </c>
      <c r="F504" s="72" t="s">
        <v>805</v>
      </c>
      <c r="G504" s="2" t="s">
        <v>16</v>
      </c>
      <c r="H504" s="3" t="s">
        <v>717</v>
      </c>
      <c r="I504" s="37" t="s">
        <v>42</v>
      </c>
      <c r="J504" s="31">
        <v>45688</v>
      </c>
      <c r="K504" s="31">
        <v>45701</v>
      </c>
      <c r="L504" s="31">
        <v>45723</v>
      </c>
      <c r="M504" s="31">
        <v>45777</v>
      </c>
      <c r="N504" s="31">
        <v>45759</v>
      </c>
      <c r="O504" s="2" t="s">
        <v>297</v>
      </c>
    </row>
    <row r="505" spans="1:15">
      <c r="A505" s="3">
        <f t="shared" si="8"/>
        <v>504</v>
      </c>
      <c r="B505" s="105" t="s">
        <v>1178</v>
      </c>
      <c r="C505" s="36">
        <v>9398278544</v>
      </c>
      <c r="D505" s="6"/>
      <c r="E505" s="3" t="s">
        <v>72</v>
      </c>
      <c r="F505" s="72" t="s">
        <v>805</v>
      </c>
      <c r="G505" s="2" t="s">
        <v>330</v>
      </c>
      <c r="H505" s="3" t="s">
        <v>717</v>
      </c>
      <c r="I505" s="37" t="s">
        <v>42</v>
      </c>
      <c r="J505" s="31">
        <v>45688</v>
      </c>
      <c r="K505" s="31">
        <v>45705</v>
      </c>
      <c r="L505" s="31">
        <v>45709</v>
      </c>
      <c r="M505" s="31">
        <v>45744</v>
      </c>
      <c r="N505" s="31">
        <v>45744</v>
      </c>
      <c r="O505" s="2" t="s">
        <v>297</v>
      </c>
    </row>
    <row r="506" spans="1:15">
      <c r="A506" s="3">
        <f t="shared" ref="A506:A569" si="9">ROW()-1</f>
        <v>505</v>
      </c>
      <c r="B506" s="105" t="s">
        <v>1179</v>
      </c>
      <c r="C506" s="36">
        <v>6303039260</v>
      </c>
      <c r="D506" s="6">
        <v>8500491695</v>
      </c>
      <c r="E506" s="3" t="s">
        <v>72</v>
      </c>
      <c r="F506" s="67" t="s">
        <v>802</v>
      </c>
      <c r="G506" s="3" t="s">
        <v>16</v>
      </c>
      <c r="H506" s="3" t="s">
        <v>717</v>
      </c>
      <c r="I506" s="37" t="s">
        <v>42</v>
      </c>
      <c r="J506" s="31">
        <v>45688</v>
      </c>
      <c r="K506" s="31">
        <v>45705</v>
      </c>
      <c r="L506" s="31">
        <v>45709</v>
      </c>
      <c r="M506" s="31">
        <v>45736</v>
      </c>
      <c r="N506" s="31">
        <v>45733</v>
      </c>
      <c r="O506" s="2" t="s">
        <v>297</v>
      </c>
    </row>
    <row r="507" spans="1:15">
      <c r="A507" s="3">
        <f t="shared" si="9"/>
        <v>506</v>
      </c>
      <c r="B507" s="77" t="s">
        <v>1180</v>
      </c>
      <c r="C507" s="36">
        <v>8555013042</v>
      </c>
      <c r="D507" s="6"/>
      <c r="E507" s="3" t="s">
        <v>72</v>
      </c>
      <c r="F507" s="67" t="s">
        <v>802</v>
      </c>
      <c r="G507" s="3" t="s">
        <v>416</v>
      </c>
      <c r="H507" s="3" t="s">
        <v>717</v>
      </c>
      <c r="I507" s="37" t="s">
        <v>42</v>
      </c>
      <c r="J507" s="31">
        <v>45688</v>
      </c>
      <c r="K507" s="31">
        <v>45705</v>
      </c>
      <c r="L507" s="31"/>
      <c r="M507" s="31"/>
      <c r="N507" s="31"/>
      <c r="O507" s="2" t="s">
        <v>297</v>
      </c>
    </row>
    <row r="508" spans="1:15">
      <c r="A508" s="3">
        <f t="shared" si="9"/>
        <v>507</v>
      </c>
      <c r="B508" s="77" t="s">
        <v>1181</v>
      </c>
      <c r="C508" s="36">
        <v>7306283963</v>
      </c>
      <c r="D508" s="6"/>
      <c r="E508" s="3" t="s">
        <v>72</v>
      </c>
      <c r="F508" s="67" t="s">
        <v>802</v>
      </c>
      <c r="G508" s="3" t="s">
        <v>18</v>
      </c>
      <c r="H508" s="3" t="s">
        <v>717</v>
      </c>
      <c r="I508" s="37" t="s">
        <v>42</v>
      </c>
      <c r="J508" s="31">
        <v>45688</v>
      </c>
      <c r="K508" s="31">
        <v>45723</v>
      </c>
      <c r="L508" s="31"/>
      <c r="M508" s="31"/>
      <c r="N508" s="31"/>
      <c r="O508" s="3" t="s">
        <v>297</v>
      </c>
    </row>
    <row r="509" spans="1:15">
      <c r="A509" s="3">
        <f t="shared" si="9"/>
        <v>508</v>
      </c>
      <c r="B509" s="42" t="s">
        <v>1182</v>
      </c>
      <c r="C509" s="2">
        <v>8219983710</v>
      </c>
      <c r="D509" s="6"/>
      <c r="E509" s="2" t="s">
        <v>1183</v>
      </c>
      <c r="F509" s="41" t="s">
        <v>431</v>
      </c>
      <c r="G509" s="3" t="s">
        <v>16</v>
      </c>
      <c r="H509" s="2" t="s">
        <v>296</v>
      </c>
      <c r="I509" s="37" t="s">
        <v>88</v>
      </c>
      <c r="J509" s="31">
        <v>45688</v>
      </c>
      <c r="K509" s="31">
        <v>45688</v>
      </c>
      <c r="L509" s="31">
        <v>45688</v>
      </c>
      <c r="M509" s="31">
        <v>45717</v>
      </c>
      <c r="N509" s="31">
        <v>45717</v>
      </c>
      <c r="O509" s="2" t="s">
        <v>297</v>
      </c>
    </row>
    <row r="510" spans="1:15">
      <c r="A510" s="3">
        <f t="shared" si="9"/>
        <v>509</v>
      </c>
      <c r="B510" s="68" t="s">
        <v>1184</v>
      </c>
      <c r="C510" s="27">
        <v>9492512420</v>
      </c>
      <c r="D510" s="6"/>
      <c r="E510" s="3" t="s">
        <v>1185</v>
      </c>
      <c r="F510" s="73" t="s">
        <v>751</v>
      </c>
      <c r="G510" s="3" t="s">
        <v>424</v>
      </c>
      <c r="H510" s="2" t="s">
        <v>1186</v>
      </c>
      <c r="I510" s="37" t="s">
        <v>88</v>
      </c>
      <c r="J510" s="31">
        <v>45688</v>
      </c>
      <c r="K510" s="31">
        <v>45695</v>
      </c>
      <c r="L510" s="31"/>
      <c r="M510" s="31"/>
      <c r="N510" s="31"/>
      <c r="O510" s="2" t="s">
        <v>749</v>
      </c>
    </row>
    <row r="511" spans="1:15">
      <c r="A511" s="3">
        <f t="shared" si="9"/>
        <v>510</v>
      </c>
      <c r="B511" s="77" t="s">
        <v>1187</v>
      </c>
      <c r="C511" s="36">
        <v>7351588405</v>
      </c>
      <c r="D511" s="6"/>
      <c r="E511" s="3" t="s">
        <v>1185</v>
      </c>
      <c r="F511" s="73" t="s">
        <v>751</v>
      </c>
      <c r="G511" s="3" t="s">
        <v>424</v>
      </c>
      <c r="H511" s="2" t="s">
        <v>1186</v>
      </c>
      <c r="I511" s="37" t="s">
        <v>88</v>
      </c>
      <c r="J511" s="31">
        <v>45688</v>
      </c>
      <c r="K511" s="31">
        <v>45695</v>
      </c>
      <c r="L511" s="31"/>
      <c r="M511" s="31"/>
      <c r="N511" s="31"/>
      <c r="O511" s="2" t="s">
        <v>425</v>
      </c>
    </row>
    <row r="512" spans="1:15">
      <c r="A512" s="3">
        <f t="shared" si="9"/>
        <v>511</v>
      </c>
      <c r="B512" s="68" t="s">
        <v>1188</v>
      </c>
      <c r="C512" s="27">
        <v>9515416750</v>
      </c>
      <c r="D512" s="6">
        <v>9154937716</v>
      </c>
      <c r="E512" s="3" t="s">
        <v>1189</v>
      </c>
      <c r="F512" s="73" t="s">
        <v>1190</v>
      </c>
      <c r="G512" s="3" t="s">
        <v>416</v>
      </c>
      <c r="H512" s="2" t="s">
        <v>1186</v>
      </c>
      <c r="I512" s="37" t="s">
        <v>88</v>
      </c>
      <c r="J512" s="31">
        <v>45688</v>
      </c>
      <c r="K512" s="31">
        <v>45695</v>
      </c>
      <c r="L512" s="31"/>
      <c r="M512" s="31"/>
      <c r="N512" s="31"/>
      <c r="O512" s="2" t="s">
        <v>297</v>
      </c>
    </row>
    <row r="513" spans="1:15">
      <c r="A513" s="3">
        <f t="shared" si="9"/>
        <v>512</v>
      </c>
      <c r="B513" s="103" t="s">
        <v>1191</v>
      </c>
      <c r="C513" s="36">
        <v>9642073948</v>
      </c>
      <c r="D513" s="6"/>
      <c r="E513" s="3" t="s">
        <v>67</v>
      </c>
      <c r="F513" s="72" t="s">
        <v>1192</v>
      </c>
      <c r="G513" s="3" t="s">
        <v>16</v>
      </c>
      <c r="H513" s="2" t="s">
        <v>1186</v>
      </c>
      <c r="I513" s="37" t="s">
        <v>88</v>
      </c>
      <c r="J513" s="31">
        <v>45688</v>
      </c>
      <c r="K513" s="31">
        <v>45695</v>
      </c>
      <c r="L513" s="31">
        <v>45702</v>
      </c>
      <c r="M513" s="31">
        <v>45734</v>
      </c>
      <c r="N513" s="31">
        <v>45731</v>
      </c>
      <c r="O513" s="2" t="s">
        <v>297</v>
      </c>
    </row>
    <row r="514" spans="1:15">
      <c r="A514" s="3">
        <f t="shared" si="9"/>
        <v>513</v>
      </c>
      <c r="B514" s="77" t="s">
        <v>1193</v>
      </c>
      <c r="C514" s="36">
        <v>7987725944</v>
      </c>
      <c r="D514" s="6">
        <v>9074214007</v>
      </c>
      <c r="E514" s="3" t="s">
        <v>1185</v>
      </c>
      <c r="F514" s="72" t="s">
        <v>1194</v>
      </c>
      <c r="G514" s="3" t="s">
        <v>416</v>
      </c>
      <c r="H514" s="2" t="s">
        <v>1186</v>
      </c>
      <c r="I514" s="37" t="s">
        <v>88</v>
      </c>
      <c r="J514" s="31">
        <v>45688</v>
      </c>
      <c r="K514" s="31">
        <v>45695</v>
      </c>
      <c r="L514" s="31"/>
      <c r="M514" s="31"/>
      <c r="N514" s="31"/>
      <c r="O514" s="2" t="s">
        <v>297</v>
      </c>
    </row>
    <row r="515" spans="1:15">
      <c r="A515" s="3">
        <f t="shared" si="9"/>
        <v>514</v>
      </c>
      <c r="B515" s="77" t="s">
        <v>1195</v>
      </c>
      <c r="C515" s="36">
        <v>9494319826</v>
      </c>
      <c r="D515" s="6">
        <v>9030719826</v>
      </c>
      <c r="E515" s="3" t="s">
        <v>1185</v>
      </c>
      <c r="F515" s="73" t="s">
        <v>751</v>
      </c>
      <c r="G515" s="3" t="s">
        <v>424</v>
      </c>
      <c r="H515" s="2" t="s">
        <v>1186</v>
      </c>
      <c r="I515" s="37" t="s">
        <v>88</v>
      </c>
      <c r="J515" s="31">
        <v>45688</v>
      </c>
      <c r="K515" s="31">
        <v>45695</v>
      </c>
      <c r="L515" s="31"/>
      <c r="M515" s="31"/>
      <c r="N515" s="31"/>
      <c r="O515" s="2" t="s">
        <v>425</v>
      </c>
    </row>
    <row r="516" spans="1:15">
      <c r="A516" s="3">
        <f t="shared" si="9"/>
        <v>515</v>
      </c>
      <c r="B516" s="41" t="s">
        <v>1196</v>
      </c>
      <c r="C516" s="27">
        <v>7569443688</v>
      </c>
      <c r="D516" s="6">
        <v>9113792772</v>
      </c>
      <c r="E516" s="3" t="s">
        <v>104</v>
      </c>
      <c r="F516" s="72" t="s">
        <v>707</v>
      </c>
      <c r="G516" s="3" t="s">
        <v>424</v>
      </c>
      <c r="H516" s="3" t="s">
        <v>41</v>
      </c>
      <c r="I516" s="37" t="s">
        <v>42</v>
      </c>
      <c r="J516" s="31">
        <v>45688</v>
      </c>
      <c r="K516" s="31">
        <v>45705</v>
      </c>
      <c r="L516" s="31"/>
      <c r="M516" s="31"/>
      <c r="N516" s="31"/>
      <c r="O516" s="2" t="s">
        <v>425</v>
      </c>
    </row>
    <row r="517" spans="1:15">
      <c r="A517" s="3">
        <f t="shared" si="9"/>
        <v>516</v>
      </c>
      <c r="B517" s="41" t="s">
        <v>1197</v>
      </c>
      <c r="C517" s="3">
        <v>8247894533</v>
      </c>
      <c r="D517" s="6"/>
      <c r="E517" s="3" t="s">
        <v>1198</v>
      </c>
      <c r="F517" s="68" t="s">
        <v>1199</v>
      </c>
      <c r="G517" s="3" t="s">
        <v>1175</v>
      </c>
      <c r="H517" s="3" t="s">
        <v>41</v>
      </c>
      <c r="I517" s="37" t="s">
        <v>42</v>
      </c>
      <c r="J517" s="31">
        <v>45688</v>
      </c>
      <c r="K517" s="31"/>
      <c r="L517" s="31"/>
      <c r="M517" s="31"/>
      <c r="N517" s="31"/>
      <c r="O517" s="2" t="s">
        <v>1004</v>
      </c>
    </row>
    <row r="518" spans="1:15">
      <c r="A518" s="3">
        <f t="shared" si="9"/>
        <v>517</v>
      </c>
      <c r="B518" s="41" t="s">
        <v>1200</v>
      </c>
      <c r="C518" s="3">
        <v>9494600023</v>
      </c>
      <c r="D518" s="6"/>
      <c r="E518" s="3" t="s">
        <v>1198</v>
      </c>
      <c r="F518" s="68" t="s">
        <v>972</v>
      </c>
      <c r="G518" s="3" t="s">
        <v>1175</v>
      </c>
      <c r="H518" s="3" t="s">
        <v>41</v>
      </c>
      <c r="I518" s="37" t="s">
        <v>42</v>
      </c>
      <c r="J518" s="31">
        <v>45688</v>
      </c>
      <c r="K518" s="31"/>
      <c r="L518" s="31"/>
      <c r="M518" s="31"/>
      <c r="N518" s="31"/>
      <c r="O518" s="2" t="s">
        <v>1004</v>
      </c>
    </row>
    <row r="519" spans="1:15">
      <c r="A519" s="3">
        <f t="shared" si="9"/>
        <v>518</v>
      </c>
      <c r="B519" s="41" t="s">
        <v>1201</v>
      </c>
      <c r="C519" s="3">
        <v>8329263075</v>
      </c>
      <c r="D519" s="6"/>
      <c r="E519" s="3" t="s">
        <v>1202</v>
      </c>
      <c r="F519" s="68" t="s">
        <v>710</v>
      </c>
      <c r="G519" s="3" t="s">
        <v>1175</v>
      </c>
      <c r="H519" s="3" t="s">
        <v>41</v>
      </c>
      <c r="I519" s="37" t="s">
        <v>42</v>
      </c>
      <c r="J519" s="31">
        <v>45688</v>
      </c>
      <c r="K519" s="31"/>
      <c r="L519" s="31"/>
      <c r="M519" s="31"/>
      <c r="N519" s="31"/>
      <c r="O519" s="2" t="s">
        <v>1004</v>
      </c>
    </row>
    <row r="520" spans="1:15">
      <c r="A520" s="3">
        <f t="shared" si="9"/>
        <v>519</v>
      </c>
      <c r="B520" s="41" t="s">
        <v>1203</v>
      </c>
      <c r="C520" s="3">
        <v>9663607120</v>
      </c>
      <c r="D520" s="6"/>
      <c r="E520" s="3" t="s">
        <v>1204</v>
      </c>
      <c r="F520" s="68" t="s">
        <v>543</v>
      </c>
      <c r="G520" s="3" t="s">
        <v>1175</v>
      </c>
      <c r="H520" s="3" t="s">
        <v>41</v>
      </c>
      <c r="I520" s="37" t="s">
        <v>42</v>
      </c>
      <c r="J520" s="31">
        <v>45688</v>
      </c>
      <c r="K520" s="31"/>
      <c r="L520" s="31"/>
      <c r="M520" s="31"/>
      <c r="N520" s="31"/>
      <c r="O520" s="2" t="s">
        <v>1004</v>
      </c>
    </row>
    <row r="521" spans="1:15">
      <c r="A521" s="3">
        <f t="shared" si="9"/>
        <v>520</v>
      </c>
      <c r="B521" s="41" t="s">
        <v>1205</v>
      </c>
      <c r="C521" s="3">
        <v>9494972272</v>
      </c>
      <c r="D521" s="6"/>
      <c r="E521" s="3" t="s">
        <v>1204</v>
      </c>
      <c r="F521" s="68" t="s">
        <v>543</v>
      </c>
      <c r="G521" s="3" t="s">
        <v>1175</v>
      </c>
      <c r="H521" s="3" t="s">
        <v>41</v>
      </c>
      <c r="I521" s="37" t="s">
        <v>42</v>
      </c>
      <c r="J521" s="31">
        <v>45688</v>
      </c>
      <c r="K521" s="31"/>
      <c r="L521" s="31"/>
      <c r="M521" s="31"/>
      <c r="N521" s="31"/>
      <c r="O521" s="2" t="s">
        <v>1004</v>
      </c>
    </row>
    <row r="522" spans="1:15">
      <c r="A522" s="3">
        <f t="shared" si="9"/>
        <v>521</v>
      </c>
      <c r="B522" s="41" t="s">
        <v>1206</v>
      </c>
      <c r="C522" s="3">
        <v>7338322561</v>
      </c>
      <c r="D522" s="6"/>
      <c r="E522" s="3" t="s">
        <v>1038</v>
      </c>
      <c r="F522" s="68" t="s">
        <v>333</v>
      </c>
      <c r="G522" s="2" t="s">
        <v>424</v>
      </c>
      <c r="H522" s="3" t="s">
        <v>788</v>
      </c>
      <c r="I522" s="37" t="s">
        <v>88</v>
      </c>
      <c r="J522" s="31">
        <v>45688</v>
      </c>
      <c r="K522" s="31">
        <v>45693</v>
      </c>
      <c r="L522" s="31"/>
      <c r="M522" s="31"/>
      <c r="N522" s="31"/>
      <c r="O522" s="2" t="s">
        <v>425</v>
      </c>
    </row>
    <row r="523" spans="1:15">
      <c r="A523" s="3">
        <f t="shared" si="9"/>
        <v>522</v>
      </c>
      <c r="B523" s="41" t="s">
        <v>1207</v>
      </c>
      <c r="C523" s="3">
        <v>7434803515</v>
      </c>
      <c r="D523" s="6"/>
      <c r="E523" s="3" t="s">
        <v>1208</v>
      </c>
      <c r="F523" s="68" t="s">
        <v>333</v>
      </c>
      <c r="G523" s="2" t="s">
        <v>424</v>
      </c>
      <c r="H523" s="3" t="s">
        <v>788</v>
      </c>
      <c r="I523" s="37" t="s">
        <v>88</v>
      </c>
      <c r="J523" s="31">
        <v>45688</v>
      </c>
      <c r="K523" s="31">
        <v>45693</v>
      </c>
      <c r="L523" s="31"/>
      <c r="M523" s="31"/>
      <c r="N523" s="31"/>
      <c r="O523" s="2" t="s">
        <v>425</v>
      </c>
    </row>
    <row r="524" spans="1:15">
      <c r="A524" s="3">
        <f t="shared" si="9"/>
        <v>523</v>
      </c>
      <c r="B524" s="41" t="s">
        <v>1209</v>
      </c>
      <c r="C524" s="3">
        <v>9000616227</v>
      </c>
      <c r="D524" s="6"/>
      <c r="E524" s="3" t="s">
        <v>1208</v>
      </c>
      <c r="F524" s="68" t="s">
        <v>333</v>
      </c>
      <c r="G524" s="2" t="s">
        <v>16</v>
      </c>
      <c r="H524" s="3" t="s">
        <v>788</v>
      </c>
      <c r="I524" s="37" t="s">
        <v>88</v>
      </c>
      <c r="J524" s="31">
        <v>45688</v>
      </c>
      <c r="K524" s="31">
        <v>45699</v>
      </c>
      <c r="L524" s="31">
        <v>45716</v>
      </c>
      <c r="M524" s="31">
        <v>45756</v>
      </c>
      <c r="N524" s="31">
        <v>45756</v>
      </c>
      <c r="O524" s="2" t="s">
        <v>297</v>
      </c>
    </row>
    <row r="525" spans="1:15">
      <c r="A525" s="3">
        <f t="shared" si="9"/>
        <v>524</v>
      </c>
      <c r="B525" s="41" t="s">
        <v>1210</v>
      </c>
      <c r="C525" s="3">
        <v>7013323497</v>
      </c>
      <c r="D525" s="6"/>
      <c r="E525" s="3" t="s">
        <v>1208</v>
      </c>
      <c r="F525" s="68" t="s">
        <v>333</v>
      </c>
      <c r="G525" s="2" t="s">
        <v>16</v>
      </c>
      <c r="H525" s="3" t="s">
        <v>788</v>
      </c>
      <c r="I525" s="37" t="s">
        <v>88</v>
      </c>
      <c r="J525" s="31">
        <v>45688</v>
      </c>
      <c r="K525" s="31">
        <v>45693</v>
      </c>
      <c r="L525" s="31">
        <v>45727</v>
      </c>
      <c r="M525" s="31">
        <v>45814</v>
      </c>
      <c r="N525" s="31">
        <v>45814</v>
      </c>
      <c r="O525" s="2" t="s">
        <v>297</v>
      </c>
    </row>
    <row r="526" spans="1:15">
      <c r="A526" s="3">
        <f t="shared" si="9"/>
        <v>525</v>
      </c>
      <c r="B526" s="41" t="s">
        <v>1211</v>
      </c>
      <c r="C526" s="3">
        <v>9848733746</v>
      </c>
      <c r="D526" s="6"/>
      <c r="E526" s="3" t="s">
        <v>1208</v>
      </c>
      <c r="F526" s="68" t="s">
        <v>333</v>
      </c>
      <c r="G526" s="2" t="s">
        <v>424</v>
      </c>
      <c r="H526" s="3" t="s">
        <v>788</v>
      </c>
      <c r="I526" s="37" t="s">
        <v>88</v>
      </c>
      <c r="J526" s="31">
        <v>45688</v>
      </c>
      <c r="K526" s="31">
        <v>45693</v>
      </c>
      <c r="L526" s="31"/>
      <c r="M526" s="31"/>
      <c r="N526" s="31"/>
      <c r="O526" s="2" t="s">
        <v>425</v>
      </c>
    </row>
    <row r="527" spans="1:15">
      <c r="A527" s="3">
        <f t="shared" si="9"/>
        <v>526</v>
      </c>
      <c r="B527" s="41" t="s">
        <v>1212</v>
      </c>
      <c r="C527" s="3">
        <v>9889567724</v>
      </c>
      <c r="D527" s="6"/>
      <c r="E527" s="3" t="s">
        <v>1035</v>
      </c>
      <c r="F527" s="68" t="s">
        <v>308</v>
      </c>
      <c r="G527" s="2" t="s">
        <v>424</v>
      </c>
      <c r="H527" s="3" t="s">
        <v>788</v>
      </c>
      <c r="I527" s="37" t="s">
        <v>88</v>
      </c>
      <c r="J527" s="31">
        <v>45688</v>
      </c>
      <c r="K527" s="31">
        <v>45693</v>
      </c>
      <c r="L527" s="31"/>
      <c r="M527" s="31"/>
      <c r="N527" s="31"/>
      <c r="O527" s="2" t="s">
        <v>425</v>
      </c>
    </row>
    <row r="528" spans="1:15">
      <c r="A528" s="3">
        <f t="shared" si="9"/>
        <v>527</v>
      </c>
      <c r="B528" s="41" t="s">
        <v>1213</v>
      </c>
      <c r="C528" s="3">
        <v>7800282861</v>
      </c>
      <c r="D528" s="6"/>
      <c r="E528" s="3" t="s">
        <v>1035</v>
      </c>
      <c r="F528" s="68" t="s">
        <v>308</v>
      </c>
      <c r="G528" s="2" t="s">
        <v>424</v>
      </c>
      <c r="H528" s="3" t="s">
        <v>788</v>
      </c>
      <c r="I528" s="37" t="s">
        <v>88</v>
      </c>
      <c r="J528" s="31">
        <v>45688</v>
      </c>
      <c r="K528" s="31">
        <v>45699</v>
      </c>
      <c r="L528" s="31"/>
      <c r="M528" s="31"/>
      <c r="N528" s="31"/>
      <c r="O528" s="2" t="s">
        <v>425</v>
      </c>
    </row>
    <row r="529" spans="1:15">
      <c r="A529" s="3">
        <f t="shared" si="9"/>
        <v>528</v>
      </c>
      <c r="B529" s="41" t="s">
        <v>1214</v>
      </c>
      <c r="C529" s="3">
        <v>9520084954</v>
      </c>
      <c r="D529" s="6"/>
      <c r="E529" s="3" t="s">
        <v>1035</v>
      </c>
      <c r="F529" s="68" t="s">
        <v>308</v>
      </c>
      <c r="G529" s="2" t="s">
        <v>424</v>
      </c>
      <c r="H529" s="3" t="s">
        <v>788</v>
      </c>
      <c r="I529" s="37" t="s">
        <v>88</v>
      </c>
      <c r="J529" s="31">
        <v>45688</v>
      </c>
      <c r="K529" s="31">
        <v>45699</v>
      </c>
      <c r="L529" s="31"/>
      <c r="M529" s="31"/>
      <c r="N529" s="31"/>
      <c r="O529" s="2" t="s">
        <v>425</v>
      </c>
    </row>
    <row r="530" spans="1:15">
      <c r="A530" s="3">
        <f t="shared" si="9"/>
        <v>529</v>
      </c>
      <c r="B530" s="41" t="s">
        <v>1215</v>
      </c>
      <c r="C530" s="3">
        <v>9177252075</v>
      </c>
      <c r="D530" s="6"/>
      <c r="E530" s="3" t="s">
        <v>1208</v>
      </c>
      <c r="F530" s="68" t="s">
        <v>308</v>
      </c>
      <c r="G530" s="2" t="s">
        <v>424</v>
      </c>
      <c r="H530" s="3" t="s">
        <v>788</v>
      </c>
      <c r="I530" s="37" t="s">
        <v>88</v>
      </c>
      <c r="J530" s="31">
        <v>45688</v>
      </c>
      <c r="K530" s="31">
        <v>45699</v>
      </c>
      <c r="L530" s="31"/>
      <c r="M530" s="31"/>
      <c r="N530" s="31"/>
      <c r="O530" s="2" t="s">
        <v>425</v>
      </c>
    </row>
    <row r="531" spans="1:15">
      <c r="A531" s="3">
        <f t="shared" si="9"/>
        <v>530</v>
      </c>
      <c r="B531" s="41" t="s">
        <v>1216</v>
      </c>
      <c r="C531" s="3">
        <v>9573900978</v>
      </c>
      <c r="D531" s="6"/>
      <c r="E531" s="3" t="s">
        <v>1035</v>
      </c>
      <c r="F531" s="68" t="s">
        <v>308</v>
      </c>
      <c r="G531" s="2" t="s">
        <v>424</v>
      </c>
      <c r="H531" s="3" t="s">
        <v>788</v>
      </c>
      <c r="I531" s="37" t="s">
        <v>88</v>
      </c>
      <c r="J531" s="31">
        <v>45688</v>
      </c>
      <c r="K531" s="31">
        <v>45699</v>
      </c>
      <c r="L531" s="31"/>
      <c r="M531" s="31"/>
      <c r="N531" s="31"/>
      <c r="O531" s="2" t="s">
        <v>425</v>
      </c>
    </row>
    <row r="532" spans="1:15">
      <c r="A532" s="3">
        <f t="shared" si="9"/>
        <v>531</v>
      </c>
      <c r="B532" s="41" t="s">
        <v>1217</v>
      </c>
      <c r="C532" s="3">
        <v>7607402443</v>
      </c>
      <c r="D532" s="6"/>
      <c r="E532" s="3" t="s">
        <v>1208</v>
      </c>
      <c r="F532" s="68" t="s">
        <v>308</v>
      </c>
      <c r="G532" s="2" t="s">
        <v>424</v>
      </c>
      <c r="H532" s="3" t="s">
        <v>788</v>
      </c>
      <c r="I532" s="37" t="s">
        <v>88</v>
      </c>
      <c r="J532" s="31">
        <v>45688</v>
      </c>
      <c r="K532" s="31">
        <v>45699</v>
      </c>
      <c r="L532" s="31"/>
      <c r="M532" s="31"/>
      <c r="N532" s="31"/>
      <c r="O532" s="2" t="s">
        <v>425</v>
      </c>
    </row>
    <row r="533" spans="1:15">
      <c r="A533" s="3">
        <f t="shared" si="9"/>
        <v>532</v>
      </c>
      <c r="B533" s="41" t="s">
        <v>1087</v>
      </c>
      <c r="C533" s="3">
        <v>9026061886</v>
      </c>
      <c r="D533" s="6"/>
      <c r="E533" s="3" t="s">
        <v>1142</v>
      </c>
      <c r="F533" s="68" t="s">
        <v>1060</v>
      </c>
      <c r="G533" s="2" t="s">
        <v>330</v>
      </c>
      <c r="H533" s="3" t="s">
        <v>357</v>
      </c>
      <c r="I533" s="37" t="s">
        <v>94</v>
      </c>
      <c r="J533" s="31">
        <v>45688</v>
      </c>
      <c r="K533" s="31">
        <v>45689</v>
      </c>
      <c r="L533" s="31">
        <v>45709</v>
      </c>
      <c r="M533" s="31">
        <v>45733</v>
      </c>
      <c r="N533" s="31">
        <v>45734</v>
      </c>
      <c r="O533" s="2" t="s">
        <v>297</v>
      </c>
    </row>
    <row r="534" spans="1:15">
      <c r="A534" s="3">
        <f t="shared" si="9"/>
        <v>533</v>
      </c>
      <c r="B534" s="41" t="s">
        <v>1218</v>
      </c>
      <c r="C534" s="3">
        <v>9519678945</v>
      </c>
      <c r="D534" s="6"/>
      <c r="E534" s="3" t="s">
        <v>1120</v>
      </c>
      <c r="F534" s="68" t="s">
        <v>1060</v>
      </c>
      <c r="G534" s="2" t="s">
        <v>295</v>
      </c>
      <c r="H534" s="3" t="s">
        <v>357</v>
      </c>
      <c r="I534" s="37" t="s">
        <v>94</v>
      </c>
      <c r="J534" s="31">
        <v>45688</v>
      </c>
      <c r="K534" s="31">
        <v>45689</v>
      </c>
      <c r="L534" s="31">
        <v>45695</v>
      </c>
      <c r="M534" s="31">
        <v>45768</v>
      </c>
      <c r="N534" s="31"/>
      <c r="O534" s="2" t="s">
        <v>297</v>
      </c>
    </row>
    <row r="535" spans="1:15">
      <c r="A535" s="3">
        <f t="shared" si="9"/>
        <v>534</v>
      </c>
      <c r="B535" s="41" t="s">
        <v>1219</v>
      </c>
      <c r="C535" s="3">
        <v>9016270532</v>
      </c>
      <c r="D535" s="6"/>
      <c r="E535" s="3" t="s">
        <v>1120</v>
      </c>
      <c r="F535" s="68" t="s">
        <v>1060</v>
      </c>
      <c r="G535" s="2" t="s">
        <v>416</v>
      </c>
      <c r="H535" s="3" t="s">
        <v>357</v>
      </c>
      <c r="I535" s="37" t="s">
        <v>94</v>
      </c>
      <c r="J535" s="31">
        <v>45688</v>
      </c>
      <c r="K535" s="31">
        <v>45689</v>
      </c>
      <c r="L535" s="31"/>
      <c r="M535" s="31"/>
      <c r="N535" s="31"/>
      <c r="O535" s="2" t="s">
        <v>297</v>
      </c>
    </row>
    <row r="536" spans="1:15">
      <c r="A536" s="3">
        <f t="shared" si="9"/>
        <v>535</v>
      </c>
      <c r="B536" s="41" t="s">
        <v>1220</v>
      </c>
      <c r="C536" s="3">
        <v>9939512104</v>
      </c>
      <c r="D536" s="6"/>
      <c r="E536" s="3" t="s">
        <v>1120</v>
      </c>
      <c r="F536" s="68" t="s">
        <v>1060</v>
      </c>
      <c r="G536" s="2" t="s">
        <v>18</v>
      </c>
      <c r="H536" s="3" t="s">
        <v>357</v>
      </c>
      <c r="I536" s="37" t="s">
        <v>94</v>
      </c>
      <c r="J536" s="31">
        <v>45688</v>
      </c>
      <c r="K536" s="31">
        <v>45689</v>
      </c>
      <c r="L536" s="31"/>
      <c r="M536" s="31"/>
      <c r="N536" s="31"/>
      <c r="O536" s="2" t="s">
        <v>297</v>
      </c>
    </row>
    <row r="537" spans="1:15">
      <c r="A537" s="3">
        <f t="shared" si="9"/>
        <v>536</v>
      </c>
      <c r="B537" s="41" t="s">
        <v>1221</v>
      </c>
      <c r="C537" s="3">
        <v>7295016062</v>
      </c>
      <c r="D537" s="6"/>
      <c r="E537" s="3" t="s">
        <v>1120</v>
      </c>
      <c r="F537" s="68" t="s">
        <v>1060</v>
      </c>
      <c r="G537" s="2" t="s">
        <v>330</v>
      </c>
      <c r="H537" s="3" t="s">
        <v>357</v>
      </c>
      <c r="I537" s="37" t="s">
        <v>94</v>
      </c>
      <c r="J537" s="31">
        <v>45688</v>
      </c>
      <c r="K537" s="31">
        <v>45691</v>
      </c>
      <c r="L537" s="31">
        <v>45695</v>
      </c>
      <c r="M537" s="31">
        <v>45723</v>
      </c>
      <c r="N537" s="31">
        <v>45727</v>
      </c>
      <c r="O537" s="2" t="s">
        <v>297</v>
      </c>
    </row>
    <row r="538" spans="1:15">
      <c r="A538" s="3">
        <f t="shared" si="9"/>
        <v>537</v>
      </c>
      <c r="B538" s="41" t="s">
        <v>1222</v>
      </c>
      <c r="C538" s="3">
        <v>9630058439</v>
      </c>
      <c r="D538" s="6"/>
      <c r="E538" s="3" t="s">
        <v>1223</v>
      </c>
      <c r="F538" s="68" t="s">
        <v>1060</v>
      </c>
      <c r="G538" s="2" t="s">
        <v>295</v>
      </c>
      <c r="H538" s="3" t="s">
        <v>357</v>
      </c>
      <c r="I538" s="37" t="s">
        <v>94</v>
      </c>
      <c r="J538" s="31">
        <v>45688</v>
      </c>
      <c r="K538" s="31">
        <v>45689</v>
      </c>
      <c r="L538" s="31">
        <v>45699</v>
      </c>
      <c r="M538" s="31">
        <v>45729</v>
      </c>
      <c r="N538" s="31"/>
      <c r="O538" s="2" t="s">
        <v>297</v>
      </c>
    </row>
    <row r="539" spans="1:15">
      <c r="A539" s="3">
        <f t="shared" si="9"/>
        <v>538</v>
      </c>
      <c r="B539" s="41" t="s">
        <v>1224</v>
      </c>
      <c r="C539" s="3">
        <v>8000437781</v>
      </c>
      <c r="D539" s="6"/>
      <c r="E539" s="3" t="s">
        <v>1225</v>
      </c>
      <c r="F539" s="68" t="s">
        <v>1060</v>
      </c>
      <c r="G539" s="2" t="s">
        <v>16</v>
      </c>
      <c r="H539" s="3" t="s">
        <v>357</v>
      </c>
      <c r="I539" s="37" t="s">
        <v>94</v>
      </c>
      <c r="J539" s="31">
        <v>45688</v>
      </c>
      <c r="K539" s="31">
        <v>45691</v>
      </c>
      <c r="L539" s="31">
        <v>45709</v>
      </c>
      <c r="M539" s="31">
        <v>45733</v>
      </c>
      <c r="N539" s="31">
        <v>45741</v>
      </c>
      <c r="O539" s="2" t="s">
        <v>297</v>
      </c>
    </row>
    <row r="540" spans="1:15">
      <c r="A540" s="3">
        <f t="shared" si="9"/>
        <v>539</v>
      </c>
      <c r="B540" s="41" t="s">
        <v>1226</v>
      </c>
      <c r="C540" s="3">
        <v>8290561913</v>
      </c>
      <c r="D540" s="6"/>
      <c r="E540" s="3" t="s">
        <v>1129</v>
      </c>
      <c r="F540" s="68" t="s">
        <v>1060</v>
      </c>
      <c r="G540" s="3" t="s">
        <v>16</v>
      </c>
      <c r="H540" s="3" t="s">
        <v>357</v>
      </c>
      <c r="I540" s="37" t="s">
        <v>94</v>
      </c>
      <c r="J540" s="31">
        <v>45688</v>
      </c>
      <c r="K540" s="31">
        <v>45689</v>
      </c>
      <c r="L540" s="31">
        <v>45699</v>
      </c>
      <c r="M540" s="31">
        <v>45729</v>
      </c>
      <c r="N540" s="31">
        <v>45734</v>
      </c>
      <c r="O540" s="2" t="s">
        <v>297</v>
      </c>
    </row>
    <row r="541" spans="1:15">
      <c r="A541" s="3">
        <f t="shared" si="9"/>
        <v>540</v>
      </c>
      <c r="B541" s="41" t="s">
        <v>1227</v>
      </c>
      <c r="C541" s="3">
        <v>7900949720</v>
      </c>
      <c r="D541" s="6">
        <v>6395200602</v>
      </c>
      <c r="E541" s="3" t="s">
        <v>1142</v>
      </c>
      <c r="F541" s="68" t="s">
        <v>1060</v>
      </c>
      <c r="G541" s="2" t="s">
        <v>16</v>
      </c>
      <c r="H541" s="3" t="s">
        <v>357</v>
      </c>
      <c r="I541" s="37" t="s">
        <v>94</v>
      </c>
      <c r="J541" s="31">
        <v>45688</v>
      </c>
      <c r="K541" s="31">
        <v>45691</v>
      </c>
      <c r="L541" s="31">
        <v>45695</v>
      </c>
      <c r="M541" s="31">
        <v>45723</v>
      </c>
      <c r="N541" s="31">
        <v>45734</v>
      </c>
      <c r="O541" s="2" t="s">
        <v>297</v>
      </c>
    </row>
    <row r="542" spans="1:15">
      <c r="A542" s="3">
        <f t="shared" si="9"/>
        <v>541</v>
      </c>
      <c r="B542" s="41" t="s">
        <v>1228</v>
      </c>
      <c r="C542" s="3">
        <v>7351713621</v>
      </c>
      <c r="D542" s="6"/>
      <c r="E542" s="3" t="s">
        <v>1225</v>
      </c>
      <c r="F542" s="68" t="s">
        <v>1060</v>
      </c>
      <c r="G542" s="2" t="s">
        <v>16</v>
      </c>
      <c r="H542" s="3" t="s">
        <v>357</v>
      </c>
      <c r="I542" s="37" t="s">
        <v>94</v>
      </c>
      <c r="J542" s="31">
        <v>45688</v>
      </c>
      <c r="K542" s="31">
        <v>45689</v>
      </c>
      <c r="L542" s="31">
        <v>45699</v>
      </c>
      <c r="M542" s="31">
        <v>45729</v>
      </c>
      <c r="N542" s="31">
        <v>45738</v>
      </c>
      <c r="O542" s="2" t="s">
        <v>297</v>
      </c>
    </row>
    <row r="543" spans="1:15">
      <c r="A543" s="3">
        <f t="shared" si="9"/>
        <v>542</v>
      </c>
      <c r="B543" s="41" t="s">
        <v>1229</v>
      </c>
      <c r="C543" s="3">
        <v>9963980015</v>
      </c>
      <c r="D543" s="6"/>
      <c r="E543" s="3" t="s">
        <v>1225</v>
      </c>
      <c r="F543" s="68" t="s">
        <v>1060</v>
      </c>
      <c r="G543" s="2" t="s">
        <v>18</v>
      </c>
      <c r="H543" s="3" t="s">
        <v>357</v>
      </c>
      <c r="I543" s="37" t="s">
        <v>94</v>
      </c>
      <c r="J543" s="31">
        <v>45688</v>
      </c>
      <c r="K543" s="31">
        <v>45691</v>
      </c>
      <c r="L543" s="31"/>
      <c r="M543" s="31"/>
      <c r="N543" s="31"/>
      <c r="O543" s="2" t="s">
        <v>297</v>
      </c>
    </row>
    <row r="544" spans="1:15">
      <c r="A544" s="3">
        <f t="shared" si="9"/>
        <v>543</v>
      </c>
      <c r="B544" s="41" t="s">
        <v>1230</v>
      </c>
      <c r="C544" s="3">
        <v>7261077246</v>
      </c>
      <c r="D544" s="6"/>
      <c r="E544" s="3" t="s">
        <v>1136</v>
      </c>
      <c r="F544" s="68" t="s">
        <v>1060</v>
      </c>
      <c r="G544" s="2" t="s">
        <v>330</v>
      </c>
      <c r="H544" s="3" t="s">
        <v>357</v>
      </c>
      <c r="I544" s="37" t="s">
        <v>94</v>
      </c>
      <c r="J544" s="31">
        <v>45688</v>
      </c>
      <c r="K544" s="31">
        <v>45689</v>
      </c>
      <c r="L544" s="31">
        <v>45699</v>
      </c>
      <c r="M544" s="31">
        <v>45729</v>
      </c>
      <c r="N544" s="31">
        <v>45729</v>
      </c>
      <c r="O544" s="2" t="s">
        <v>297</v>
      </c>
    </row>
    <row r="545" spans="1:15">
      <c r="A545" s="3">
        <f t="shared" si="9"/>
        <v>544</v>
      </c>
      <c r="B545" s="41" t="s">
        <v>1231</v>
      </c>
      <c r="C545" s="3">
        <v>8709911924</v>
      </c>
      <c r="D545" s="6"/>
      <c r="E545" s="3" t="s">
        <v>1131</v>
      </c>
      <c r="F545" s="68" t="s">
        <v>1132</v>
      </c>
      <c r="G545" s="2" t="s">
        <v>16</v>
      </c>
      <c r="H545" s="3" t="s">
        <v>357</v>
      </c>
      <c r="I545" s="37" t="s">
        <v>94</v>
      </c>
      <c r="J545" s="31">
        <v>45688</v>
      </c>
      <c r="K545" s="31">
        <v>45689</v>
      </c>
      <c r="L545" s="31">
        <v>45695</v>
      </c>
      <c r="M545" s="31">
        <v>45723</v>
      </c>
      <c r="N545" s="31">
        <v>45726</v>
      </c>
      <c r="O545" s="2" t="s">
        <v>297</v>
      </c>
    </row>
    <row r="546" spans="1:15">
      <c r="A546" s="3">
        <f t="shared" si="9"/>
        <v>545</v>
      </c>
      <c r="B546" s="41" t="s">
        <v>1232</v>
      </c>
      <c r="C546" s="3">
        <v>9557191059</v>
      </c>
      <c r="D546" s="6"/>
      <c r="E546" s="3" t="s">
        <v>1233</v>
      </c>
      <c r="F546" s="68" t="s">
        <v>1132</v>
      </c>
      <c r="G546" s="2" t="s">
        <v>330</v>
      </c>
      <c r="H546" s="3" t="s">
        <v>357</v>
      </c>
      <c r="I546" s="37" t="s">
        <v>94</v>
      </c>
      <c r="J546" s="31">
        <v>45688</v>
      </c>
      <c r="K546" s="31">
        <v>45689</v>
      </c>
      <c r="L546" s="31">
        <v>45699</v>
      </c>
      <c r="M546" s="31">
        <v>45729</v>
      </c>
      <c r="N546" s="31">
        <v>45734</v>
      </c>
      <c r="O546" s="2" t="s">
        <v>297</v>
      </c>
    </row>
    <row r="547" spans="1:15">
      <c r="A547" s="3">
        <f t="shared" si="9"/>
        <v>546</v>
      </c>
      <c r="B547" s="41" t="s">
        <v>1234</v>
      </c>
      <c r="C547" s="3">
        <v>9693290154</v>
      </c>
      <c r="D547" s="6"/>
      <c r="E547" s="3" t="s">
        <v>1233</v>
      </c>
      <c r="F547" s="68" t="s">
        <v>1132</v>
      </c>
      <c r="G547" s="2" t="s">
        <v>16</v>
      </c>
      <c r="H547" s="3" t="s">
        <v>357</v>
      </c>
      <c r="I547" s="37" t="s">
        <v>94</v>
      </c>
      <c r="J547" s="31">
        <v>45688</v>
      </c>
      <c r="K547" s="31">
        <v>45689</v>
      </c>
      <c r="L547" s="31">
        <v>45699</v>
      </c>
      <c r="M547" s="31">
        <v>45703</v>
      </c>
      <c r="N547" s="31">
        <v>45703</v>
      </c>
      <c r="O547" s="2" t="s">
        <v>297</v>
      </c>
    </row>
    <row r="548" spans="1:15">
      <c r="A548" s="3">
        <f t="shared" si="9"/>
        <v>547</v>
      </c>
      <c r="B548" s="41" t="s">
        <v>1235</v>
      </c>
      <c r="C548" s="3">
        <v>9014795721</v>
      </c>
      <c r="D548" s="6"/>
      <c r="E548" s="3" t="s">
        <v>1223</v>
      </c>
      <c r="F548" s="68" t="s">
        <v>1236</v>
      </c>
      <c r="G548" s="2" t="s">
        <v>16</v>
      </c>
      <c r="H548" s="3" t="s">
        <v>357</v>
      </c>
      <c r="I548" s="37" t="s">
        <v>94</v>
      </c>
      <c r="J548" s="31">
        <v>45688</v>
      </c>
      <c r="K548" s="31">
        <v>45689</v>
      </c>
      <c r="L548" s="31">
        <v>45697</v>
      </c>
      <c r="M548" s="31">
        <v>45726</v>
      </c>
      <c r="N548" s="31">
        <v>45723</v>
      </c>
      <c r="O548" s="2" t="s">
        <v>297</v>
      </c>
    </row>
    <row r="549" spans="1:15">
      <c r="A549" s="3">
        <f t="shared" si="9"/>
        <v>548</v>
      </c>
      <c r="B549" s="41" t="s">
        <v>1237</v>
      </c>
      <c r="C549" s="3">
        <v>7979855807</v>
      </c>
      <c r="D549" s="6"/>
      <c r="E549" s="3" t="s">
        <v>1238</v>
      </c>
      <c r="F549" s="68" t="s">
        <v>1239</v>
      </c>
      <c r="G549" s="2" t="s">
        <v>424</v>
      </c>
      <c r="H549" s="27" t="s">
        <v>94</v>
      </c>
      <c r="I549" s="37" t="s">
        <v>94</v>
      </c>
      <c r="J549" s="31">
        <v>45688</v>
      </c>
      <c r="K549" s="31">
        <v>45702</v>
      </c>
      <c r="L549" s="31"/>
      <c r="M549" s="31"/>
      <c r="N549" s="31"/>
      <c r="O549" s="2" t="s">
        <v>425</v>
      </c>
    </row>
    <row r="550" spans="1:15" ht="15" customHeight="1">
      <c r="A550" s="3">
        <f t="shared" si="9"/>
        <v>549</v>
      </c>
      <c r="B550" s="41" t="s">
        <v>1240</v>
      </c>
      <c r="C550" s="3">
        <v>7532946604</v>
      </c>
      <c r="D550" s="6"/>
      <c r="E550" s="3" t="s">
        <v>628</v>
      </c>
      <c r="F550" s="68" t="s">
        <v>1241</v>
      </c>
      <c r="G550" s="2" t="s">
        <v>424</v>
      </c>
      <c r="H550" s="27" t="s">
        <v>94</v>
      </c>
      <c r="I550" s="37" t="s">
        <v>88</v>
      </c>
      <c r="J550" s="31">
        <v>45688</v>
      </c>
      <c r="K550" s="31">
        <v>45702</v>
      </c>
      <c r="L550" s="31"/>
      <c r="M550" s="31"/>
      <c r="N550" s="31"/>
      <c r="O550" s="2" t="s">
        <v>425</v>
      </c>
    </row>
    <row r="551" spans="1:15" ht="15" customHeight="1">
      <c r="A551" s="3">
        <f t="shared" si="9"/>
        <v>550</v>
      </c>
      <c r="B551" s="41" t="s">
        <v>1242</v>
      </c>
      <c r="C551" s="3">
        <v>7780302947</v>
      </c>
      <c r="D551" s="6"/>
      <c r="E551" s="3" t="s">
        <v>59</v>
      </c>
      <c r="F551" s="68" t="s">
        <v>1243</v>
      </c>
      <c r="G551" s="2" t="s">
        <v>708</v>
      </c>
      <c r="H551" s="3" t="s">
        <v>660</v>
      </c>
      <c r="I551" s="37" t="s">
        <v>42</v>
      </c>
      <c r="J551" s="31">
        <v>45688</v>
      </c>
      <c r="K551" s="31">
        <v>45697</v>
      </c>
      <c r="L551" s="31"/>
      <c r="M551" s="31"/>
      <c r="N551" s="31"/>
      <c r="O551" s="2" t="s">
        <v>297</v>
      </c>
    </row>
    <row r="552" spans="1:15" ht="15" customHeight="1">
      <c r="A552" s="3">
        <f t="shared" si="9"/>
        <v>551</v>
      </c>
      <c r="B552" s="41" t="s">
        <v>1244</v>
      </c>
      <c r="C552" s="3">
        <v>9539279999</v>
      </c>
      <c r="D552" s="6"/>
      <c r="E552" s="3" t="s">
        <v>52</v>
      </c>
      <c r="F552" s="68" t="s">
        <v>1245</v>
      </c>
      <c r="G552" s="2" t="s">
        <v>16</v>
      </c>
      <c r="H552" s="3" t="s">
        <v>660</v>
      </c>
      <c r="I552" s="37" t="s">
        <v>42</v>
      </c>
      <c r="J552" s="31">
        <v>45688</v>
      </c>
      <c r="K552" s="31">
        <v>45712</v>
      </c>
      <c r="L552" s="31">
        <v>45716</v>
      </c>
      <c r="M552" s="31">
        <v>45748</v>
      </c>
      <c r="N552" s="31">
        <v>45747</v>
      </c>
      <c r="O552" s="2" t="s">
        <v>297</v>
      </c>
    </row>
    <row r="553" spans="1:15" ht="15" customHeight="1">
      <c r="A553" s="3">
        <f t="shared" si="9"/>
        <v>552</v>
      </c>
      <c r="B553" s="41" t="s">
        <v>1246</v>
      </c>
      <c r="C553" s="3">
        <v>8766463390</v>
      </c>
      <c r="D553" s="6">
        <v>8790765127</v>
      </c>
      <c r="E553" s="3" t="s">
        <v>52</v>
      </c>
      <c r="F553" s="68" t="s">
        <v>972</v>
      </c>
      <c r="G553" s="2" t="s">
        <v>424</v>
      </c>
      <c r="H553" s="3" t="s">
        <v>660</v>
      </c>
      <c r="I553" s="37" t="s">
        <v>42</v>
      </c>
      <c r="J553" s="31">
        <v>45688</v>
      </c>
      <c r="K553" s="31">
        <v>45695</v>
      </c>
      <c r="L553" s="31"/>
      <c r="M553" s="31"/>
      <c r="N553" s="31"/>
      <c r="O553" s="2" t="s">
        <v>425</v>
      </c>
    </row>
    <row r="554" spans="1:15" ht="15" customHeight="1">
      <c r="A554" s="3">
        <f t="shared" si="9"/>
        <v>553</v>
      </c>
      <c r="B554" s="41" t="s">
        <v>1247</v>
      </c>
      <c r="C554" s="3">
        <v>9701047402</v>
      </c>
      <c r="D554" s="6"/>
      <c r="E554" s="3" t="s">
        <v>124</v>
      </c>
      <c r="F554" s="68" t="s">
        <v>456</v>
      </c>
      <c r="G554" s="2" t="s">
        <v>424</v>
      </c>
      <c r="H554" s="3" t="s">
        <v>788</v>
      </c>
      <c r="I554" s="37" t="s">
        <v>42</v>
      </c>
      <c r="J554" s="31">
        <v>45688</v>
      </c>
      <c r="K554" s="31">
        <v>45689</v>
      </c>
      <c r="L554" s="31"/>
      <c r="M554" s="31"/>
      <c r="N554" s="31"/>
      <c r="O554" s="2" t="s">
        <v>425</v>
      </c>
    </row>
    <row r="555" spans="1:15" ht="15" customHeight="1">
      <c r="A555" s="3">
        <f t="shared" si="9"/>
        <v>554</v>
      </c>
      <c r="B555" s="41" t="s">
        <v>1248</v>
      </c>
      <c r="C555" s="3">
        <v>9993971937</v>
      </c>
      <c r="D555" s="6"/>
      <c r="E555" s="3" t="s">
        <v>127</v>
      </c>
      <c r="F555" s="68" t="s">
        <v>1249</v>
      </c>
      <c r="G555" s="2" t="s">
        <v>424</v>
      </c>
      <c r="H555" s="3" t="s">
        <v>788</v>
      </c>
      <c r="I555" s="37" t="s">
        <v>42</v>
      </c>
      <c r="J555" s="31">
        <v>45688</v>
      </c>
      <c r="K555" s="31">
        <v>45689</v>
      </c>
      <c r="L555" s="31"/>
      <c r="M555" s="31"/>
      <c r="N555" s="31"/>
      <c r="O555" s="2" t="s">
        <v>425</v>
      </c>
    </row>
    <row r="556" spans="1:15" ht="15" customHeight="1">
      <c r="A556" s="3">
        <f t="shared" si="9"/>
        <v>555</v>
      </c>
      <c r="B556" s="41" t="s">
        <v>1250</v>
      </c>
      <c r="C556" s="3">
        <v>9188850504</v>
      </c>
      <c r="D556" s="6"/>
      <c r="E556" s="3" t="s">
        <v>127</v>
      </c>
      <c r="F556" s="68" t="s">
        <v>1251</v>
      </c>
      <c r="G556" s="2" t="s">
        <v>330</v>
      </c>
      <c r="H556" s="3" t="s">
        <v>788</v>
      </c>
      <c r="I556" s="37" t="s">
        <v>42</v>
      </c>
      <c r="J556" s="31">
        <v>45688</v>
      </c>
      <c r="K556" s="31">
        <v>45689</v>
      </c>
      <c r="L556" s="31">
        <v>45702</v>
      </c>
      <c r="M556" s="31">
        <v>45728</v>
      </c>
      <c r="N556" s="31">
        <v>45728</v>
      </c>
      <c r="O556" s="2" t="s">
        <v>297</v>
      </c>
    </row>
    <row r="557" spans="1:15" ht="15" customHeight="1">
      <c r="A557" s="3">
        <f t="shared" si="9"/>
        <v>556</v>
      </c>
      <c r="B557" s="41" t="s">
        <v>1252</v>
      </c>
      <c r="C557" s="3">
        <v>9966326272</v>
      </c>
      <c r="D557" s="6"/>
      <c r="E557" s="3" t="s">
        <v>328</v>
      </c>
      <c r="F557" s="68" t="s">
        <v>1253</v>
      </c>
      <c r="G557" s="2" t="s">
        <v>330</v>
      </c>
      <c r="H557" s="27" t="s">
        <v>752</v>
      </c>
      <c r="I557" s="37" t="s">
        <v>42</v>
      </c>
      <c r="J557" s="31">
        <v>45688</v>
      </c>
      <c r="K557" s="31">
        <v>45697</v>
      </c>
      <c r="L557" s="31">
        <v>45716</v>
      </c>
      <c r="M557" s="31">
        <v>45761</v>
      </c>
      <c r="N557" s="31">
        <v>45787</v>
      </c>
      <c r="O557" s="2" t="s">
        <v>297</v>
      </c>
    </row>
    <row r="558" spans="1:15" ht="15" customHeight="1">
      <c r="A558" s="3">
        <f t="shared" si="9"/>
        <v>557</v>
      </c>
      <c r="B558" s="41" t="s">
        <v>1254</v>
      </c>
      <c r="C558" s="3">
        <v>8931866271</v>
      </c>
      <c r="D558" s="6"/>
      <c r="E558" s="3" t="s">
        <v>67</v>
      </c>
      <c r="F558" s="68" t="s">
        <v>1255</v>
      </c>
      <c r="G558" s="2" t="s">
        <v>18</v>
      </c>
      <c r="H558" s="27" t="s">
        <v>752</v>
      </c>
      <c r="I558" s="37" t="s">
        <v>42</v>
      </c>
      <c r="J558" s="31">
        <v>45688</v>
      </c>
      <c r="K558" s="31">
        <v>45693</v>
      </c>
      <c r="L558" s="31"/>
      <c r="M558" s="31"/>
      <c r="N558" s="31"/>
      <c r="O558" s="2" t="s">
        <v>297</v>
      </c>
    </row>
    <row r="559" spans="1:15" ht="15" customHeight="1">
      <c r="A559" s="3">
        <f t="shared" si="9"/>
        <v>558</v>
      </c>
      <c r="B559" s="41" t="s">
        <v>1256</v>
      </c>
      <c r="C559" s="3">
        <v>9793331104</v>
      </c>
      <c r="D559" s="6">
        <v>6264641832</v>
      </c>
      <c r="E559" s="3" t="s">
        <v>48</v>
      </c>
      <c r="F559" s="68" t="s">
        <v>1257</v>
      </c>
      <c r="G559" s="2" t="s">
        <v>424</v>
      </c>
      <c r="H559" s="3" t="s">
        <v>660</v>
      </c>
      <c r="I559" s="37" t="s">
        <v>42</v>
      </c>
      <c r="J559" s="31">
        <v>45688</v>
      </c>
      <c r="K559" s="31">
        <v>45720</v>
      </c>
      <c r="L559" s="31"/>
      <c r="M559" s="31"/>
      <c r="N559" s="31"/>
      <c r="O559" s="3" t="s">
        <v>425</v>
      </c>
    </row>
    <row r="560" spans="1:15" ht="15" customHeight="1">
      <c r="A560" s="3">
        <f t="shared" si="9"/>
        <v>559</v>
      </c>
      <c r="B560" s="41" t="s">
        <v>1258</v>
      </c>
      <c r="C560" s="3">
        <v>8979921816</v>
      </c>
      <c r="D560" s="6"/>
      <c r="E560" s="3" t="s">
        <v>52</v>
      </c>
      <c r="F560" s="68" t="s">
        <v>1259</v>
      </c>
      <c r="G560" s="2" t="s">
        <v>764</v>
      </c>
      <c r="H560" s="3" t="s">
        <v>660</v>
      </c>
      <c r="I560" s="37" t="s">
        <v>42</v>
      </c>
      <c r="J560" s="31">
        <v>45688</v>
      </c>
      <c r="K560" s="31">
        <v>45720</v>
      </c>
      <c r="L560" s="31"/>
      <c r="M560" s="31"/>
      <c r="N560" s="31"/>
      <c r="O560" s="3" t="s">
        <v>425</v>
      </c>
    </row>
    <row r="561" spans="1:15" ht="15" customHeight="1">
      <c r="A561" s="3">
        <f t="shared" si="9"/>
        <v>560</v>
      </c>
      <c r="B561" s="41" t="s">
        <v>1260</v>
      </c>
      <c r="C561" s="3">
        <v>9160955564</v>
      </c>
      <c r="D561" s="6"/>
      <c r="E561" s="3" t="s">
        <v>52</v>
      </c>
      <c r="F561" s="68" t="s">
        <v>1261</v>
      </c>
      <c r="G561" s="2" t="s">
        <v>424</v>
      </c>
      <c r="H561" s="3" t="s">
        <v>660</v>
      </c>
      <c r="I561" s="37" t="s">
        <v>42</v>
      </c>
      <c r="J561" s="31">
        <v>45688</v>
      </c>
      <c r="K561" s="31">
        <v>45705</v>
      </c>
      <c r="L561" s="31"/>
      <c r="M561" s="31"/>
      <c r="N561" s="31"/>
      <c r="O561" s="2" t="s">
        <v>425</v>
      </c>
    </row>
    <row r="562" spans="1:15" ht="15" customHeight="1">
      <c r="A562" s="3">
        <f t="shared" si="9"/>
        <v>561</v>
      </c>
      <c r="B562" s="41" t="s">
        <v>1262</v>
      </c>
      <c r="C562" s="3">
        <v>8486779136</v>
      </c>
      <c r="D562" s="6"/>
      <c r="E562" s="3" t="s">
        <v>59</v>
      </c>
      <c r="F562" s="68" t="s">
        <v>1263</v>
      </c>
      <c r="G562" s="2" t="s">
        <v>424</v>
      </c>
      <c r="H562" s="3" t="s">
        <v>660</v>
      </c>
      <c r="I562" s="37" t="s">
        <v>42</v>
      </c>
      <c r="J562" s="31">
        <v>45688</v>
      </c>
      <c r="K562" s="31">
        <v>45745</v>
      </c>
      <c r="L562" s="31"/>
      <c r="M562" s="31"/>
      <c r="N562" s="31"/>
      <c r="O562" s="3" t="s">
        <v>749</v>
      </c>
    </row>
    <row r="563" spans="1:15" ht="15" customHeight="1">
      <c r="A563" s="3">
        <f t="shared" si="9"/>
        <v>562</v>
      </c>
      <c r="B563" s="41" t="s">
        <v>1264</v>
      </c>
      <c r="C563" s="3">
        <v>7317659993</v>
      </c>
      <c r="D563" s="6">
        <v>9453333042</v>
      </c>
      <c r="E563" s="3" t="s">
        <v>59</v>
      </c>
      <c r="F563" s="71" t="s">
        <v>685</v>
      </c>
      <c r="G563" s="2" t="s">
        <v>424</v>
      </c>
      <c r="H563" s="3" t="s">
        <v>660</v>
      </c>
      <c r="I563" s="37" t="s">
        <v>42</v>
      </c>
      <c r="J563" s="31">
        <v>45688</v>
      </c>
      <c r="K563" s="31">
        <v>45696</v>
      </c>
      <c r="L563" s="31"/>
      <c r="M563" s="31"/>
      <c r="N563" s="31"/>
      <c r="O563" s="2" t="s">
        <v>425</v>
      </c>
    </row>
    <row r="564" spans="1:15" ht="15" customHeight="1">
      <c r="A564" s="3">
        <f t="shared" si="9"/>
        <v>563</v>
      </c>
      <c r="B564" s="41" t="s">
        <v>1265</v>
      </c>
      <c r="C564" s="3">
        <v>7004373205</v>
      </c>
      <c r="D564" s="6"/>
      <c r="E564" s="3" t="s">
        <v>72</v>
      </c>
      <c r="F564" s="71" t="s">
        <v>659</v>
      </c>
      <c r="G564" s="2" t="s">
        <v>416</v>
      </c>
      <c r="H564" s="3" t="s">
        <v>717</v>
      </c>
      <c r="I564" s="37" t="s">
        <v>42</v>
      </c>
      <c r="J564" s="31">
        <v>45688</v>
      </c>
      <c r="K564" s="31">
        <v>45699</v>
      </c>
      <c r="L564" s="31"/>
      <c r="M564" s="31"/>
      <c r="N564" s="31"/>
      <c r="O564" s="2" t="s">
        <v>297</v>
      </c>
    </row>
    <row r="565" spans="1:15" ht="15" customHeight="1">
      <c r="A565" s="3">
        <f t="shared" si="9"/>
        <v>564</v>
      </c>
      <c r="B565" s="41" t="s">
        <v>1266</v>
      </c>
      <c r="C565" s="3">
        <v>9666925522</v>
      </c>
      <c r="D565" s="6"/>
      <c r="E565" s="3" t="s">
        <v>85</v>
      </c>
      <c r="F565" s="68" t="s">
        <v>1267</v>
      </c>
      <c r="G565" s="2" t="s">
        <v>18</v>
      </c>
      <c r="H565" s="3" t="s">
        <v>717</v>
      </c>
      <c r="I565" s="37" t="s">
        <v>42</v>
      </c>
      <c r="J565" s="31">
        <v>45688</v>
      </c>
      <c r="K565" s="31">
        <v>45699</v>
      </c>
      <c r="L565" s="31"/>
      <c r="M565" s="31"/>
      <c r="N565" s="31"/>
      <c r="O565" s="2" t="s">
        <v>297</v>
      </c>
    </row>
    <row r="566" spans="1:15" ht="15" customHeight="1">
      <c r="A566" s="3">
        <f t="shared" si="9"/>
        <v>565</v>
      </c>
      <c r="B566" s="41" t="s">
        <v>1268</v>
      </c>
      <c r="C566" s="3">
        <v>8770497369</v>
      </c>
      <c r="D566" s="6">
        <v>9479773532</v>
      </c>
      <c r="E566" s="3" t="s">
        <v>52</v>
      </c>
      <c r="F566" s="68" t="s">
        <v>1269</v>
      </c>
      <c r="G566" s="2" t="s">
        <v>424</v>
      </c>
      <c r="H566" s="3" t="s">
        <v>660</v>
      </c>
      <c r="I566" s="37" t="s">
        <v>42</v>
      </c>
      <c r="J566" s="31">
        <v>45688</v>
      </c>
      <c r="K566" s="31">
        <v>45708</v>
      </c>
      <c r="L566" s="31"/>
      <c r="M566" s="31"/>
      <c r="N566" s="31"/>
      <c r="O566" s="2" t="s">
        <v>425</v>
      </c>
    </row>
    <row r="567" spans="1:15" ht="15" customHeight="1">
      <c r="A567" s="3">
        <f t="shared" si="9"/>
        <v>566</v>
      </c>
      <c r="B567" s="41" t="s">
        <v>1270</v>
      </c>
      <c r="C567" s="3">
        <v>9090150224</v>
      </c>
      <c r="D567" s="6"/>
      <c r="E567" s="3" t="s">
        <v>72</v>
      </c>
      <c r="F567" s="68" t="s">
        <v>1271</v>
      </c>
      <c r="G567" s="2" t="s">
        <v>16</v>
      </c>
      <c r="H567" s="27" t="s">
        <v>305</v>
      </c>
      <c r="I567" s="37" t="s">
        <v>42</v>
      </c>
      <c r="J567" s="31">
        <v>45688</v>
      </c>
      <c r="K567" s="31">
        <v>45697</v>
      </c>
      <c r="L567" s="31">
        <v>45702</v>
      </c>
      <c r="M567" s="31">
        <v>45712</v>
      </c>
      <c r="N567" s="31">
        <v>45712</v>
      </c>
      <c r="O567" s="2" t="s">
        <v>297</v>
      </c>
    </row>
    <row r="568" spans="1:15" ht="15" customHeight="1">
      <c r="A568" s="3">
        <f t="shared" si="9"/>
        <v>567</v>
      </c>
      <c r="B568" s="41" t="s">
        <v>1272</v>
      </c>
      <c r="C568" s="3">
        <v>8637652156</v>
      </c>
      <c r="D568" s="6"/>
      <c r="E568" s="3" t="s">
        <v>72</v>
      </c>
      <c r="F568" s="67" t="s">
        <v>802</v>
      </c>
      <c r="G568" s="2" t="s">
        <v>416</v>
      </c>
      <c r="H568" s="27" t="s">
        <v>305</v>
      </c>
      <c r="I568" s="37" t="s">
        <v>42</v>
      </c>
      <c r="J568" s="31">
        <v>45688</v>
      </c>
      <c r="K568" s="31">
        <v>45699</v>
      </c>
      <c r="L568" s="31"/>
      <c r="M568" s="31"/>
      <c r="N568" s="31"/>
      <c r="O568" s="2" t="s">
        <v>297</v>
      </c>
    </row>
    <row r="569" spans="1:15" ht="15" customHeight="1">
      <c r="A569" s="3">
        <f t="shared" si="9"/>
        <v>568</v>
      </c>
      <c r="B569" s="41" t="s">
        <v>1273</v>
      </c>
      <c r="C569" s="3">
        <v>9494608275</v>
      </c>
      <c r="D569" s="6">
        <v>9612017056</v>
      </c>
      <c r="E569" s="3" t="s">
        <v>427</v>
      </c>
      <c r="F569" s="67" t="s">
        <v>802</v>
      </c>
      <c r="G569" s="2" t="s">
        <v>16</v>
      </c>
      <c r="H569" s="27" t="s">
        <v>305</v>
      </c>
      <c r="I569" s="37" t="s">
        <v>94</v>
      </c>
      <c r="J569" s="31">
        <v>45688</v>
      </c>
      <c r="K569" s="31">
        <v>45697</v>
      </c>
      <c r="L569" s="31">
        <v>45702</v>
      </c>
      <c r="M569" s="31">
        <v>45717</v>
      </c>
      <c r="N569" s="31">
        <v>45721</v>
      </c>
      <c r="O569" s="2" t="s">
        <v>297</v>
      </c>
    </row>
    <row r="570" spans="1:15" ht="15" customHeight="1">
      <c r="A570" s="3">
        <f t="shared" ref="A570:A633" si="10">ROW()-1</f>
        <v>569</v>
      </c>
      <c r="B570" s="41" t="s">
        <v>1274</v>
      </c>
      <c r="C570" s="3">
        <v>8985066805</v>
      </c>
      <c r="D570" s="6"/>
      <c r="E570" s="3" t="s">
        <v>414</v>
      </c>
      <c r="F570" s="68" t="s">
        <v>1275</v>
      </c>
      <c r="G570" s="2" t="s">
        <v>16</v>
      </c>
      <c r="H570" s="27" t="s">
        <v>305</v>
      </c>
      <c r="I570" s="37" t="s">
        <v>42</v>
      </c>
      <c r="J570" s="31">
        <v>45688</v>
      </c>
      <c r="K570" s="31">
        <v>45697</v>
      </c>
      <c r="L570" s="31">
        <v>45702</v>
      </c>
      <c r="M570" s="31">
        <v>45722</v>
      </c>
      <c r="N570" s="31">
        <v>45748</v>
      </c>
      <c r="O570" s="2" t="s">
        <v>297</v>
      </c>
    </row>
    <row r="571" spans="1:15" ht="15" customHeight="1">
      <c r="A571" s="3">
        <f t="shared" si="10"/>
        <v>570</v>
      </c>
      <c r="B571" s="41" t="s">
        <v>1276</v>
      </c>
      <c r="C571" s="3">
        <v>8247218537</v>
      </c>
      <c r="D571" s="6"/>
      <c r="E571" s="3" t="s">
        <v>72</v>
      </c>
      <c r="F571" s="68" t="s">
        <v>1277</v>
      </c>
      <c r="G571" s="2" t="s">
        <v>416</v>
      </c>
      <c r="H571" s="27" t="s">
        <v>305</v>
      </c>
      <c r="I571" s="37" t="s">
        <v>42</v>
      </c>
      <c r="J571" s="31">
        <v>45688</v>
      </c>
      <c r="K571" s="31">
        <v>45697</v>
      </c>
      <c r="L571" s="31"/>
      <c r="M571" s="31"/>
      <c r="N571" s="31"/>
      <c r="O571" s="2" t="s">
        <v>297</v>
      </c>
    </row>
    <row r="572" spans="1:15" ht="15" customHeight="1">
      <c r="A572" s="3">
        <f t="shared" si="10"/>
        <v>571</v>
      </c>
      <c r="B572" s="41" t="s">
        <v>1278</v>
      </c>
      <c r="C572" s="3">
        <v>8653615581</v>
      </c>
      <c r="D572" s="6">
        <v>7908185051</v>
      </c>
      <c r="E572" s="3" t="s">
        <v>79</v>
      </c>
      <c r="F572" s="68" t="s">
        <v>1279</v>
      </c>
      <c r="G572" s="2" t="s">
        <v>18</v>
      </c>
      <c r="H572" s="27" t="s">
        <v>305</v>
      </c>
      <c r="I572" s="37" t="s">
        <v>42</v>
      </c>
      <c r="J572" s="31">
        <v>45688</v>
      </c>
      <c r="K572" s="31">
        <v>45701</v>
      </c>
      <c r="L572" s="31"/>
      <c r="M572" s="31"/>
      <c r="N572" s="31"/>
      <c r="O572" s="2" t="s">
        <v>297</v>
      </c>
    </row>
    <row r="573" spans="1:15" ht="15" customHeight="1">
      <c r="A573" s="3">
        <f t="shared" si="10"/>
        <v>572</v>
      </c>
      <c r="B573" s="41" t="s">
        <v>1280</v>
      </c>
      <c r="C573" s="3">
        <v>8328181791</v>
      </c>
      <c r="D573" s="6"/>
      <c r="E573" s="3" t="s">
        <v>427</v>
      </c>
      <c r="F573" s="68" t="s">
        <v>1281</v>
      </c>
      <c r="G573" s="3" t="s">
        <v>295</v>
      </c>
      <c r="H573" s="27" t="s">
        <v>305</v>
      </c>
      <c r="I573" s="3" t="s">
        <v>94</v>
      </c>
      <c r="J573" s="31">
        <v>45688</v>
      </c>
      <c r="K573" s="31">
        <v>45697</v>
      </c>
      <c r="L573" s="31">
        <v>45702</v>
      </c>
      <c r="M573" s="31">
        <v>45732</v>
      </c>
      <c r="N573" s="31"/>
      <c r="O573" s="2" t="s">
        <v>297</v>
      </c>
    </row>
    <row r="574" spans="1:15" ht="15" customHeight="1">
      <c r="A574" s="3">
        <f t="shared" si="10"/>
        <v>573</v>
      </c>
      <c r="B574" s="41" t="s">
        <v>1282</v>
      </c>
      <c r="C574" s="3">
        <v>7754848898</v>
      </c>
      <c r="D574" s="6"/>
      <c r="E574" s="3" t="s">
        <v>79</v>
      </c>
      <c r="F574" s="68" t="s">
        <v>1283</v>
      </c>
      <c r="G574" s="2" t="s">
        <v>708</v>
      </c>
      <c r="H574" s="27" t="s">
        <v>305</v>
      </c>
      <c r="I574" s="37" t="s">
        <v>42</v>
      </c>
      <c r="J574" s="31">
        <v>45688</v>
      </c>
      <c r="K574" s="31">
        <v>45697</v>
      </c>
      <c r="L574" s="31"/>
      <c r="M574" s="31"/>
      <c r="N574" s="31"/>
      <c r="O574" s="2" t="s">
        <v>425</v>
      </c>
    </row>
    <row r="575" spans="1:15" ht="15" customHeight="1">
      <c r="A575" s="3">
        <f t="shared" si="10"/>
        <v>574</v>
      </c>
      <c r="B575" s="41" t="s">
        <v>1284</v>
      </c>
      <c r="C575" s="3">
        <v>7093030139</v>
      </c>
      <c r="D575" s="6"/>
      <c r="E575" s="3" t="s">
        <v>79</v>
      </c>
      <c r="F575" s="68" t="s">
        <v>1285</v>
      </c>
      <c r="G575" s="2" t="s">
        <v>764</v>
      </c>
      <c r="H575" s="27" t="s">
        <v>305</v>
      </c>
      <c r="I575" s="37" t="s">
        <v>42</v>
      </c>
      <c r="J575" s="31">
        <v>45688</v>
      </c>
      <c r="K575" s="31">
        <v>45697</v>
      </c>
      <c r="L575" s="31"/>
      <c r="M575" s="31"/>
      <c r="N575" s="31"/>
      <c r="O575" s="2" t="s">
        <v>425</v>
      </c>
    </row>
    <row r="576" spans="1:15" ht="15" customHeight="1">
      <c r="A576" s="3">
        <f t="shared" si="10"/>
        <v>575</v>
      </c>
      <c r="B576" s="41" t="s">
        <v>1286</v>
      </c>
      <c r="C576" s="3">
        <v>8815122151</v>
      </c>
      <c r="D576" s="6"/>
      <c r="E576" s="3" t="s">
        <v>90</v>
      </c>
      <c r="F576" s="68" t="s">
        <v>1287</v>
      </c>
      <c r="G576" s="2" t="s">
        <v>18</v>
      </c>
      <c r="H576" s="27" t="s">
        <v>305</v>
      </c>
      <c r="I576" s="37" t="s">
        <v>42</v>
      </c>
      <c r="J576" s="31">
        <v>45688</v>
      </c>
      <c r="K576" s="31">
        <v>45703</v>
      </c>
      <c r="L576" s="31"/>
      <c r="M576" s="31"/>
      <c r="N576" s="31"/>
      <c r="O576" s="2" t="s">
        <v>297</v>
      </c>
    </row>
    <row r="577" spans="1:15" ht="15" customHeight="1">
      <c r="A577" s="3">
        <f t="shared" si="10"/>
        <v>576</v>
      </c>
      <c r="B577" s="41" t="s">
        <v>1288</v>
      </c>
      <c r="C577" s="3">
        <v>8178659323</v>
      </c>
      <c r="D577" s="6"/>
      <c r="E577" s="3" t="s">
        <v>90</v>
      </c>
      <c r="F577" s="68" t="s">
        <v>1287</v>
      </c>
      <c r="G577" s="2" t="s">
        <v>424</v>
      </c>
      <c r="H577" s="27" t="s">
        <v>305</v>
      </c>
      <c r="I577" s="37" t="s">
        <v>42</v>
      </c>
      <c r="J577" s="31">
        <v>45688</v>
      </c>
      <c r="K577" s="31">
        <v>45697</v>
      </c>
      <c r="L577" s="31"/>
      <c r="M577" s="31"/>
      <c r="N577" s="31"/>
      <c r="O577" s="2" t="s">
        <v>425</v>
      </c>
    </row>
    <row r="578" spans="1:15" ht="15" customHeight="1">
      <c r="A578" s="3">
        <f t="shared" si="10"/>
        <v>577</v>
      </c>
      <c r="B578" s="41" t="s">
        <v>1289</v>
      </c>
      <c r="C578" s="3">
        <v>9440594407</v>
      </c>
      <c r="D578" s="6"/>
      <c r="E578" s="3" t="s">
        <v>1032</v>
      </c>
      <c r="F578" s="68" t="s">
        <v>972</v>
      </c>
      <c r="G578" s="2" t="s">
        <v>18</v>
      </c>
      <c r="H578" s="3" t="s">
        <v>41</v>
      </c>
      <c r="I578" s="37" t="s">
        <v>42</v>
      </c>
      <c r="J578" s="31">
        <v>45687</v>
      </c>
      <c r="K578" s="31">
        <v>45687</v>
      </c>
      <c r="L578" s="31"/>
      <c r="M578" s="31"/>
      <c r="N578" s="31"/>
      <c r="O578" s="2" t="s">
        <v>749</v>
      </c>
    </row>
    <row r="579" spans="1:15" ht="15" customHeight="1">
      <c r="A579" s="3">
        <f t="shared" si="10"/>
        <v>578</v>
      </c>
      <c r="B579" s="41" t="s">
        <v>1290</v>
      </c>
      <c r="C579" s="3">
        <v>7565004895</v>
      </c>
      <c r="D579" s="6"/>
      <c r="E579" s="3" t="s">
        <v>48</v>
      </c>
      <c r="F579" s="68" t="s">
        <v>1257</v>
      </c>
      <c r="G579" s="2" t="s">
        <v>18</v>
      </c>
      <c r="H579" s="3" t="s">
        <v>41</v>
      </c>
      <c r="I579" s="37" t="s">
        <v>42</v>
      </c>
      <c r="J579" s="31">
        <v>45687</v>
      </c>
      <c r="K579" s="31"/>
      <c r="L579" s="31"/>
      <c r="M579" s="31"/>
      <c r="N579" s="31"/>
      <c r="O579" s="2" t="s">
        <v>297</v>
      </c>
    </row>
    <row r="580" spans="1:15" ht="15" customHeight="1">
      <c r="A580" s="3">
        <f t="shared" si="10"/>
        <v>579</v>
      </c>
      <c r="B580" s="41" t="s">
        <v>1291</v>
      </c>
      <c r="C580" s="3">
        <v>9353085378</v>
      </c>
      <c r="D580" s="6"/>
      <c r="E580" s="3" t="s">
        <v>672</v>
      </c>
      <c r="F580" s="68" t="s">
        <v>1199</v>
      </c>
      <c r="G580" s="2" t="s">
        <v>18</v>
      </c>
      <c r="H580" s="3" t="s">
        <v>41</v>
      </c>
      <c r="I580" s="37" t="s">
        <v>42</v>
      </c>
      <c r="J580" s="31">
        <v>45687</v>
      </c>
      <c r="K580" s="31"/>
      <c r="L580" s="31"/>
      <c r="M580" s="31"/>
      <c r="N580" s="31"/>
      <c r="O580" s="2" t="s">
        <v>1004</v>
      </c>
    </row>
    <row r="581" spans="1:15" ht="15" customHeight="1">
      <c r="A581" s="3">
        <f t="shared" si="10"/>
        <v>580</v>
      </c>
      <c r="B581" s="41" t="s">
        <v>1292</v>
      </c>
      <c r="C581" s="3">
        <v>7019288467</v>
      </c>
      <c r="D581" s="6"/>
      <c r="E581" s="3" t="s">
        <v>56</v>
      </c>
      <c r="F581" s="68" t="s">
        <v>710</v>
      </c>
      <c r="G581" s="2" t="s">
        <v>424</v>
      </c>
      <c r="H581" s="3" t="s">
        <v>41</v>
      </c>
      <c r="I581" s="37" t="s">
        <v>42</v>
      </c>
      <c r="J581" s="31">
        <v>45687</v>
      </c>
      <c r="K581" s="31">
        <v>45695</v>
      </c>
      <c r="L581" s="31"/>
      <c r="M581" s="31"/>
      <c r="N581" s="31"/>
      <c r="O581" s="2" t="s">
        <v>425</v>
      </c>
    </row>
    <row r="582" spans="1:15">
      <c r="A582" s="3">
        <f t="shared" si="10"/>
        <v>581</v>
      </c>
      <c r="B582" s="41" t="s">
        <v>1293</v>
      </c>
      <c r="C582" s="3"/>
      <c r="D582" s="6"/>
      <c r="E582" s="3" t="s">
        <v>1294</v>
      </c>
      <c r="F582" s="68" t="s">
        <v>1295</v>
      </c>
      <c r="G582" s="2" t="s">
        <v>16</v>
      </c>
      <c r="H582" s="2" t="s">
        <v>1296</v>
      </c>
      <c r="I582" s="37" t="s">
        <v>88</v>
      </c>
      <c r="J582" s="31">
        <v>45680</v>
      </c>
      <c r="K582" s="31">
        <v>45680</v>
      </c>
      <c r="L582" s="31">
        <v>45680</v>
      </c>
      <c r="M582" s="31">
        <v>45680</v>
      </c>
      <c r="N582" s="31">
        <v>45680</v>
      </c>
      <c r="O582" s="2" t="s">
        <v>297</v>
      </c>
    </row>
    <row r="583" spans="1:15">
      <c r="A583" s="3">
        <f t="shared" si="10"/>
        <v>582</v>
      </c>
      <c r="B583" s="41" t="s">
        <v>1297</v>
      </c>
      <c r="C583" s="3"/>
      <c r="D583" s="6"/>
      <c r="E583" s="3" t="s">
        <v>594</v>
      </c>
      <c r="F583" s="68" t="s">
        <v>1298</v>
      </c>
      <c r="G583" s="2" t="s">
        <v>16</v>
      </c>
      <c r="H583" s="2" t="s">
        <v>87</v>
      </c>
      <c r="I583" s="37" t="s">
        <v>88</v>
      </c>
      <c r="J583" s="31">
        <v>45660</v>
      </c>
      <c r="K583" s="31">
        <v>45660</v>
      </c>
      <c r="L583" s="31">
        <v>45660</v>
      </c>
      <c r="M583" s="31">
        <v>45660</v>
      </c>
      <c r="N583" s="31">
        <v>45660</v>
      </c>
      <c r="O583" s="2" t="s">
        <v>297</v>
      </c>
    </row>
    <row r="584" spans="1:15">
      <c r="A584" s="3">
        <f t="shared" si="10"/>
        <v>583</v>
      </c>
      <c r="B584" s="41" t="s">
        <v>1299</v>
      </c>
      <c r="C584" s="3">
        <v>9870745554</v>
      </c>
      <c r="D584" s="6">
        <v>8126887868</v>
      </c>
      <c r="E584" s="3" t="s">
        <v>883</v>
      </c>
      <c r="F584" s="68" t="s">
        <v>651</v>
      </c>
      <c r="G584" s="2" t="s">
        <v>764</v>
      </c>
      <c r="H584" s="3" t="s">
        <v>162</v>
      </c>
      <c r="I584" s="37" t="s">
        <v>88</v>
      </c>
      <c r="J584" s="31">
        <v>45691</v>
      </c>
      <c r="K584" s="31">
        <v>45700</v>
      </c>
      <c r="L584" s="31"/>
      <c r="M584" s="31"/>
      <c r="N584" s="31"/>
      <c r="O584" s="2" t="s">
        <v>425</v>
      </c>
    </row>
    <row r="585" spans="1:15">
      <c r="A585" s="3">
        <f t="shared" si="10"/>
        <v>584</v>
      </c>
      <c r="B585" s="41" t="s">
        <v>1300</v>
      </c>
      <c r="C585" s="3">
        <v>8953620879</v>
      </c>
      <c r="D585" s="6"/>
      <c r="E585" s="3" t="s">
        <v>1301</v>
      </c>
      <c r="F585" s="41" t="s">
        <v>1302</v>
      </c>
      <c r="G585" s="2" t="s">
        <v>424</v>
      </c>
      <c r="H585" s="3" t="s">
        <v>788</v>
      </c>
      <c r="I585" s="37" t="s">
        <v>88</v>
      </c>
      <c r="J585" s="31">
        <v>45691</v>
      </c>
      <c r="K585" s="31">
        <v>45708</v>
      </c>
      <c r="L585" s="31"/>
      <c r="M585" s="31"/>
      <c r="N585" s="31"/>
      <c r="O585" s="2" t="s">
        <v>425</v>
      </c>
    </row>
    <row r="586" spans="1:15">
      <c r="A586" s="3">
        <f t="shared" si="10"/>
        <v>585</v>
      </c>
      <c r="B586" s="41" t="s">
        <v>1303</v>
      </c>
      <c r="C586" s="27">
        <v>9492900317</v>
      </c>
      <c r="D586" s="6"/>
      <c r="E586" s="3" t="s">
        <v>1301</v>
      </c>
      <c r="F586" s="41" t="s">
        <v>1304</v>
      </c>
      <c r="G586" s="2" t="s">
        <v>424</v>
      </c>
      <c r="H586" s="3" t="s">
        <v>788</v>
      </c>
      <c r="I586" s="37" t="s">
        <v>88</v>
      </c>
      <c r="J586" s="31">
        <v>45691</v>
      </c>
      <c r="K586" s="31">
        <v>45708</v>
      </c>
      <c r="L586" s="31"/>
      <c r="M586" s="31"/>
      <c r="N586" s="31"/>
      <c r="O586" s="2" t="s">
        <v>425</v>
      </c>
    </row>
    <row r="587" spans="1:15">
      <c r="A587" s="3">
        <f t="shared" si="10"/>
        <v>586</v>
      </c>
      <c r="B587" s="42" t="s">
        <v>1305</v>
      </c>
      <c r="C587" s="27">
        <v>9948526002</v>
      </c>
      <c r="D587" s="6"/>
      <c r="E587" s="3" t="s">
        <v>1306</v>
      </c>
      <c r="F587" s="42" t="s">
        <v>1307</v>
      </c>
      <c r="G587" s="3" t="s">
        <v>16</v>
      </c>
      <c r="H587" s="3" t="s">
        <v>361</v>
      </c>
      <c r="I587" s="37" t="s">
        <v>88</v>
      </c>
      <c r="J587" s="31">
        <v>45692</v>
      </c>
      <c r="K587" s="31">
        <v>45692</v>
      </c>
      <c r="L587" s="31">
        <v>45694</v>
      </c>
      <c r="M587" s="31">
        <v>45729</v>
      </c>
      <c r="N587" s="31">
        <v>45729</v>
      </c>
      <c r="O587" s="2" t="s">
        <v>297</v>
      </c>
    </row>
    <row r="588" spans="1:15">
      <c r="A588" s="3">
        <f t="shared" si="10"/>
        <v>587</v>
      </c>
      <c r="B588" s="42" t="s">
        <v>1308</v>
      </c>
      <c r="C588" s="27">
        <v>9581384387</v>
      </c>
      <c r="D588" s="6"/>
      <c r="E588" s="3" t="s">
        <v>1309</v>
      </c>
      <c r="F588" s="42" t="s">
        <v>1310</v>
      </c>
      <c r="G588" s="3" t="s">
        <v>424</v>
      </c>
      <c r="H588" s="2" t="s">
        <v>487</v>
      </c>
      <c r="I588" s="37" t="s">
        <v>42</v>
      </c>
      <c r="J588" s="31">
        <v>45692</v>
      </c>
      <c r="K588" s="31">
        <v>45692</v>
      </c>
      <c r="L588" s="31"/>
      <c r="M588" s="31"/>
      <c r="N588" s="31"/>
      <c r="O588" s="3" t="s">
        <v>425</v>
      </c>
    </row>
    <row r="589" spans="1:15" ht="15.6">
      <c r="A589" s="3">
        <f t="shared" si="10"/>
        <v>588</v>
      </c>
      <c r="B589" s="69" t="s">
        <v>1311</v>
      </c>
      <c r="C589" s="27">
        <v>7398480325</v>
      </c>
      <c r="D589" s="6"/>
      <c r="E589" s="29" t="s">
        <v>538</v>
      </c>
      <c r="F589" s="70" t="s">
        <v>1312</v>
      </c>
      <c r="G589" s="3" t="s">
        <v>18</v>
      </c>
      <c r="H589" s="2" t="s">
        <v>305</v>
      </c>
      <c r="I589" s="37" t="s">
        <v>94</v>
      </c>
      <c r="J589" s="31">
        <v>45692</v>
      </c>
      <c r="K589" s="31">
        <v>45703</v>
      </c>
      <c r="L589" s="31"/>
      <c r="M589" s="31"/>
      <c r="N589" s="31"/>
      <c r="O589" s="2" t="s">
        <v>297</v>
      </c>
    </row>
    <row r="590" spans="1:15" ht="15.6">
      <c r="A590" s="3">
        <f t="shared" si="10"/>
        <v>589</v>
      </c>
      <c r="B590" s="69" t="s">
        <v>1313</v>
      </c>
      <c r="C590" s="27">
        <v>9182118987</v>
      </c>
      <c r="D590" s="6"/>
      <c r="E590" s="29" t="s">
        <v>538</v>
      </c>
      <c r="F590" s="70" t="s">
        <v>419</v>
      </c>
      <c r="G590" s="3" t="s">
        <v>16</v>
      </c>
      <c r="H590" s="2" t="s">
        <v>305</v>
      </c>
      <c r="I590" s="37" t="s">
        <v>94</v>
      </c>
      <c r="J590" s="31">
        <v>45692</v>
      </c>
      <c r="K590" s="31">
        <v>45703</v>
      </c>
      <c r="L590" s="31">
        <v>45709</v>
      </c>
      <c r="M590" s="31">
        <v>45754</v>
      </c>
      <c r="N590" s="31">
        <v>45754</v>
      </c>
      <c r="O590" s="2" t="s">
        <v>297</v>
      </c>
    </row>
    <row r="591" spans="1:15" ht="15.6">
      <c r="A591" s="3">
        <f t="shared" si="10"/>
        <v>590</v>
      </c>
      <c r="B591" s="69" t="s">
        <v>1314</v>
      </c>
      <c r="C591" s="27">
        <v>8969220263</v>
      </c>
      <c r="D591" s="6"/>
      <c r="E591" s="29" t="s">
        <v>538</v>
      </c>
      <c r="F591" s="70" t="s">
        <v>419</v>
      </c>
      <c r="G591" s="3" t="s">
        <v>16</v>
      </c>
      <c r="H591" s="2" t="s">
        <v>305</v>
      </c>
      <c r="I591" s="37" t="s">
        <v>94</v>
      </c>
      <c r="J591" s="31">
        <v>45692</v>
      </c>
      <c r="K591" s="31">
        <v>45703</v>
      </c>
      <c r="L591" s="31">
        <v>45772</v>
      </c>
      <c r="M591" s="31">
        <v>45809</v>
      </c>
      <c r="N591" s="31">
        <v>45816</v>
      </c>
      <c r="O591" s="2" t="s">
        <v>297</v>
      </c>
    </row>
    <row r="592" spans="1:15" ht="15.6">
      <c r="A592" s="3">
        <f t="shared" si="10"/>
        <v>591</v>
      </c>
      <c r="B592" s="69" t="s">
        <v>1315</v>
      </c>
      <c r="C592" s="27">
        <v>9511866285</v>
      </c>
      <c r="D592" s="6">
        <v>9545840800</v>
      </c>
      <c r="E592" s="29" t="s">
        <v>322</v>
      </c>
      <c r="F592" s="70" t="s">
        <v>419</v>
      </c>
      <c r="G592" s="3" t="s">
        <v>16</v>
      </c>
      <c r="H592" s="2" t="s">
        <v>305</v>
      </c>
      <c r="I592" s="37" t="s">
        <v>94</v>
      </c>
      <c r="J592" s="31">
        <v>45692</v>
      </c>
      <c r="K592" s="31">
        <v>45702</v>
      </c>
      <c r="L592" s="31">
        <v>45734</v>
      </c>
      <c r="M592" s="31">
        <v>45765</v>
      </c>
      <c r="N592" s="31">
        <v>45765</v>
      </c>
      <c r="O592" s="2" t="s">
        <v>297</v>
      </c>
    </row>
    <row r="593" spans="1:15" ht="15.6">
      <c r="A593" s="3">
        <f t="shared" si="10"/>
        <v>592</v>
      </c>
      <c r="B593" s="69" t="s">
        <v>1316</v>
      </c>
      <c r="C593" s="27">
        <v>8793600406</v>
      </c>
      <c r="D593" s="6"/>
      <c r="E593" s="29" t="s">
        <v>538</v>
      </c>
      <c r="F593" s="70" t="s">
        <v>419</v>
      </c>
      <c r="G593" s="3" t="s">
        <v>18</v>
      </c>
      <c r="H593" s="2" t="s">
        <v>305</v>
      </c>
      <c r="I593" s="37" t="s">
        <v>94</v>
      </c>
      <c r="J593" s="31">
        <v>45692</v>
      </c>
      <c r="K593" s="31">
        <v>45703</v>
      </c>
      <c r="L593" s="31"/>
      <c r="M593" s="31"/>
      <c r="N593" s="31"/>
      <c r="O593" s="2" t="s">
        <v>425</v>
      </c>
    </row>
    <row r="594" spans="1:15" ht="15.6">
      <c r="A594" s="3">
        <f t="shared" si="10"/>
        <v>593</v>
      </c>
      <c r="B594" s="69" t="s">
        <v>1317</v>
      </c>
      <c r="C594" s="27">
        <v>7001768547</v>
      </c>
      <c r="D594" s="6"/>
      <c r="E594" s="29" t="s">
        <v>1318</v>
      </c>
      <c r="F594" s="70" t="s">
        <v>419</v>
      </c>
      <c r="G594" s="3" t="s">
        <v>330</v>
      </c>
      <c r="H594" s="2" t="s">
        <v>305</v>
      </c>
      <c r="I594" s="37" t="s">
        <v>94</v>
      </c>
      <c r="J594" s="31">
        <v>45692</v>
      </c>
      <c r="K594" s="31">
        <v>45703</v>
      </c>
      <c r="L594" s="31">
        <v>45716</v>
      </c>
      <c r="M594" s="31">
        <v>45744</v>
      </c>
      <c r="N594" s="31">
        <v>45755</v>
      </c>
      <c r="O594" s="2" t="s">
        <v>297</v>
      </c>
    </row>
    <row r="595" spans="1:15" ht="15.6">
      <c r="A595" s="3">
        <f t="shared" si="10"/>
        <v>594</v>
      </c>
      <c r="B595" s="69" t="s">
        <v>1319</v>
      </c>
      <c r="C595" s="27">
        <v>9804358104</v>
      </c>
      <c r="D595" s="6"/>
      <c r="E595" s="29" t="s">
        <v>1318</v>
      </c>
      <c r="F595" s="70" t="s">
        <v>419</v>
      </c>
      <c r="G595" s="3" t="s">
        <v>416</v>
      </c>
      <c r="H595" s="2" t="s">
        <v>305</v>
      </c>
      <c r="I595" s="37" t="s">
        <v>94</v>
      </c>
      <c r="J595" s="31">
        <v>45692</v>
      </c>
      <c r="K595" s="31">
        <v>45704</v>
      </c>
      <c r="L595" s="31"/>
      <c r="M595" s="31"/>
      <c r="N595" s="31"/>
      <c r="O595" s="2" t="s">
        <v>297</v>
      </c>
    </row>
    <row r="596" spans="1:15" ht="15.6">
      <c r="A596" s="3">
        <f t="shared" si="10"/>
        <v>595</v>
      </c>
      <c r="B596" s="69" t="s">
        <v>1320</v>
      </c>
      <c r="C596" s="27">
        <v>9708709100</v>
      </c>
      <c r="D596" s="6"/>
      <c r="E596" s="29" t="s">
        <v>1318</v>
      </c>
      <c r="F596" s="70" t="s">
        <v>1312</v>
      </c>
      <c r="G596" s="3" t="s">
        <v>16</v>
      </c>
      <c r="H596" s="2" t="s">
        <v>305</v>
      </c>
      <c r="I596" s="37" t="s">
        <v>94</v>
      </c>
      <c r="J596" s="31">
        <v>45692</v>
      </c>
      <c r="K596" s="31">
        <v>45677</v>
      </c>
      <c r="L596" s="31">
        <v>45716</v>
      </c>
      <c r="M596" s="31">
        <v>45789</v>
      </c>
      <c r="N596" s="31">
        <v>45787</v>
      </c>
      <c r="O596" s="2" t="s">
        <v>297</v>
      </c>
    </row>
    <row r="597" spans="1:15" ht="15.6">
      <c r="A597" s="3">
        <f t="shared" si="10"/>
        <v>596</v>
      </c>
      <c r="B597" s="69" t="s">
        <v>1321</v>
      </c>
      <c r="C597" s="27">
        <v>8317638764</v>
      </c>
      <c r="D597" s="6"/>
      <c r="E597" s="29" t="s">
        <v>1318</v>
      </c>
      <c r="F597" s="70" t="s">
        <v>1312</v>
      </c>
      <c r="G597" s="3" t="s">
        <v>295</v>
      </c>
      <c r="H597" s="2" t="s">
        <v>305</v>
      </c>
      <c r="I597" s="37" t="s">
        <v>94</v>
      </c>
      <c r="J597" s="31">
        <v>45692</v>
      </c>
      <c r="K597" s="31">
        <v>45700</v>
      </c>
      <c r="L597" s="31">
        <v>45734</v>
      </c>
      <c r="M597" s="31">
        <v>45761</v>
      </c>
      <c r="N597" s="31"/>
      <c r="O597" s="2" t="s">
        <v>297</v>
      </c>
    </row>
    <row r="598" spans="1:15" ht="15.6">
      <c r="A598" s="3">
        <f t="shared" si="10"/>
        <v>597</v>
      </c>
      <c r="B598" s="69" t="s">
        <v>1322</v>
      </c>
      <c r="C598" s="27">
        <v>8085713394</v>
      </c>
      <c r="D598" s="6"/>
      <c r="E598" s="29" t="s">
        <v>538</v>
      </c>
      <c r="F598" s="70" t="s">
        <v>419</v>
      </c>
      <c r="G598" s="3" t="s">
        <v>295</v>
      </c>
      <c r="H598" s="2" t="s">
        <v>305</v>
      </c>
      <c r="I598" s="37" t="s">
        <v>94</v>
      </c>
      <c r="J598" s="31">
        <v>45692</v>
      </c>
      <c r="K598" s="31">
        <v>45703</v>
      </c>
      <c r="L598" s="31">
        <v>45716</v>
      </c>
      <c r="M598" s="31">
        <v>45768</v>
      </c>
      <c r="N598" s="31"/>
      <c r="O598" s="2" t="s">
        <v>297</v>
      </c>
    </row>
    <row r="599" spans="1:15" ht="15.6">
      <c r="A599" s="3">
        <f t="shared" si="10"/>
        <v>598</v>
      </c>
      <c r="B599" s="106" t="s">
        <v>1323</v>
      </c>
      <c r="C599" s="27">
        <v>8887918280</v>
      </c>
      <c r="D599" s="6"/>
      <c r="E599" s="29" t="s">
        <v>1318</v>
      </c>
      <c r="F599" s="70" t="s">
        <v>419</v>
      </c>
      <c r="G599" s="3" t="s">
        <v>295</v>
      </c>
      <c r="H599" s="2" t="s">
        <v>305</v>
      </c>
      <c r="I599" s="37" t="s">
        <v>94</v>
      </c>
      <c r="J599" s="31">
        <v>45692</v>
      </c>
      <c r="K599" s="31">
        <v>45703</v>
      </c>
      <c r="L599" s="31">
        <v>45716</v>
      </c>
      <c r="M599" s="31">
        <v>45744</v>
      </c>
      <c r="N599" s="31"/>
      <c r="O599" s="2" t="s">
        <v>297</v>
      </c>
    </row>
    <row r="600" spans="1:15" ht="15.6">
      <c r="A600" s="3">
        <f t="shared" si="10"/>
        <v>599</v>
      </c>
      <c r="B600" s="107" t="s">
        <v>1324</v>
      </c>
      <c r="C600" s="27">
        <v>8446061469</v>
      </c>
      <c r="D600" s="6"/>
      <c r="E600" s="29" t="s">
        <v>418</v>
      </c>
      <c r="F600" s="70" t="s">
        <v>419</v>
      </c>
      <c r="G600" s="3" t="s">
        <v>416</v>
      </c>
      <c r="H600" s="2" t="s">
        <v>305</v>
      </c>
      <c r="I600" s="37" t="s">
        <v>94</v>
      </c>
      <c r="J600" s="31">
        <v>45692</v>
      </c>
      <c r="K600" s="31">
        <v>45701</v>
      </c>
      <c r="L600" s="31"/>
      <c r="M600" s="31"/>
      <c r="N600" s="31"/>
      <c r="O600" s="2" t="s">
        <v>297</v>
      </c>
    </row>
    <row r="601" spans="1:15" ht="15.6">
      <c r="A601" s="3">
        <f t="shared" si="10"/>
        <v>600</v>
      </c>
      <c r="B601" s="69" t="s">
        <v>1325</v>
      </c>
      <c r="C601" s="27">
        <v>8554088142</v>
      </c>
      <c r="D601" s="6"/>
      <c r="E601" s="29" t="s">
        <v>421</v>
      </c>
      <c r="F601" s="70" t="s">
        <v>419</v>
      </c>
      <c r="G601" s="3" t="s">
        <v>295</v>
      </c>
      <c r="H601" s="2" t="s">
        <v>305</v>
      </c>
      <c r="I601" s="37" t="s">
        <v>94</v>
      </c>
      <c r="J601" s="31">
        <v>45692</v>
      </c>
      <c r="K601" s="31">
        <v>45702</v>
      </c>
      <c r="L601" s="31">
        <v>45723</v>
      </c>
      <c r="M601" s="31">
        <v>45754</v>
      </c>
      <c r="N601" s="31"/>
      <c r="O601" s="2" t="s">
        <v>297</v>
      </c>
    </row>
    <row r="602" spans="1:15" ht="15.6">
      <c r="A602" s="3">
        <f t="shared" si="10"/>
        <v>601</v>
      </c>
      <c r="B602" s="69" t="s">
        <v>1326</v>
      </c>
      <c r="C602" s="27">
        <v>7083383649</v>
      </c>
      <c r="D602" s="6"/>
      <c r="E602" s="29" t="s">
        <v>559</v>
      </c>
      <c r="F602" s="70" t="s">
        <v>419</v>
      </c>
      <c r="G602" s="3" t="s">
        <v>416</v>
      </c>
      <c r="H602" s="2" t="s">
        <v>305</v>
      </c>
      <c r="I602" s="37" t="s">
        <v>94</v>
      </c>
      <c r="J602" s="31">
        <v>45692</v>
      </c>
      <c r="K602" s="31">
        <v>45702</v>
      </c>
      <c r="L602" s="31"/>
      <c r="M602" s="31"/>
      <c r="N602" s="31"/>
      <c r="O602" s="2" t="s">
        <v>297</v>
      </c>
    </row>
    <row r="603" spans="1:15">
      <c r="A603" s="3">
        <f t="shared" si="10"/>
        <v>602</v>
      </c>
      <c r="B603" s="68" t="s">
        <v>1327</v>
      </c>
      <c r="C603" s="27">
        <v>9006196517</v>
      </c>
      <c r="D603" s="6"/>
      <c r="E603" s="3" t="s">
        <v>1328</v>
      </c>
      <c r="F603" s="68" t="s">
        <v>360</v>
      </c>
      <c r="G603" s="3" t="s">
        <v>16</v>
      </c>
      <c r="H603" s="3" t="s">
        <v>361</v>
      </c>
      <c r="I603" s="37" t="s">
        <v>94</v>
      </c>
      <c r="J603" s="31">
        <v>45692</v>
      </c>
      <c r="K603" s="31">
        <v>45698</v>
      </c>
      <c r="L603" s="31">
        <v>45709</v>
      </c>
      <c r="M603" s="31">
        <v>45742</v>
      </c>
      <c r="N603" s="31">
        <v>45742</v>
      </c>
      <c r="O603" s="2" t="s">
        <v>297</v>
      </c>
    </row>
    <row r="604" spans="1:15">
      <c r="A604" s="3">
        <f t="shared" si="10"/>
        <v>603</v>
      </c>
      <c r="B604" s="68" t="s">
        <v>1329</v>
      </c>
      <c r="C604" s="27">
        <v>8249292099</v>
      </c>
      <c r="D604" s="6"/>
      <c r="E604" s="3" t="s">
        <v>1330</v>
      </c>
      <c r="F604" s="68" t="s">
        <v>360</v>
      </c>
      <c r="G604" s="3" t="s">
        <v>16</v>
      </c>
      <c r="H604" s="3" t="s">
        <v>361</v>
      </c>
      <c r="I604" s="37" t="s">
        <v>94</v>
      </c>
      <c r="J604" s="31">
        <v>45692</v>
      </c>
      <c r="K604" s="31">
        <v>45696</v>
      </c>
      <c r="L604" s="31">
        <v>45716</v>
      </c>
      <c r="M604" s="31">
        <v>45744</v>
      </c>
      <c r="N604" s="31">
        <v>45750</v>
      </c>
      <c r="O604" s="2" t="s">
        <v>297</v>
      </c>
    </row>
    <row r="605" spans="1:15">
      <c r="A605" s="3">
        <f t="shared" si="10"/>
        <v>604</v>
      </c>
      <c r="B605" s="68" t="s">
        <v>1331</v>
      </c>
      <c r="C605" s="27">
        <v>9005006181</v>
      </c>
      <c r="D605" s="6"/>
      <c r="E605" s="3" t="s">
        <v>1332</v>
      </c>
      <c r="F605" s="68" t="s">
        <v>360</v>
      </c>
      <c r="G605" s="3" t="s">
        <v>764</v>
      </c>
      <c r="H605" s="3" t="s">
        <v>361</v>
      </c>
      <c r="I605" s="37" t="s">
        <v>94</v>
      </c>
      <c r="J605" s="31">
        <v>45692</v>
      </c>
      <c r="K605" s="31">
        <v>45722</v>
      </c>
      <c r="L605" s="31"/>
      <c r="M605" s="31"/>
      <c r="N605" s="31"/>
      <c r="O605" s="2" t="s">
        <v>425</v>
      </c>
    </row>
    <row r="606" spans="1:15">
      <c r="A606" s="3">
        <f t="shared" si="10"/>
        <v>605</v>
      </c>
      <c r="B606" s="68" t="s">
        <v>1333</v>
      </c>
      <c r="C606" s="27">
        <v>8114510142</v>
      </c>
      <c r="D606" s="6"/>
      <c r="E606" s="3" t="s">
        <v>1332</v>
      </c>
      <c r="F606" s="68" t="s">
        <v>360</v>
      </c>
      <c r="G606" s="3" t="s">
        <v>295</v>
      </c>
      <c r="H606" s="3" t="s">
        <v>361</v>
      </c>
      <c r="I606" s="37" t="s">
        <v>94</v>
      </c>
      <c r="J606" s="31">
        <v>45692</v>
      </c>
      <c r="K606" s="31">
        <v>45698</v>
      </c>
      <c r="L606" s="31">
        <v>45716</v>
      </c>
      <c r="M606" s="31">
        <v>45744</v>
      </c>
      <c r="N606" s="31"/>
      <c r="O606" s="2" t="s">
        <v>297</v>
      </c>
    </row>
    <row r="607" spans="1:15">
      <c r="A607" s="3">
        <f t="shared" si="10"/>
        <v>606</v>
      </c>
      <c r="B607" s="68" t="s">
        <v>535</v>
      </c>
      <c r="C607" s="27">
        <v>9971046057</v>
      </c>
      <c r="D607" s="6"/>
      <c r="E607" s="3" t="s">
        <v>1330</v>
      </c>
      <c r="F607" s="68" t="s">
        <v>1077</v>
      </c>
      <c r="G607" s="3" t="s">
        <v>416</v>
      </c>
      <c r="H607" s="3" t="s">
        <v>361</v>
      </c>
      <c r="I607" s="37" t="s">
        <v>94</v>
      </c>
      <c r="J607" s="31">
        <v>45692</v>
      </c>
      <c r="K607" s="31">
        <v>45696</v>
      </c>
      <c r="L607" s="31"/>
      <c r="M607" s="31"/>
      <c r="N607" s="31"/>
      <c r="O607" s="2" t="s">
        <v>297</v>
      </c>
    </row>
    <row r="608" spans="1:15">
      <c r="A608" s="3">
        <f t="shared" si="10"/>
        <v>607</v>
      </c>
      <c r="B608" s="68" t="s">
        <v>1334</v>
      </c>
      <c r="C608" s="27">
        <v>8737886060</v>
      </c>
      <c r="D608" s="6"/>
      <c r="E608" s="3" t="s">
        <v>1330</v>
      </c>
      <c r="F608" s="68" t="s">
        <v>1077</v>
      </c>
      <c r="G608" s="3" t="s">
        <v>18</v>
      </c>
      <c r="H608" s="3" t="s">
        <v>361</v>
      </c>
      <c r="I608" s="37" t="s">
        <v>94</v>
      </c>
      <c r="J608" s="31">
        <v>45692</v>
      </c>
      <c r="K608" s="31"/>
      <c r="L608" s="31"/>
      <c r="M608" s="31"/>
      <c r="N608" s="31"/>
      <c r="O608" s="2" t="s">
        <v>297</v>
      </c>
    </row>
    <row r="609" spans="1:15">
      <c r="A609" s="3">
        <f t="shared" si="10"/>
        <v>608</v>
      </c>
      <c r="B609" s="41" t="s">
        <v>1335</v>
      </c>
      <c r="C609" s="3">
        <v>8500271790</v>
      </c>
      <c r="D609" s="6"/>
      <c r="E609" s="3" t="s">
        <v>335</v>
      </c>
      <c r="F609" s="68" t="s">
        <v>456</v>
      </c>
      <c r="G609" s="3" t="s">
        <v>424</v>
      </c>
      <c r="H609" s="2" t="s">
        <v>296</v>
      </c>
      <c r="I609" s="37" t="s">
        <v>94</v>
      </c>
      <c r="J609" s="31">
        <v>45692</v>
      </c>
      <c r="K609" s="31">
        <v>45698</v>
      </c>
      <c r="L609" s="31"/>
      <c r="M609" s="31"/>
      <c r="N609" s="31"/>
      <c r="O609" s="3" t="s">
        <v>425</v>
      </c>
    </row>
    <row r="610" spans="1:15">
      <c r="A610" s="3">
        <f t="shared" si="10"/>
        <v>609</v>
      </c>
      <c r="B610" s="41" t="s">
        <v>1336</v>
      </c>
      <c r="C610" s="3">
        <v>9177333473</v>
      </c>
      <c r="D610" s="6"/>
      <c r="E610" s="3" t="s">
        <v>1086</v>
      </c>
      <c r="F610" s="68"/>
      <c r="G610" s="3" t="s">
        <v>295</v>
      </c>
      <c r="H610" s="2" t="s">
        <v>296</v>
      </c>
      <c r="I610" s="37" t="s">
        <v>94</v>
      </c>
      <c r="J610" s="31">
        <v>45692</v>
      </c>
      <c r="K610" s="31">
        <v>45709</v>
      </c>
      <c r="L610" s="31">
        <v>45744</v>
      </c>
      <c r="M610" s="31">
        <v>45775</v>
      </c>
      <c r="N610" s="31"/>
      <c r="O610" s="3" t="s">
        <v>297</v>
      </c>
    </row>
    <row r="611" spans="1:15">
      <c r="A611" s="3">
        <f t="shared" si="10"/>
        <v>610</v>
      </c>
      <c r="B611" s="41" t="s">
        <v>1337</v>
      </c>
      <c r="C611" s="3">
        <v>7573060953</v>
      </c>
      <c r="D611" s="6"/>
      <c r="E611" s="43" t="s">
        <v>632</v>
      </c>
      <c r="F611" s="68" t="s">
        <v>277</v>
      </c>
      <c r="G611" s="3" t="s">
        <v>424</v>
      </c>
      <c r="H611" s="3" t="s">
        <v>630</v>
      </c>
      <c r="I611" s="37" t="s">
        <v>94</v>
      </c>
      <c r="J611" s="31">
        <v>45692</v>
      </c>
      <c r="K611" s="31">
        <v>45709</v>
      </c>
      <c r="L611" s="31"/>
      <c r="M611" s="31"/>
      <c r="N611" s="31"/>
      <c r="O611" s="3" t="s">
        <v>425</v>
      </c>
    </row>
    <row r="612" spans="1:15">
      <c r="A612" s="3">
        <f t="shared" si="10"/>
        <v>611</v>
      </c>
      <c r="B612" s="41" t="s">
        <v>1338</v>
      </c>
      <c r="C612" s="3">
        <v>8389997143</v>
      </c>
      <c r="D612" s="6"/>
      <c r="E612" s="43" t="s">
        <v>632</v>
      </c>
      <c r="F612" s="68" t="s">
        <v>277</v>
      </c>
      <c r="G612" s="3" t="s">
        <v>18</v>
      </c>
      <c r="H612" s="3" t="s">
        <v>630</v>
      </c>
      <c r="I612" s="37" t="s">
        <v>94</v>
      </c>
      <c r="J612" s="31">
        <v>45692</v>
      </c>
      <c r="K612" s="31">
        <v>45696</v>
      </c>
      <c r="L612" s="31"/>
      <c r="M612" s="31"/>
      <c r="N612" s="31"/>
      <c r="O612" s="3" t="s">
        <v>297</v>
      </c>
    </row>
    <row r="613" spans="1:15">
      <c r="A613" s="3">
        <f t="shared" si="10"/>
        <v>612</v>
      </c>
      <c r="B613" s="41" t="s">
        <v>1339</v>
      </c>
      <c r="C613" s="3">
        <v>9761418893</v>
      </c>
      <c r="D613" s="6"/>
      <c r="E613" s="43" t="s">
        <v>635</v>
      </c>
      <c r="F613" s="68" t="s">
        <v>294</v>
      </c>
      <c r="G613" s="3" t="s">
        <v>764</v>
      </c>
      <c r="H613" s="3" t="s">
        <v>630</v>
      </c>
      <c r="I613" s="37" t="s">
        <v>94</v>
      </c>
      <c r="J613" s="31">
        <v>45692</v>
      </c>
      <c r="K613" s="31">
        <v>45699</v>
      </c>
      <c r="L613" s="31"/>
      <c r="M613" s="31"/>
      <c r="N613" s="31"/>
      <c r="O613" s="3" t="s">
        <v>425</v>
      </c>
    </row>
    <row r="614" spans="1:15">
      <c r="A614" s="3">
        <f t="shared" si="10"/>
        <v>613</v>
      </c>
      <c r="B614" s="41" t="s">
        <v>1340</v>
      </c>
      <c r="C614" s="3">
        <v>9068617003</v>
      </c>
      <c r="D614" s="6"/>
      <c r="E614" s="43" t="s">
        <v>635</v>
      </c>
      <c r="F614" s="68" t="s">
        <v>294</v>
      </c>
      <c r="G614" s="3" t="s">
        <v>424</v>
      </c>
      <c r="H614" s="3" t="s">
        <v>630</v>
      </c>
      <c r="I614" s="37" t="s">
        <v>94</v>
      </c>
      <c r="J614" s="31">
        <v>45692</v>
      </c>
      <c r="K614" s="31">
        <v>45695</v>
      </c>
      <c r="L614" s="31"/>
      <c r="M614" s="31"/>
      <c r="N614" s="31"/>
      <c r="O614" s="3" t="s">
        <v>425</v>
      </c>
    </row>
    <row r="615" spans="1:15">
      <c r="A615" s="3">
        <f t="shared" si="10"/>
        <v>614</v>
      </c>
      <c r="B615" s="41" t="s">
        <v>1341</v>
      </c>
      <c r="C615" s="3">
        <v>9515249023</v>
      </c>
      <c r="D615" s="6"/>
      <c r="E615" s="43" t="s">
        <v>635</v>
      </c>
      <c r="F615" s="68" t="s">
        <v>1342</v>
      </c>
      <c r="G615" s="3" t="s">
        <v>424</v>
      </c>
      <c r="H615" s="3" t="s">
        <v>630</v>
      </c>
      <c r="I615" s="37" t="s">
        <v>94</v>
      </c>
      <c r="J615" s="31">
        <v>45692</v>
      </c>
      <c r="K615" s="31">
        <v>45696</v>
      </c>
      <c r="L615" s="31"/>
      <c r="M615" s="31"/>
      <c r="N615" s="31"/>
      <c r="O615" s="3" t="s">
        <v>425</v>
      </c>
    </row>
    <row r="616" spans="1:15">
      <c r="A616" s="3">
        <f t="shared" si="10"/>
        <v>615</v>
      </c>
      <c r="B616" s="41" t="s">
        <v>1343</v>
      </c>
      <c r="C616" s="3">
        <v>6360074911</v>
      </c>
      <c r="D616" s="6"/>
      <c r="E616" s="43" t="s">
        <v>632</v>
      </c>
      <c r="F616" s="68" t="s">
        <v>277</v>
      </c>
      <c r="G616" s="3" t="s">
        <v>424</v>
      </c>
      <c r="H616" s="3" t="s">
        <v>630</v>
      </c>
      <c r="I616" s="37" t="s">
        <v>94</v>
      </c>
      <c r="J616" s="31">
        <v>45692</v>
      </c>
      <c r="K616" s="31">
        <v>45694</v>
      </c>
      <c r="L616" s="31"/>
      <c r="M616" s="31"/>
      <c r="N616" s="31"/>
      <c r="O616" s="3" t="s">
        <v>425</v>
      </c>
    </row>
    <row r="617" spans="1:15">
      <c r="A617" s="3">
        <f t="shared" si="10"/>
        <v>616</v>
      </c>
      <c r="B617" s="41" t="s">
        <v>1344</v>
      </c>
      <c r="C617" s="3">
        <v>8600997825</v>
      </c>
      <c r="D617" s="6"/>
      <c r="E617" s="43" t="s">
        <v>1345</v>
      </c>
      <c r="F617" s="68" t="s">
        <v>294</v>
      </c>
      <c r="G617" s="3" t="s">
        <v>424</v>
      </c>
      <c r="H617" s="3" t="s">
        <v>630</v>
      </c>
      <c r="I617" s="37" t="s">
        <v>94</v>
      </c>
      <c r="J617" s="31">
        <v>45692</v>
      </c>
      <c r="K617" s="31">
        <v>45694</v>
      </c>
      <c r="L617" s="31"/>
      <c r="M617" s="31"/>
      <c r="N617" s="31"/>
      <c r="O617" s="3" t="s">
        <v>425</v>
      </c>
    </row>
    <row r="618" spans="1:15">
      <c r="A618" s="3">
        <f t="shared" si="10"/>
        <v>617</v>
      </c>
      <c r="B618" s="41" t="s">
        <v>1346</v>
      </c>
      <c r="C618" s="3">
        <v>7082797429</v>
      </c>
      <c r="D618" s="6"/>
      <c r="E618" s="43" t="s">
        <v>1345</v>
      </c>
      <c r="F618" s="68" t="s">
        <v>294</v>
      </c>
      <c r="G618" s="3" t="s">
        <v>424</v>
      </c>
      <c r="H618" s="3" t="s">
        <v>630</v>
      </c>
      <c r="I618" s="37" t="s">
        <v>94</v>
      </c>
      <c r="J618" s="31">
        <v>45692</v>
      </c>
      <c r="K618" s="31">
        <v>45692</v>
      </c>
      <c r="L618" s="31"/>
      <c r="M618" s="31"/>
      <c r="N618" s="31"/>
      <c r="O618" s="3" t="s">
        <v>425</v>
      </c>
    </row>
    <row r="619" spans="1:15">
      <c r="A619" s="3">
        <f t="shared" si="10"/>
        <v>618</v>
      </c>
      <c r="B619" s="41" t="s">
        <v>1347</v>
      </c>
      <c r="C619" s="3">
        <v>8273949819</v>
      </c>
      <c r="D619" s="6"/>
      <c r="E619" s="43" t="s">
        <v>646</v>
      </c>
      <c r="F619" s="68" t="s">
        <v>277</v>
      </c>
      <c r="G619" s="3" t="s">
        <v>424</v>
      </c>
      <c r="H619" s="3" t="s">
        <v>630</v>
      </c>
      <c r="I619" s="37" t="s">
        <v>94</v>
      </c>
      <c r="J619" s="31">
        <v>45692</v>
      </c>
      <c r="K619" s="31">
        <v>45695</v>
      </c>
      <c r="L619" s="31"/>
      <c r="M619" s="31"/>
      <c r="N619" s="31"/>
      <c r="O619" s="3" t="s">
        <v>425</v>
      </c>
    </row>
    <row r="620" spans="1:15">
      <c r="A620" s="3">
        <f t="shared" si="10"/>
        <v>619</v>
      </c>
      <c r="B620" s="41" t="s">
        <v>1348</v>
      </c>
      <c r="C620" s="3">
        <v>8873742551</v>
      </c>
      <c r="D620" s="6"/>
      <c r="E620" s="43" t="s">
        <v>302</v>
      </c>
      <c r="F620" s="68" t="s">
        <v>612</v>
      </c>
      <c r="G620" s="3" t="s">
        <v>416</v>
      </c>
      <c r="H620" s="27" t="s">
        <v>604</v>
      </c>
      <c r="I620" s="37" t="s">
        <v>94</v>
      </c>
      <c r="J620" s="31">
        <v>45692</v>
      </c>
      <c r="K620" s="31">
        <v>45694</v>
      </c>
      <c r="L620" s="31"/>
      <c r="M620" s="31"/>
      <c r="N620" s="31"/>
      <c r="O620" s="3" t="s">
        <v>297</v>
      </c>
    </row>
    <row r="621" spans="1:15">
      <c r="A621" s="3">
        <f t="shared" si="10"/>
        <v>620</v>
      </c>
      <c r="B621" s="41" t="s">
        <v>1349</v>
      </c>
      <c r="C621" s="3">
        <v>8400971284</v>
      </c>
      <c r="D621" s="6"/>
      <c r="E621" s="43" t="s">
        <v>607</v>
      </c>
      <c r="F621" s="68" t="s">
        <v>490</v>
      </c>
      <c r="G621" s="3" t="s">
        <v>424</v>
      </c>
      <c r="H621" s="27" t="s">
        <v>604</v>
      </c>
      <c r="I621" s="37" t="s">
        <v>94</v>
      </c>
      <c r="J621" s="31">
        <v>45692</v>
      </c>
      <c r="K621" s="31">
        <v>45692</v>
      </c>
      <c r="L621" s="31"/>
      <c r="M621" s="31"/>
      <c r="N621" s="31"/>
      <c r="O621" s="3" t="s">
        <v>425</v>
      </c>
    </row>
    <row r="622" spans="1:15">
      <c r="A622" s="3">
        <f t="shared" si="10"/>
        <v>621</v>
      </c>
      <c r="B622" s="41" t="s">
        <v>1350</v>
      </c>
      <c r="C622" s="3">
        <v>8076894846</v>
      </c>
      <c r="D622" s="6"/>
      <c r="E622" s="43" t="s">
        <v>607</v>
      </c>
      <c r="F622" s="68" t="s">
        <v>303</v>
      </c>
      <c r="G622" s="3" t="s">
        <v>416</v>
      </c>
      <c r="H622" s="27" t="s">
        <v>604</v>
      </c>
      <c r="I622" s="37" t="s">
        <v>94</v>
      </c>
      <c r="J622" s="31">
        <v>45692</v>
      </c>
      <c r="K622" s="31">
        <v>45694</v>
      </c>
      <c r="L622" s="31"/>
      <c r="M622" s="31"/>
      <c r="N622" s="31"/>
      <c r="O622" s="3" t="s">
        <v>297</v>
      </c>
    </row>
    <row r="623" spans="1:15">
      <c r="A623" s="3">
        <f t="shared" si="10"/>
        <v>622</v>
      </c>
      <c r="B623" s="41" t="s">
        <v>1351</v>
      </c>
      <c r="C623" s="3">
        <v>8454893362</v>
      </c>
      <c r="D623" s="6"/>
      <c r="E623" s="43" t="s">
        <v>607</v>
      </c>
      <c r="F623" s="68" t="s">
        <v>490</v>
      </c>
      <c r="G623" s="3" t="s">
        <v>416</v>
      </c>
      <c r="H623" s="27" t="s">
        <v>604</v>
      </c>
      <c r="I623" s="37" t="s">
        <v>94</v>
      </c>
      <c r="J623" s="31">
        <v>45692</v>
      </c>
      <c r="K623" s="31">
        <v>45695</v>
      </c>
      <c r="L623" s="31"/>
      <c r="M623" s="31"/>
      <c r="N623" s="31"/>
      <c r="O623" s="3" t="s">
        <v>297</v>
      </c>
    </row>
    <row r="624" spans="1:15">
      <c r="A624" s="3">
        <f t="shared" si="10"/>
        <v>623</v>
      </c>
      <c r="B624" s="41" t="s">
        <v>1352</v>
      </c>
      <c r="C624" s="3">
        <v>7783067436</v>
      </c>
      <c r="D624" s="6"/>
      <c r="E624" s="3" t="s">
        <v>302</v>
      </c>
      <c r="F624" s="68" t="s">
        <v>490</v>
      </c>
      <c r="G624" s="3" t="s">
        <v>330</v>
      </c>
      <c r="H624" s="27" t="s">
        <v>604</v>
      </c>
      <c r="I624" s="37" t="s">
        <v>94</v>
      </c>
      <c r="J624" s="31">
        <v>45692</v>
      </c>
      <c r="K624" s="31">
        <v>45695</v>
      </c>
      <c r="L624" s="31">
        <v>45716</v>
      </c>
      <c r="M624" s="31">
        <v>45789</v>
      </c>
      <c r="N624" s="31">
        <v>45790</v>
      </c>
      <c r="O624" s="3" t="s">
        <v>297</v>
      </c>
    </row>
    <row r="625" spans="1:15">
      <c r="A625" s="3">
        <f t="shared" si="10"/>
        <v>624</v>
      </c>
      <c r="B625" s="41" t="s">
        <v>1353</v>
      </c>
      <c r="C625" s="3">
        <v>9932642161</v>
      </c>
      <c r="D625" s="6"/>
      <c r="E625" s="43" t="s">
        <v>1354</v>
      </c>
      <c r="F625" s="68" t="s">
        <v>612</v>
      </c>
      <c r="G625" s="3" t="s">
        <v>416</v>
      </c>
      <c r="H625" s="27" t="s">
        <v>604</v>
      </c>
      <c r="I625" s="37" t="s">
        <v>94</v>
      </c>
      <c r="J625" s="31">
        <v>45692</v>
      </c>
      <c r="K625" s="31">
        <v>45695</v>
      </c>
      <c r="L625" s="31"/>
      <c r="M625" s="31"/>
      <c r="N625" s="31"/>
      <c r="O625" s="3" t="s">
        <v>297</v>
      </c>
    </row>
    <row r="626" spans="1:15">
      <c r="A626" s="3">
        <f t="shared" si="10"/>
        <v>625</v>
      </c>
      <c r="B626" s="41" t="s">
        <v>1344</v>
      </c>
      <c r="C626" s="3">
        <v>8319357440</v>
      </c>
      <c r="D626" s="6"/>
      <c r="E626" s="43" t="s">
        <v>1354</v>
      </c>
      <c r="F626" s="68" t="s">
        <v>575</v>
      </c>
      <c r="G626" s="3" t="s">
        <v>18</v>
      </c>
      <c r="H626" s="27" t="s">
        <v>604</v>
      </c>
      <c r="I626" s="37" t="s">
        <v>94</v>
      </c>
      <c r="J626" s="31">
        <v>45692</v>
      </c>
      <c r="K626" s="31">
        <v>45694</v>
      </c>
      <c r="L626" s="31"/>
      <c r="M626" s="31"/>
      <c r="N626" s="31"/>
      <c r="O626" s="3" t="s">
        <v>297</v>
      </c>
    </row>
    <row r="627" spans="1:15">
      <c r="A627" s="3">
        <f t="shared" si="10"/>
        <v>626</v>
      </c>
      <c r="B627" s="41" t="s">
        <v>1355</v>
      </c>
      <c r="C627" s="3">
        <v>8709877164</v>
      </c>
      <c r="D627" s="6"/>
      <c r="E627" s="43" t="s">
        <v>1354</v>
      </c>
      <c r="F627" s="68" t="s">
        <v>612</v>
      </c>
      <c r="G627" s="3" t="s">
        <v>424</v>
      </c>
      <c r="H627" s="27" t="s">
        <v>604</v>
      </c>
      <c r="I627" s="37" t="s">
        <v>94</v>
      </c>
      <c r="J627" s="31">
        <v>45692</v>
      </c>
      <c r="K627" s="31">
        <v>45695</v>
      </c>
      <c r="L627" s="31"/>
      <c r="M627" s="31"/>
      <c r="N627" s="31"/>
      <c r="O627" s="3" t="s">
        <v>425</v>
      </c>
    </row>
    <row r="628" spans="1:15">
      <c r="A628" s="3">
        <f t="shared" si="10"/>
        <v>627</v>
      </c>
      <c r="B628" s="42" t="s">
        <v>1356</v>
      </c>
      <c r="C628" s="3">
        <v>9951934362</v>
      </c>
      <c r="D628" s="6"/>
      <c r="E628" s="3" t="s">
        <v>52</v>
      </c>
      <c r="F628" s="42" t="s">
        <v>1357</v>
      </c>
      <c r="G628" s="3" t="s">
        <v>424</v>
      </c>
      <c r="H628" s="3" t="s">
        <v>660</v>
      </c>
      <c r="I628" s="37" t="s">
        <v>42</v>
      </c>
      <c r="J628" s="31">
        <v>45692</v>
      </c>
      <c r="K628" s="31">
        <v>45696</v>
      </c>
      <c r="L628" s="31"/>
      <c r="M628" s="31"/>
      <c r="N628" s="31"/>
      <c r="O628" s="2" t="s">
        <v>749</v>
      </c>
    </row>
    <row r="629" spans="1:15">
      <c r="A629" s="3">
        <f t="shared" si="10"/>
        <v>628</v>
      </c>
      <c r="B629" s="42" t="s">
        <v>1358</v>
      </c>
      <c r="C629" s="3">
        <v>7889240443</v>
      </c>
      <c r="D629" s="6">
        <v>7309975847</v>
      </c>
      <c r="E629" s="3" t="s">
        <v>56</v>
      </c>
      <c r="F629" s="42" t="s">
        <v>1359</v>
      </c>
      <c r="G629" s="3" t="s">
        <v>764</v>
      </c>
      <c r="H629" s="3" t="s">
        <v>660</v>
      </c>
      <c r="I629" s="37" t="s">
        <v>42</v>
      </c>
      <c r="J629" s="31">
        <v>45692</v>
      </c>
      <c r="K629" s="31">
        <v>45720</v>
      </c>
      <c r="L629" s="31"/>
      <c r="M629" s="31"/>
      <c r="N629" s="31"/>
      <c r="O629" s="2" t="s">
        <v>425</v>
      </c>
    </row>
    <row r="630" spans="1:15">
      <c r="A630" s="3">
        <f t="shared" si="10"/>
        <v>629</v>
      </c>
      <c r="B630" s="42" t="s">
        <v>1360</v>
      </c>
      <c r="C630" s="3">
        <v>8707366917</v>
      </c>
      <c r="D630" s="6"/>
      <c r="E630" s="3" t="s">
        <v>56</v>
      </c>
      <c r="F630" s="42" t="s">
        <v>1361</v>
      </c>
      <c r="G630" s="3" t="s">
        <v>424</v>
      </c>
      <c r="H630" s="3" t="s">
        <v>660</v>
      </c>
      <c r="I630" s="37" t="s">
        <v>42</v>
      </c>
      <c r="J630" s="31">
        <v>45692</v>
      </c>
      <c r="K630" s="31">
        <v>45715</v>
      </c>
      <c r="L630" s="31"/>
      <c r="M630" s="31"/>
      <c r="N630" s="31"/>
      <c r="O630" s="2" t="s">
        <v>425</v>
      </c>
    </row>
    <row r="631" spans="1:15">
      <c r="A631" s="3">
        <f t="shared" si="10"/>
        <v>630</v>
      </c>
      <c r="B631" s="42" t="s">
        <v>1362</v>
      </c>
      <c r="C631" s="3">
        <v>9786264688</v>
      </c>
      <c r="D631" s="6"/>
      <c r="E631" s="3" t="s">
        <v>56</v>
      </c>
      <c r="F631" s="42" t="s">
        <v>673</v>
      </c>
      <c r="G631" s="3" t="s">
        <v>330</v>
      </c>
      <c r="H631" s="3" t="s">
        <v>660</v>
      </c>
      <c r="I631" s="37" t="s">
        <v>42</v>
      </c>
      <c r="J631" s="31">
        <v>45692</v>
      </c>
      <c r="K631" s="31">
        <v>45734</v>
      </c>
      <c r="L631" s="31">
        <v>45734</v>
      </c>
      <c r="M631" s="31">
        <v>45765</v>
      </c>
      <c r="N631" s="31">
        <v>45754</v>
      </c>
      <c r="O631" s="2" t="s">
        <v>297</v>
      </c>
    </row>
    <row r="632" spans="1:15">
      <c r="A632" s="3">
        <f t="shared" si="10"/>
        <v>631</v>
      </c>
      <c r="B632" s="42" t="s">
        <v>1363</v>
      </c>
      <c r="C632" s="3">
        <v>9959581004</v>
      </c>
      <c r="D632" s="6">
        <v>9381317617</v>
      </c>
      <c r="E632" s="3" t="s">
        <v>56</v>
      </c>
      <c r="F632" s="42" t="s">
        <v>1364</v>
      </c>
      <c r="G632" s="3" t="s">
        <v>424</v>
      </c>
      <c r="H632" s="3" t="s">
        <v>660</v>
      </c>
      <c r="I632" s="37" t="s">
        <v>42</v>
      </c>
      <c r="J632" s="31">
        <v>45692</v>
      </c>
      <c r="K632" s="31">
        <v>45713</v>
      </c>
      <c r="L632" s="31"/>
      <c r="M632" s="31"/>
      <c r="N632" s="31"/>
      <c r="O632" s="2" t="s">
        <v>425</v>
      </c>
    </row>
    <row r="633" spans="1:15">
      <c r="A633" s="3">
        <f t="shared" si="10"/>
        <v>632</v>
      </c>
      <c r="B633" s="42" t="s">
        <v>1365</v>
      </c>
      <c r="C633" s="3">
        <v>9000215191</v>
      </c>
      <c r="D633" s="6"/>
      <c r="E633" s="3" t="s">
        <v>56</v>
      </c>
      <c r="F633" s="42" t="s">
        <v>1366</v>
      </c>
      <c r="G633" s="3" t="s">
        <v>424</v>
      </c>
      <c r="H633" s="3" t="s">
        <v>660</v>
      </c>
      <c r="I633" s="37" t="s">
        <v>42</v>
      </c>
      <c r="J633" s="31">
        <v>45692</v>
      </c>
      <c r="K633" s="31">
        <v>45696</v>
      </c>
      <c r="L633" s="31"/>
      <c r="M633" s="31"/>
      <c r="N633" s="31"/>
      <c r="O633" s="2" t="s">
        <v>425</v>
      </c>
    </row>
    <row r="634" spans="1:15">
      <c r="A634" s="3">
        <f t="shared" ref="A634:A697" si="11">ROW()-1</f>
        <v>633</v>
      </c>
      <c r="B634" s="42" t="s">
        <v>1367</v>
      </c>
      <c r="C634" s="2">
        <v>8688344750</v>
      </c>
      <c r="D634" s="6"/>
      <c r="E634" s="3" t="s">
        <v>85</v>
      </c>
      <c r="F634" s="42" t="s">
        <v>308</v>
      </c>
      <c r="G634" s="3" t="s">
        <v>424</v>
      </c>
      <c r="H634" s="3" t="s">
        <v>717</v>
      </c>
      <c r="I634" s="37" t="s">
        <v>42</v>
      </c>
      <c r="J634" s="31">
        <v>45692</v>
      </c>
      <c r="K634" s="31">
        <v>45698</v>
      </c>
      <c r="L634" s="31"/>
      <c r="M634" s="31"/>
      <c r="N634" s="31"/>
      <c r="O634" s="2" t="s">
        <v>749</v>
      </c>
    </row>
    <row r="635" spans="1:15">
      <c r="A635" s="3">
        <f t="shared" si="11"/>
        <v>634</v>
      </c>
      <c r="B635" s="108" t="s">
        <v>1368</v>
      </c>
      <c r="C635" s="2">
        <v>9493404833</v>
      </c>
      <c r="D635" s="6"/>
      <c r="E635" s="3" t="s">
        <v>79</v>
      </c>
      <c r="F635" s="42" t="s">
        <v>1369</v>
      </c>
      <c r="G635" s="3" t="s">
        <v>16</v>
      </c>
      <c r="H635" s="3" t="s">
        <v>717</v>
      </c>
      <c r="I635" s="37" t="s">
        <v>42</v>
      </c>
      <c r="J635" s="31">
        <v>45692</v>
      </c>
      <c r="K635" s="31">
        <v>45698</v>
      </c>
      <c r="L635" s="31">
        <v>45709</v>
      </c>
      <c r="M635" s="31">
        <v>45752</v>
      </c>
      <c r="N635" s="31">
        <v>45752</v>
      </c>
      <c r="O635" s="2" t="s">
        <v>297</v>
      </c>
    </row>
    <row r="636" spans="1:15">
      <c r="A636" s="3">
        <f t="shared" si="11"/>
        <v>635</v>
      </c>
      <c r="B636" s="42" t="s">
        <v>1370</v>
      </c>
      <c r="C636" s="2">
        <v>8986210876</v>
      </c>
      <c r="D636" s="6"/>
      <c r="E636" s="3" t="s">
        <v>79</v>
      </c>
      <c r="F636" s="42" t="s">
        <v>1369</v>
      </c>
      <c r="G636" s="3" t="s">
        <v>18</v>
      </c>
      <c r="H636" s="3" t="s">
        <v>717</v>
      </c>
      <c r="I636" s="37" t="s">
        <v>42</v>
      </c>
      <c r="J636" s="31">
        <v>45692</v>
      </c>
      <c r="K636" s="31">
        <v>45698</v>
      </c>
      <c r="L636" s="31"/>
      <c r="M636" s="31"/>
      <c r="N636" s="31"/>
      <c r="O636" s="2" t="s">
        <v>297</v>
      </c>
    </row>
    <row r="637" spans="1:15">
      <c r="A637" s="3">
        <f t="shared" si="11"/>
        <v>636</v>
      </c>
      <c r="B637" s="42" t="s">
        <v>1371</v>
      </c>
      <c r="C637" s="2">
        <v>9640747861</v>
      </c>
      <c r="D637" s="6"/>
      <c r="E637" s="3" t="s">
        <v>85</v>
      </c>
      <c r="F637" s="42" t="s">
        <v>1372</v>
      </c>
      <c r="G637" s="3" t="s">
        <v>424</v>
      </c>
      <c r="H637" s="3" t="s">
        <v>717</v>
      </c>
      <c r="I637" s="37" t="s">
        <v>42</v>
      </c>
      <c r="J637" s="31">
        <v>45692</v>
      </c>
      <c r="K637" s="31">
        <v>45698</v>
      </c>
      <c r="L637" s="31"/>
      <c r="M637" s="31"/>
      <c r="N637" s="31"/>
      <c r="O637" s="2" t="s">
        <v>425</v>
      </c>
    </row>
    <row r="638" spans="1:15">
      <c r="A638" s="3">
        <f t="shared" si="11"/>
        <v>637</v>
      </c>
      <c r="B638" s="42" t="s">
        <v>1373</v>
      </c>
      <c r="C638" s="2">
        <v>9550066181</v>
      </c>
      <c r="D638" s="6"/>
      <c r="E638" s="3" t="s">
        <v>85</v>
      </c>
      <c r="F638" s="42" t="s">
        <v>1372</v>
      </c>
      <c r="G638" s="3" t="s">
        <v>764</v>
      </c>
      <c r="H638" s="3" t="s">
        <v>717</v>
      </c>
      <c r="I638" s="37" t="s">
        <v>42</v>
      </c>
      <c r="J638" s="31">
        <v>45692</v>
      </c>
      <c r="K638" s="31">
        <v>45698</v>
      </c>
      <c r="L638" s="31"/>
      <c r="M638" s="31"/>
      <c r="N638" s="31"/>
      <c r="O638" s="2" t="s">
        <v>425</v>
      </c>
    </row>
    <row r="639" spans="1:15">
      <c r="A639" s="3">
        <f t="shared" si="11"/>
        <v>638</v>
      </c>
      <c r="B639" s="42" t="s">
        <v>1374</v>
      </c>
      <c r="C639" s="2">
        <v>8790808799</v>
      </c>
      <c r="D639" s="6"/>
      <c r="E639" s="3" t="s">
        <v>85</v>
      </c>
      <c r="F639" s="42" t="s">
        <v>1375</v>
      </c>
      <c r="G639" s="3" t="s">
        <v>764</v>
      </c>
      <c r="H639" s="3" t="s">
        <v>717</v>
      </c>
      <c r="I639" s="37" t="s">
        <v>42</v>
      </c>
      <c r="J639" s="31">
        <v>45692</v>
      </c>
      <c r="K639" s="31">
        <v>45699</v>
      </c>
      <c r="L639" s="31"/>
      <c r="M639" s="31"/>
      <c r="N639" s="31"/>
      <c r="O639" s="2" t="s">
        <v>425</v>
      </c>
    </row>
    <row r="640" spans="1:15">
      <c r="A640" s="3">
        <f t="shared" si="11"/>
        <v>639</v>
      </c>
      <c r="B640" s="42" t="s">
        <v>1376</v>
      </c>
      <c r="C640" s="2">
        <v>7995368239</v>
      </c>
      <c r="D640" s="6"/>
      <c r="E640" s="3" t="s">
        <v>85</v>
      </c>
      <c r="F640" s="42" t="s">
        <v>1377</v>
      </c>
      <c r="G640" s="3" t="s">
        <v>416</v>
      </c>
      <c r="H640" s="3" t="s">
        <v>717</v>
      </c>
      <c r="I640" s="37" t="s">
        <v>42</v>
      </c>
      <c r="J640" s="31">
        <v>45692</v>
      </c>
      <c r="K640" s="31">
        <v>45698</v>
      </c>
      <c r="L640" s="31"/>
      <c r="M640" s="31"/>
      <c r="N640" s="31"/>
      <c r="O640" s="2" t="s">
        <v>297</v>
      </c>
    </row>
    <row r="641" spans="1:15">
      <c r="A641" s="3">
        <f t="shared" si="11"/>
        <v>640</v>
      </c>
      <c r="B641" s="42" t="s">
        <v>1378</v>
      </c>
      <c r="C641" s="2">
        <v>9459188367</v>
      </c>
      <c r="D641" s="6"/>
      <c r="E641" s="3" t="s">
        <v>85</v>
      </c>
      <c r="F641" s="42" t="s">
        <v>1379</v>
      </c>
      <c r="G641" s="3" t="s">
        <v>424</v>
      </c>
      <c r="H641" s="3" t="s">
        <v>717</v>
      </c>
      <c r="I641" s="37" t="s">
        <v>42</v>
      </c>
      <c r="J641" s="31">
        <v>45692</v>
      </c>
      <c r="K641" s="31">
        <v>45698</v>
      </c>
      <c r="L641" s="31"/>
      <c r="M641" s="31"/>
      <c r="N641" s="31"/>
      <c r="O641" s="2" t="s">
        <v>749</v>
      </c>
    </row>
    <row r="642" spans="1:15">
      <c r="A642" s="3">
        <f t="shared" si="11"/>
        <v>641</v>
      </c>
      <c r="B642" s="42" t="s">
        <v>1380</v>
      </c>
      <c r="C642" s="2">
        <v>8269612572</v>
      </c>
      <c r="D642" s="6"/>
      <c r="E642" s="3" t="s">
        <v>85</v>
      </c>
      <c r="F642" s="42" t="s">
        <v>1381</v>
      </c>
      <c r="G642" s="3" t="s">
        <v>424</v>
      </c>
      <c r="H642" s="3" t="s">
        <v>717</v>
      </c>
      <c r="I642" s="37" t="s">
        <v>42</v>
      </c>
      <c r="J642" s="31">
        <v>45692</v>
      </c>
      <c r="K642" s="31">
        <v>45698</v>
      </c>
      <c r="L642" s="31"/>
      <c r="M642" s="31"/>
      <c r="N642" s="31"/>
      <c r="O642" s="2" t="s">
        <v>425</v>
      </c>
    </row>
    <row r="643" spans="1:15">
      <c r="A643" s="3">
        <f t="shared" si="11"/>
        <v>642</v>
      </c>
      <c r="B643" s="42" t="s">
        <v>1382</v>
      </c>
      <c r="C643" s="2">
        <v>7702591723</v>
      </c>
      <c r="D643" s="6"/>
      <c r="E643" s="3" t="s">
        <v>85</v>
      </c>
      <c r="F643" s="42" t="s">
        <v>748</v>
      </c>
      <c r="G643" s="3" t="s">
        <v>424</v>
      </c>
      <c r="H643" s="3" t="s">
        <v>717</v>
      </c>
      <c r="I643" s="37" t="s">
        <v>42</v>
      </c>
      <c r="J643" s="31">
        <v>45692</v>
      </c>
      <c r="K643" s="31">
        <v>45698</v>
      </c>
      <c r="L643" s="31"/>
      <c r="M643" s="31"/>
      <c r="N643" s="31"/>
      <c r="O643" s="2" t="s">
        <v>425</v>
      </c>
    </row>
    <row r="644" spans="1:15">
      <c r="A644" s="3">
        <f t="shared" si="11"/>
        <v>643</v>
      </c>
      <c r="B644" s="42" t="s">
        <v>1383</v>
      </c>
      <c r="C644" s="2">
        <v>7738401991</v>
      </c>
      <c r="D644" s="6"/>
      <c r="E644" s="3" t="s">
        <v>85</v>
      </c>
      <c r="F644" s="42" t="s">
        <v>1384</v>
      </c>
      <c r="G644" s="3" t="s">
        <v>424</v>
      </c>
      <c r="H644" s="3" t="s">
        <v>717</v>
      </c>
      <c r="I644" s="37" t="s">
        <v>42</v>
      </c>
      <c r="J644" s="31">
        <v>45692</v>
      </c>
      <c r="K644" s="31">
        <v>45698</v>
      </c>
      <c r="L644" s="31"/>
      <c r="M644" s="31"/>
      <c r="N644" s="31"/>
      <c r="O644" s="2" t="s">
        <v>425</v>
      </c>
    </row>
    <row r="645" spans="1:15">
      <c r="A645" s="3">
        <f t="shared" si="11"/>
        <v>644</v>
      </c>
      <c r="B645" s="42" t="s">
        <v>1385</v>
      </c>
      <c r="C645" s="2">
        <v>9098334033</v>
      </c>
      <c r="D645" s="6"/>
      <c r="E645" s="3" t="s">
        <v>75</v>
      </c>
      <c r="F645" s="42" t="s">
        <v>1386</v>
      </c>
      <c r="G645" s="3" t="s">
        <v>18</v>
      </c>
      <c r="H645" s="2" t="s">
        <v>1387</v>
      </c>
      <c r="I645" s="37" t="s">
        <v>42</v>
      </c>
      <c r="J645" s="31">
        <v>45692</v>
      </c>
      <c r="K645" s="31">
        <v>45704</v>
      </c>
      <c r="L645" s="31"/>
      <c r="M645" s="31"/>
      <c r="N645" s="31"/>
      <c r="O645" s="2" t="s">
        <v>297</v>
      </c>
    </row>
    <row r="646" spans="1:15">
      <c r="A646" s="3">
        <f t="shared" si="11"/>
        <v>645</v>
      </c>
      <c r="B646" s="42" t="s">
        <v>1388</v>
      </c>
      <c r="C646" s="2">
        <v>7983510809</v>
      </c>
      <c r="D646" s="6"/>
      <c r="E646" s="3" t="s">
        <v>75</v>
      </c>
      <c r="F646" s="42" t="s">
        <v>1389</v>
      </c>
      <c r="G646" s="3" t="s">
        <v>424</v>
      </c>
      <c r="H646" s="2" t="s">
        <v>1387</v>
      </c>
      <c r="I646" s="37" t="s">
        <v>42</v>
      </c>
      <c r="J646" s="31">
        <v>45692</v>
      </c>
      <c r="K646" s="31">
        <v>45704</v>
      </c>
      <c r="L646" s="31"/>
      <c r="M646" s="31"/>
      <c r="N646" s="31"/>
      <c r="O646" s="2" t="s">
        <v>425</v>
      </c>
    </row>
    <row r="647" spans="1:15">
      <c r="A647" s="3">
        <f t="shared" si="11"/>
        <v>646</v>
      </c>
      <c r="B647" s="42" t="s">
        <v>1390</v>
      </c>
      <c r="C647" s="2">
        <v>9610358925</v>
      </c>
      <c r="D647" s="6">
        <v>7509622524</v>
      </c>
      <c r="E647" s="3" t="s">
        <v>75</v>
      </c>
      <c r="F647" s="42" t="s">
        <v>1391</v>
      </c>
      <c r="G647" s="3" t="s">
        <v>424</v>
      </c>
      <c r="H647" s="2" t="s">
        <v>1387</v>
      </c>
      <c r="I647" s="37" t="s">
        <v>42</v>
      </c>
      <c r="J647" s="31">
        <v>45692</v>
      </c>
      <c r="K647" s="31">
        <v>45704</v>
      </c>
      <c r="L647" s="31"/>
      <c r="M647" s="31"/>
      <c r="N647" s="31"/>
      <c r="O647" s="2" t="s">
        <v>749</v>
      </c>
    </row>
    <row r="648" spans="1:15">
      <c r="A648" s="3">
        <f t="shared" si="11"/>
        <v>647</v>
      </c>
      <c r="B648" s="42" t="s">
        <v>1392</v>
      </c>
      <c r="C648" s="2">
        <v>9467176507</v>
      </c>
      <c r="D648" s="6">
        <v>8076224611</v>
      </c>
      <c r="E648" s="3" t="s">
        <v>75</v>
      </c>
      <c r="F648" s="42" t="s">
        <v>1393</v>
      </c>
      <c r="G648" s="3" t="s">
        <v>295</v>
      </c>
      <c r="H648" s="2" t="s">
        <v>1387</v>
      </c>
      <c r="I648" s="37" t="s">
        <v>42</v>
      </c>
      <c r="J648" s="31">
        <v>45692</v>
      </c>
      <c r="K648" s="31">
        <v>45702</v>
      </c>
      <c r="L648" s="31">
        <v>45709</v>
      </c>
      <c r="M648" s="31">
        <v>45748</v>
      </c>
      <c r="N648" s="31"/>
      <c r="O648" s="2" t="s">
        <v>297</v>
      </c>
    </row>
    <row r="649" spans="1:15">
      <c r="A649" s="3">
        <f t="shared" si="11"/>
        <v>648</v>
      </c>
      <c r="B649" s="42" t="s">
        <v>1394</v>
      </c>
      <c r="C649" s="2">
        <v>6264977283</v>
      </c>
      <c r="D649" s="6"/>
      <c r="E649" s="3" t="s">
        <v>1395</v>
      </c>
      <c r="F649" s="41" t="s">
        <v>293</v>
      </c>
      <c r="G649" s="3" t="s">
        <v>16</v>
      </c>
      <c r="H649" s="2" t="s">
        <v>487</v>
      </c>
      <c r="I649" s="37" t="s">
        <v>88</v>
      </c>
      <c r="J649" s="31">
        <v>45682</v>
      </c>
      <c r="K649" s="31">
        <v>45684</v>
      </c>
      <c r="L649" s="31">
        <v>45692</v>
      </c>
      <c r="M649" s="31">
        <v>45727</v>
      </c>
      <c r="N649" s="31">
        <v>45727</v>
      </c>
      <c r="O649" s="2" t="s">
        <v>297</v>
      </c>
    </row>
    <row r="650" spans="1:15">
      <c r="A650" s="3">
        <f t="shared" si="11"/>
        <v>649</v>
      </c>
      <c r="B650" s="68" t="s">
        <v>1396</v>
      </c>
      <c r="C650" s="27">
        <v>6370907740</v>
      </c>
      <c r="D650" s="6"/>
      <c r="E650" s="3" t="s">
        <v>332</v>
      </c>
      <c r="F650" s="68" t="s">
        <v>1253</v>
      </c>
      <c r="G650" s="3" t="s">
        <v>295</v>
      </c>
      <c r="H650" s="2" t="s">
        <v>752</v>
      </c>
      <c r="I650" s="37" t="s">
        <v>94</v>
      </c>
      <c r="J650" s="31">
        <v>45706</v>
      </c>
      <c r="K650" s="31">
        <v>45708</v>
      </c>
      <c r="L650" s="31">
        <v>45716</v>
      </c>
      <c r="M650" s="31">
        <v>45731</v>
      </c>
      <c r="N650" s="31"/>
      <c r="O650" s="2" t="s">
        <v>297</v>
      </c>
    </row>
    <row r="651" spans="1:15">
      <c r="A651" s="3">
        <f t="shared" si="11"/>
        <v>650</v>
      </c>
      <c r="B651" s="42" t="s">
        <v>1397</v>
      </c>
      <c r="C651" s="2">
        <v>9441505367</v>
      </c>
      <c r="D651" s="6">
        <v>9505438283</v>
      </c>
      <c r="E651" s="3" t="s">
        <v>138</v>
      </c>
      <c r="F651" s="42" t="s">
        <v>814</v>
      </c>
      <c r="G651" s="3" t="s">
        <v>295</v>
      </c>
      <c r="H651" s="3" t="s">
        <v>815</v>
      </c>
      <c r="I651" s="37" t="s">
        <v>42</v>
      </c>
      <c r="J651" s="31">
        <v>45693</v>
      </c>
      <c r="K651" s="31">
        <v>45701</v>
      </c>
      <c r="L651" s="31">
        <v>45709</v>
      </c>
      <c r="M651" s="31">
        <v>45757</v>
      </c>
      <c r="N651" s="31"/>
      <c r="O651" s="2" t="s">
        <v>297</v>
      </c>
    </row>
    <row r="652" spans="1:15">
      <c r="A652" s="3">
        <f t="shared" si="11"/>
        <v>651</v>
      </c>
      <c r="B652" s="42" t="s">
        <v>1398</v>
      </c>
      <c r="C652" s="2">
        <v>8858219550</v>
      </c>
      <c r="D652" s="6"/>
      <c r="E652" s="3" t="s">
        <v>141</v>
      </c>
      <c r="F652" s="42" t="s">
        <v>1399</v>
      </c>
      <c r="G652" s="3" t="s">
        <v>424</v>
      </c>
      <c r="H652" s="3" t="s">
        <v>815</v>
      </c>
      <c r="I652" s="37" t="s">
        <v>42</v>
      </c>
      <c r="J652" s="31">
        <v>45693</v>
      </c>
      <c r="K652" s="31">
        <v>45701</v>
      </c>
      <c r="L652" s="31"/>
      <c r="M652" s="31"/>
      <c r="N652" s="31"/>
      <c r="O652" s="2" t="s">
        <v>425</v>
      </c>
    </row>
    <row r="653" spans="1:15">
      <c r="A653" s="3">
        <f t="shared" si="11"/>
        <v>652</v>
      </c>
      <c r="B653" s="42" t="s">
        <v>1400</v>
      </c>
      <c r="C653" s="2">
        <v>7817025952</v>
      </c>
      <c r="D653" s="6">
        <v>9708536618</v>
      </c>
      <c r="E653" s="3" t="s">
        <v>138</v>
      </c>
      <c r="F653" s="42" t="s">
        <v>825</v>
      </c>
      <c r="G653" s="3" t="s">
        <v>416</v>
      </c>
      <c r="H653" s="3" t="s">
        <v>815</v>
      </c>
      <c r="I653" s="37" t="s">
        <v>42</v>
      </c>
      <c r="J653" s="31">
        <v>45693</v>
      </c>
      <c r="K653" s="31">
        <v>45701</v>
      </c>
      <c r="L653" s="31"/>
      <c r="M653" s="31"/>
      <c r="N653" s="31"/>
      <c r="O653" s="2" t="s">
        <v>297</v>
      </c>
    </row>
    <row r="654" spans="1:15">
      <c r="A654" s="3">
        <f t="shared" si="11"/>
        <v>653</v>
      </c>
      <c r="B654" s="42" t="s">
        <v>1401</v>
      </c>
      <c r="C654" s="2">
        <v>9963586709</v>
      </c>
      <c r="D654" s="6"/>
      <c r="E654" s="3" t="s">
        <v>52</v>
      </c>
      <c r="F654" s="42" t="s">
        <v>1402</v>
      </c>
      <c r="G654" s="3" t="s">
        <v>424</v>
      </c>
      <c r="H654" s="3" t="s">
        <v>660</v>
      </c>
      <c r="I654" s="37" t="s">
        <v>42</v>
      </c>
      <c r="J654" s="31">
        <v>45694</v>
      </c>
      <c r="K654" s="31">
        <v>45696</v>
      </c>
      <c r="L654" s="31"/>
      <c r="M654" s="31"/>
      <c r="N654" s="31"/>
      <c r="O654" s="2" t="s">
        <v>425</v>
      </c>
    </row>
    <row r="655" spans="1:15">
      <c r="A655" s="3">
        <f t="shared" si="11"/>
        <v>654</v>
      </c>
      <c r="B655" s="42" t="s">
        <v>1403</v>
      </c>
      <c r="C655" s="2">
        <v>9440917479</v>
      </c>
      <c r="D655" s="6">
        <v>7620921863</v>
      </c>
      <c r="E655" s="3" t="s">
        <v>52</v>
      </c>
      <c r="F655" s="42" t="s">
        <v>1404</v>
      </c>
      <c r="G655" s="3" t="s">
        <v>16</v>
      </c>
      <c r="H655" s="3" t="s">
        <v>660</v>
      </c>
      <c r="I655" s="37" t="s">
        <v>42</v>
      </c>
      <c r="J655" s="31">
        <v>45694</v>
      </c>
      <c r="K655" s="31">
        <v>45695</v>
      </c>
      <c r="L655" s="31">
        <v>45720</v>
      </c>
      <c r="M655" s="31">
        <v>45722</v>
      </c>
      <c r="N655" s="31">
        <v>45722</v>
      </c>
      <c r="O655" s="2" t="s">
        <v>297</v>
      </c>
    </row>
    <row r="656" spans="1:15">
      <c r="A656" s="3">
        <f t="shared" si="11"/>
        <v>655</v>
      </c>
      <c r="B656" s="42" t="s">
        <v>1405</v>
      </c>
      <c r="C656" s="2">
        <v>9010847922</v>
      </c>
      <c r="D656" s="6">
        <v>9182882715</v>
      </c>
      <c r="E656" s="3" t="s">
        <v>59</v>
      </c>
      <c r="F656" s="42" t="s">
        <v>1406</v>
      </c>
      <c r="G656" s="3" t="s">
        <v>16</v>
      </c>
      <c r="H656" s="3" t="s">
        <v>660</v>
      </c>
      <c r="I656" s="37" t="s">
        <v>42</v>
      </c>
      <c r="J656" s="31">
        <v>45694</v>
      </c>
      <c r="K656" s="31">
        <v>45716</v>
      </c>
      <c r="L656" s="31">
        <v>45716</v>
      </c>
      <c r="M656" s="31">
        <v>45751</v>
      </c>
      <c r="N656" s="31">
        <v>45750</v>
      </c>
      <c r="O656" s="2" t="s">
        <v>297</v>
      </c>
    </row>
    <row r="657" spans="1:15">
      <c r="A657" s="3">
        <f t="shared" si="11"/>
        <v>656</v>
      </c>
      <c r="B657" s="42" t="s">
        <v>1407</v>
      </c>
      <c r="C657" s="2">
        <v>9398907893</v>
      </c>
      <c r="D657" s="6"/>
      <c r="E657" s="3" t="s">
        <v>52</v>
      </c>
      <c r="F657" s="42" t="s">
        <v>1408</v>
      </c>
      <c r="G657" s="3" t="s">
        <v>18</v>
      </c>
      <c r="H657" s="3" t="s">
        <v>660</v>
      </c>
      <c r="I657" s="37" t="s">
        <v>42</v>
      </c>
      <c r="J657" s="31">
        <v>45694</v>
      </c>
      <c r="K657" s="31"/>
      <c r="L657" s="31"/>
      <c r="M657" s="31"/>
      <c r="N657" s="31"/>
      <c r="O657" s="2" t="s">
        <v>425</v>
      </c>
    </row>
    <row r="658" spans="1:15">
      <c r="A658" s="3">
        <f t="shared" si="11"/>
        <v>657</v>
      </c>
      <c r="B658" s="42" t="s">
        <v>1409</v>
      </c>
      <c r="C658" s="2">
        <v>8790316412</v>
      </c>
      <c r="D658" s="6"/>
      <c r="E658" s="3" t="s">
        <v>1410</v>
      </c>
      <c r="F658" s="42" t="s">
        <v>1411</v>
      </c>
      <c r="G658" s="2" t="s">
        <v>16</v>
      </c>
      <c r="H658" s="2" t="s">
        <v>1412</v>
      </c>
      <c r="I658" s="37" t="s">
        <v>94</v>
      </c>
      <c r="J658" s="31">
        <v>45691</v>
      </c>
      <c r="K658" s="31">
        <v>45691</v>
      </c>
      <c r="L658" s="31">
        <v>45691</v>
      </c>
      <c r="M658" s="31">
        <v>45691</v>
      </c>
      <c r="N658" s="31">
        <v>45691</v>
      </c>
      <c r="O658" s="2" t="s">
        <v>297</v>
      </c>
    </row>
    <row r="659" spans="1:15">
      <c r="A659" s="3">
        <f t="shared" si="11"/>
        <v>658</v>
      </c>
      <c r="B659" s="42" t="s">
        <v>1413</v>
      </c>
      <c r="C659" s="2">
        <v>6386210113</v>
      </c>
      <c r="D659" s="6"/>
      <c r="E659" s="3" t="s">
        <v>1414</v>
      </c>
      <c r="F659" s="42" t="s">
        <v>451</v>
      </c>
      <c r="G659" s="3" t="s">
        <v>16</v>
      </c>
      <c r="H659" s="3" t="s">
        <v>788</v>
      </c>
      <c r="I659" s="37" t="s">
        <v>88</v>
      </c>
      <c r="J659" s="31">
        <v>45694</v>
      </c>
      <c r="K659" s="31">
        <v>45699</v>
      </c>
      <c r="L659" s="31">
        <v>45709</v>
      </c>
      <c r="M659" s="31">
        <v>45844</v>
      </c>
      <c r="N659" s="31">
        <v>45844</v>
      </c>
      <c r="O659" s="2" t="s">
        <v>297</v>
      </c>
    </row>
    <row r="660" spans="1:15">
      <c r="A660" s="3">
        <f t="shared" si="11"/>
        <v>659</v>
      </c>
      <c r="B660" s="42" t="s">
        <v>1415</v>
      </c>
      <c r="C660" s="2">
        <v>9120194460</v>
      </c>
      <c r="D660" s="6"/>
      <c r="E660" s="3" t="s">
        <v>1416</v>
      </c>
      <c r="F660" s="42" t="s">
        <v>308</v>
      </c>
      <c r="G660" s="3" t="s">
        <v>424</v>
      </c>
      <c r="H660" s="2" t="s">
        <v>1186</v>
      </c>
      <c r="I660" s="37" t="s">
        <v>88</v>
      </c>
      <c r="J660" s="31">
        <v>45694</v>
      </c>
      <c r="K660" s="31">
        <v>45710</v>
      </c>
      <c r="L660" s="31"/>
      <c r="M660" s="31"/>
      <c r="N660" s="31"/>
      <c r="O660" s="2" t="s">
        <v>425</v>
      </c>
    </row>
    <row r="661" spans="1:15">
      <c r="A661" s="3">
        <f t="shared" si="11"/>
        <v>660</v>
      </c>
      <c r="B661" s="42" t="s">
        <v>1417</v>
      </c>
      <c r="C661" s="2">
        <v>7396642471</v>
      </c>
      <c r="D661" s="6"/>
      <c r="E661" s="3" t="s">
        <v>1416</v>
      </c>
      <c r="F661" s="42" t="s">
        <v>419</v>
      </c>
      <c r="G661" s="3" t="s">
        <v>416</v>
      </c>
      <c r="H661" s="2" t="s">
        <v>1186</v>
      </c>
      <c r="I661" s="37" t="s">
        <v>88</v>
      </c>
      <c r="J661" s="31">
        <v>45694</v>
      </c>
      <c r="K661" s="31">
        <v>45710</v>
      </c>
      <c r="L661" s="31"/>
      <c r="M661" s="31"/>
      <c r="N661" s="31"/>
      <c r="O661" s="2" t="s">
        <v>297</v>
      </c>
    </row>
    <row r="662" spans="1:15">
      <c r="A662" s="3">
        <f t="shared" si="11"/>
        <v>661</v>
      </c>
      <c r="B662" s="42" t="s">
        <v>1418</v>
      </c>
      <c r="C662" s="2">
        <v>7974780369</v>
      </c>
      <c r="D662" s="6"/>
      <c r="E662" s="3" t="s">
        <v>1416</v>
      </c>
      <c r="F662" s="42" t="s">
        <v>308</v>
      </c>
      <c r="G662" s="3" t="s">
        <v>424</v>
      </c>
      <c r="H662" s="2" t="s">
        <v>1186</v>
      </c>
      <c r="I662" s="37" t="s">
        <v>88</v>
      </c>
      <c r="J662" s="31">
        <v>45694</v>
      </c>
      <c r="K662" s="31">
        <v>45710</v>
      </c>
      <c r="L662" s="31"/>
      <c r="M662" s="31"/>
      <c r="N662" s="31"/>
      <c r="O662" s="2" t="s">
        <v>425</v>
      </c>
    </row>
    <row r="663" spans="1:15">
      <c r="A663" s="3">
        <f t="shared" si="11"/>
        <v>662</v>
      </c>
      <c r="B663" s="42" t="s">
        <v>1419</v>
      </c>
      <c r="C663" s="2">
        <v>9178071701</v>
      </c>
      <c r="D663" s="6"/>
      <c r="E663" s="3" t="s">
        <v>1416</v>
      </c>
      <c r="F663" s="42" t="s">
        <v>308</v>
      </c>
      <c r="G663" s="3" t="s">
        <v>424</v>
      </c>
      <c r="H663" s="2" t="s">
        <v>1186</v>
      </c>
      <c r="I663" s="37" t="s">
        <v>88</v>
      </c>
      <c r="J663" s="31">
        <v>45694</v>
      </c>
      <c r="K663" s="31">
        <v>45710</v>
      </c>
      <c r="L663" s="31"/>
      <c r="M663" s="31"/>
      <c r="N663" s="31"/>
      <c r="O663" s="2" t="s">
        <v>425</v>
      </c>
    </row>
    <row r="664" spans="1:15">
      <c r="A664" s="3">
        <f t="shared" si="11"/>
        <v>663</v>
      </c>
      <c r="B664" s="42" t="s">
        <v>554</v>
      </c>
      <c r="C664" s="2">
        <v>8577947186</v>
      </c>
      <c r="D664" s="6"/>
      <c r="E664" s="3" t="s">
        <v>1416</v>
      </c>
      <c r="F664" s="42" t="s">
        <v>920</v>
      </c>
      <c r="G664" s="3" t="s">
        <v>16</v>
      </c>
      <c r="H664" s="2" t="s">
        <v>1186</v>
      </c>
      <c r="I664" s="37" t="s">
        <v>88</v>
      </c>
      <c r="J664" s="31">
        <v>45694</v>
      </c>
      <c r="K664" s="31">
        <v>45710</v>
      </c>
      <c r="L664" s="31">
        <v>45729</v>
      </c>
      <c r="M664" s="31">
        <v>45845</v>
      </c>
      <c r="N664" s="31">
        <v>45845</v>
      </c>
      <c r="O664" s="2" t="s">
        <v>297</v>
      </c>
    </row>
    <row r="665" spans="1:15">
      <c r="A665" s="3">
        <f t="shared" si="11"/>
        <v>664</v>
      </c>
      <c r="B665" s="42" t="s">
        <v>1420</v>
      </c>
      <c r="C665" s="2">
        <v>9118904132</v>
      </c>
      <c r="D665" s="6"/>
      <c r="E665" s="3" t="s">
        <v>1416</v>
      </c>
      <c r="F665" s="42" t="s">
        <v>1421</v>
      </c>
      <c r="G665" s="3" t="s">
        <v>424</v>
      </c>
      <c r="H665" s="2" t="s">
        <v>1186</v>
      </c>
      <c r="I665" s="37" t="s">
        <v>88</v>
      </c>
      <c r="J665" s="31">
        <v>45694</v>
      </c>
      <c r="K665" s="31">
        <v>45710</v>
      </c>
      <c r="L665" s="31"/>
      <c r="M665" s="31"/>
      <c r="N665" s="31"/>
      <c r="O665" s="2" t="s">
        <v>425</v>
      </c>
    </row>
    <row r="666" spans="1:15">
      <c r="A666" s="3">
        <f t="shared" si="11"/>
        <v>665</v>
      </c>
      <c r="B666" s="42" t="s">
        <v>1422</v>
      </c>
      <c r="C666" s="2">
        <v>9457575740</v>
      </c>
      <c r="D666" s="6"/>
      <c r="E666" s="3" t="s">
        <v>1416</v>
      </c>
      <c r="F666" s="42" t="s">
        <v>308</v>
      </c>
      <c r="G666" s="3" t="s">
        <v>424</v>
      </c>
      <c r="H666" s="2" t="s">
        <v>1186</v>
      </c>
      <c r="I666" s="37" t="s">
        <v>88</v>
      </c>
      <c r="J666" s="31">
        <v>45694</v>
      </c>
      <c r="K666" s="31">
        <v>45710</v>
      </c>
      <c r="L666" s="31"/>
      <c r="M666" s="31"/>
      <c r="N666" s="31"/>
      <c r="O666" s="2" t="s">
        <v>425</v>
      </c>
    </row>
    <row r="667" spans="1:15">
      <c r="A667" s="3">
        <f t="shared" si="11"/>
        <v>666</v>
      </c>
      <c r="B667" s="42" t="s">
        <v>1423</v>
      </c>
      <c r="C667" s="2">
        <v>8707027722</v>
      </c>
      <c r="D667" s="6"/>
      <c r="E667" s="3" t="s">
        <v>1416</v>
      </c>
      <c r="F667" s="42" t="s">
        <v>308</v>
      </c>
      <c r="G667" s="3" t="s">
        <v>424</v>
      </c>
      <c r="H667" s="2" t="s">
        <v>1186</v>
      </c>
      <c r="I667" s="37" t="s">
        <v>88</v>
      </c>
      <c r="J667" s="31">
        <v>45694</v>
      </c>
      <c r="K667" s="31">
        <v>45710</v>
      </c>
      <c r="L667" s="31"/>
      <c r="M667" s="31"/>
      <c r="N667" s="31"/>
      <c r="O667" s="2" t="s">
        <v>425</v>
      </c>
    </row>
    <row r="668" spans="1:15">
      <c r="A668" s="3">
        <f t="shared" si="11"/>
        <v>667</v>
      </c>
      <c r="B668" s="42" t="s">
        <v>1424</v>
      </c>
      <c r="C668" s="2">
        <v>9502413777</v>
      </c>
      <c r="D668" s="6"/>
      <c r="E668" s="17" t="s">
        <v>1425</v>
      </c>
      <c r="F668" s="42" t="s">
        <v>972</v>
      </c>
      <c r="G668" s="3" t="s">
        <v>16</v>
      </c>
      <c r="H668" s="3" t="s">
        <v>41</v>
      </c>
      <c r="I668" s="37" t="s">
        <v>42</v>
      </c>
      <c r="J668" s="31">
        <v>45694</v>
      </c>
      <c r="K668" s="31">
        <v>45724</v>
      </c>
      <c r="L668" s="31">
        <v>45728</v>
      </c>
      <c r="M668" s="31">
        <v>45768</v>
      </c>
      <c r="N668" s="31">
        <v>45733</v>
      </c>
      <c r="O668" s="2" t="s">
        <v>297</v>
      </c>
    </row>
    <row r="669" spans="1:15">
      <c r="A669" s="3">
        <f t="shared" si="11"/>
        <v>668</v>
      </c>
      <c r="B669" s="42" t="s">
        <v>1426</v>
      </c>
      <c r="C669" s="2">
        <v>9704054577</v>
      </c>
      <c r="D669" s="6">
        <v>8919544828</v>
      </c>
      <c r="E669" s="3" t="s">
        <v>1074</v>
      </c>
      <c r="F669" s="42" t="s">
        <v>275</v>
      </c>
      <c r="G669" s="3" t="s">
        <v>1175</v>
      </c>
      <c r="H669" s="3" t="s">
        <v>41</v>
      </c>
      <c r="I669" s="37" t="s">
        <v>42</v>
      </c>
      <c r="J669" s="31">
        <v>45694</v>
      </c>
      <c r="K669" s="31"/>
      <c r="L669" s="31"/>
      <c r="M669" s="31"/>
      <c r="N669" s="31"/>
      <c r="O669" s="2" t="s">
        <v>1004</v>
      </c>
    </row>
    <row r="670" spans="1:15">
      <c r="A670" s="3">
        <f t="shared" si="11"/>
        <v>669</v>
      </c>
      <c r="B670" s="42" t="s">
        <v>1427</v>
      </c>
      <c r="C670" s="2">
        <v>9640943546</v>
      </c>
      <c r="D670" s="6"/>
      <c r="E670" s="3" t="s">
        <v>1074</v>
      </c>
      <c r="F670" s="42" t="s">
        <v>275</v>
      </c>
      <c r="G670" s="3" t="s">
        <v>424</v>
      </c>
      <c r="H670" s="3" t="s">
        <v>41</v>
      </c>
      <c r="I670" s="37" t="s">
        <v>42</v>
      </c>
      <c r="J670" s="31">
        <v>45694</v>
      </c>
      <c r="K670" s="31">
        <v>45702</v>
      </c>
      <c r="L670" s="31"/>
      <c r="M670" s="31"/>
      <c r="N670" s="31"/>
      <c r="O670" s="2" t="s">
        <v>425</v>
      </c>
    </row>
    <row r="671" spans="1:15">
      <c r="A671" s="3">
        <f t="shared" si="11"/>
        <v>670</v>
      </c>
      <c r="B671" s="42" t="s">
        <v>1428</v>
      </c>
      <c r="C671" s="2">
        <v>9640572295</v>
      </c>
      <c r="D671" s="6"/>
      <c r="E671" s="3" t="s">
        <v>1074</v>
      </c>
      <c r="F671" s="42" t="s">
        <v>275</v>
      </c>
      <c r="G671" s="3" t="s">
        <v>424</v>
      </c>
      <c r="H671" s="3" t="s">
        <v>41</v>
      </c>
      <c r="I671" s="37" t="s">
        <v>42</v>
      </c>
      <c r="J671" s="31">
        <v>45694</v>
      </c>
      <c r="K671" s="31">
        <v>45702</v>
      </c>
      <c r="L671" s="31"/>
      <c r="M671" s="31"/>
      <c r="N671" s="31"/>
      <c r="O671" s="2" t="s">
        <v>425</v>
      </c>
    </row>
    <row r="672" spans="1:15">
      <c r="A672" s="3">
        <f t="shared" si="11"/>
        <v>671</v>
      </c>
      <c r="B672" s="42" t="s">
        <v>1429</v>
      </c>
      <c r="C672" s="2">
        <v>9256568519</v>
      </c>
      <c r="D672" s="6"/>
      <c r="E672" s="3" t="s">
        <v>1074</v>
      </c>
      <c r="F672" s="42" t="s">
        <v>275</v>
      </c>
      <c r="G672" s="3" t="s">
        <v>424</v>
      </c>
      <c r="H672" s="3" t="s">
        <v>41</v>
      </c>
      <c r="I672" s="37" t="s">
        <v>42</v>
      </c>
      <c r="J672" s="31">
        <v>45694</v>
      </c>
      <c r="K672" s="31">
        <v>45702</v>
      </c>
      <c r="L672" s="31"/>
      <c r="M672" s="31"/>
      <c r="N672" s="31"/>
      <c r="O672" s="2" t="s">
        <v>425</v>
      </c>
    </row>
    <row r="673" spans="1:15">
      <c r="A673" s="3">
        <f t="shared" si="11"/>
        <v>672</v>
      </c>
      <c r="B673" s="42" t="s">
        <v>1430</v>
      </c>
      <c r="C673" s="2">
        <v>9441375053</v>
      </c>
      <c r="D673" s="6">
        <v>9666312164</v>
      </c>
      <c r="E673" s="3" t="s">
        <v>90</v>
      </c>
      <c r="F673" s="42" t="s">
        <v>1431</v>
      </c>
      <c r="G673" s="3" t="s">
        <v>416</v>
      </c>
      <c r="H673" s="3" t="s">
        <v>1432</v>
      </c>
      <c r="I673" s="37" t="s">
        <v>42</v>
      </c>
      <c r="J673" s="31">
        <v>45694</v>
      </c>
      <c r="K673" s="31">
        <v>45695</v>
      </c>
      <c r="L673" s="31"/>
      <c r="M673" s="31"/>
      <c r="N673" s="31"/>
      <c r="O673" s="2" t="s">
        <v>297</v>
      </c>
    </row>
    <row r="674" spans="1:15">
      <c r="A674" s="3">
        <f t="shared" si="11"/>
        <v>673</v>
      </c>
      <c r="B674" s="42" t="s">
        <v>1433</v>
      </c>
      <c r="C674" s="2">
        <v>9936044887</v>
      </c>
      <c r="D674" s="6"/>
      <c r="E674" s="3" t="s">
        <v>1345</v>
      </c>
      <c r="F674" s="42" t="s">
        <v>1434</v>
      </c>
      <c r="G674" s="3" t="s">
        <v>330</v>
      </c>
      <c r="H674" s="3" t="s">
        <v>1432</v>
      </c>
      <c r="I674" s="37" t="s">
        <v>94</v>
      </c>
      <c r="J674" s="31">
        <v>45694</v>
      </c>
      <c r="K674" s="31">
        <v>45696</v>
      </c>
      <c r="L674" s="31">
        <v>45702</v>
      </c>
      <c r="M674" s="31">
        <v>45732</v>
      </c>
      <c r="N674" s="31">
        <v>45723</v>
      </c>
      <c r="O674" s="2" t="s">
        <v>297</v>
      </c>
    </row>
    <row r="675" spans="1:15">
      <c r="A675" s="3">
        <f t="shared" si="11"/>
        <v>674</v>
      </c>
      <c r="B675" s="42" t="s">
        <v>1435</v>
      </c>
      <c r="C675" s="2">
        <v>8978455538</v>
      </c>
      <c r="D675" s="6"/>
      <c r="E675" s="3" t="s">
        <v>90</v>
      </c>
      <c r="F675" s="42" t="s">
        <v>644</v>
      </c>
      <c r="G675" s="3" t="s">
        <v>16</v>
      </c>
      <c r="H675" s="3" t="s">
        <v>1436</v>
      </c>
      <c r="I675" s="37" t="s">
        <v>42</v>
      </c>
      <c r="J675" s="31">
        <v>45701</v>
      </c>
      <c r="K675" s="31">
        <v>45737</v>
      </c>
      <c r="L675" s="31">
        <v>45744</v>
      </c>
      <c r="M675" s="31">
        <v>45785</v>
      </c>
      <c r="N675" s="31">
        <v>45784</v>
      </c>
      <c r="O675" s="2" t="s">
        <v>297</v>
      </c>
    </row>
    <row r="676" spans="1:15">
      <c r="A676" s="3">
        <f t="shared" si="11"/>
        <v>675</v>
      </c>
      <c r="B676" s="42" t="s">
        <v>1437</v>
      </c>
      <c r="C676" s="2">
        <v>9609936353</v>
      </c>
      <c r="D676" s="6"/>
      <c r="E676" s="3" t="s">
        <v>90</v>
      </c>
      <c r="F676" s="42" t="s">
        <v>1438</v>
      </c>
      <c r="G676" s="3" t="s">
        <v>295</v>
      </c>
      <c r="H676" s="3" t="s">
        <v>1432</v>
      </c>
      <c r="I676" s="37" t="s">
        <v>42</v>
      </c>
      <c r="J676" s="31">
        <v>45694</v>
      </c>
      <c r="K676" s="31">
        <v>45696</v>
      </c>
      <c r="L676" s="31">
        <v>45716</v>
      </c>
      <c r="M676" s="31">
        <v>45748</v>
      </c>
      <c r="N676" s="31"/>
      <c r="O676" s="2" t="s">
        <v>297</v>
      </c>
    </row>
    <row r="677" spans="1:15">
      <c r="A677" s="3">
        <f t="shared" si="11"/>
        <v>676</v>
      </c>
      <c r="B677" s="42" t="s">
        <v>1439</v>
      </c>
      <c r="C677" s="2">
        <v>9976369078</v>
      </c>
      <c r="D677" s="6"/>
      <c r="E677" s="3" t="s">
        <v>1440</v>
      </c>
      <c r="F677" s="41" t="s">
        <v>895</v>
      </c>
      <c r="G677" s="2" t="s">
        <v>330</v>
      </c>
      <c r="H677" s="3" t="s">
        <v>41</v>
      </c>
      <c r="I677" s="37" t="s">
        <v>88</v>
      </c>
      <c r="J677" s="31">
        <v>45693</v>
      </c>
      <c r="K677" s="31">
        <v>45694</v>
      </c>
      <c r="L677" s="31">
        <v>45694</v>
      </c>
      <c r="M677" s="31">
        <v>45729</v>
      </c>
      <c r="N677" s="31">
        <v>45729</v>
      </c>
      <c r="O677" s="2" t="s">
        <v>297</v>
      </c>
    </row>
    <row r="678" spans="1:15">
      <c r="A678" s="3">
        <f t="shared" si="11"/>
        <v>677</v>
      </c>
      <c r="B678" s="42" t="s">
        <v>1441</v>
      </c>
      <c r="C678" s="2">
        <v>7006297850</v>
      </c>
      <c r="D678" s="6"/>
      <c r="E678" s="3" t="s">
        <v>1442</v>
      </c>
      <c r="F678" s="26" t="s">
        <v>479</v>
      </c>
      <c r="G678" s="2" t="s">
        <v>16</v>
      </c>
      <c r="H678" s="3" t="s">
        <v>162</v>
      </c>
      <c r="I678" s="37" t="s">
        <v>88</v>
      </c>
      <c r="J678" s="31">
        <v>45693</v>
      </c>
      <c r="K678" s="31">
        <v>45687</v>
      </c>
      <c r="L678" s="31">
        <v>45694</v>
      </c>
      <c r="M678" s="31">
        <v>45729</v>
      </c>
      <c r="N678" s="31">
        <v>45729</v>
      </c>
      <c r="O678" s="2" t="s">
        <v>297</v>
      </c>
    </row>
    <row r="679" spans="1:15">
      <c r="A679" s="3">
        <f t="shared" si="11"/>
        <v>678</v>
      </c>
      <c r="B679" s="42" t="s">
        <v>1443</v>
      </c>
      <c r="C679" s="2">
        <v>6386820441</v>
      </c>
      <c r="D679" s="6"/>
      <c r="E679" s="3" t="s">
        <v>402</v>
      </c>
      <c r="F679" s="41" t="s">
        <v>403</v>
      </c>
      <c r="G679" s="2" t="s">
        <v>295</v>
      </c>
      <c r="H679" s="3" t="s">
        <v>815</v>
      </c>
      <c r="I679" s="37" t="s">
        <v>88</v>
      </c>
      <c r="J679" s="31">
        <v>45693</v>
      </c>
      <c r="K679" s="31">
        <v>45686</v>
      </c>
      <c r="L679" s="31">
        <v>45694</v>
      </c>
      <c r="M679" s="31">
        <v>45729</v>
      </c>
      <c r="N679" s="31"/>
      <c r="O679" s="2" t="s">
        <v>297</v>
      </c>
    </row>
    <row r="680" spans="1:15">
      <c r="A680" s="3">
        <f t="shared" si="11"/>
        <v>679</v>
      </c>
      <c r="B680" s="42" t="s">
        <v>1444</v>
      </c>
      <c r="C680" s="2">
        <v>9906446265</v>
      </c>
      <c r="D680" s="6"/>
      <c r="E680" s="3" t="s">
        <v>478</v>
      </c>
      <c r="F680" s="41" t="s">
        <v>945</v>
      </c>
      <c r="G680" s="2" t="s">
        <v>16</v>
      </c>
      <c r="H680" s="3" t="s">
        <v>361</v>
      </c>
      <c r="I680" s="37" t="s">
        <v>42</v>
      </c>
      <c r="J680" s="31">
        <v>45693</v>
      </c>
      <c r="K680" s="31">
        <v>45693</v>
      </c>
      <c r="L680" s="31">
        <v>45694</v>
      </c>
      <c r="M680" s="31">
        <v>45757</v>
      </c>
      <c r="N680" s="31">
        <v>45784</v>
      </c>
      <c r="O680" s="2" t="s">
        <v>297</v>
      </c>
    </row>
    <row r="681" spans="1:15">
      <c r="A681" s="3">
        <f t="shared" si="11"/>
        <v>680</v>
      </c>
      <c r="B681" s="42" t="s">
        <v>1445</v>
      </c>
      <c r="C681" s="2">
        <v>9994144126</v>
      </c>
      <c r="D681" s="6"/>
      <c r="E681" s="3" t="s">
        <v>588</v>
      </c>
      <c r="F681" s="41" t="s">
        <v>1446</v>
      </c>
      <c r="G681" s="2" t="s">
        <v>416</v>
      </c>
      <c r="H681" s="3" t="s">
        <v>582</v>
      </c>
      <c r="I681" s="37" t="s">
        <v>88</v>
      </c>
      <c r="J681" s="31">
        <v>45695</v>
      </c>
      <c r="K681" s="31">
        <v>45695</v>
      </c>
      <c r="L681" s="31"/>
      <c r="M681" s="31"/>
      <c r="N681" s="31"/>
      <c r="O681" s="2" t="s">
        <v>297</v>
      </c>
    </row>
    <row r="682" spans="1:15">
      <c r="A682" s="3">
        <f t="shared" si="11"/>
        <v>681</v>
      </c>
      <c r="B682" s="42" t="s">
        <v>1447</v>
      </c>
      <c r="C682" s="2">
        <v>8944942445</v>
      </c>
      <c r="D682" s="6"/>
      <c r="E682" s="3" t="s">
        <v>1395</v>
      </c>
      <c r="F682" s="41" t="s">
        <v>1448</v>
      </c>
      <c r="G682" s="2" t="s">
        <v>416</v>
      </c>
      <c r="H682" s="3" t="s">
        <v>487</v>
      </c>
      <c r="I682" s="37" t="s">
        <v>88</v>
      </c>
      <c r="J682" s="31">
        <v>45695</v>
      </c>
      <c r="K682" s="31">
        <v>45696</v>
      </c>
      <c r="L682" s="31"/>
      <c r="M682" s="31"/>
      <c r="N682" s="31"/>
      <c r="O682" s="2" t="s">
        <v>297</v>
      </c>
    </row>
    <row r="683" spans="1:15">
      <c r="A683" s="3">
        <f t="shared" si="11"/>
        <v>682</v>
      </c>
      <c r="B683" s="42" t="s">
        <v>1449</v>
      </c>
      <c r="C683" s="2">
        <v>9301575087</v>
      </c>
      <c r="D683" s="6">
        <v>9479306670</v>
      </c>
      <c r="E683" s="3" t="s">
        <v>907</v>
      </c>
      <c r="F683" s="41" t="s">
        <v>1450</v>
      </c>
      <c r="G683" s="3" t="s">
        <v>16</v>
      </c>
      <c r="H683" s="3" t="s">
        <v>487</v>
      </c>
      <c r="I683" s="37" t="s">
        <v>88</v>
      </c>
      <c r="J683" s="31">
        <v>45695</v>
      </c>
      <c r="K683" s="31">
        <v>45696</v>
      </c>
      <c r="L683" s="31">
        <v>45701</v>
      </c>
      <c r="M683" s="31">
        <v>45731</v>
      </c>
      <c r="N683" s="31">
        <v>45731</v>
      </c>
      <c r="O683" s="2" t="s">
        <v>297</v>
      </c>
    </row>
    <row r="684" spans="1:15">
      <c r="A684" s="3">
        <f t="shared" si="11"/>
        <v>683</v>
      </c>
      <c r="B684" s="42" t="s">
        <v>1451</v>
      </c>
      <c r="C684" s="2">
        <v>8531027331</v>
      </c>
      <c r="D684" s="6">
        <v>9612493149</v>
      </c>
      <c r="E684" s="3" t="s">
        <v>1395</v>
      </c>
      <c r="F684" s="41" t="s">
        <v>1452</v>
      </c>
      <c r="G684" s="3" t="s">
        <v>16</v>
      </c>
      <c r="H684" s="3" t="s">
        <v>487</v>
      </c>
      <c r="I684" s="37" t="s">
        <v>88</v>
      </c>
      <c r="J684" s="31">
        <v>45695</v>
      </c>
      <c r="K684" s="31">
        <v>45700</v>
      </c>
      <c r="L684" s="31">
        <v>45701</v>
      </c>
      <c r="M684" s="31">
        <v>45731</v>
      </c>
      <c r="N684" s="31">
        <v>45731</v>
      </c>
      <c r="O684" s="2" t="s">
        <v>297</v>
      </c>
    </row>
    <row r="685" spans="1:15">
      <c r="A685" s="3">
        <f t="shared" si="11"/>
        <v>684</v>
      </c>
      <c r="B685" s="42" t="s">
        <v>1453</v>
      </c>
      <c r="C685" s="2">
        <v>6005228924</v>
      </c>
      <c r="D685" s="6"/>
      <c r="E685" s="3" t="s">
        <v>1454</v>
      </c>
      <c r="F685" s="41" t="s">
        <v>1450</v>
      </c>
      <c r="G685" s="2" t="s">
        <v>424</v>
      </c>
      <c r="H685" s="3" t="s">
        <v>487</v>
      </c>
      <c r="I685" s="37" t="s">
        <v>88</v>
      </c>
      <c r="J685" s="31">
        <v>45695</v>
      </c>
      <c r="K685" s="31">
        <v>45696</v>
      </c>
      <c r="L685" s="31"/>
      <c r="M685" s="31"/>
      <c r="N685" s="31"/>
      <c r="O685" s="2" t="s">
        <v>425</v>
      </c>
    </row>
    <row r="686" spans="1:15">
      <c r="A686" s="3">
        <f t="shared" si="11"/>
        <v>685</v>
      </c>
      <c r="B686" s="42" t="s">
        <v>1455</v>
      </c>
      <c r="C686" s="2">
        <v>6005283083</v>
      </c>
      <c r="D686" s="6"/>
      <c r="E686" s="3" t="s">
        <v>1454</v>
      </c>
      <c r="F686" s="41" t="s">
        <v>1450</v>
      </c>
      <c r="G686" s="3" t="s">
        <v>16</v>
      </c>
      <c r="H686" s="3" t="s">
        <v>487</v>
      </c>
      <c r="I686" s="37" t="s">
        <v>88</v>
      </c>
      <c r="J686" s="31">
        <v>45695</v>
      </c>
      <c r="K686" s="31">
        <v>45700</v>
      </c>
      <c r="L686" s="31">
        <v>45701</v>
      </c>
      <c r="M686" s="31">
        <v>45731</v>
      </c>
      <c r="N686" s="31">
        <v>45731</v>
      </c>
      <c r="O686" s="2" t="s">
        <v>297</v>
      </c>
    </row>
    <row r="687" spans="1:15">
      <c r="A687" s="3">
        <f t="shared" si="11"/>
        <v>686</v>
      </c>
      <c r="B687" s="42" t="s">
        <v>1456</v>
      </c>
      <c r="C687" s="2">
        <v>9930328240</v>
      </c>
      <c r="D687" s="6"/>
      <c r="E687" s="3" t="s">
        <v>1454</v>
      </c>
      <c r="F687" s="41" t="s">
        <v>1450</v>
      </c>
      <c r="G687" s="2" t="s">
        <v>416</v>
      </c>
      <c r="H687" s="3" t="s">
        <v>487</v>
      </c>
      <c r="I687" s="37" t="s">
        <v>88</v>
      </c>
      <c r="J687" s="31">
        <v>45695</v>
      </c>
      <c r="K687" s="31">
        <v>45696</v>
      </c>
      <c r="L687" s="31"/>
      <c r="M687" s="31"/>
      <c r="N687" s="31"/>
      <c r="O687" s="2" t="s">
        <v>297</v>
      </c>
    </row>
    <row r="688" spans="1:15">
      <c r="A688" s="3">
        <f t="shared" si="11"/>
        <v>687</v>
      </c>
      <c r="B688" s="42" t="s">
        <v>1457</v>
      </c>
      <c r="C688" s="2">
        <v>9827777222</v>
      </c>
      <c r="D688" s="6">
        <v>8989221191</v>
      </c>
      <c r="E688" s="3" t="s">
        <v>1458</v>
      </c>
      <c r="F688" s="41" t="s">
        <v>1459</v>
      </c>
      <c r="G688" s="2" t="s">
        <v>416</v>
      </c>
      <c r="H688" s="3" t="s">
        <v>487</v>
      </c>
      <c r="I688" s="37" t="s">
        <v>88</v>
      </c>
      <c r="J688" s="31">
        <v>45695</v>
      </c>
      <c r="K688" s="31">
        <v>45695</v>
      </c>
      <c r="L688" s="31"/>
      <c r="M688" s="31"/>
      <c r="N688" s="31"/>
      <c r="O688" s="2" t="s">
        <v>297</v>
      </c>
    </row>
    <row r="689" spans="1:15">
      <c r="A689" s="3">
        <f t="shared" si="11"/>
        <v>688</v>
      </c>
      <c r="B689" s="42" t="s">
        <v>1460</v>
      </c>
      <c r="C689" s="2">
        <v>7055756076</v>
      </c>
      <c r="D689" s="6">
        <v>7017100000</v>
      </c>
      <c r="E689" s="3" t="s">
        <v>1458</v>
      </c>
      <c r="F689" s="41" t="s">
        <v>1459</v>
      </c>
      <c r="G689" s="2" t="s">
        <v>416</v>
      </c>
      <c r="H689" s="3" t="s">
        <v>487</v>
      </c>
      <c r="I689" s="37" t="s">
        <v>88</v>
      </c>
      <c r="J689" s="31">
        <v>45695</v>
      </c>
      <c r="K689" s="31">
        <v>45695</v>
      </c>
      <c r="L689" s="31"/>
      <c r="M689" s="31"/>
      <c r="N689" s="31"/>
      <c r="O689" s="2" t="s">
        <v>297</v>
      </c>
    </row>
    <row r="690" spans="1:15">
      <c r="A690" s="3">
        <f t="shared" si="11"/>
        <v>689</v>
      </c>
      <c r="B690" s="42" t="s">
        <v>1461</v>
      </c>
      <c r="C690" s="2">
        <v>7585845587</v>
      </c>
      <c r="D690" s="6">
        <v>9382287290</v>
      </c>
      <c r="E690" s="3" t="s">
        <v>1462</v>
      </c>
      <c r="F690" s="41" t="s">
        <v>294</v>
      </c>
      <c r="G690" s="2" t="s">
        <v>295</v>
      </c>
      <c r="H690" s="38" t="s">
        <v>1463</v>
      </c>
      <c r="I690" s="37" t="s">
        <v>88</v>
      </c>
      <c r="J690" s="31">
        <v>45695</v>
      </c>
      <c r="K690" s="31">
        <v>45696</v>
      </c>
      <c r="L690" s="31">
        <v>45701</v>
      </c>
      <c r="M690" s="31">
        <v>45731</v>
      </c>
      <c r="N690" s="31"/>
      <c r="O690" s="2" t="s">
        <v>297</v>
      </c>
    </row>
    <row r="691" spans="1:15">
      <c r="A691" s="3">
        <f t="shared" si="11"/>
        <v>690</v>
      </c>
      <c r="B691" s="42" t="s">
        <v>1464</v>
      </c>
      <c r="C691" s="2">
        <v>7047477403</v>
      </c>
      <c r="D691" s="6">
        <v>6297669580</v>
      </c>
      <c r="E691" s="3" t="s">
        <v>1395</v>
      </c>
      <c r="F691" s="41" t="s">
        <v>1452</v>
      </c>
      <c r="G691" s="2" t="s">
        <v>416</v>
      </c>
      <c r="H691" s="3" t="s">
        <v>487</v>
      </c>
      <c r="I691" s="37" t="s">
        <v>88</v>
      </c>
      <c r="J691" s="31">
        <v>45695</v>
      </c>
      <c r="K691" s="31">
        <v>45696</v>
      </c>
      <c r="L691" s="31"/>
      <c r="M691" s="31"/>
      <c r="N691" s="31"/>
      <c r="O691" s="2" t="s">
        <v>297</v>
      </c>
    </row>
    <row r="692" spans="1:15">
      <c r="A692" s="3">
        <f t="shared" si="11"/>
        <v>691</v>
      </c>
      <c r="B692" s="42" t="s">
        <v>1465</v>
      </c>
      <c r="C692" s="2">
        <v>8897913978</v>
      </c>
      <c r="D692" s="6">
        <v>9064404640</v>
      </c>
      <c r="E692" s="3" t="s">
        <v>292</v>
      </c>
      <c r="F692" s="41" t="s">
        <v>1452</v>
      </c>
      <c r="G692" s="2" t="s">
        <v>424</v>
      </c>
      <c r="H692" s="3" t="s">
        <v>487</v>
      </c>
      <c r="I692" s="37" t="s">
        <v>88</v>
      </c>
      <c r="J692" s="31">
        <v>45695</v>
      </c>
      <c r="K692" s="31">
        <v>45696</v>
      </c>
      <c r="L692" s="31"/>
      <c r="M692" s="31"/>
      <c r="N692" s="31"/>
      <c r="O692" s="2" t="s">
        <v>425</v>
      </c>
    </row>
    <row r="693" spans="1:15">
      <c r="A693" s="3">
        <f t="shared" si="11"/>
        <v>692</v>
      </c>
      <c r="B693" s="42" t="s">
        <v>1466</v>
      </c>
      <c r="C693" s="2">
        <v>7018274943</v>
      </c>
      <c r="D693" s="6"/>
      <c r="E693" s="3" t="s">
        <v>894</v>
      </c>
      <c r="F693" s="41" t="s">
        <v>1467</v>
      </c>
      <c r="G693" s="3" t="s">
        <v>16</v>
      </c>
      <c r="H693" s="3" t="s">
        <v>487</v>
      </c>
      <c r="I693" s="37" t="s">
        <v>88</v>
      </c>
      <c r="J693" s="31">
        <v>45695</v>
      </c>
      <c r="K693" s="31">
        <v>45696</v>
      </c>
      <c r="L693" s="31">
        <v>45701</v>
      </c>
      <c r="M693" s="31">
        <v>45731</v>
      </c>
      <c r="N693" s="31">
        <v>45731</v>
      </c>
      <c r="O693" s="2" t="s">
        <v>297</v>
      </c>
    </row>
    <row r="694" spans="1:15">
      <c r="A694" s="3">
        <f t="shared" si="11"/>
        <v>693</v>
      </c>
      <c r="B694" s="42" t="s">
        <v>1468</v>
      </c>
      <c r="C694" s="2">
        <v>9149947910</v>
      </c>
      <c r="D694" s="6">
        <v>9086127034</v>
      </c>
      <c r="E694" s="3" t="s">
        <v>1454</v>
      </c>
      <c r="F694" s="41" t="s">
        <v>1450</v>
      </c>
      <c r="G694" s="2" t="s">
        <v>424</v>
      </c>
      <c r="H694" s="3" t="s">
        <v>487</v>
      </c>
      <c r="I694" s="37" t="s">
        <v>88</v>
      </c>
      <c r="J694" s="31">
        <v>45695</v>
      </c>
      <c r="K694" s="31">
        <v>45696</v>
      </c>
      <c r="L694" s="31"/>
      <c r="M694" s="31"/>
      <c r="N694" s="31"/>
      <c r="O694" s="2" t="s">
        <v>425</v>
      </c>
    </row>
    <row r="695" spans="1:15">
      <c r="A695" s="3">
        <f t="shared" si="11"/>
        <v>694</v>
      </c>
      <c r="B695" s="42" t="s">
        <v>1469</v>
      </c>
      <c r="C695" s="2">
        <v>8492857015</v>
      </c>
      <c r="D695" s="6"/>
      <c r="E695" s="3" t="s">
        <v>1458</v>
      </c>
      <c r="F695" s="41" t="s">
        <v>1459</v>
      </c>
      <c r="G695" s="3" t="s">
        <v>330</v>
      </c>
      <c r="H695" s="3" t="s">
        <v>487</v>
      </c>
      <c r="I695" s="37" t="s">
        <v>88</v>
      </c>
      <c r="J695" s="31">
        <v>45695</v>
      </c>
      <c r="K695" s="31">
        <v>45696</v>
      </c>
      <c r="L695" s="31">
        <v>45701</v>
      </c>
      <c r="M695" s="31">
        <v>45757</v>
      </c>
      <c r="N695" s="31">
        <v>45757</v>
      </c>
      <c r="O695" s="2" t="s">
        <v>297</v>
      </c>
    </row>
    <row r="696" spans="1:15">
      <c r="A696" s="3">
        <f t="shared" si="11"/>
        <v>695</v>
      </c>
      <c r="B696" s="42" t="s">
        <v>1470</v>
      </c>
      <c r="C696" s="2">
        <v>8295551956</v>
      </c>
      <c r="D696" s="6"/>
      <c r="E696" s="3" t="s">
        <v>894</v>
      </c>
      <c r="F696" s="41" t="s">
        <v>1467</v>
      </c>
      <c r="G696" s="2" t="s">
        <v>416</v>
      </c>
      <c r="H696" s="3" t="s">
        <v>487</v>
      </c>
      <c r="I696" s="37" t="s">
        <v>88</v>
      </c>
      <c r="J696" s="31">
        <v>45695</v>
      </c>
      <c r="K696" s="31">
        <v>45696</v>
      </c>
      <c r="L696" s="31"/>
      <c r="M696" s="31"/>
      <c r="N696" s="31"/>
      <c r="O696" s="2" t="s">
        <v>297</v>
      </c>
    </row>
    <row r="697" spans="1:15" ht="15.6">
      <c r="A697" s="3">
        <f t="shared" si="11"/>
        <v>696</v>
      </c>
      <c r="B697" s="42" t="s">
        <v>1471</v>
      </c>
      <c r="C697" s="2">
        <v>8168037625</v>
      </c>
      <c r="D697" s="6"/>
      <c r="E697" s="3" t="s">
        <v>59</v>
      </c>
      <c r="F697" s="71" t="s">
        <v>685</v>
      </c>
      <c r="G697" s="2" t="s">
        <v>295</v>
      </c>
      <c r="H697" s="3" t="s">
        <v>660</v>
      </c>
      <c r="I697" s="37" t="s">
        <v>42</v>
      </c>
      <c r="J697" s="31">
        <v>45695</v>
      </c>
      <c r="K697" s="31">
        <v>45695</v>
      </c>
      <c r="L697" s="31">
        <v>45702</v>
      </c>
      <c r="M697" s="31">
        <v>45748</v>
      </c>
      <c r="N697" s="31"/>
      <c r="O697" s="2" t="s">
        <v>297</v>
      </c>
    </row>
    <row r="698" spans="1:15">
      <c r="A698" s="3">
        <f t="shared" ref="A698:A761" si="12">ROW()-1</f>
        <v>697</v>
      </c>
      <c r="B698" s="42" t="s">
        <v>1472</v>
      </c>
      <c r="C698" s="2">
        <v>9956290585</v>
      </c>
      <c r="D698" s="6">
        <v>8299122859</v>
      </c>
      <c r="E698" s="3" t="s">
        <v>52</v>
      </c>
      <c r="F698" s="41" t="s">
        <v>1473</v>
      </c>
      <c r="G698" s="2" t="s">
        <v>424</v>
      </c>
      <c r="H698" s="3" t="s">
        <v>660</v>
      </c>
      <c r="I698" s="37" t="s">
        <v>42</v>
      </c>
      <c r="J698" s="31">
        <v>45695</v>
      </c>
      <c r="K698" s="31">
        <v>45695</v>
      </c>
      <c r="L698" s="31"/>
      <c r="M698" s="31"/>
      <c r="N698" s="31"/>
      <c r="O698" s="2" t="s">
        <v>425</v>
      </c>
    </row>
    <row r="699" spans="1:15">
      <c r="A699" s="3">
        <f t="shared" si="12"/>
        <v>698</v>
      </c>
      <c r="B699" s="42" t="s">
        <v>1474</v>
      </c>
      <c r="C699" s="2">
        <v>9676076189</v>
      </c>
      <c r="D699" s="6"/>
      <c r="E699" s="3" t="s">
        <v>1475</v>
      </c>
      <c r="F699" s="41" t="s">
        <v>1476</v>
      </c>
      <c r="G699" s="2" t="s">
        <v>16</v>
      </c>
      <c r="H699" s="3" t="s">
        <v>815</v>
      </c>
      <c r="I699" s="37" t="s">
        <v>94</v>
      </c>
      <c r="J699" s="31">
        <v>45695</v>
      </c>
      <c r="K699" s="31">
        <v>45701</v>
      </c>
      <c r="L699" s="31">
        <v>45721</v>
      </c>
      <c r="M699" s="31">
        <v>45752</v>
      </c>
      <c r="N699" s="31">
        <v>45752</v>
      </c>
      <c r="O699" s="2" t="s">
        <v>297</v>
      </c>
    </row>
    <row r="700" spans="1:15">
      <c r="A700" s="3">
        <f t="shared" si="12"/>
        <v>699</v>
      </c>
      <c r="B700" s="42" t="s">
        <v>1477</v>
      </c>
      <c r="C700" s="2">
        <v>7239007308</v>
      </c>
      <c r="D700" s="6"/>
      <c r="E700" s="3" t="s">
        <v>402</v>
      </c>
      <c r="F700" s="41" t="s">
        <v>403</v>
      </c>
      <c r="G700" s="2" t="s">
        <v>16</v>
      </c>
      <c r="H700" s="3" t="s">
        <v>815</v>
      </c>
      <c r="I700" s="37" t="s">
        <v>88</v>
      </c>
      <c r="J700" s="31">
        <v>45695</v>
      </c>
      <c r="K700" s="31">
        <v>45701</v>
      </c>
      <c r="L700" s="31">
        <v>45708</v>
      </c>
      <c r="M700" s="31">
        <v>45741</v>
      </c>
      <c r="N700" s="31">
        <v>45731</v>
      </c>
      <c r="O700" s="2" t="s">
        <v>297</v>
      </c>
    </row>
    <row r="701" spans="1:15">
      <c r="A701" s="3">
        <f t="shared" si="12"/>
        <v>700</v>
      </c>
      <c r="B701" s="42" t="s">
        <v>1478</v>
      </c>
      <c r="C701" s="2">
        <v>9137655752</v>
      </c>
      <c r="D701" s="6"/>
      <c r="E701" s="3" t="s">
        <v>402</v>
      </c>
      <c r="F701" s="41" t="s">
        <v>1476</v>
      </c>
      <c r="G701" s="2" t="s">
        <v>16</v>
      </c>
      <c r="H701" s="3" t="s">
        <v>815</v>
      </c>
      <c r="I701" s="37" t="s">
        <v>94</v>
      </c>
      <c r="J701" s="31">
        <v>45695</v>
      </c>
      <c r="K701" s="31">
        <v>45701</v>
      </c>
      <c r="L701" s="31">
        <v>45708</v>
      </c>
      <c r="M701" s="31">
        <v>45741</v>
      </c>
      <c r="N701" s="31">
        <v>45757</v>
      </c>
      <c r="O701" s="2" t="s">
        <v>297</v>
      </c>
    </row>
    <row r="702" spans="1:15">
      <c r="A702" s="3">
        <f t="shared" si="12"/>
        <v>701</v>
      </c>
      <c r="B702" s="42" t="s">
        <v>1479</v>
      </c>
      <c r="C702" s="2">
        <v>7988968196</v>
      </c>
      <c r="D702" s="6"/>
      <c r="E702" s="3" t="s">
        <v>1475</v>
      </c>
      <c r="F702" s="41" t="s">
        <v>1476</v>
      </c>
      <c r="G702" s="2" t="s">
        <v>416</v>
      </c>
      <c r="H702" s="3" t="s">
        <v>815</v>
      </c>
      <c r="I702" s="37" t="s">
        <v>94</v>
      </c>
      <c r="J702" s="31">
        <v>45695</v>
      </c>
      <c r="K702" s="31">
        <v>45701</v>
      </c>
      <c r="L702" s="31"/>
      <c r="M702" s="31"/>
      <c r="N702" s="31"/>
      <c r="O702" s="2" t="s">
        <v>297</v>
      </c>
    </row>
    <row r="703" spans="1:15">
      <c r="A703" s="3">
        <f t="shared" si="12"/>
        <v>702</v>
      </c>
      <c r="B703" s="42" t="s">
        <v>1480</v>
      </c>
      <c r="C703" s="2">
        <v>7013249849</v>
      </c>
      <c r="D703" s="6"/>
      <c r="E703" s="3" t="s">
        <v>402</v>
      </c>
      <c r="F703" s="41" t="s">
        <v>403</v>
      </c>
      <c r="G703" s="2" t="s">
        <v>416</v>
      </c>
      <c r="H703" s="3" t="s">
        <v>815</v>
      </c>
      <c r="I703" s="37" t="s">
        <v>88</v>
      </c>
      <c r="J703" s="31">
        <v>45695</v>
      </c>
      <c r="K703" s="31">
        <v>45701</v>
      </c>
      <c r="L703" s="31"/>
      <c r="M703" s="31"/>
      <c r="N703" s="31"/>
      <c r="O703" s="2" t="s">
        <v>297</v>
      </c>
    </row>
    <row r="704" spans="1:15">
      <c r="A704" s="3">
        <f t="shared" si="12"/>
        <v>703</v>
      </c>
      <c r="B704" s="42" t="s">
        <v>1481</v>
      </c>
      <c r="C704" s="2">
        <v>8839156630</v>
      </c>
      <c r="D704" s="6"/>
      <c r="E704" s="3" t="s">
        <v>402</v>
      </c>
      <c r="F704" s="41" t="s">
        <v>403</v>
      </c>
      <c r="G704" s="2" t="s">
        <v>764</v>
      </c>
      <c r="H704" s="3" t="s">
        <v>815</v>
      </c>
      <c r="I704" s="37" t="s">
        <v>88</v>
      </c>
      <c r="J704" s="31">
        <v>45695</v>
      </c>
      <c r="K704" s="31">
        <v>45701</v>
      </c>
      <c r="L704" s="31"/>
      <c r="M704" s="31"/>
      <c r="N704" s="31"/>
      <c r="O704" s="2" t="s">
        <v>425</v>
      </c>
    </row>
    <row r="705" spans="1:15">
      <c r="A705" s="3">
        <f t="shared" si="12"/>
        <v>704</v>
      </c>
      <c r="B705" s="42" t="s">
        <v>1482</v>
      </c>
      <c r="C705" s="2">
        <v>9103212003</v>
      </c>
      <c r="D705" s="6"/>
      <c r="E705" s="3" t="s">
        <v>341</v>
      </c>
      <c r="F705" s="41" t="s">
        <v>339</v>
      </c>
      <c r="G705" s="2" t="s">
        <v>424</v>
      </c>
      <c r="H705" s="3" t="s">
        <v>162</v>
      </c>
      <c r="I705" s="37" t="s">
        <v>88</v>
      </c>
      <c r="J705" s="31">
        <v>45695</v>
      </c>
      <c r="K705" s="31">
        <v>45698</v>
      </c>
      <c r="L705" s="31"/>
      <c r="M705" s="31"/>
      <c r="N705" s="31"/>
      <c r="O705" s="2" t="s">
        <v>425</v>
      </c>
    </row>
    <row r="706" spans="1:15">
      <c r="A706" s="3">
        <f t="shared" si="12"/>
        <v>705</v>
      </c>
      <c r="B706" s="42" t="s">
        <v>1483</v>
      </c>
      <c r="C706" s="2">
        <v>6006856523</v>
      </c>
      <c r="D706" s="6"/>
      <c r="E706" s="3" t="s">
        <v>341</v>
      </c>
      <c r="F706" s="41" t="s">
        <v>339</v>
      </c>
      <c r="G706" s="2" t="s">
        <v>295</v>
      </c>
      <c r="H706" s="3" t="s">
        <v>162</v>
      </c>
      <c r="I706" s="37" t="s">
        <v>88</v>
      </c>
      <c r="J706" s="31">
        <v>45695</v>
      </c>
      <c r="K706" s="31">
        <v>45699</v>
      </c>
      <c r="L706" s="31">
        <v>45701</v>
      </c>
      <c r="M706" s="31">
        <v>45795</v>
      </c>
      <c r="N706" s="31"/>
      <c r="O706" s="2" t="s">
        <v>297</v>
      </c>
    </row>
    <row r="707" spans="1:15">
      <c r="A707" s="3">
        <f t="shared" si="12"/>
        <v>706</v>
      </c>
      <c r="B707" s="42" t="s">
        <v>1484</v>
      </c>
      <c r="C707" s="2">
        <v>8870193349</v>
      </c>
      <c r="D707" s="6"/>
      <c r="E707" s="3" t="s">
        <v>584</v>
      </c>
      <c r="F707" s="41" t="s">
        <v>468</v>
      </c>
      <c r="G707" s="3" t="s">
        <v>16</v>
      </c>
      <c r="H707" s="3" t="s">
        <v>582</v>
      </c>
      <c r="I707" s="37" t="s">
        <v>88</v>
      </c>
      <c r="J707" s="31">
        <v>45695</v>
      </c>
      <c r="K707" s="31">
        <v>45695</v>
      </c>
      <c r="L707" s="31">
        <v>45699</v>
      </c>
      <c r="M707" s="31">
        <v>45729</v>
      </c>
      <c r="N707" s="31">
        <v>45729</v>
      </c>
      <c r="O707" s="2" t="s">
        <v>297</v>
      </c>
    </row>
    <row r="708" spans="1:15">
      <c r="A708" s="3">
        <f t="shared" si="12"/>
        <v>707</v>
      </c>
      <c r="B708" s="42" t="s">
        <v>1485</v>
      </c>
      <c r="C708" s="2">
        <v>7780352407</v>
      </c>
      <c r="D708" s="6"/>
      <c r="E708" s="3" t="s">
        <v>609</v>
      </c>
      <c r="F708" s="42" t="s">
        <v>610</v>
      </c>
      <c r="G708" s="2" t="s">
        <v>16</v>
      </c>
      <c r="H708" s="2" t="s">
        <v>305</v>
      </c>
      <c r="I708" s="37" t="s">
        <v>94</v>
      </c>
      <c r="J708" s="31">
        <v>45695</v>
      </c>
      <c r="K708" s="31">
        <v>45695</v>
      </c>
      <c r="L708" s="31">
        <v>45695</v>
      </c>
      <c r="M708" s="31">
        <v>45723</v>
      </c>
      <c r="N708" s="31">
        <v>45707</v>
      </c>
      <c r="O708" s="2" t="s">
        <v>297</v>
      </c>
    </row>
    <row r="709" spans="1:15">
      <c r="A709" s="3">
        <f t="shared" si="12"/>
        <v>708</v>
      </c>
      <c r="B709" s="42" t="s">
        <v>1486</v>
      </c>
      <c r="C709" s="2">
        <v>9866633387</v>
      </c>
      <c r="D709" s="6"/>
      <c r="E709" s="3" t="s">
        <v>1074</v>
      </c>
      <c r="F709" s="42" t="s">
        <v>275</v>
      </c>
      <c r="G709" s="2" t="s">
        <v>18</v>
      </c>
      <c r="H709" s="3" t="s">
        <v>41</v>
      </c>
      <c r="I709" s="37" t="s">
        <v>42</v>
      </c>
      <c r="J709" s="31">
        <v>45695</v>
      </c>
      <c r="K709" s="31">
        <v>45695</v>
      </c>
      <c r="L709" s="31"/>
      <c r="M709" s="31"/>
      <c r="N709" s="31"/>
      <c r="O709" s="2" t="s">
        <v>297</v>
      </c>
    </row>
    <row r="710" spans="1:15">
      <c r="A710" s="3">
        <f t="shared" si="12"/>
        <v>709</v>
      </c>
      <c r="B710" s="42" t="s">
        <v>1487</v>
      </c>
      <c r="C710" s="2">
        <v>9849122424</v>
      </c>
      <c r="D710" s="6"/>
      <c r="E710" s="3" t="s">
        <v>52</v>
      </c>
      <c r="F710" s="42" t="s">
        <v>714</v>
      </c>
      <c r="G710" s="2" t="s">
        <v>424</v>
      </c>
      <c r="H710" s="3" t="s">
        <v>660</v>
      </c>
      <c r="I710" s="37" t="s">
        <v>42</v>
      </c>
      <c r="J710" s="31">
        <v>45695</v>
      </c>
      <c r="K710" s="31">
        <v>45696</v>
      </c>
      <c r="L710" s="31"/>
      <c r="M710" s="31"/>
      <c r="N710" s="31"/>
      <c r="O710" s="2" t="s">
        <v>425</v>
      </c>
    </row>
    <row r="711" spans="1:15">
      <c r="A711" s="3">
        <f t="shared" si="12"/>
        <v>710</v>
      </c>
      <c r="B711" s="42" t="s">
        <v>1488</v>
      </c>
      <c r="C711" s="2">
        <v>9343924603</v>
      </c>
      <c r="D711" s="6">
        <v>9177302551</v>
      </c>
      <c r="E711" s="3" t="s">
        <v>107</v>
      </c>
      <c r="F711" s="41" t="s">
        <v>569</v>
      </c>
      <c r="G711" s="2" t="s">
        <v>424</v>
      </c>
      <c r="H711" s="3" t="s">
        <v>660</v>
      </c>
      <c r="I711" s="37" t="s">
        <v>42</v>
      </c>
      <c r="J711" s="31">
        <v>45695</v>
      </c>
      <c r="K711" s="31">
        <v>45713</v>
      </c>
      <c r="L711" s="31"/>
      <c r="M711" s="31"/>
      <c r="N711" s="31"/>
      <c r="O711" s="2" t="s">
        <v>425</v>
      </c>
    </row>
    <row r="712" spans="1:15">
      <c r="A712" s="3">
        <f t="shared" si="12"/>
        <v>711</v>
      </c>
      <c r="B712" s="42" t="s">
        <v>1489</v>
      </c>
      <c r="C712" s="2">
        <v>9818286448</v>
      </c>
      <c r="D712" s="6"/>
      <c r="E712" s="3" t="s">
        <v>1490</v>
      </c>
      <c r="F712" s="41" t="s">
        <v>308</v>
      </c>
      <c r="G712" s="2" t="s">
        <v>295</v>
      </c>
      <c r="H712" s="3" t="s">
        <v>305</v>
      </c>
      <c r="I712" s="37" t="s">
        <v>94</v>
      </c>
      <c r="J712" s="31">
        <v>45696</v>
      </c>
      <c r="K712" s="31">
        <v>45699</v>
      </c>
      <c r="L712" s="31">
        <v>45709</v>
      </c>
      <c r="M712" s="31">
        <v>45822</v>
      </c>
      <c r="N712" s="31"/>
      <c r="O712" s="2" t="s">
        <v>297</v>
      </c>
    </row>
    <row r="713" spans="1:15">
      <c r="A713" s="3">
        <f t="shared" si="12"/>
        <v>712</v>
      </c>
      <c r="B713" s="42" t="s">
        <v>1491</v>
      </c>
      <c r="C713" s="2">
        <v>9955185234</v>
      </c>
      <c r="D713" s="6"/>
      <c r="E713" s="3" t="s">
        <v>1492</v>
      </c>
      <c r="F713" s="41" t="s">
        <v>308</v>
      </c>
      <c r="G713" s="2" t="s">
        <v>295</v>
      </c>
      <c r="H713" s="3" t="s">
        <v>305</v>
      </c>
      <c r="I713" s="37" t="s">
        <v>94</v>
      </c>
      <c r="J713" s="31">
        <v>45696</v>
      </c>
      <c r="K713" s="31">
        <v>45699</v>
      </c>
      <c r="L713" s="31">
        <v>45709</v>
      </c>
      <c r="M713" s="31">
        <v>45762</v>
      </c>
      <c r="N713" s="31"/>
      <c r="O713" s="2" t="s">
        <v>297</v>
      </c>
    </row>
    <row r="714" spans="1:15">
      <c r="A714" s="3">
        <f t="shared" si="12"/>
        <v>713</v>
      </c>
      <c r="B714" s="42" t="s">
        <v>1493</v>
      </c>
      <c r="C714" s="2">
        <v>8287146637</v>
      </c>
      <c r="D714" s="6"/>
      <c r="E714" s="3" t="s">
        <v>1490</v>
      </c>
      <c r="F714" s="41" t="s">
        <v>308</v>
      </c>
      <c r="G714" s="2" t="s">
        <v>16</v>
      </c>
      <c r="H714" s="3" t="s">
        <v>305</v>
      </c>
      <c r="I714" s="37" t="s">
        <v>94</v>
      </c>
      <c r="J714" s="31">
        <v>45696</v>
      </c>
      <c r="K714" s="31">
        <v>45699</v>
      </c>
      <c r="L714" s="31">
        <v>45723</v>
      </c>
      <c r="M714" s="31">
        <v>45759</v>
      </c>
      <c r="N714" s="31">
        <v>45759</v>
      </c>
      <c r="O714" s="2" t="s">
        <v>297</v>
      </c>
    </row>
    <row r="715" spans="1:15">
      <c r="A715" s="3">
        <f t="shared" si="12"/>
        <v>714</v>
      </c>
      <c r="B715" s="41" t="s">
        <v>1494</v>
      </c>
      <c r="C715" s="36">
        <v>7008133219</v>
      </c>
      <c r="D715" s="6">
        <v>7205500861</v>
      </c>
      <c r="E715" s="3" t="s">
        <v>929</v>
      </c>
      <c r="F715" s="76" t="s">
        <v>1495</v>
      </c>
      <c r="G715" s="2" t="s">
        <v>16</v>
      </c>
      <c r="H715" s="2"/>
      <c r="I715" s="37" t="s">
        <v>94</v>
      </c>
      <c r="J715" s="31">
        <v>45688</v>
      </c>
      <c r="K715" s="31">
        <v>45688</v>
      </c>
      <c r="L715" s="31">
        <v>45695</v>
      </c>
      <c r="M715" s="31">
        <v>45726</v>
      </c>
      <c r="N715" s="31">
        <v>45740</v>
      </c>
      <c r="O715" s="2" t="s">
        <v>297</v>
      </c>
    </row>
    <row r="716" spans="1:15">
      <c r="A716" s="3">
        <f t="shared" si="12"/>
        <v>715</v>
      </c>
      <c r="B716" s="41" t="s">
        <v>1496</v>
      </c>
      <c r="C716" s="36">
        <v>9523826604</v>
      </c>
      <c r="D716" s="6">
        <v>9558861033</v>
      </c>
      <c r="E716" s="3" t="s">
        <v>1497</v>
      </c>
      <c r="F716" s="76" t="s">
        <v>1498</v>
      </c>
      <c r="G716" s="2" t="s">
        <v>416</v>
      </c>
      <c r="H716" s="3" t="s">
        <v>913</v>
      </c>
      <c r="I716" s="37" t="s">
        <v>94</v>
      </c>
      <c r="J716" s="31">
        <v>45696</v>
      </c>
      <c r="K716" s="31">
        <v>45698</v>
      </c>
      <c r="L716" s="31"/>
      <c r="M716" s="31"/>
      <c r="N716" s="31"/>
      <c r="O716" s="2" t="s">
        <v>297</v>
      </c>
    </row>
    <row r="717" spans="1:15">
      <c r="A717" s="3">
        <f t="shared" si="12"/>
        <v>716</v>
      </c>
      <c r="B717" s="41" t="s">
        <v>1499</v>
      </c>
      <c r="C717" s="36">
        <v>9162157697</v>
      </c>
      <c r="D717" s="6">
        <v>9162646596</v>
      </c>
      <c r="E717" s="3" t="s">
        <v>1500</v>
      </c>
      <c r="F717" s="76" t="s">
        <v>1498</v>
      </c>
      <c r="G717" s="2" t="s">
        <v>424</v>
      </c>
      <c r="H717" s="3" t="s">
        <v>913</v>
      </c>
      <c r="I717" s="37" t="s">
        <v>94</v>
      </c>
      <c r="J717" s="31">
        <v>45696</v>
      </c>
      <c r="K717" s="31">
        <v>45723</v>
      </c>
      <c r="L717" s="31"/>
      <c r="M717" s="31"/>
      <c r="N717" s="31"/>
      <c r="O717" s="2" t="s">
        <v>425</v>
      </c>
    </row>
    <row r="718" spans="1:15">
      <c r="A718" s="3">
        <f t="shared" si="12"/>
        <v>717</v>
      </c>
      <c r="B718" s="41" t="s">
        <v>1501</v>
      </c>
      <c r="C718" s="36">
        <v>8602255449</v>
      </c>
      <c r="D718" s="6"/>
      <c r="E718" s="3" t="s">
        <v>1497</v>
      </c>
      <c r="F718" s="76" t="s">
        <v>1498</v>
      </c>
      <c r="G718" s="2" t="s">
        <v>416</v>
      </c>
      <c r="H718" s="3" t="s">
        <v>913</v>
      </c>
      <c r="I718" s="37" t="s">
        <v>94</v>
      </c>
      <c r="J718" s="31">
        <v>45696</v>
      </c>
      <c r="K718" s="31">
        <v>45698</v>
      </c>
      <c r="L718" s="31"/>
      <c r="M718" s="31"/>
      <c r="N718" s="31"/>
      <c r="O718" s="2" t="s">
        <v>297</v>
      </c>
    </row>
    <row r="719" spans="1:15">
      <c r="A719" s="3">
        <f t="shared" si="12"/>
        <v>718</v>
      </c>
      <c r="B719" s="41" t="s">
        <v>1502</v>
      </c>
      <c r="C719" s="36">
        <v>7879092504</v>
      </c>
      <c r="D719" s="6"/>
      <c r="E719" s="3" t="s">
        <v>1497</v>
      </c>
      <c r="F719" s="76" t="s">
        <v>1498</v>
      </c>
      <c r="G719" s="2" t="s">
        <v>416</v>
      </c>
      <c r="H719" s="3" t="s">
        <v>913</v>
      </c>
      <c r="I719" s="37" t="s">
        <v>94</v>
      </c>
      <c r="J719" s="31">
        <v>45696</v>
      </c>
      <c r="K719" s="31">
        <v>45703</v>
      </c>
      <c r="L719" s="31"/>
      <c r="M719" s="31"/>
      <c r="N719" s="31"/>
      <c r="O719" s="2" t="s">
        <v>297</v>
      </c>
    </row>
    <row r="720" spans="1:15">
      <c r="A720" s="3">
        <f t="shared" si="12"/>
        <v>719</v>
      </c>
      <c r="B720" s="41" t="s">
        <v>1503</v>
      </c>
      <c r="C720" s="36">
        <v>8120175346</v>
      </c>
      <c r="D720" s="6"/>
      <c r="E720" s="3" t="s">
        <v>917</v>
      </c>
      <c r="F720" s="76" t="s">
        <v>1498</v>
      </c>
      <c r="G720" s="2" t="s">
        <v>16</v>
      </c>
      <c r="H720" s="3" t="s">
        <v>913</v>
      </c>
      <c r="I720" s="37" t="s">
        <v>94</v>
      </c>
      <c r="J720" s="31">
        <v>45696</v>
      </c>
      <c r="K720" s="31">
        <v>45698</v>
      </c>
      <c r="L720" s="31">
        <v>45709</v>
      </c>
      <c r="M720" s="31">
        <v>45737</v>
      </c>
      <c r="N720" s="31">
        <v>45744</v>
      </c>
      <c r="O720" s="2" t="s">
        <v>297</v>
      </c>
    </row>
    <row r="721" spans="1:15">
      <c r="A721" s="3">
        <f t="shared" si="12"/>
        <v>720</v>
      </c>
      <c r="B721" s="41" t="s">
        <v>1504</v>
      </c>
      <c r="C721" s="36">
        <v>8989542732</v>
      </c>
      <c r="D721" s="6">
        <v>9864917378</v>
      </c>
      <c r="E721" s="3" t="s">
        <v>1497</v>
      </c>
      <c r="F721" s="76" t="s">
        <v>1498</v>
      </c>
      <c r="G721" s="2" t="s">
        <v>424</v>
      </c>
      <c r="H721" s="3" t="s">
        <v>913</v>
      </c>
      <c r="I721" s="37" t="s">
        <v>94</v>
      </c>
      <c r="J721" s="31">
        <v>45696</v>
      </c>
      <c r="K721" s="31">
        <v>45723</v>
      </c>
      <c r="L721" s="31"/>
      <c r="M721" s="31"/>
      <c r="N721" s="31"/>
      <c r="O721" s="2" t="s">
        <v>425</v>
      </c>
    </row>
    <row r="722" spans="1:15">
      <c r="A722" s="3">
        <f t="shared" si="12"/>
        <v>721</v>
      </c>
      <c r="B722" s="42" t="s">
        <v>1505</v>
      </c>
      <c r="C722" s="2">
        <v>7070564276</v>
      </c>
      <c r="D722" s="6"/>
      <c r="E722" s="3" t="s">
        <v>1506</v>
      </c>
      <c r="F722" s="42" t="s">
        <v>503</v>
      </c>
      <c r="G722" s="2" t="s">
        <v>416</v>
      </c>
      <c r="H722" s="3" t="s">
        <v>361</v>
      </c>
      <c r="I722" s="37" t="s">
        <v>94</v>
      </c>
      <c r="J722" s="31">
        <v>45696</v>
      </c>
      <c r="K722" s="31">
        <v>45702</v>
      </c>
      <c r="L722" s="31"/>
      <c r="M722" s="31"/>
      <c r="N722" s="31"/>
      <c r="O722" s="2" t="s">
        <v>297</v>
      </c>
    </row>
    <row r="723" spans="1:15">
      <c r="A723" s="3">
        <f t="shared" si="12"/>
        <v>722</v>
      </c>
      <c r="B723" s="42" t="s">
        <v>1507</v>
      </c>
      <c r="C723" s="2">
        <v>7320821321</v>
      </c>
      <c r="D723" s="6"/>
      <c r="E723" s="3" t="s">
        <v>1506</v>
      </c>
      <c r="F723" s="42" t="s">
        <v>509</v>
      </c>
      <c r="G723" s="2" t="s">
        <v>416</v>
      </c>
      <c r="H723" s="3" t="s">
        <v>361</v>
      </c>
      <c r="I723" s="37" t="s">
        <v>94</v>
      </c>
      <c r="J723" s="31">
        <v>45696</v>
      </c>
      <c r="K723" s="31">
        <v>45702</v>
      </c>
      <c r="L723" s="31"/>
      <c r="M723" s="31"/>
      <c r="N723" s="31"/>
      <c r="O723" s="2" t="s">
        <v>297</v>
      </c>
    </row>
    <row r="724" spans="1:15">
      <c r="A724" s="3">
        <f t="shared" si="12"/>
        <v>723</v>
      </c>
      <c r="B724" s="42" t="s">
        <v>1508</v>
      </c>
      <c r="C724" s="2">
        <v>7586944869</v>
      </c>
      <c r="D724" s="6"/>
      <c r="E724" s="3" t="s">
        <v>460</v>
      </c>
      <c r="F724" s="42" t="s">
        <v>360</v>
      </c>
      <c r="G724" s="2" t="s">
        <v>295</v>
      </c>
      <c r="H724" s="3" t="s">
        <v>361</v>
      </c>
      <c r="I724" s="37" t="s">
        <v>94</v>
      </c>
      <c r="J724" s="31">
        <v>45696</v>
      </c>
      <c r="K724" s="31">
        <v>45702</v>
      </c>
      <c r="L724" s="31">
        <v>45772</v>
      </c>
      <c r="M724" s="31">
        <v>45853</v>
      </c>
      <c r="N724" s="31"/>
      <c r="O724" s="2" t="s">
        <v>297</v>
      </c>
    </row>
    <row r="725" spans="1:15">
      <c r="A725" s="3">
        <f t="shared" si="12"/>
        <v>724</v>
      </c>
      <c r="B725" s="42" t="s">
        <v>1509</v>
      </c>
      <c r="C725" s="2">
        <v>8016056472</v>
      </c>
      <c r="D725" s="6"/>
      <c r="E725" s="3" t="s">
        <v>1510</v>
      </c>
      <c r="F725" s="42" t="s">
        <v>509</v>
      </c>
      <c r="G725" s="2" t="s">
        <v>416</v>
      </c>
      <c r="H725" s="3" t="s">
        <v>361</v>
      </c>
      <c r="I725" s="37" t="s">
        <v>94</v>
      </c>
      <c r="J725" s="31">
        <v>45696</v>
      </c>
      <c r="K725" s="31">
        <v>45702</v>
      </c>
      <c r="L725" s="31"/>
      <c r="M725" s="31"/>
      <c r="N725" s="31"/>
      <c r="O725" s="2" t="s">
        <v>297</v>
      </c>
    </row>
    <row r="726" spans="1:15">
      <c r="A726" s="3">
        <f t="shared" si="12"/>
        <v>725</v>
      </c>
      <c r="B726" s="42" t="s">
        <v>1511</v>
      </c>
      <c r="C726" s="2">
        <v>8566983333</v>
      </c>
      <c r="D726" s="6"/>
      <c r="E726" s="3" t="s">
        <v>1510</v>
      </c>
      <c r="F726" s="42" t="s">
        <v>1512</v>
      </c>
      <c r="G726" s="2" t="s">
        <v>18</v>
      </c>
      <c r="H726" s="3" t="s">
        <v>361</v>
      </c>
      <c r="I726" s="37" t="s">
        <v>94</v>
      </c>
      <c r="J726" s="31">
        <v>45696</v>
      </c>
      <c r="K726" s="31">
        <v>45702</v>
      </c>
      <c r="L726" s="31"/>
      <c r="M726" s="31"/>
      <c r="N726" s="31"/>
      <c r="O726" s="2" t="s">
        <v>297</v>
      </c>
    </row>
    <row r="727" spans="1:15">
      <c r="A727" s="3">
        <f t="shared" si="12"/>
        <v>726</v>
      </c>
      <c r="B727" s="42" t="s">
        <v>1513</v>
      </c>
      <c r="C727" s="2">
        <v>6201272599</v>
      </c>
      <c r="D727" s="6"/>
      <c r="E727" s="3" t="s">
        <v>489</v>
      </c>
      <c r="F727" s="42" t="s">
        <v>360</v>
      </c>
      <c r="G727" s="2" t="s">
        <v>16</v>
      </c>
      <c r="H727" s="3" t="s">
        <v>361</v>
      </c>
      <c r="I727" s="37" t="s">
        <v>94</v>
      </c>
      <c r="J727" s="31">
        <v>45696</v>
      </c>
      <c r="K727" s="31">
        <v>45702</v>
      </c>
      <c r="L727" s="31">
        <v>45716</v>
      </c>
      <c r="M727" s="31">
        <v>45744</v>
      </c>
      <c r="N727" s="31">
        <v>45752</v>
      </c>
      <c r="O727" s="2" t="s">
        <v>297</v>
      </c>
    </row>
    <row r="728" spans="1:15">
      <c r="A728" s="3">
        <f t="shared" si="12"/>
        <v>727</v>
      </c>
      <c r="B728" s="42" t="s">
        <v>1514</v>
      </c>
      <c r="C728" s="2">
        <v>9959379293</v>
      </c>
      <c r="D728" s="6"/>
      <c r="E728" s="3" t="s">
        <v>917</v>
      </c>
      <c r="F728" s="42" t="s">
        <v>1515</v>
      </c>
      <c r="G728" s="2" t="s">
        <v>416</v>
      </c>
      <c r="H728" s="3" t="s">
        <v>913</v>
      </c>
      <c r="I728" s="37" t="s">
        <v>94</v>
      </c>
      <c r="J728" s="31">
        <v>45696</v>
      </c>
      <c r="K728" s="31">
        <v>45699</v>
      </c>
      <c r="L728" s="31"/>
      <c r="M728" s="31"/>
      <c r="N728" s="31"/>
      <c r="O728" s="2" t="s">
        <v>297</v>
      </c>
    </row>
    <row r="729" spans="1:15">
      <c r="A729" s="3">
        <f t="shared" si="12"/>
        <v>728</v>
      </c>
      <c r="B729" s="42" t="s">
        <v>1516</v>
      </c>
      <c r="C729" s="2">
        <v>9783111060</v>
      </c>
      <c r="D729" s="6"/>
      <c r="E729" s="3" t="s">
        <v>932</v>
      </c>
      <c r="F729" s="42" t="s">
        <v>1517</v>
      </c>
      <c r="G729" s="2" t="s">
        <v>416</v>
      </c>
      <c r="H729" s="3" t="s">
        <v>913</v>
      </c>
      <c r="I729" s="37" t="s">
        <v>94</v>
      </c>
      <c r="J729" s="31">
        <v>45696</v>
      </c>
      <c r="K729" s="31">
        <v>45699</v>
      </c>
      <c r="L729" s="31"/>
      <c r="M729" s="31"/>
      <c r="N729" s="31"/>
      <c r="O729" s="2" t="s">
        <v>297</v>
      </c>
    </row>
    <row r="730" spans="1:15">
      <c r="A730" s="3">
        <f t="shared" si="12"/>
        <v>729</v>
      </c>
      <c r="B730" s="42" t="s">
        <v>1518</v>
      </c>
      <c r="C730" s="2">
        <v>9861257277</v>
      </c>
      <c r="D730" s="6"/>
      <c r="E730" s="3" t="s">
        <v>932</v>
      </c>
      <c r="F730" s="42" t="s">
        <v>1517</v>
      </c>
      <c r="G730" s="2" t="s">
        <v>424</v>
      </c>
      <c r="H730" s="3" t="s">
        <v>913</v>
      </c>
      <c r="I730" s="37" t="s">
        <v>94</v>
      </c>
      <c r="J730" s="31">
        <v>45696</v>
      </c>
      <c r="K730" s="31">
        <v>45716</v>
      </c>
      <c r="L730" s="31"/>
      <c r="M730" s="31"/>
      <c r="N730" s="31"/>
      <c r="O730" s="2" t="s">
        <v>425</v>
      </c>
    </row>
    <row r="731" spans="1:15">
      <c r="A731" s="3">
        <f t="shared" si="12"/>
        <v>730</v>
      </c>
      <c r="B731" s="42" t="s">
        <v>1519</v>
      </c>
      <c r="C731" s="2">
        <v>9553057444</v>
      </c>
      <c r="D731" s="6">
        <v>9441744421</v>
      </c>
      <c r="E731" s="3" t="s">
        <v>932</v>
      </c>
      <c r="F731" s="42" t="s">
        <v>1517</v>
      </c>
      <c r="G731" s="3" t="s">
        <v>295</v>
      </c>
      <c r="H731" s="3" t="s">
        <v>913</v>
      </c>
      <c r="I731" s="37" t="s">
        <v>94</v>
      </c>
      <c r="J731" s="31">
        <v>45696</v>
      </c>
      <c r="K731" s="31">
        <v>45698</v>
      </c>
      <c r="L731" s="31">
        <v>45709</v>
      </c>
      <c r="M731" s="31">
        <v>45798</v>
      </c>
      <c r="N731" s="31"/>
      <c r="O731" s="2" t="s">
        <v>297</v>
      </c>
    </row>
    <row r="732" spans="1:15">
      <c r="A732" s="3">
        <f t="shared" si="12"/>
        <v>731</v>
      </c>
      <c r="B732" s="42" t="s">
        <v>1520</v>
      </c>
      <c r="C732" s="2">
        <v>8887817715</v>
      </c>
      <c r="D732" s="6"/>
      <c r="E732" s="3" t="s">
        <v>922</v>
      </c>
      <c r="F732" s="42" t="s">
        <v>1517</v>
      </c>
      <c r="G732" s="2" t="s">
        <v>416</v>
      </c>
      <c r="H732" s="3" t="s">
        <v>913</v>
      </c>
      <c r="I732" s="37" t="s">
        <v>94</v>
      </c>
      <c r="J732" s="31">
        <v>45696</v>
      </c>
      <c r="K732" s="31">
        <v>45699</v>
      </c>
      <c r="L732" s="31"/>
      <c r="M732" s="31"/>
      <c r="N732" s="31"/>
      <c r="O732" s="2" t="s">
        <v>297</v>
      </c>
    </row>
    <row r="733" spans="1:15">
      <c r="A733" s="3">
        <f t="shared" si="12"/>
        <v>732</v>
      </c>
      <c r="B733" s="42" t="s">
        <v>1521</v>
      </c>
      <c r="C733" s="2">
        <v>8670252707</v>
      </c>
      <c r="D733" s="6">
        <v>7319308738</v>
      </c>
      <c r="E733" s="3" t="s">
        <v>922</v>
      </c>
      <c r="F733" s="42" t="s">
        <v>1517</v>
      </c>
      <c r="G733" s="2" t="s">
        <v>424</v>
      </c>
      <c r="H733" s="3" t="s">
        <v>913</v>
      </c>
      <c r="I733" s="37" t="s">
        <v>94</v>
      </c>
      <c r="J733" s="31">
        <v>45696</v>
      </c>
      <c r="K733" s="31">
        <v>45699</v>
      </c>
      <c r="L733" s="31"/>
      <c r="M733" s="31"/>
      <c r="N733" s="31"/>
      <c r="O733" s="2" t="s">
        <v>425</v>
      </c>
    </row>
    <row r="734" spans="1:15">
      <c r="A734" s="3">
        <f t="shared" si="12"/>
        <v>733</v>
      </c>
      <c r="B734" s="42" t="s">
        <v>1522</v>
      </c>
      <c r="C734" s="2">
        <v>7765031117</v>
      </c>
      <c r="D734" s="6">
        <v>7549850088</v>
      </c>
      <c r="E734" s="3" t="s">
        <v>922</v>
      </c>
      <c r="F734" s="42" t="s">
        <v>1517</v>
      </c>
      <c r="G734" s="2" t="s">
        <v>424</v>
      </c>
      <c r="H734" s="3" t="s">
        <v>913</v>
      </c>
      <c r="I734" s="37" t="s">
        <v>94</v>
      </c>
      <c r="J734" s="31">
        <v>45696</v>
      </c>
      <c r="K734" s="31">
        <v>45698</v>
      </c>
      <c r="L734" s="31"/>
      <c r="M734" s="31"/>
      <c r="N734" s="31"/>
      <c r="O734" s="2" t="s">
        <v>425</v>
      </c>
    </row>
    <row r="735" spans="1:15">
      <c r="A735" s="3">
        <f t="shared" si="12"/>
        <v>734</v>
      </c>
      <c r="B735" s="42" t="s">
        <v>1523</v>
      </c>
      <c r="C735" s="2">
        <v>9860677194</v>
      </c>
      <c r="D735" s="6"/>
      <c r="E735" s="3" t="s">
        <v>922</v>
      </c>
      <c r="F735" s="42" t="s">
        <v>1517</v>
      </c>
      <c r="G735" s="2" t="s">
        <v>424</v>
      </c>
      <c r="H735" s="3" t="s">
        <v>913</v>
      </c>
      <c r="I735" s="37" t="s">
        <v>94</v>
      </c>
      <c r="J735" s="31">
        <v>45696</v>
      </c>
      <c r="K735" s="31">
        <v>45703</v>
      </c>
      <c r="L735" s="31"/>
      <c r="M735" s="31"/>
      <c r="N735" s="31"/>
      <c r="O735" s="2" t="s">
        <v>425</v>
      </c>
    </row>
    <row r="736" spans="1:15">
      <c r="A736" s="3">
        <f t="shared" si="12"/>
        <v>735</v>
      </c>
      <c r="B736" s="42" t="s">
        <v>1524</v>
      </c>
      <c r="C736" s="2">
        <v>7417196163</v>
      </c>
      <c r="D736" s="6"/>
      <c r="E736" s="3" t="s">
        <v>1525</v>
      </c>
      <c r="F736" s="42" t="s">
        <v>308</v>
      </c>
      <c r="G736" s="2" t="s">
        <v>16</v>
      </c>
      <c r="H736" s="3" t="s">
        <v>305</v>
      </c>
      <c r="I736" s="37" t="s">
        <v>94</v>
      </c>
      <c r="J736" s="31">
        <v>45698</v>
      </c>
      <c r="K736" s="31">
        <v>45704</v>
      </c>
      <c r="L736" s="31">
        <v>45721</v>
      </c>
      <c r="M736" s="31">
        <v>45792</v>
      </c>
      <c r="N736" s="31">
        <v>45800</v>
      </c>
      <c r="O736" s="2" t="s">
        <v>297</v>
      </c>
    </row>
    <row r="737" spans="1:15">
      <c r="A737" s="3">
        <f t="shared" si="12"/>
        <v>736</v>
      </c>
      <c r="B737" s="42" t="s">
        <v>1526</v>
      </c>
      <c r="C737" s="2">
        <v>7983028122</v>
      </c>
      <c r="D737" s="6"/>
      <c r="E737" s="3" t="s">
        <v>1492</v>
      </c>
      <c r="F737" s="42" t="s">
        <v>308</v>
      </c>
      <c r="G737" s="2" t="s">
        <v>16</v>
      </c>
      <c r="H737" s="3" t="s">
        <v>305</v>
      </c>
      <c r="I737" s="37" t="s">
        <v>94</v>
      </c>
      <c r="J737" s="31">
        <v>45698</v>
      </c>
      <c r="K737" s="31">
        <v>45705</v>
      </c>
      <c r="L737" s="31">
        <v>45772</v>
      </c>
      <c r="M737" s="31">
        <v>45803</v>
      </c>
      <c r="N737" s="31">
        <v>45800</v>
      </c>
      <c r="O737" s="2" t="s">
        <v>297</v>
      </c>
    </row>
    <row r="738" spans="1:15">
      <c r="A738" s="3">
        <f t="shared" si="12"/>
        <v>737</v>
      </c>
      <c r="B738" s="42" t="s">
        <v>1527</v>
      </c>
      <c r="C738" s="2">
        <v>9877633042</v>
      </c>
      <c r="D738" s="6"/>
      <c r="E738" s="3" t="s">
        <v>1525</v>
      </c>
      <c r="F738" s="42" t="s">
        <v>333</v>
      </c>
      <c r="G738" s="2" t="s">
        <v>295</v>
      </c>
      <c r="H738" s="3" t="s">
        <v>305</v>
      </c>
      <c r="I738" s="37" t="s">
        <v>94</v>
      </c>
      <c r="J738" s="31">
        <v>45698</v>
      </c>
      <c r="K738" s="31">
        <v>45699</v>
      </c>
      <c r="L738" s="31">
        <v>45716</v>
      </c>
      <c r="M738" s="31">
        <v>45744</v>
      </c>
      <c r="N738" s="31"/>
      <c r="O738" s="2" t="s">
        <v>297</v>
      </c>
    </row>
    <row r="739" spans="1:15">
      <c r="A739" s="3">
        <f t="shared" si="12"/>
        <v>738</v>
      </c>
      <c r="B739" s="42" t="s">
        <v>1528</v>
      </c>
      <c r="C739" s="2">
        <v>7498110534</v>
      </c>
      <c r="D739" s="6"/>
      <c r="E739" s="3" t="s">
        <v>1525</v>
      </c>
      <c r="F739" s="42" t="s">
        <v>333</v>
      </c>
      <c r="G739" s="3" t="s">
        <v>295</v>
      </c>
      <c r="H739" s="3" t="s">
        <v>305</v>
      </c>
      <c r="I739" s="37" t="s">
        <v>94</v>
      </c>
      <c r="J739" s="31">
        <v>45698</v>
      </c>
      <c r="K739" s="31">
        <v>45707</v>
      </c>
      <c r="L739" s="31">
        <v>45716</v>
      </c>
      <c r="M739" s="31">
        <v>45744</v>
      </c>
      <c r="N739" s="31"/>
      <c r="O739" s="2" t="s">
        <v>297</v>
      </c>
    </row>
    <row r="740" spans="1:15">
      <c r="A740" s="3">
        <f t="shared" si="12"/>
        <v>739</v>
      </c>
      <c r="B740" s="42" t="s">
        <v>1529</v>
      </c>
      <c r="C740" s="2">
        <v>9832211593</v>
      </c>
      <c r="D740" s="6"/>
      <c r="E740" s="3" t="s">
        <v>1525</v>
      </c>
      <c r="F740" s="42" t="s">
        <v>333</v>
      </c>
      <c r="G740" s="2" t="s">
        <v>416</v>
      </c>
      <c r="H740" s="3" t="s">
        <v>305</v>
      </c>
      <c r="I740" s="37" t="s">
        <v>94</v>
      </c>
      <c r="J740" s="31">
        <v>45698</v>
      </c>
      <c r="K740" s="31">
        <v>45705</v>
      </c>
      <c r="L740" s="31"/>
      <c r="M740" s="31"/>
      <c r="N740" s="31"/>
      <c r="O740" s="2" t="s">
        <v>297</v>
      </c>
    </row>
    <row r="741" spans="1:15">
      <c r="A741" s="3">
        <f t="shared" si="12"/>
        <v>740</v>
      </c>
      <c r="B741" s="42" t="s">
        <v>1530</v>
      </c>
      <c r="C741" s="2">
        <v>9000574010</v>
      </c>
      <c r="D741" s="6"/>
      <c r="E741" s="3" t="s">
        <v>1531</v>
      </c>
      <c r="F741" s="42" t="s">
        <v>329</v>
      </c>
      <c r="G741" s="2" t="s">
        <v>416</v>
      </c>
      <c r="H741" s="3" t="s">
        <v>357</v>
      </c>
      <c r="I741" s="37" t="s">
        <v>94</v>
      </c>
      <c r="J741" s="31">
        <v>45698</v>
      </c>
      <c r="K741" s="31">
        <v>45699</v>
      </c>
      <c r="L741" s="31"/>
      <c r="M741" s="31"/>
      <c r="N741" s="31"/>
      <c r="O741" s="2" t="s">
        <v>297</v>
      </c>
    </row>
    <row r="742" spans="1:15">
      <c r="A742" s="3">
        <f t="shared" si="12"/>
        <v>741</v>
      </c>
      <c r="B742" s="42" t="s">
        <v>1532</v>
      </c>
      <c r="C742" s="2">
        <v>9908354013</v>
      </c>
      <c r="D742" s="6"/>
      <c r="E742" s="3" t="s">
        <v>1531</v>
      </c>
      <c r="F742" s="42" t="s">
        <v>329</v>
      </c>
      <c r="G742" s="2" t="s">
        <v>764</v>
      </c>
      <c r="H742" s="3" t="s">
        <v>357</v>
      </c>
      <c r="I742" s="37" t="s">
        <v>94</v>
      </c>
      <c r="J742" s="31">
        <v>45698</v>
      </c>
      <c r="K742" s="31">
        <v>45699</v>
      </c>
      <c r="L742" s="31"/>
      <c r="M742" s="31"/>
      <c r="N742" s="31"/>
      <c r="O742" s="2" t="s">
        <v>425</v>
      </c>
    </row>
    <row r="743" spans="1:15">
      <c r="A743" s="3">
        <f t="shared" si="12"/>
        <v>742</v>
      </c>
      <c r="B743" s="42" t="s">
        <v>1533</v>
      </c>
      <c r="C743" s="2">
        <v>6005252316</v>
      </c>
      <c r="D743" s="6"/>
      <c r="E743" s="3" t="s">
        <v>1534</v>
      </c>
      <c r="F743" s="42" t="s">
        <v>1535</v>
      </c>
      <c r="G743" s="2" t="s">
        <v>416</v>
      </c>
      <c r="H743" s="3" t="s">
        <v>1536</v>
      </c>
      <c r="I743" s="37" t="s">
        <v>94</v>
      </c>
      <c r="J743" s="31">
        <v>45699</v>
      </c>
      <c r="K743" s="31">
        <v>45708</v>
      </c>
      <c r="L743" s="31"/>
      <c r="M743" s="31"/>
      <c r="N743" s="31"/>
      <c r="O743" s="2" t="s">
        <v>297</v>
      </c>
    </row>
    <row r="744" spans="1:15">
      <c r="A744" s="3">
        <f t="shared" si="12"/>
        <v>743</v>
      </c>
      <c r="B744" s="42" t="s">
        <v>1537</v>
      </c>
      <c r="C744" s="2">
        <v>8889692147</v>
      </c>
      <c r="D744" s="6">
        <v>8889900510</v>
      </c>
      <c r="E744" s="3" t="s">
        <v>1534</v>
      </c>
      <c r="F744" s="42" t="s">
        <v>1535</v>
      </c>
      <c r="G744" s="2" t="s">
        <v>16</v>
      </c>
      <c r="H744" s="3" t="s">
        <v>1536</v>
      </c>
      <c r="I744" s="37" t="s">
        <v>94</v>
      </c>
      <c r="J744" s="31">
        <v>45699</v>
      </c>
      <c r="K744" s="31">
        <v>45710</v>
      </c>
      <c r="L744" s="31">
        <v>45713</v>
      </c>
      <c r="M744" s="31">
        <v>45741</v>
      </c>
      <c r="N744" s="31">
        <v>45747</v>
      </c>
      <c r="O744" s="2" t="s">
        <v>297</v>
      </c>
    </row>
    <row r="745" spans="1:15">
      <c r="A745" s="3">
        <f t="shared" si="12"/>
        <v>744</v>
      </c>
      <c r="B745" s="42" t="s">
        <v>1538</v>
      </c>
      <c r="C745" s="2">
        <v>9947957275</v>
      </c>
      <c r="D745" s="6">
        <v>8547927275</v>
      </c>
      <c r="E745" s="3" t="s">
        <v>402</v>
      </c>
      <c r="F745" s="42" t="s">
        <v>1535</v>
      </c>
      <c r="G745" s="2" t="s">
        <v>16</v>
      </c>
      <c r="H745" s="3" t="s">
        <v>1536</v>
      </c>
      <c r="I745" s="37" t="s">
        <v>88</v>
      </c>
      <c r="J745" s="31">
        <v>45699</v>
      </c>
      <c r="K745" s="31">
        <v>45700</v>
      </c>
      <c r="L745" s="31">
        <v>45701</v>
      </c>
      <c r="M745" s="31">
        <v>45731</v>
      </c>
      <c r="N745" s="31">
        <v>45730</v>
      </c>
      <c r="O745" s="2" t="s">
        <v>297</v>
      </c>
    </row>
    <row r="746" spans="1:15">
      <c r="A746" s="3">
        <f t="shared" si="12"/>
        <v>745</v>
      </c>
      <c r="B746" s="42" t="s">
        <v>1539</v>
      </c>
      <c r="C746" s="2">
        <v>9966364925</v>
      </c>
      <c r="D746" s="6"/>
      <c r="E746" s="3" t="s">
        <v>1540</v>
      </c>
      <c r="F746" s="42" t="s">
        <v>1199</v>
      </c>
      <c r="G746" s="2" t="s">
        <v>416</v>
      </c>
      <c r="H746" s="3" t="s">
        <v>785</v>
      </c>
      <c r="I746" s="37" t="s">
        <v>42</v>
      </c>
      <c r="J746" s="31">
        <v>45699</v>
      </c>
      <c r="K746" s="31">
        <v>45699</v>
      </c>
      <c r="L746" s="31"/>
      <c r="M746" s="31"/>
      <c r="N746" s="31"/>
      <c r="O746" s="2" t="s">
        <v>297</v>
      </c>
    </row>
    <row r="747" spans="1:15">
      <c r="A747" s="3">
        <f t="shared" si="12"/>
        <v>746</v>
      </c>
      <c r="B747" s="42" t="s">
        <v>1541</v>
      </c>
      <c r="C747" s="2">
        <v>6301206865</v>
      </c>
      <c r="D747" s="6">
        <v>9942307905</v>
      </c>
      <c r="E747" s="3" t="s">
        <v>1540</v>
      </c>
      <c r="F747" s="42" t="s">
        <v>1199</v>
      </c>
      <c r="G747" s="2" t="s">
        <v>16</v>
      </c>
      <c r="H747" s="3" t="s">
        <v>785</v>
      </c>
      <c r="I747" s="37" t="s">
        <v>42</v>
      </c>
      <c r="J747" s="31">
        <v>45699</v>
      </c>
      <c r="K747" s="31">
        <v>45699</v>
      </c>
      <c r="L747" s="31">
        <v>45737</v>
      </c>
      <c r="M747" s="31">
        <v>45769</v>
      </c>
      <c r="N747" s="31">
        <v>45761</v>
      </c>
      <c r="O747" s="2" t="s">
        <v>297</v>
      </c>
    </row>
    <row r="748" spans="1:15">
      <c r="A748" s="3">
        <f t="shared" si="12"/>
        <v>747</v>
      </c>
      <c r="B748" s="42" t="s">
        <v>1542</v>
      </c>
      <c r="C748" s="2">
        <v>9676377721</v>
      </c>
      <c r="D748" s="6"/>
      <c r="E748" s="3" t="s">
        <v>1543</v>
      </c>
      <c r="F748" s="42" t="s">
        <v>1199</v>
      </c>
      <c r="G748" s="2" t="s">
        <v>16</v>
      </c>
      <c r="H748" s="2" t="s">
        <v>1544</v>
      </c>
      <c r="I748" s="37" t="s">
        <v>42</v>
      </c>
      <c r="J748" s="31">
        <v>45509</v>
      </c>
      <c r="K748" s="31">
        <v>45528</v>
      </c>
      <c r="L748" s="31">
        <v>45597</v>
      </c>
      <c r="M748" s="31">
        <v>45681</v>
      </c>
      <c r="N748" s="31">
        <v>45681</v>
      </c>
      <c r="O748" s="2" t="s">
        <v>297</v>
      </c>
    </row>
    <row r="749" spans="1:15">
      <c r="A749" s="3">
        <f t="shared" si="12"/>
        <v>748</v>
      </c>
      <c r="B749" s="42" t="s">
        <v>1545</v>
      </c>
      <c r="C749" s="2"/>
      <c r="D749" s="6"/>
      <c r="E749" s="3" t="s">
        <v>1546</v>
      </c>
      <c r="F749" s="42" t="s">
        <v>1547</v>
      </c>
      <c r="G749" s="2" t="s">
        <v>16</v>
      </c>
      <c r="H749" s="2" t="s">
        <v>42</v>
      </c>
      <c r="I749" s="37" t="s">
        <v>42</v>
      </c>
      <c r="J749" s="31">
        <v>45658</v>
      </c>
      <c r="K749" s="31">
        <v>45699</v>
      </c>
      <c r="L749" s="31">
        <v>45699</v>
      </c>
      <c r="M749" s="31">
        <v>45748</v>
      </c>
      <c r="N749" s="31">
        <v>45728</v>
      </c>
      <c r="O749" s="2" t="s">
        <v>297</v>
      </c>
    </row>
    <row r="750" spans="1:15">
      <c r="A750" s="3">
        <f t="shared" si="12"/>
        <v>749</v>
      </c>
      <c r="B750" s="42" t="s">
        <v>1548</v>
      </c>
      <c r="C750" s="2">
        <v>8886132287</v>
      </c>
      <c r="D750" s="6"/>
      <c r="E750" s="3" t="s">
        <v>783</v>
      </c>
      <c r="F750" s="42" t="s">
        <v>784</v>
      </c>
      <c r="G750" s="2" t="s">
        <v>16</v>
      </c>
      <c r="H750" s="2" t="s">
        <v>1296</v>
      </c>
      <c r="I750" s="37" t="s">
        <v>88</v>
      </c>
      <c r="J750" s="31">
        <v>45699</v>
      </c>
      <c r="K750" s="31">
        <v>45698</v>
      </c>
      <c r="L750" s="31">
        <v>45701</v>
      </c>
      <c r="M750" s="31">
        <v>45731</v>
      </c>
      <c r="N750" s="31">
        <v>45731</v>
      </c>
      <c r="O750" s="2" t="s">
        <v>297</v>
      </c>
    </row>
    <row r="751" spans="1:15">
      <c r="A751" s="3">
        <f t="shared" si="12"/>
        <v>750</v>
      </c>
      <c r="B751" s="42" t="s">
        <v>1549</v>
      </c>
      <c r="C751" s="2">
        <v>8143520398</v>
      </c>
      <c r="D751" s="6"/>
      <c r="E751" s="2" t="s">
        <v>1531</v>
      </c>
      <c r="F751" s="42" t="s">
        <v>1550</v>
      </c>
      <c r="G751" s="2" t="s">
        <v>416</v>
      </c>
      <c r="H751" s="3" t="s">
        <v>357</v>
      </c>
      <c r="I751" s="37" t="s">
        <v>94</v>
      </c>
      <c r="J751" s="31">
        <v>45699</v>
      </c>
      <c r="K751" s="31">
        <v>45700</v>
      </c>
      <c r="L751" s="31"/>
      <c r="M751" s="31"/>
      <c r="N751" s="31"/>
      <c r="O751" s="2" t="s">
        <v>297</v>
      </c>
    </row>
    <row r="752" spans="1:15">
      <c r="A752" s="3">
        <f t="shared" si="12"/>
        <v>751</v>
      </c>
      <c r="B752" s="42" t="s">
        <v>1551</v>
      </c>
      <c r="C752" s="2">
        <v>7903751953</v>
      </c>
      <c r="D752" s="6"/>
      <c r="E752" s="2" t="s">
        <v>1531</v>
      </c>
      <c r="F752" s="42" t="s">
        <v>308</v>
      </c>
      <c r="G752" s="2" t="s">
        <v>295</v>
      </c>
      <c r="H752" s="3" t="s">
        <v>357</v>
      </c>
      <c r="I752" s="37" t="s">
        <v>94</v>
      </c>
      <c r="J752" s="31">
        <v>45699</v>
      </c>
      <c r="K752" s="31">
        <v>45700</v>
      </c>
      <c r="L752" s="31">
        <v>45723</v>
      </c>
      <c r="M752" s="31">
        <v>45738</v>
      </c>
      <c r="N752" s="31"/>
      <c r="O752" s="2" t="s">
        <v>297</v>
      </c>
    </row>
    <row r="753" spans="1:15">
      <c r="A753" s="3">
        <f t="shared" si="12"/>
        <v>752</v>
      </c>
      <c r="B753" s="42" t="s">
        <v>1552</v>
      </c>
      <c r="C753" s="2">
        <v>8240570520</v>
      </c>
      <c r="D753" s="6"/>
      <c r="E753" s="2" t="s">
        <v>1531</v>
      </c>
      <c r="F753" s="42" t="s">
        <v>308</v>
      </c>
      <c r="G753" s="2" t="s">
        <v>764</v>
      </c>
      <c r="H753" s="3" t="s">
        <v>357</v>
      </c>
      <c r="I753" s="37" t="s">
        <v>94</v>
      </c>
      <c r="J753" s="31">
        <v>45699</v>
      </c>
      <c r="K753" s="31">
        <v>45701</v>
      </c>
      <c r="L753" s="31"/>
      <c r="M753" s="31"/>
      <c r="N753" s="31"/>
      <c r="O753" s="2" t="s">
        <v>425</v>
      </c>
    </row>
    <row r="754" spans="1:15">
      <c r="A754" s="3">
        <f t="shared" si="12"/>
        <v>753</v>
      </c>
      <c r="B754" s="42" t="s">
        <v>1553</v>
      </c>
      <c r="C754" s="2">
        <v>8117986707</v>
      </c>
      <c r="D754" s="6"/>
      <c r="E754" s="2" t="s">
        <v>1531</v>
      </c>
      <c r="F754" s="42" t="s">
        <v>308</v>
      </c>
      <c r="G754" s="2" t="s">
        <v>416</v>
      </c>
      <c r="H754" s="3" t="s">
        <v>357</v>
      </c>
      <c r="I754" s="37" t="s">
        <v>94</v>
      </c>
      <c r="J754" s="31">
        <v>45699</v>
      </c>
      <c r="K754" s="31">
        <v>45700</v>
      </c>
      <c r="L754" s="31"/>
      <c r="M754" s="31"/>
      <c r="N754" s="31"/>
      <c r="O754" s="2" t="s">
        <v>297</v>
      </c>
    </row>
    <row r="755" spans="1:15">
      <c r="A755" s="3">
        <f t="shared" si="12"/>
        <v>754</v>
      </c>
      <c r="B755" s="42" t="s">
        <v>1554</v>
      </c>
      <c r="C755" s="2">
        <v>8219569418</v>
      </c>
      <c r="D755" s="6"/>
      <c r="E755" s="3" t="s">
        <v>1101</v>
      </c>
      <c r="F755" s="42" t="s">
        <v>1555</v>
      </c>
      <c r="G755" s="2" t="s">
        <v>424</v>
      </c>
      <c r="H755" s="3" t="s">
        <v>815</v>
      </c>
      <c r="I755" s="37" t="s">
        <v>94</v>
      </c>
      <c r="J755" s="31">
        <v>45699</v>
      </c>
      <c r="K755" s="31">
        <v>45702</v>
      </c>
      <c r="L755" s="31"/>
      <c r="M755" s="31"/>
      <c r="N755" s="31"/>
      <c r="O755" s="2" t="s">
        <v>425</v>
      </c>
    </row>
    <row r="756" spans="1:15">
      <c r="A756" s="3">
        <f t="shared" si="12"/>
        <v>755</v>
      </c>
      <c r="B756" s="42" t="s">
        <v>1556</v>
      </c>
      <c r="C756" s="2">
        <v>6207805167</v>
      </c>
      <c r="D756" s="6"/>
      <c r="E756" s="3" t="s">
        <v>1101</v>
      </c>
      <c r="F756" s="42" t="s">
        <v>1555</v>
      </c>
      <c r="G756" s="2" t="s">
        <v>16</v>
      </c>
      <c r="H756" s="3" t="s">
        <v>815</v>
      </c>
      <c r="I756" s="37" t="s">
        <v>94</v>
      </c>
      <c r="J756" s="31">
        <v>45699</v>
      </c>
      <c r="K756" s="31">
        <v>45702</v>
      </c>
      <c r="L756" s="31">
        <v>45709</v>
      </c>
      <c r="M756" s="31">
        <v>45737</v>
      </c>
      <c r="N756" s="31">
        <v>45741</v>
      </c>
      <c r="O756" s="2" t="s">
        <v>297</v>
      </c>
    </row>
    <row r="757" spans="1:15">
      <c r="A757" s="3">
        <f t="shared" si="12"/>
        <v>756</v>
      </c>
      <c r="B757" s="42" t="s">
        <v>1557</v>
      </c>
      <c r="C757" s="2">
        <v>7558987175</v>
      </c>
      <c r="D757" s="6"/>
      <c r="E757" s="3" t="s">
        <v>1558</v>
      </c>
      <c r="F757" s="42" t="s">
        <v>1555</v>
      </c>
      <c r="G757" s="2" t="s">
        <v>416</v>
      </c>
      <c r="H757" s="3" t="s">
        <v>815</v>
      </c>
      <c r="I757" s="37" t="s">
        <v>94</v>
      </c>
      <c r="J757" s="31">
        <v>45699</v>
      </c>
      <c r="K757" s="31">
        <v>45702</v>
      </c>
      <c r="L757" s="31"/>
      <c r="M757" s="31"/>
      <c r="N757" s="31"/>
      <c r="O757" s="2" t="s">
        <v>297</v>
      </c>
    </row>
    <row r="758" spans="1:15">
      <c r="A758" s="3">
        <f t="shared" si="12"/>
        <v>757</v>
      </c>
      <c r="B758" s="42" t="s">
        <v>1559</v>
      </c>
      <c r="C758" s="2">
        <v>8090319871</v>
      </c>
      <c r="D758" s="6"/>
      <c r="E758" s="3" t="s">
        <v>1558</v>
      </c>
      <c r="F758" s="42" t="s">
        <v>1555</v>
      </c>
      <c r="G758" s="2" t="s">
        <v>416</v>
      </c>
      <c r="H758" s="3" t="s">
        <v>815</v>
      </c>
      <c r="I758" s="37" t="s">
        <v>94</v>
      </c>
      <c r="J758" s="31">
        <v>45699</v>
      </c>
      <c r="K758" s="31">
        <v>45702</v>
      </c>
      <c r="L758" s="31"/>
      <c r="M758" s="31"/>
      <c r="N758" s="31"/>
      <c r="O758" s="2" t="s">
        <v>297</v>
      </c>
    </row>
    <row r="759" spans="1:15">
      <c r="A759" s="3">
        <f t="shared" si="12"/>
        <v>758</v>
      </c>
      <c r="B759" s="42" t="s">
        <v>1560</v>
      </c>
      <c r="C759" s="2">
        <v>8959607201</v>
      </c>
      <c r="D759" s="6"/>
      <c r="E759" s="3" t="s">
        <v>1558</v>
      </c>
      <c r="F759" s="42" t="s">
        <v>1555</v>
      </c>
      <c r="G759" s="2" t="s">
        <v>424</v>
      </c>
      <c r="H759" s="3" t="s">
        <v>815</v>
      </c>
      <c r="I759" s="37" t="s">
        <v>94</v>
      </c>
      <c r="J759" s="31">
        <v>45699</v>
      </c>
      <c r="K759" s="31">
        <v>45709</v>
      </c>
      <c r="L759" s="31"/>
      <c r="M759" s="31"/>
      <c r="N759" s="31"/>
      <c r="O759" s="2" t="s">
        <v>425</v>
      </c>
    </row>
    <row r="760" spans="1:15">
      <c r="A760" s="3">
        <f t="shared" si="12"/>
        <v>759</v>
      </c>
      <c r="B760" s="42" t="s">
        <v>1561</v>
      </c>
      <c r="C760" s="2">
        <v>6392944142</v>
      </c>
      <c r="D760" s="6"/>
      <c r="E760" s="3" t="s">
        <v>1105</v>
      </c>
      <c r="F760" s="42" t="s">
        <v>825</v>
      </c>
      <c r="G760" s="2" t="s">
        <v>330</v>
      </c>
      <c r="H760" s="3" t="s">
        <v>815</v>
      </c>
      <c r="I760" s="37" t="s">
        <v>94</v>
      </c>
      <c r="J760" s="31">
        <v>45699</v>
      </c>
      <c r="K760" s="31">
        <v>45702</v>
      </c>
      <c r="L760" s="31">
        <v>45716</v>
      </c>
      <c r="M760" s="31">
        <v>45744</v>
      </c>
      <c r="N760" s="31">
        <v>45735</v>
      </c>
      <c r="O760" s="2" t="s">
        <v>297</v>
      </c>
    </row>
    <row r="761" spans="1:15">
      <c r="A761" s="3">
        <f t="shared" si="12"/>
        <v>760</v>
      </c>
      <c r="B761" s="42" t="s">
        <v>1562</v>
      </c>
      <c r="C761" s="2">
        <v>8081331321</v>
      </c>
      <c r="D761" s="6"/>
      <c r="E761" s="3" t="s">
        <v>1105</v>
      </c>
      <c r="F761" s="42" t="s">
        <v>825</v>
      </c>
      <c r="G761" s="2" t="s">
        <v>330</v>
      </c>
      <c r="H761" s="3" t="s">
        <v>815</v>
      </c>
      <c r="I761" s="37" t="s">
        <v>94</v>
      </c>
      <c r="J761" s="31">
        <v>45699</v>
      </c>
      <c r="K761" s="31">
        <v>45702</v>
      </c>
      <c r="L761" s="31">
        <v>45763</v>
      </c>
      <c r="M761" s="31">
        <v>45793</v>
      </c>
      <c r="N761" s="31">
        <v>45795</v>
      </c>
      <c r="O761" s="2" t="s">
        <v>297</v>
      </c>
    </row>
    <row r="762" spans="1:15">
      <c r="A762" s="3">
        <f t="shared" ref="A762:A825" si="13">ROW()-1</f>
        <v>761</v>
      </c>
      <c r="B762" s="42" t="s">
        <v>1002</v>
      </c>
      <c r="C762" s="2">
        <v>9834473667</v>
      </c>
      <c r="D762" s="6">
        <v>9628153353</v>
      </c>
      <c r="E762" s="3" t="s">
        <v>1563</v>
      </c>
      <c r="F762" s="42" t="s">
        <v>1564</v>
      </c>
      <c r="G762" s="2" t="s">
        <v>424</v>
      </c>
      <c r="H762" s="3" t="s">
        <v>815</v>
      </c>
      <c r="I762" s="37" t="s">
        <v>94</v>
      </c>
      <c r="J762" s="31">
        <v>45699</v>
      </c>
      <c r="K762" s="31">
        <v>45702</v>
      </c>
      <c r="L762" s="31"/>
      <c r="M762" s="31"/>
      <c r="N762" s="31"/>
      <c r="O762" s="2" t="s">
        <v>425</v>
      </c>
    </row>
    <row r="763" spans="1:15">
      <c r="A763" s="3">
        <f t="shared" si="13"/>
        <v>762</v>
      </c>
      <c r="B763" s="42" t="s">
        <v>1565</v>
      </c>
      <c r="C763" s="2">
        <v>9399573064</v>
      </c>
      <c r="D763" s="6"/>
      <c r="E763" s="3" t="s">
        <v>1563</v>
      </c>
      <c r="F763" s="42" t="s">
        <v>825</v>
      </c>
      <c r="G763" s="2" t="s">
        <v>330</v>
      </c>
      <c r="H763" s="3" t="s">
        <v>815</v>
      </c>
      <c r="I763" s="37" t="s">
        <v>94</v>
      </c>
      <c r="J763" s="31">
        <v>45699</v>
      </c>
      <c r="K763" s="31">
        <v>45702</v>
      </c>
      <c r="L763" s="31">
        <v>45721</v>
      </c>
      <c r="M763" s="31">
        <v>45782</v>
      </c>
      <c r="N763" s="31">
        <v>45797</v>
      </c>
      <c r="O763" s="2" t="s">
        <v>297</v>
      </c>
    </row>
    <row r="764" spans="1:15">
      <c r="A764" s="3">
        <f t="shared" si="13"/>
        <v>763</v>
      </c>
      <c r="B764" s="42" t="s">
        <v>1566</v>
      </c>
      <c r="C764" s="2">
        <v>7400821585</v>
      </c>
      <c r="D764" s="6"/>
      <c r="E764" s="3" t="s">
        <v>1567</v>
      </c>
      <c r="F764" s="42" t="s">
        <v>1109</v>
      </c>
      <c r="G764" s="2" t="s">
        <v>424</v>
      </c>
      <c r="H764" s="3" t="s">
        <v>815</v>
      </c>
      <c r="I764" s="37" t="s">
        <v>94</v>
      </c>
      <c r="J764" s="31">
        <v>45699</v>
      </c>
      <c r="K764" s="31">
        <v>45702</v>
      </c>
      <c r="L764" s="31"/>
      <c r="M764" s="31"/>
      <c r="N764" s="31"/>
      <c r="O764" s="2" t="s">
        <v>425</v>
      </c>
    </row>
    <row r="765" spans="1:15">
      <c r="A765" s="3">
        <f t="shared" si="13"/>
        <v>764</v>
      </c>
      <c r="B765" s="42" t="s">
        <v>1568</v>
      </c>
      <c r="C765" s="2">
        <v>7870862366</v>
      </c>
      <c r="D765" s="6"/>
      <c r="E765" s="3" t="s">
        <v>1567</v>
      </c>
      <c r="F765" s="42" t="s">
        <v>1109</v>
      </c>
      <c r="G765" s="2" t="s">
        <v>424</v>
      </c>
      <c r="H765" s="3" t="s">
        <v>815</v>
      </c>
      <c r="I765" s="37" t="s">
        <v>94</v>
      </c>
      <c r="J765" s="31">
        <v>45699</v>
      </c>
      <c r="K765" s="31">
        <v>45702</v>
      </c>
      <c r="L765" s="31"/>
      <c r="M765" s="31"/>
      <c r="N765" s="31"/>
      <c r="O765" s="2" t="s">
        <v>425</v>
      </c>
    </row>
    <row r="766" spans="1:15">
      <c r="A766" s="3">
        <f t="shared" si="13"/>
        <v>765</v>
      </c>
      <c r="B766" s="42" t="s">
        <v>1569</v>
      </c>
      <c r="C766" s="2">
        <v>9337609304</v>
      </c>
      <c r="D766" s="6">
        <v>9617351612</v>
      </c>
      <c r="E766" s="3" t="s">
        <v>107</v>
      </c>
      <c r="F766" s="42" t="s">
        <v>1570</v>
      </c>
      <c r="G766" s="2" t="s">
        <v>424</v>
      </c>
      <c r="H766" s="2" t="s">
        <v>42</v>
      </c>
      <c r="I766" s="37" t="s">
        <v>42</v>
      </c>
      <c r="J766" s="31">
        <v>45700</v>
      </c>
      <c r="K766" s="31">
        <v>45700</v>
      </c>
      <c r="L766" s="31"/>
      <c r="M766" s="31"/>
      <c r="N766" s="31"/>
      <c r="O766" s="2" t="s">
        <v>425</v>
      </c>
    </row>
    <row r="767" spans="1:15">
      <c r="A767" s="3">
        <f t="shared" si="13"/>
        <v>766</v>
      </c>
      <c r="B767" s="42" t="s">
        <v>1571</v>
      </c>
      <c r="C767" s="2">
        <v>9150220683</v>
      </c>
      <c r="D767" s="6"/>
      <c r="E767" s="3" t="s">
        <v>1572</v>
      </c>
      <c r="F767" s="42" t="s">
        <v>612</v>
      </c>
      <c r="G767" s="3" t="s">
        <v>295</v>
      </c>
      <c r="H767" s="3" t="s">
        <v>913</v>
      </c>
      <c r="I767" s="37" t="s">
        <v>94</v>
      </c>
      <c r="J767" s="31">
        <v>45700</v>
      </c>
      <c r="K767" s="31">
        <v>45713</v>
      </c>
      <c r="L767" s="31">
        <v>45728</v>
      </c>
      <c r="M767" s="31">
        <v>45743</v>
      </c>
      <c r="N767" s="31"/>
      <c r="O767" s="2" t="s">
        <v>297</v>
      </c>
    </row>
    <row r="768" spans="1:15">
      <c r="A768" s="3">
        <f t="shared" si="13"/>
        <v>767</v>
      </c>
      <c r="B768" s="42" t="s">
        <v>1573</v>
      </c>
      <c r="C768" s="2">
        <v>9752302831</v>
      </c>
      <c r="D768" s="6"/>
      <c r="E768" s="3" t="s">
        <v>1574</v>
      </c>
      <c r="F768" s="42" t="s">
        <v>303</v>
      </c>
      <c r="G768" s="2" t="s">
        <v>295</v>
      </c>
      <c r="H768" s="3" t="s">
        <v>913</v>
      </c>
      <c r="I768" s="37" t="s">
        <v>94</v>
      </c>
      <c r="J768" s="31">
        <v>45700</v>
      </c>
      <c r="K768" s="31">
        <v>45713</v>
      </c>
      <c r="L768" s="31">
        <v>45723</v>
      </c>
      <c r="M768" s="31">
        <v>45754</v>
      </c>
      <c r="N768" s="31"/>
      <c r="O768" s="2" t="s">
        <v>297</v>
      </c>
    </row>
    <row r="769" spans="1:15">
      <c r="A769" s="3">
        <f t="shared" si="13"/>
        <v>768</v>
      </c>
      <c r="B769" s="42" t="s">
        <v>1575</v>
      </c>
      <c r="C769" s="2">
        <v>9140763382</v>
      </c>
      <c r="D769" s="6"/>
      <c r="E769" s="3" t="s">
        <v>1574</v>
      </c>
      <c r="F769" s="42" t="s">
        <v>303</v>
      </c>
      <c r="G769" s="2" t="s">
        <v>16</v>
      </c>
      <c r="H769" s="3" t="s">
        <v>913</v>
      </c>
      <c r="I769" s="37" t="s">
        <v>94</v>
      </c>
      <c r="J769" s="31">
        <v>45700</v>
      </c>
      <c r="K769" s="31">
        <v>45702</v>
      </c>
      <c r="L769" s="31">
        <v>45709</v>
      </c>
      <c r="M769" s="31">
        <v>45722</v>
      </c>
      <c r="N769" s="31">
        <v>45722</v>
      </c>
      <c r="O769" s="2" t="s">
        <v>297</v>
      </c>
    </row>
    <row r="770" spans="1:15">
      <c r="A770" s="3">
        <f t="shared" si="13"/>
        <v>769</v>
      </c>
      <c r="B770" s="42" t="s">
        <v>1576</v>
      </c>
      <c r="C770" s="2">
        <v>9693463599</v>
      </c>
      <c r="D770" s="6"/>
      <c r="E770" s="3" t="s">
        <v>1572</v>
      </c>
      <c r="F770" s="42" t="s">
        <v>490</v>
      </c>
      <c r="G770" s="2" t="s">
        <v>424</v>
      </c>
      <c r="H770" s="3" t="s">
        <v>913</v>
      </c>
      <c r="I770" s="37" t="s">
        <v>94</v>
      </c>
      <c r="J770" s="31">
        <v>45700</v>
      </c>
      <c r="K770" s="31">
        <v>45716</v>
      </c>
      <c r="L770" s="31"/>
      <c r="M770" s="31"/>
      <c r="N770" s="31"/>
      <c r="O770" s="2" t="s">
        <v>425</v>
      </c>
    </row>
    <row r="771" spans="1:15">
      <c r="A771" s="3">
        <f t="shared" si="13"/>
        <v>770</v>
      </c>
      <c r="B771" s="42" t="s">
        <v>1577</v>
      </c>
      <c r="C771" s="2">
        <v>6281253590</v>
      </c>
      <c r="D771" s="6"/>
      <c r="E771" s="3" t="s">
        <v>1572</v>
      </c>
      <c r="F771" s="42" t="s">
        <v>490</v>
      </c>
      <c r="G771" s="2" t="s">
        <v>424</v>
      </c>
      <c r="H771" s="3" t="s">
        <v>913</v>
      </c>
      <c r="I771" s="37" t="s">
        <v>94</v>
      </c>
      <c r="J771" s="31">
        <v>45700</v>
      </c>
      <c r="K771" s="31">
        <v>45713</v>
      </c>
      <c r="L771" s="31"/>
      <c r="M771" s="31"/>
      <c r="N771" s="31"/>
      <c r="O771" s="2" t="s">
        <v>425</v>
      </c>
    </row>
    <row r="772" spans="1:15">
      <c r="A772" s="3">
        <f t="shared" si="13"/>
        <v>771</v>
      </c>
      <c r="B772" s="42" t="s">
        <v>1578</v>
      </c>
      <c r="C772" s="2">
        <v>9518728630</v>
      </c>
      <c r="D772" s="6"/>
      <c r="E772" s="3" t="s">
        <v>1572</v>
      </c>
      <c r="F772" s="42" t="s">
        <v>303</v>
      </c>
      <c r="G772" s="2" t="s">
        <v>424</v>
      </c>
      <c r="H772" s="3" t="s">
        <v>913</v>
      </c>
      <c r="I772" s="37" t="s">
        <v>94</v>
      </c>
      <c r="J772" s="31">
        <v>45700</v>
      </c>
      <c r="K772" s="31">
        <v>45713</v>
      </c>
      <c r="L772" s="31"/>
      <c r="M772" s="31"/>
      <c r="N772" s="31"/>
      <c r="O772" s="2" t="s">
        <v>425</v>
      </c>
    </row>
    <row r="773" spans="1:15">
      <c r="A773" s="3">
        <f t="shared" si="13"/>
        <v>772</v>
      </c>
      <c r="B773" s="42" t="s">
        <v>1579</v>
      </c>
      <c r="C773" s="2">
        <v>6307781430</v>
      </c>
      <c r="D773" s="6"/>
      <c r="E773" s="3" t="s">
        <v>1580</v>
      </c>
      <c r="F773" s="42" t="s">
        <v>490</v>
      </c>
      <c r="G773" s="2" t="s">
        <v>424</v>
      </c>
      <c r="H773" s="3" t="s">
        <v>913</v>
      </c>
      <c r="I773" s="37" t="s">
        <v>94</v>
      </c>
      <c r="J773" s="31">
        <v>45700</v>
      </c>
      <c r="K773" s="31">
        <v>45717</v>
      </c>
      <c r="L773" s="31"/>
      <c r="M773" s="31"/>
      <c r="N773" s="31"/>
      <c r="O773" s="2" t="s">
        <v>425</v>
      </c>
    </row>
    <row r="774" spans="1:15">
      <c r="A774" s="3">
        <f t="shared" si="13"/>
        <v>773</v>
      </c>
      <c r="B774" s="42" t="s">
        <v>1581</v>
      </c>
      <c r="C774" s="2">
        <v>7798404033</v>
      </c>
      <c r="D774" s="6"/>
      <c r="E774" s="3" t="s">
        <v>1580</v>
      </c>
      <c r="F774" s="42" t="s">
        <v>1582</v>
      </c>
      <c r="G774" s="2" t="s">
        <v>424</v>
      </c>
      <c r="H774" s="3" t="s">
        <v>913</v>
      </c>
      <c r="I774" s="37" t="s">
        <v>94</v>
      </c>
      <c r="J774" s="31">
        <v>45700</v>
      </c>
      <c r="K774" s="31">
        <v>45713</v>
      </c>
      <c r="L774" s="31"/>
      <c r="M774" s="31"/>
      <c r="N774" s="31"/>
      <c r="O774" s="2" t="s">
        <v>425</v>
      </c>
    </row>
    <row r="775" spans="1:15">
      <c r="A775" s="3">
        <f t="shared" si="13"/>
        <v>774</v>
      </c>
      <c r="B775" s="42" t="s">
        <v>1583</v>
      </c>
      <c r="C775" s="2">
        <v>7310922427</v>
      </c>
      <c r="D775" s="6"/>
      <c r="E775" s="3" t="s">
        <v>1572</v>
      </c>
      <c r="F775" s="42" t="s">
        <v>490</v>
      </c>
      <c r="G775" s="2" t="s">
        <v>16</v>
      </c>
      <c r="H775" s="3" t="s">
        <v>913</v>
      </c>
      <c r="I775" s="37" t="s">
        <v>94</v>
      </c>
      <c r="J775" s="31">
        <v>45700</v>
      </c>
      <c r="K775" s="31">
        <v>45713</v>
      </c>
      <c r="L775" s="31">
        <v>45728</v>
      </c>
      <c r="M775" s="31">
        <v>45789</v>
      </c>
      <c r="N775" s="31">
        <v>45768</v>
      </c>
      <c r="O775" s="2" t="s">
        <v>297</v>
      </c>
    </row>
    <row r="776" spans="1:15">
      <c r="A776" s="3">
        <f t="shared" si="13"/>
        <v>775</v>
      </c>
      <c r="B776" s="42" t="s">
        <v>1584</v>
      </c>
      <c r="C776" s="2">
        <v>9198349770</v>
      </c>
      <c r="D776" s="6"/>
      <c r="E776" s="3" t="s">
        <v>1580</v>
      </c>
      <c r="F776" s="42" t="s">
        <v>303</v>
      </c>
      <c r="G776" s="2" t="s">
        <v>18</v>
      </c>
      <c r="H776" s="3" t="s">
        <v>913</v>
      </c>
      <c r="I776" s="37" t="s">
        <v>94</v>
      </c>
      <c r="J776" s="31">
        <v>45700</v>
      </c>
      <c r="K776" s="31">
        <v>45710</v>
      </c>
      <c r="L776" s="31"/>
      <c r="M776" s="31"/>
      <c r="N776" s="31"/>
      <c r="O776" s="2" t="s">
        <v>297</v>
      </c>
    </row>
    <row r="777" spans="1:15">
      <c r="A777" s="3">
        <f t="shared" si="13"/>
        <v>776</v>
      </c>
      <c r="B777" s="42" t="s">
        <v>1585</v>
      </c>
      <c r="C777" s="2">
        <v>7654655428</v>
      </c>
      <c r="D777" s="6"/>
      <c r="E777" s="3" t="s">
        <v>1580</v>
      </c>
      <c r="F777" s="42" t="s">
        <v>303</v>
      </c>
      <c r="G777" s="2" t="s">
        <v>424</v>
      </c>
      <c r="H777" s="3" t="s">
        <v>913</v>
      </c>
      <c r="I777" s="37" t="s">
        <v>94</v>
      </c>
      <c r="J777" s="31">
        <v>45700</v>
      </c>
      <c r="K777" s="31">
        <v>45716</v>
      </c>
      <c r="L777" s="31"/>
      <c r="M777" s="31"/>
      <c r="N777" s="31"/>
      <c r="O777" s="2" t="s">
        <v>425</v>
      </c>
    </row>
    <row r="778" spans="1:15">
      <c r="A778" s="3">
        <f t="shared" si="13"/>
        <v>777</v>
      </c>
      <c r="B778" s="42" t="s">
        <v>1586</v>
      </c>
      <c r="C778" s="2">
        <v>8942953536</v>
      </c>
      <c r="D778" s="6"/>
      <c r="E778" s="3" t="s">
        <v>1574</v>
      </c>
      <c r="F778" s="42" t="s">
        <v>612</v>
      </c>
      <c r="G778" s="2" t="s">
        <v>416</v>
      </c>
      <c r="H778" s="3" t="s">
        <v>913</v>
      </c>
      <c r="I778" s="37" t="s">
        <v>94</v>
      </c>
      <c r="J778" s="31">
        <v>45700</v>
      </c>
      <c r="K778" s="31">
        <v>45713</v>
      </c>
      <c r="L778" s="31"/>
      <c r="M778" s="31"/>
      <c r="N778" s="31"/>
      <c r="O778" s="2" t="s">
        <v>297</v>
      </c>
    </row>
    <row r="779" spans="1:15">
      <c r="A779" s="3">
        <f t="shared" si="13"/>
        <v>778</v>
      </c>
      <c r="B779" s="42" t="s">
        <v>1587</v>
      </c>
      <c r="C779" s="2">
        <v>7470707067</v>
      </c>
      <c r="D779" s="6"/>
      <c r="E779" s="3" t="s">
        <v>1572</v>
      </c>
      <c r="F779" s="42" t="s">
        <v>612</v>
      </c>
      <c r="G779" s="2" t="s">
        <v>18</v>
      </c>
      <c r="H779" s="3" t="s">
        <v>913</v>
      </c>
      <c r="I779" s="37" t="s">
        <v>94</v>
      </c>
      <c r="J779" s="31">
        <v>45700</v>
      </c>
      <c r="K779" s="31">
        <v>45713</v>
      </c>
      <c r="L779" s="31"/>
      <c r="M779" s="31"/>
      <c r="N779" s="31"/>
      <c r="O779" s="2" t="s">
        <v>297</v>
      </c>
    </row>
    <row r="780" spans="1:15">
      <c r="A780" s="3">
        <f t="shared" si="13"/>
        <v>779</v>
      </c>
      <c r="B780" s="42" t="s">
        <v>1588</v>
      </c>
      <c r="C780" s="2">
        <v>6206474524</v>
      </c>
      <c r="D780" s="6"/>
      <c r="E780" s="3" t="s">
        <v>1580</v>
      </c>
      <c r="F780" s="42" t="s">
        <v>303</v>
      </c>
      <c r="G780" s="2" t="s">
        <v>424</v>
      </c>
      <c r="H780" s="3" t="s">
        <v>913</v>
      </c>
      <c r="I780" s="37" t="s">
        <v>94</v>
      </c>
      <c r="J780" s="31">
        <v>45700</v>
      </c>
      <c r="K780" s="31">
        <v>45716</v>
      </c>
      <c r="L780" s="31"/>
      <c r="M780" s="31"/>
      <c r="N780" s="31"/>
      <c r="O780" s="2" t="s">
        <v>425</v>
      </c>
    </row>
    <row r="781" spans="1:15">
      <c r="A781" s="3">
        <f t="shared" si="13"/>
        <v>780</v>
      </c>
      <c r="B781" s="42" t="s">
        <v>1589</v>
      </c>
      <c r="C781" s="2">
        <v>8918698141</v>
      </c>
      <c r="D781" s="6"/>
      <c r="E781" s="3" t="s">
        <v>866</v>
      </c>
      <c r="F781" s="42" t="s">
        <v>1590</v>
      </c>
      <c r="G781" s="2" t="s">
        <v>330</v>
      </c>
      <c r="H781" s="2" t="s">
        <v>815</v>
      </c>
      <c r="I781" s="37" t="s">
        <v>94</v>
      </c>
      <c r="J781" s="31">
        <v>45700</v>
      </c>
      <c r="K781" s="31">
        <v>45702</v>
      </c>
      <c r="L781" s="31">
        <v>45708</v>
      </c>
      <c r="M781" s="31">
        <v>45741</v>
      </c>
      <c r="N781" s="31">
        <v>45723</v>
      </c>
      <c r="O781" s="2" t="s">
        <v>297</v>
      </c>
    </row>
    <row r="782" spans="1:15">
      <c r="A782" s="3">
        <f t="shared" si="13"/>
        <v>781</v>
      </c>
      <c r="B782" s="42" t="s">
        <v>1591</v>
      </c>
      <c r="C782" s="2">
        <v>7415597933</v>
      </c>
      <c r="D782" s="6"/>
      <c r="E782" s="3" t="s">
        <v>856</v>
      </c>
      <c r="F782" s="42" t="s">
        <v>1476</v>
      </c>
      <c r="G782" s="2" t="s">
        <v>424</v>
      </c>
      <c r="H782" s="2" t="s">
        <v>815</v>
      </c>
      <c r="I782" s="37" t="s">
        <v>94</v>
      </c>
      <c r="J782" s="31">
        <v>45700</v>
      </c>
      <c r="K782" s="31">
        <v>45702</v>
      </c>
      <c r="L782" s="31"/>
      <c r="M782" s="31"/>
      <c r="N782" s="31"/>
      <c r="O782" s="2" t="s">
        <v>425</v>
      </c>
    </row>
    <row r="783" spans="1:15">
      <c r="A783" s="3">
        <f t="shared" si="13"/>
        <v>782</v>
      </c>
      <c r="B783" s="42" t="s">
        <v>1592</v>
      </c>
      <c r="C783" s="2">
        <v>6202447510</v>
      </c>
      <c r="D783" s="6"/>
      <c r="E783" s="3" t="s">
        <v>1593</v>
      </c>
      <c r="F783" s="42" t="s">
        <v>1590</v>
      </c>
      <c r="G783" s="2" t="s">
        <v>416</v>
      </c>
      <c r="H783" s="2" t="s">
        <v>815</v>
      </c>
      <c r="I783" s="37" t="s">
        <v>94</v>
      </c>
      <c r="J783" s="31">
        <v>45700</v>
      </c>
      <c r="K783" s="31">
        <v>45702</v>
      </c>
      <c r="L783" s="31"/>
      <c r="M783" s="31"/>
      <c r="N783" s="31"/>
      <c r="O783" s="2" t="s">
        <v>297</v>
      </c>
    </row>
    <row r="784" spans="1:15">
      <c r="A784" s="3">
        <f t="shared" si="13"/>
        <v>783</v>
      </c>
      <c r="B784" s="42" t="s">
        <v>1594</v>
      </c>
      <c r="C784" s="2">
        <v>8534079816</v>
      </c>
      <c r="D784" s="6"/>
      <c r="E784" s="3" t="s">
        <v>1593</v>
      </c>
      <c r="F784" s="42" t="s">
        <v>1590</v>
      </c>
      <c r="G784" s="2" t="s">
        <v>16</v>
      </c>
      <c r="H784" s="2" t="s">
        <v>815</v>
      </c>
      <c r="I784" s="37" t="s">
        <v>94</v>
      </c>
      <c r="J784" s="31">
        <v>45700</v>
      </c>
      <c r="K784" s="31">
        <v>45702</v>
      </c>
      <c r="L784" s="31">
        <v>45708</v>
      </c>
      <c r="M784" s="31">
        <v>45741</v>
      </c>
      <c r="N784" s="31">
        <v>45736</v>
      </c>
      <c r="O784" s="2" t="s">
        <v>297</v>
      </c>
    </row>
    <row r="785" spans="1:15">
      <c r="A785" s="3">
        <f t="shared" si="13"/>
        <v>784</v>
      </c>
      <c r="B785" s="42" t="s">
        <v>1595</v>
      </c>
      <c r="C785" s="2">
        <v>8802837606</v>
      </c>
      <c r="D785" s="6"/>
      <c r="E785" s="3" t="s">
        <v>856</v>
      </c>
      <c r="F785" s="42" t="s">
        <v>1476</v>
      </c>
      <c r="G785" s="2" t="s">
        <v>416</v>
      </c>
      <c r="H785" s="2" t="s">
        <v>815</v>
      </c>
      <c r="I785" s="37" t="s">
        <v>94</v>
      </c>
      <c r="J785" s="31">
        <v>45700</v>
      </c>
      <c r="K785" s="31">
        <v>45702</v>
      </c>
      <c r="L785" s="31"/>
      <c r="M785" s="31"/>
      <c r="N785" s="31"/>
      <c r="O785" s="2" t="s">
        <v>297</v>
      </c>
    </row>
    <row r="786" spans="1:15">
      <c r="A786" s="3">
        <f t="shared" si="13"/>
        <v>785</v>
      </c>
      <c r="B786" s="42" t="s">
        <v>1596</v>
      </c>
      <c r="C786" s="2">
        <v>9343876170</v>
      </c>
      <c r="D786" s="6">
        <v>9111387453</v>
      </c>
      <c r="E786" s="3" t="s">
        <v>1597</v>
      </c>
      <c r="F786" s="42" t="s">
        <v>1590</v>
      </c>
      <c r="G786" s="2" t="s">
        <v>16</v>
      </c>
      <c r="H786" s="2" t="s">
        <v>815</v>
      </c>
      <c r="I786" s="37" t="s">
        <v>94</v>
      </c>
      <c r="J786" s="31">
        <v>45700</v>
      </c>
      <c r="K786" s="31">
        <v>45702</v>
      </c>
      <c r="L786" s="31">
        <v>45708</v>
      </c>
      <c r="M786" s="31">
        <v>45741</v>
      </c>
      <c r="N786" s="31">
        <v>45741</v>
      </c>
      <c r="O786" s="2" t="s">
        <v>297</v>
      </c>
    </row>
    <row r="787" spans="1:15">
      <c r="A787" s="3">
        <f t="shared" si="13"/>
        <v>786</v>
      </c>
      <c r="B787" s="42" t="s">
        <v>1598</v>
      </c>
      <c r="C787" s="2">
        <v>8227993152</v>
      </c>
      <c r="D787" s="6"/>
      <c r="E787" s="3" t="s">
        <v>1442</v>
      </c>
      <c r="F787" s="42" t="s">
        <v>1599</v>
      </c>
      <c r="G787" s="2" t="s">
        <v>16</v>
      </c>
      <c r="H787" s="3" t="s">
        <v>361</v>
      </c>
      <c r="I787" s="37" t="s">
        <v>88</v>
      </c>
      <c r="J787" s="31">
        <v>45701</v>
      </c>
      <c r="K787" s="31">
        <v>45701</v>
      </c>
      <c r="L787" s="31">
        <v>45708</v>
      </c>
      <c r="M787" s="31">
        <v>45741</v>
      </c>
      <c r="N787" s="31">
        <v>45741</v>
      </c>
      <c r="O787" s="2" t="s">
        <v>297</v>
      </c>
    </row>
    <row r="788" spans="1:15">
      <c r="A788" s="3">
        <f t="shared" si="13"/>
        <v>787</v>
      </c>
      <c r="B788" s="42" t="s">
        <v>1600</v>
      </c>
      <c r="C788" s="2">
        <v>7020302679</v>
      </c>
      <c r="D788" s="6"/>
      <c r="E788" s="3" t="s">
        <v>1442</v>
      </c>
      <c r="F788" s="42" t="s">
        <v>1599</v>
      </c>
      <c r="G788" s="2" t="s">
        <v>295</v>
      </c>
      <c r="H788" s="3" t="s">
        <v>361</v>
      </c>
      <c r="I788" s="37" t="s">
        <v>88</v>
      </c>
      <c r="J788" s="31">
        <v>45701</v>
      </c>
      <c r="K788" s="31">
        <v>45701</v>
      </c>
      <c r="L788" s="31">
        <v>45708</v>
      </c>
      <c r="M788" s="31">
        <v>45741</v>
      </c>
      <c r="N788" s="31"/>
      <c r="O788" s="2" t="s">
        <v>297</v>
      </c>
    </row>
    <row r="789" spans="1:15">
      <c r="A789" s="3">
        <f t="shared" si="13"/>
        <v>788</v>
      </c>
      <c r="B789" s="42" t="s">
        <v>1601</v>
      </c>
      <c r="C789" s="2">
        <v>9410450049</v>
      </c>
      <c r="D789" s="6">
        <v>6264407479</v>
      </c>
      <c r="E789" s="3" t="s">
        <v>1442</v>
      </c>
      <c r="F789" s="42" t="s">
        <v>1599</v>
      </c>
      <c r="G789" s="2" t="s">
        <v>16</v>
      </c>
      <c r="H789" s="3" t="s">
        <v>361</v>
      </c>
      <c r="I789" s="37" t="s">
        <v>88</v>
      </c>
      <c r="J789" s="31">
        <v>45701</v>
      </c>
      <c r="K789" s="31">
        <v>45706</v>
      </c>
      <c r="L789" s="31">
        <v>45708</v>
      </c>
      <c r="M789" s="31">
        <v>45741</v>
      </c>
      <c r="N789" s="31">
        <v>45741</v>
      </c>
      <c r="O789" s="2" t="s">
        <v>297</v>
      </c>
    </row>
    <row r="790" spans="1:15">
      <c r="A790" s="3">
        <f t="shared" si="13"/>
        <v>789</v>
      </c>
      <c r="B790" s="42" t="s">
        <v>1602</v>
      </c>
      <c r="C790" s="2">
        <v>7779992413</v>
      </c>
      <c r="D790" s="6">
        <v>9128908989</v>
      </c>
      <c r="E790" s="3" t="s">
        <v>1442</v>
      </c>
      <c r="F790" s="42" t="s">
        <v>1599</v>
      </c>
      <c r="G790" s="2" t="s">
        <v>424</v>
      </c>
      <c r="H790" s="3" t="s">
        <v>361</v>
      </c>
      <c r="I790" s="37" t="s">
        <v>88</v>
      </c>
      <c r="J790" s="31">
        <v>45701</v>
      </c>
      <c r="K790" s="31">
        <v>45701</v>
      </c>
      <c r="L790" s="31"/>
      <c r="M790" s="31"/>
      <c r="N790" s="31"/>
      <c r="O790" s="2" t="s">
        <v>425</v>
      </c>
    </row>
    <row r="791" spans="1:15">
      <c r="A791" s="3">
        <f t="shared" si="13"/>
        <v>790</v>
      </c>
      <c r="B791" s="42" t="s">
        <v>1603</v>
      </c>
      <c r="C791" s="2">
        <v>7666360496</v>
      </c>
      <c r="D791" s="6"/>
      <c r="E791" s="3" t="s">
        <v>1442</v>
      </c>
      <c r="F791" s="42" t="s">
        <v>1599</v>
      </c>
      <c r="G791" s="2" t="s">
        <v>424</v>
      </c>
      <c r="H791" s="3" t="s">
        <v>361</v>
      </c>
      <c r="I791" s="37" t="s">
        <v>88</v>
      </c>
      <c r="J791" s="31">
        <v>45701</v>
      </c>
      <c r="K791" s="31">
        <v>45701</v>
      </c>
      <c r="L791" s="31"/>
      <c r="M791" s="31"/>
      <c r="N791" s="31"/>
      <c r="O791" s="2" t="s">
        <v>425</v>
      </c>
    </row>
    <row r="792" spans="1:15">
      <c r="A792" s="3">
        <f t="shared" si="13"/>
        <v>791</v>
      </c>
      <c r="B792" s="42" t="s">
        <v>1604</v>
      </c>
      <c r="C792" s="2">
        <v>7363804403</v>
      </c>
      <c r="D792" s="6"/>
      <c r="E792" s="3" t="s">
        <v>378</v>
      </c>
      <c r="F792" s="42" t="s">
        <v>303</v>
      </c>
      <c r="G792" s="2" t="s">
        <v>416</v>
      </c>
      <c r="H792" s="2" t="s">
        <v>1605</v>
      </c>
      <c r="I792" s="37" t="s">
        <v>94</v>
      </c>
      <c r="J792" s="31">
        <v>45685</v>
      </c>
      <c r="K792" s="31">
        <v>45685</v>
      </c>
      <c r="L792" s="31"/>
      <c r="M792" s="31"/>
      <c r="N792" s="31"/>
      <c r="O792" s="2" t="s">
        <v>297</v>
      </c>
    </row>
    <row r="793" spans="1:15">
      <c r="A793" s="3">
        <f t="shared" si="13"/>
        <v>792</v>
      </c>
      <c r="B793" s="42" t="s">
        <v>1606</v>
      </c>
      <c r="C793" s="2">
        <v>9460602505</v>
      </c>
      <c r="D793" s="6">
        <v>9777153843</v>
      </c>
      <c r="E793" s="3" t="s">
        <v>378</v>
      </c>
      <c r="F793" s="42" t="s">
        <v>303</v>
      </c>
      <c r="G793" s="2" t="s">
        <v>424</v>
      </c>
      <c r="H793" s="2" t="s">
        <v>1605</v>
      </c>
      <c r="I793" s="37" t="s">
        <v>94</v>
      </c>
      <c r="J793" s="31">
        <v>45685</v>
      </c>
      <c r="K793" s="31">
        <v>45685</v>
      </c>
      <c r="L793" s="31"/>
      <c r="M793" s="31"/>
      <c r="N793" s="31"/>
      <c r="O793" s="2" t="s">
        <v>425</v>
      </c>
    </row>
    <row r="794" spans="1:15">
      <c r="A794" s="3">
        <f t="shared" si="13"/>
        <v>793</v>
      </c>
      <c r="B794" s="42" t="s">
        <v>1607</v>
      </c>
      <c r="C794" s="2">
        <v>9260992148</v>
      </c>
      <c r="D794" s="6"/>
      <c r="E794" s="3" t="s">
        <v>1608</v>
      </c>
      <c r="F794" s="42" t="s">
        <v>303</v>
      </c>
      <c r="G794" s="2" t="s">
        <v>16</v>
      </c>
      <c r="H794" s="2" t="s">
        <v>1605</v>
      </c>
      <c r="I794" s="37" t="s">
        <v>94</v>
      </c>
      <c r="J794" s="31">
        <v>45701</v>
      </c>
      <c r="K794" s="31">
        <v>45705</v>
      </c>
      <c r="L794" s="31">
        <v>45881</v>
      </c>
      <c r="M794" s="31">
        <v>45919</v>
      </c>
      <c r="N794" s="31">
        <v>45919</v>
      </c>
      <c r="O794" s="2" t="s">
        <v>297</v>
      </c>
    </row>
    <row r="795" spans="1:15">
      <c r="A795" s="3">
        <f t="shared" si="13"/>
        <v>794</v>
      </c>
      <c r="B795" s="42" t="s">
        <v>1609</v>
      </c>
      <c r="C795" s="2">
        <v>9935689571</v>
      </c>
      <c r="D795" s="6"/>
      <c r="E795" s="3" t="s">
        <v>378</v>
      </c>
      <c r="F795" s="42" t="s">
        <v>612</v>
      </c>
      <c r="G795" s="2" t="s">
        <v>16</v>
      </c>
      <c r="H795" s="2" t="s">
        <v>1605</v>
      </c>
      <c r="I795" s="37" t="s">
        <v>94</v>
      </c>
      <c r="J795" s="31">
        <v>45685</v>
      </c>
      <c r="K795" s="31">
        <v>45685</v>
      </c>
      <c r="L795" s="31">
        <v>45709</v>
      </c>
      <c r="M795" s="31">
        <v>45737</v>
      </c>
      <c r="N795" s="31">
        <v>45748</v>
      </c>
      <c r="O795" s="2" t="s">
        <v>297</v>
      </c>
    </row>
    <row r="796" spans="1:15">
      <c r="A796" s="3">
        <f t="shared" si="13"/>
        <v>795</v>
      </c>
      <c r="B796" s="42" t="s">
        <v>1610</v>
      </c>
      <c r="C796" s="2">
        <v>7440802770</v>
      </c>
      <c r="D796" s="6"/>
      <c r="E796" s="3" t="s">
        <v>381</v>
      </c>
      <c r="F796" s="42" t="s">
        <v>490</v>
      </c>
      <c r="G796" s="2" t="s">
        <v>424</v>
      </c>
      <c r="H796" s="2" t="s">
        <v>1605</v>
      </c>
      <c r="I796" s="37" t="s">
        <v>94</v>
      </c>
      <c r="J796" s="31">
        <v>45701</v>
      </c>
      <c r="K796" s="31">
        <v>45701</v>
      </c>
      <c r="L796" s="31"/>
      <c r="M796" s="31"/>
      <c r="N796" s="31"/>
      <c r="O796" s="2" t="s">
        <v>425</v>
      </c>
    </row>
    <row r="797" spans="1:15">
      <c r="A797" s="3">
        <f t="shared" si="13"/>
        <v>796</v>
      </c>
      <c r="B797" s="42" t="s">
        <v>1611</v>
      </c>
      <c r="C797" s="2">
        <v>9704924962</v>
      </c>
      <c r="D797" s="6"/>
      <c r="E797" s="3" t="s">
        <v>138</v>
      </c>
      <c r="F797" s="42" t="s">
        <v>403</v>
      </c>
      <c r="G797" s="2" t="s">
        <v>16</v>
      </c>
      <c r="H797" s="3" t="s">
        <v>815</v>
      </c>
      <c r="I797" s="37" t="s">
        <v>42</v>
      </c>
      <c r="J797" s="31">
        <v>45701</v>
      </c>
      <c r="K797" s="31">
        <v>45701</v>
      </c>
      <c r="L797" s="31">
        <v>45716</v>
      </c>
      <c r="M797" s="31">
        <v>45723</v>
      </c>
      <c r="N797" s="31">
        <v>45723</v>
      </c>
      <c r="O797" s="2" t="s">
        <v>297</v>
      </c>
    </row>
    <row r="798" spans="1:15">
      <c r="A798" s="3">
        <f t="shared" si="13"/>
        <v>797</v>
      </c>
      <c r="B798" s="42" t="s">
        <v>1612</v>
      </c>
      <c r="C798" s="2">
        <v>9398379157</v>
      </c>
      <c r="D798" s="6">
        <v>8016538651</v>
      </c>
      <c r="E798" s="3" t="s">
        <v>99</v>
      </c>
      <c r="F798" s="42" t="s">
        <v>507</v>
      </c>
      <c r="G798" s="2" t="s">
        <v>16</v>
      </c>
      <c r="H798" s="2" t="s">
        <v>1613</v>
      </c>
      <c r="I798" s="37" t="s">
        <v>42</v>
      </c>
      <c r="J798" s="31">
        <v>45702</v>
      </c>
      <c r="K798" s="31">
        <v>45706</v>
      </c>
      <c r="L798" s="31">
        <v>45709</v>
      </c>
      <c r="M798" s="31">
        <v>45744</v>
      </c>
      <c r="N798" s="31">
        <v>45744</v>
      </c>
      <c r="O798" s="2" t="s">
        <v>297</v>
      </c>
    </row>
    <row r="799" spans="1:15">
      <c r="A799" s="3">
        <f t="shared" si="13"/>
        <v>798</v>
      </c>
      <c r="B799" s="42" t="s">
        <v>1614</v>
      </c>
      <c r="C799" s="2">
        <v>6397335620</v>
      </c>
      <c r="D799" s="6"/>
      <c r="E799" s="3" t="s">
        <v>99</v>
      </c>
      <c r="F799" s="42" t="s">
        <v>1151</v>
      </c>
      <c r="G799" s="2" t="s">
        <v>424</v>
      </c>
      <c r="H799" s="2" t="s">
        <v>1613</v>
      </c>
      <c r="I799" s="37" t="s">
        <v>42</v>
      </c>
      <c r="J799" s="31">
        <v>45702</v>
      </c>
      <c r="K799" s="31">
        <v>45706</v>
      </c>
      <c r="L799" s="31"/>
      <c r="M799" s="31"/>
      <c r="N799" s="31"/>
      <c r="O799" s="2" t="s">
        <v>425</v>
      </c>
    </row>
    <row r="800" spans="1:15">
      <c r="A800" s="3">
        <f t="shared" si="13"/>
        <v>799</v>
      </c>
      <c r="B800" s="42" t="s">
        <v>1615</v>
      </c>
      <c r="C800" s="2">
        <v>9346631419</v>
      </c>
      <c r="D800" s="6"/>
      <c r="E800" s="3" t="s">
        <v>99</v>
      </c>
      <c r="F800" s="42" t="s">
        <v>1077</v>
      </c>
      <c r="G800" s="2" t="s">
        <v>424</v>
      </c>
      <c r="H800" s="2" t="s">
        <v>1613</v>
      </c>
      <c r="I800" s="37" t="s">
        <v>42</v>
      </c>
      <c r="J800" s="31">
        <v>45702</v>
      </c>
      <c r="K800" s="31">
        <v>45706</v>
      </c>
      <c r="L800" s="31"/>
      <c r="M800" s="31"/>
      <c r="N800" s="31"/>
      <c r="O800" s="2" t="s">
        <v>425</v>
      </c>
    </row>
    <row r="801" spans="1:15" ht="15.6">
      <c r="A801" s="3">
        <f t="shared" si="13"/>
        <v>800</v>
      </c>
      <c r="B801" s="42" t="s">
        <v>1616</v>
      </c>
      <c r="C801" s="2">
        <v>8617269366</v>
      </c>
      <c r="D801" s="6"/>
      <c r="E801" s="3" t="s">
        <v>526</v>
      </c>
      <c r="F801" s="70" t="s">
        <v>308</v>
      </c>
      <c r="G801" s="2" t="s">
        <v>424</v>
      </c>
      <c r="H801" s="21" t="s">
        <v>1096</v>
      </c>
      <c r="I801" s="37" t="s">
        <v>94</v>
      </c>
      <c r="J801" s="31">
        <v>45702</v>
      </c>
      <c r="K801" s="31">
        <v>45727</v>
      </c>
      <c r="L801" s="31"/>
      <c r="M801" s="31"/>
      <c r="N801" s="31"/>
      <c r="O801" s="2" t="s">
        <v>749</v>
      </c>
    </row>
    <row r="802" spans="1:15" ht="15.6">
      <c r="A802" s="3">
        <f t="shared" si="13"/>
        <v>801</v>
      </c>
      <c r="B802" s="42" t="s">
        <v>1617</v>
      </c>
      <c r="C802" s="2">
        <v>7797117339</v>
      </c>
      <c r="D802" s="6"/>
      <c r="E802" s="3" t="s">
        <v>526</v>
      </c>
      <c r="F802" s="70" t="s">
        <v>308</v>
      </c>
      <c r="G802" s="3" t="s">
        <v>295</v>
      </c>
      <c r="H802" s="21" t="s">
        <v>1096</v>
      </c>
      <c r="I802" s="37" t="s">
        <v>94</v>
      </c>
      <c r="J802" s="31">
        <v>45702</v>
      </c>
      <c r="K802" s="31">
        <v>45727</v>
      </c>
      <c r="L802" s="31">
        <v>45736</v>
      </c>
      <c r="M802" s="31">
        <v>45798</v>
      </c>
      <c r="N802" s="31"/>
      <c r="O802" s="2" t="s">
        <v>297</v>
      </c>
    </row>
    <row r="803" spans="1:15">
      <c r="A803" s="3">
        <f t="shared" si="13"/>
        <v>802</v>
      </c>
      <c r="B803" s="41" t="s">
        <v>1618</v>
      </c>
      <c r="C803" s="3">
        <v>6281019681</v>
      </c>
      <c r="D803" s="6"/>
      <c r="E803" s="36" t="s">
        <v>1619</v>
      </c>
      <c r="F803" s="72" t="s">
        <v>308</v>
      </c>
      <c r="G803" s="2" t="s">
        <v>424</v>
      </c>
      <c r="H803" s="2" t="s">
        <v>1186</v>
      </c>
      <c r="I803" s="37" t="s">
        <v>94</v>
      </c>
      <c r="J803" s="31">
        <v>45702</v>
      </c>
      <c r="K803" s="31">
        <v>45712</v>
      </c>
      <c r="L803" s="31"/>
      <c r="M803" s="31"/>
      <c r="N803" s="31"/>
      <c r="O803" s="2" t="s">
        <v>425</v>
      </c>
    </row>
    <row r="804" spans="1:15">
      <c r="A804" s="3">
        <f t="shared" si="13"/>
        <v>803</v>
      </c>
      <c r="B804" s="41" t="s">
        <v>1620</v>
      </c>
      <c r="C804" s="3">
        <v>8142948947</v>
      </c>
      <c r="D804" s="6"/>
      <c r="E804" s="36" t="s">
        <v>1619</v>
      </c>
      <c r="F804" s="72" t="s">
        <v>333</v>
      </c>
      <c r="G804" s="2" t="s">
        <v>424</v>
      </c>
      <c r="H804" s="2" t="s">
        <v>1186</v>
      </c>
      <c r="I804" s="37" t="s">
        <v>94</v>
      </c>
      <c r="J804" s="31">
        <v>45702</v>
      </c>
      <c r="K804" s="31">
        <v>45714</v>
      </c>
      <c r="L804" s="31"/>
      <c r="M804" s="31"/>
      <c r="N804" s="31"/>
      <c r="O804" s="2" t="s">
        <v>425</v>
      </c>
    </row>
    <row r="805" spans="1:15">
      <c r="A805" s="3">
        <f t="shared" si="13"/>
        <v>804</v>
      </c>
      <c r="B805" s="41" t="s">
        <v>1621</v>
      </c>
      <c r="C805" s="3">
        <v>7013535813</v>
      </c>
      <c r="D805" s="6"/>
      <c r="E805" s="36" t="s">
        <v>1622</v>
      </c>
      <c r="F805" s="42"/>
      <c r="G805" s="2" t="s">
        <v>424</v>
      </c>
      <c r="H805" s="2" t="s">
        <v>1186</v>
      </c>
      <c r="I805" s="37" t="s">
        <v>94</v>
      </c>
      <c r="J805" s="31">
        <v>45702</v>
      </c>
      <c r="K805" s="31">
        <v>45710</v>
      </c>
      <c r="L805" s="31"/>
      <c r="M805" s="31"/>
      <c r="N805" s="31"/>
      <c r="O805" s="2" t="s">
        <v>425</v>
      </c>
    </row>
    <row r="806" spans="1:15">
      <c r="A806" s="3">
        <f t="shared" si="13"/>
        <v>805</v>
      </c>
      <c r="B806" s="41" t="s">
        <v>1623</v>
      </c>
      <c r="C806" s="3">
        <v>7013318567</v>
      </c>
      <c r="D806" s="6"/>
      <c r="E806" s="36" t="s">
        <v>1624</v>
      </c>
      <c r="F806" s="72" t="s">
        <v>419</v>
      </c>
      <c r="G806" s="2" t="s">
        <v>424</v>
      </c>
      <c r="H806" s="2" t="s">
        <v>1186</v>
      </c>
      <c r="I806" s="37" t="s">
        <v>94</v>
      </c>
      <c r="J806" s="31">
        <v>45702</v>
      </c>
      <c r="K806" s="31">
        <v>45714</v>
      </c>
      <c r="L806" s="31"/>
      <c r="M806" s="31"/>
      <c r="N806" s="31"/>
      <c r="O806" s="2" t="s">
        <v>425</v>
      </c>
    </row>
    <row r="807" spans="1:15">
      <c r="A807" s="3">
        <f t="shared" si="13"/>
        <v>806</v>
      </c>
      <c r="B807" s="41" t="s">
        <v>1625</v>
      </c>
      <c r="C807" s="3">
        <v>8374512494</v>
      </c>
      <c r="D807" s="6"/>
      <c r="E807" s="36" t="s">
        <v>1624</v>
      </c>
      <c r="F807" s="72" t="s">
        <v>308</v>
      </c>
      <c r="G807" s="2" t="s">
        <v>424</v>
      </c>
      <c r="H807" s="2" t="s">
        <v>1186</v>
      </c>
      <c r="I807" s="37" t="s">
        <v>94</v>
      </c>
      <c r="J807" s="31">
        <v>45702</v>
      </c>
      <c r="K807" s="31">
        <v>45710</v>
      </c>
      <c r="L807" s="31"/>
      <c r="M807" s="31"/>
      <c r="N807" s="31"/>
      <c r="O807" s="2" t="s">
        <v>425</v>
      </c>
    </row>
    <row r="808" spans="1:15">
      <c r="A808" s="3">
        <f t="shared" si="13"/>
        <v>807</v>
      </c>
      <c r="B808" s="41" t="s">
        <v>1626</v>
      </c>
      <c r="C808" s="3">
        <v>8978693553</v>
      </c>
      <c r="D808" s="6"/>
      <c r="E808" s="3" t="s">
        <v>1624</v>
      </c>
      <c r="F808" s="42"/>
      <c r="G808" s="2" t="s">
        <v>424</v>
      </c>
      <c r="H808" s="2" t="s">
        <v>1186</v>
      </c>
      <c r="I808" s="37" t="s">
        <v>94</v>
      </c>
      <c r="J808" s="31">
        <v>45702</v>
      </c>
      <c r="K808" s="31">
        <v>45729</v>
      </c>
      <c r="L808" s="31"/>
      <c r="M808" s="31"/>
      <c r="N808" s="31"/>
      <c r="O808" s="2" t="s">
        <v>425</v>
      </c>
    </row>
    <row r="809" spans="1:15">
      <c r="A809" s="3">
        <f t="shared" si="13"/>
        <v>808</v>
      </c>
      <c r="B809" s="41" t="s">
        <v>1627</v>
      </c>
      <c r="C809" s="3">
        <v>9494637011</v>
      </c>
      <c r="D809" s="6"/>
      <c r="E809" s="36" t="s">
        <v>1173</v>
      </c>
      <c r="F809" s="72" t="s">
        <v>333</v>
      </c>
      <c r="G809" s="3" t="s">
        <v>295</v>
      </c>
      <c r="H809" s="2" t="s">
        <v>1186</v>
      </c>
      <c r="I809" s="37" t="s">
        <v>94</v>
      </c>
      <c r="J809" s="31">
        <v>45702</v>
      </c>
      <c r="K809" s="31">
        <v>45710</v>
      </c>
      <c r="L809" s="31">
        <v>45737</v>
      </c>
      <c r="M809" s="31">
        <v>45769</v>
      </c>
      <c r="N809" s="31"/>
      <c r="O809" s="2" t="s">
        <v>297</v>
      </c>
    </row>
    <row r="810" spans="1:15">
      <c r="A810" s="3">
        <f t="shared" si="13"/>
        <v>809</v>
      </c>
      <c r="B810" s="41" t="s">
        <v>1628</v>
      </c>
      <c r="C810" s="3">
        <v>7981188275</v>
      </c>
      <c r="D810" s="6"/>
      <c r="E810" s="36" t="s">
        <v>1629</v>
      </c>
      <c r="F810" s="72" t="s">
        <v>333</v>
      </c>
      <c r="G810" s="2" t="s">
        <v>424</v>
      </c>
      <c r="H810" s="2" t="s">
        <v>1186</v>
      </c>
      <c r="I810" s="37" t="s">
        <v>94</v>
      </c>
      <c r="J810" s="31">
        <v>45702</v>
      </c>
      <c r="K810" s="31">
        <v>45712</v>
      </c>
      <c r="L810" s="31"/>
      <c r="M810" s="31"/>
      <c r="N810" s="31"/>
      <c r="O810" s="2" t="s">
        <v>425</v>
      </c>
    </row>
    <row r="811" spans="1:15">
      <c r="A811" s="3">
        <f t="shared" si="13"/>
        <v>810</v>
      </c>
      <c r="B811" s="41" t="s">
        <v>1630</v>
      </c>
      <c r="C811" s="3">
        <v>9912259697</v>
      </c>
      <c r="D811" s="6"/>
      <c r="E811" s="36" t="s">
        <v>1629</v>
      </c>
      <c r="F811" s="72" t="s">
        <v>333</v>
      </c>
      <c r="G811" s="2" t="s">
        <v>424</v>
      </c>
      <c r="H811" s="2" t="s">
        <v>1186</v>
      </c>
      <c r="I811" s="37" t="s">
        <v>94</v>
      </c>
      <c r="J811" s="31">
        <v>45702</v>
      </c>
      <c r="K811" s="31">
        <v>45714</v>
      </c>
      <c r="L811" s="31"/>
      <c r="M811" s="31"/>
      <c r="N811" s="31"/>
      <c r="O811" s="2" t="s">
        <v>425</v>
      </c>
    </row>
    <row r="812" spans="1:15">
      <c r="A812" s="3">
        <f t="shared" si="13"/>
        <v>811</v>
      </c>
      <c r="B812" s="41" t="s">
        <v>1631</v>
      </c>
      <c r="C812" s="3">
        <v>7859011249</v>
      </c>
      <c r="D812" s="6"/>
      <c r="E812" s="36" t="s">
        <v>1629</v>
      </c>
      <c r="F812" s="72" t="s">
        <v>543</v>
      </c>
      <c r="G812" s="2" t="s">
        <v>416</v>
      </c>
      <c r="H812" s="2" t="s">
        <v>1186</v>
      </c>
      <c r="I812" s="37" t="s">
        <v>94</v>
      </c>
      <c r="J812" s="31">
        <v>45702</v>
      </c>
      <c r="K812" s="31">
        <v>45710</v>
      </c>
      <c r="L812" s="31"/>
      <c r="M812" s="31"/>
      <c r="N812" s="31"/>
      <c r="O812" s="2" t="s">
        <v>297</v>
      </c>
    </row>
    <row r="813" spans="1:15">
      <c r="A813" s="3">
        <f t="shared" si="13"/>
        <v>812</v>
      </c>
      <c r="B813" s="41" t="s">
        <v>1632</v>
      </c>
      <c r="C813" s="3">
        <v>9505405090</v>
      </c>
      <c r="D813" s="6"/>
      <c r="E813" s="36" t="s">
        <v>1629</v>
      </c>
      <c r="F813" s="72" t="s">
        <v>333</v>
      </c>
      <c r="G813" s="2" t="s">
        <v>424</v>
      </c>
      <c r="H813" s="2" t="s">
        <v>1186</v>
      </c>
      <c r="I813" s="37" t="s">
        <v>94</v>
      </c>
      <c r="J813" s="31">
        <v>45702</v>
      </c>
      <c r="K813" s="31">
        <v>45712</v>
      </c>
      <c r="L813" s="31"/>
      <c r="M813" s="31"/>
      <c r="N813" s="31"/>
      <c r="O813" s="2" t="s">
        <v>425</v>
      </c>
    </row>
    <row r="814" spans="1:15">
      <c r="A814" s="3">
        <f t="shared" si="13"/>
        <v>813</v>
      </c>
      <c r="B814" s="41" t="s">
        <v>1633</v>
      </c>
      <c r="C814" s="3">
        <v>9949899204</v>
      </c>
      <c r="D814" s="6"/>
      <c r="E814" s="36" t="s">
        <v>1629</v>
      </c>
      <c r="F814" s="72" t="s">
        <v>333</v>
      </c>
      <c r="G814" s="2" t="s">
        <v>416</v>
      </c>
      <c r="H814" s="2" t="s">
        <v>1186</v>
      </c>
      <c r="I814" s="37" t="s">
        <v>94</v>
      </c>
      <c r="J814" s="31">
        <v>45702</v>
      </c>
      <c r="K814" s="31">
        <v>45712</v>
      </c>
      <c r="L814" s="31"/>
      <c r="M814" s="31"/>
      <c r="N814" s="31"/>
      <c r="O814" s="2" t="s">
        <v>297</v>
      </c>
    </row>
    <row r="815" spans="1:15">
      <c r="A815" s="3">
        <f t="shared" si="13"/>
        <v>814</v>
      </c>
      <c r="B815" s="41" t="s">
        <v>1634</v>
      </c>
      <c r="C815" s="3">
        <v>9492954428</v>
      </c>
      <c r="D815" s="6"/>
      <c r="E815" s="3" t="s">
        <v>1635</v>
      </c>
      <c r="F815" s="42"/>
      <c r="G815" s="2" t="s">
        <v>16</v>
      </c>
      <c r="H815" s="2" t="s">
        <v>1186</v>
      </c>
      <c r="I815" s="37" t="s">
        <v>94</v>
      </c>
      <c r="J815" s="31">
        <v>45702</v>
      </c>
      <c r="K815" s="31">
        <v>45735</v>
      </c>
      <c r="L815" s="31">
        <v>45743</v>
      </c>
      <c r="M815" s="31">
        <v>45761</v>
      </c>
      <c r="N815" s="31">
        <v>45756</v>
      </c>
      <c r="O815" s="2" t="s">
        <v>297</v>
      </c>
    </row>
    <row r="816" spans="1:15">
      <c r="A816" s="3">
        <f t="shared" si="13"/>
        <v>815</v>
      </c>
      <c r="B816" s="41" t="s">
        <v>1636</v>
      </c>
      <c r="C816" s="3">
        <v>7702720620</v>
      </c>
      <c r="D816" s="6"/>
      <c r="E816" s="36" t="s">
        <v>1629</v>
      </c>
      <c r="F816" s="72" t="s">
        <v>333</v>
      </c>
      <c r="G816" s="2" t="s">
        <v>416</v>
      </c>
      <c r="H816" s="2" t="s">
        <v>1186</v>
      </c>
      <c r="I816" s="37" t="s">
        <v>94</v>
      </c>
      <c r="J816" s="31">
        <v>45702</v>
      </c>
      <c r="K816" s="31">
        <v>45714</v>
      </c>
      <c r="L816" s="31"/>
      <c r="M816" s="31"/>
      <c r="N816" s="31"/>
      <c r="O816" s="2" t="s">
        <v>297</v>
      </c>
    </row>
    <row r="817" spans="1:15">
      <c r="A817" s="3">
        <f t="shared" si="13"/>
        <v>816</v>
      </c>
      <c r="B817" s="42" t="s">
        <v>1637</v>
      </c>
      <c r="C817" s="2">
        <v>9006912420</v>
      </c>
      <c r="D817" s="6"/>
      <c r="E817" s="3" t="s">
        <v>492</v>
      </c>
      <c r="F817" s="42" t="s">
        <v>461</v>
      </c>
      <c r="G817" s="2" t="s">
        <v>416</v>
      </c>
      <c r="H817" s="3" t="s">
        <v>361</v>
      </c>
      <c r="I817" s="37" t="s">
        <v>94</v>
      </c>
      <c r="J817" s="31">
        <v>45702</v>
      </c>
      <c r="K817" s="31">
        <v>45708</v>
      </c>
      <c r="L817" s="31"/>
      <c r="M817" s="31"/>
      <c r="N817" s="31"/>
      <c r="O817" s="2" t="s">
        <v>297</v>
      </c>
    </row>
    <row r="818" spans="1:15">
      <c r="A818" s="3">
        <f t="shared" si="13"/>
        <v>817</v>
      </c>
      <c r="B818" s="42" t="s">
        <v>1638</v>
      </c>
      <c r="C818" s="2">
        <v>6203725182</v>
      </c>
      <c r="D818" s="6"/>
      <c r="E818" s="3" t="s">
        <v>512</v>
      </c>
      <c r="F818" s="42" t="s">
        <v>461</v>
      </c>
      <c r="G818" s="2" t="s">
        <v>424</v>
      </c>
      <c r="H818" s="3" t="s">
        <v>361</v>
      </c>
      <c r="I818" s="37" t="s">
        <v>94</v>
      </c>
      <c r="J818" s="31">
        <v>45702</v>
      </c>
      <c r="K818" s="31">
        <v>45708</v>
      </c>
      <c r="L818" s="31"/>
      <c r="M818" s="31"/>
      <c r="N818" s="31"/>
      <c r="O818" s="2" t="s">
        <v>425</v>
      </c>
    </row>
    <row r="819" spans="1:15">
      <c r="A819" s="3">
        <f t="shared" si="13"/>
        <v>818</v>
      </c>
      <c r="B819" s="42" t="s">
        <v>1639</v>
      </c>
      <c r="C819" s="2">
        <v>9264165112</v>
      </c>
      <c r="D819" s="6"/>
      <c r="E819" s="3" t="s">
        <v>512</v>
      </c>
      <c r="F819" s="42" t="s">
        <v>461</v>
      </c>
      <c r="G819" s="2" t="s">
        <v>295</v>
      </c>
      <c r="H819" s="3" t="s">
        <v>361</v>
      </c>
      <c r="I819" s="37" t="s">
        <v>94</v>
      </c>
      <c r="J819" s="31">
        <v>45702</v>
      </c>
      <c r="K819" s="31">
        <v>45708</v>
      </c>
      <c r="L819" s="31">
        <v>45716</v>
      </c>
      <c r="M819" s="31">
        <v>45744</v>
      </c>
      <c r="N819" s="31"/>
      <c r="O819" s="2" t="s">
        <v>297</v>
      </c>
    </row>
    <row r="820" spans="1:15">
      <c r="A820" s="3">
        <f t="shared" si="13"/>
        <v>819</v>
      </c>
      <c r="B820" s="42" t="s">
        <v>1640</v>
      </c>
      <c r="C820" s="2">
        <v>7856010378</v>
      </c>
      <c r="D820" s="6"/>
      <c r="E820" s="3" t="s">
        <v>512</v>
      </c>
      <c r="F820" s="42" t="s">
        <v>461</v>
      </c>
      <c r="G820" s="2" t="s">
        <v>416</v>
      </c>
      <c r="H820" s="3" t="s">
        <v>361</v>
      </c>
      <c r="I820" s="37" t="s">
        <v>94</v>
      </c>
      <c r="J820" s="31">
        <v>45702</v>
      </c>
      <c r="K820" s="31">
        <v>45708</v>
      </c>
      <c r="L820" s="31"/>
      <c r="M820" s="31"/>
      <c r="N820" s="31"/>
      <c r="O820" s="2" t="s">
        <v>297</v>
      </c>
    </row>
    <row r="821" spans="1:15">
      <c r="A821" s="3">
        <f t="shared" si="13"/>
        <v>820</v>
      </c>
      <c r="B821" s="42" t="s">
        <v>1641</v>
      </c>
      <c r="C821" s="2">
        <v>8802110890</v>
      </c>
      <c r="D821" s="6"/>
      <c r="E821" s="3" t="s">
        <v>517</v>
      </c>
      <c r="F821" s="42" t="s">
        <v>1642</v>
      </c>
      <c r="G821" s="2" t="s">
        <v>295</v>
      </c>
      <c r="H821" s="3" t="s">
        <v>361</v>
      </c>
      <c r="I821" s="37" t="s">
        <v>94</v>
      </c>
      <c r="J821" s="31">
        <v>45702</v>
      </c>
      <c r="K821" s="31">
        <v>45708</v>
      </c>
      <c r="L821" s="31">
        <v>45723</v>
      </c>
      <c r="M821" s="31">
        <v>45816</v>
      </c>
      <c r="N821" s="31"/>
      <c r="O821" s="2" t="s">
        <v>297</v>
      </c>
    </row>
    <row r="822" spans="1:15">
      <c r="A822" s="3">
        <f t="shared" si="13"/>
        <v>821</v>
      </c>
      <c r="B822" s="42" t="s">
        <v>1643</v>
      </c>
      <c r="C822" s="2">
        <v>8336927919</v>
      </c>
      <c r="D822" s="6"/>
      <c r="E822" s="3" t="s">
        <v>517</v>
      </c>
      <c r="F822" s="42" t="s">
        <v>1642</v>
      </c>
      <c r="G822" s="2" t="s">
        <v>416</v>
      </c>
      <c r="H822" s="3" t="s">
        <v>361</v>
      </c>
      <c r="I822" s="37" t="s">
        <v>94</v>
      </c>
      <c r="J822" s="31">
        <v>45702</v>
      </c>
      <c r="K822" s="31">
        <v>45707</v>
      </c>
      <c r="L822" s="31"/>
      <c r="M822" s="31"/>
      <c r="N822" s="31"/>
      <c r="O822" s="2" t="s">
        <v>297</v>
      </c>
    </row>
    <row r="823" spans="1:15">
      <c r="A823" s="3">
        <f t="shared" si="13"/>
        <v>822</v>
      </c>
      <c r="B823" s="42" t="s">
        <v>1644</v>
      </c>
      <c r="C823" s="2">
        <v>9908371235</v>
      </c>
      <c r="D823" s="6"/>
      <c r="E823" s="3" t="s">
        <v>517</v>
      </c>
      <c r="F823" s="42" t="s">
        <v>1642</v>
      </c>
      <c r="G823" s="2" t="s">
        <v>424</v>
      </c>
      <c r="H823" s="3" t="s">
        <v>361</v>
      </c>
      <c r="I823" s="37" t="s">
        <v>94</v>
      </c>
      <c r="J823" s="31">
        <v>45702</v>
      </c>
      <c r="K823" s="31">
        <v>45708</v>
      </c>
      <c r="L823" s="31"/>
      <c r="M823" s="31"/>
      <c r="N823" s="31"/>
      <c r="O823" s="2" t="s">
        <v>425</v>
      </c>
    </row>
    <row r="824" spans="1:15">
      <c r="A824" s="3">
        <f t="shared" si="13"/>
        <v>823</v>
      </c>
      <c r="B824" s="42" t="s">
        <v>1645</v>
      </c>
      <c r="C824" s="2">
        <v>9973936800</v>
      </c>
      <c r="D824" s="6"/>
      <c r="E824" s="3" t="s">
        <v>489</v>
      </c>
      <c r="F824" s="42" t="s">
        <v>1642</v>
      </c>
      <c r="G824" s="2" t="s">
        <v>416</v>
      </c>
      <c r="H824" s="3" t="s">
        <v>361</v>
      </c>
      <c r="I824" s="37" t="s">
        <v>94</v>
      </c>
      <c r="J824" s="31">
        <v>45702</v>
      </c>
      <c r="K824" s="31">
        <v>45708</v>
      </c>
      <c r="L824" s="31"/>
      <c r="M824" s="31"/>
      <c r="N824" s="31"/>
      <c r="O824" s="2" t="s">
        <v>297</v>
      </c>
    </row>
    <row r="825" spans="1:15">
      <c r="A825" s="3">
        <f t="shared" si="13"/>
        <v>824</v>
      </c>
      <c r="B825" s="42" t="s">
        <v>1646</v>
      </c>
      <c r="C825" s="2">
        <v>9381690716</v>
      </c>
      <c r="D825" s="6">
        <v>8944970974</v>
      </c>
      <c r="E825" s="3" t="s">
        <v>90</v>
      </c>
      <c r="F825" s="42" t="s">
        <v>1647</v>
      </c>
      <c r="G825" s="2" t="s">
        <v>16</v>
      </c>
      <c r="H825" s="3" t="s">
        <v>1432</v>
      </c>
      <c r="I825" s="37" t="s">
        <v>42</v>
      </c>
      <c r="J825" s="31">
        <v>45702</v>
      </c>
      <c r="K825" s="31">
        <v>45727</v>
      </c>
      <c r="L825" s="31">
        <v>45744</v>
      </c>
      <c r="M825" s="31">
        <v>45762</v>
      </c>
      <c r="N825" s="31">
        <v>45763</v>
      </c>
      <c r="O825" s="2" t="s">
        <v>297</v>
      </c>
    </row>
    <row r="826" spans="1:15">
      <c r="A826" s="3">
        <f t="shared" ref="A826:A889" si="14">ROW()-1</f>
        <v>825</v>
      </c>
      <c r="B826" s="42" t="s">
        <v>1648</v>
      </c>
      <c r="C826" s="2">
        <v>8500302090</v>
      </c>
      <c r="D826" s="6"/>
      <c r="E826" s="3" t="s">
        <v>90</v>
      </c>
      <c r="F826" s="42" t="s">
        <v>294</v>
      </c>
      <c r="G826" s="2" t="s">
        <v>16</v>
      </c>
      <c r="H826" s="3" t="s">
        <v>1432</v>
      </c>
      <c r="I826" s="37" t="s">
        <v>42</v>
      </c>
      <c r="J826" s="31">
        <v>45702</v>
      </c>
      <c r="K826" s="31">
        <v>45727</v>
      </c>
      <c r="L826" s="31">
        <v>45731</v>
      </c>
      <c r="M826" s="31">
        <v>45770</v>
      </c>
      <c r="N826" s="31">
        <v>45771</v>
      </c>
      <c r="O826" s="2" t="s">
        <v>297</v>
      </c>
    </row>
    <row r="827" spans="1:15">
      <c r="A827" s="3">
        <f t="shared" si="14"/>
        <v>826</v>
      </c>
      <c r="B827" s="42" t="s">
        <v>1649</v>
      </c>
      <c r="C827" s="2">
        <v>9370116905</v>
      </c>
      <c r="D827" s="6"/>
      <c r="E827" s="3" t="s">
        <v>90</v>
      </c>
      <c r="F827" s="42" t="s">
        <v>277</v>
      </c>
      <c r="G827" s="2" t="s">
        <v>424</v>
      </c>
      <c r="H827" s="3" t="s">
        <v>1432</v>
      </c>
      <c r="I827" s="37" t="s">
        <v>42</v>
      </c>
      <c r="J827" s="31">
        <v>45702</v>
      </c>
      <c r="K827" s="31">
        <v>45727</v>
      </c>
      <c r="L827" s="31"/>
      <c r="M827" s="31"/>
      <c r="N827" s="31"/>
      <c r="O827" s="2" t="s">
        <v>425</v>
      </c>
    </row>
    <row r="828" spans="1:15">
      <c r="A828" s="3">
        <f t="shared" si="14"/>
        <v>827</v>
      </c>
      <c r="B828" s="42" t="s">
        <v>1650</v>
      </c>
      <c r="C828" s="2">
        <v>9550149779</v>
      </c>
      <c r="D828" s="6">
        <v>8184870093</v>
      </c>
      <c r="E828" s="3" t="s">
        <v>52</v>
      </c>
      <c r="F828" s="42" t="s">
        <v>1651</v>
      </c>
      <c r="G828" s="3" t="s">
        <v>764</v>
      </c>
      <c r="H828" s="3" t="s">
        <v>41</v>
      </c>
      <c r="I828" s="37" t="s">
        <v>42</v>
      </c>
      <c r="J828" s="31">
        <v>45702</v>
      </c>
      <c r="K828" s="31">
        <v>45720</v>
      </c>
      <c r="L828" s="31"/>
      <c r="M828" s="31"/>
      <c r="N828" s="31"/>
      <c r="O828" s="2" t="s">
        <v>425</v>
      </c>
    </row>
    <row r="829" spans="1:15">
      <c r="A829" s="3">
        <f t="shared" si="14"/>
        <v>828</v>
      </c>
      <c r="B829" s="42" t="s">
        <v>1652</v>
      </c>
      <c r="C829" s="2">
        <v>7904637924</v>
      </c>
      <c r="D829" s="6"/>
      <c r="E829" s="3" t="s">
        <v>52</v>
      </c>
      <c r="F829" s="42" t="s">
        <v>1653</v>
      </c>
      <c r="G829" s="3" t="s">
        <v>764</v>
      </c>
      <c r="H829" s="3" t="s">
        <v>41</v>
      </c>
      <c r="I829" s="37" t="s">
        <v>42</v>
      </c>
      <c r="J829" s="31">
        <v>45702</v>
      </c>
      <c r="K829" s="31">
        <v>45720</v>
      </c>
      <c r="L829" s="31"/>
      <c r="M829" s="31"/>
      <c r="N829" s="31"/>
      <c r="O829" s="2" t="s">
        <v>425</v>
      </c>
    </row>
    <row r="830" spans="1:15">
      <c r="A830" s="3">
        <f t="shared" si="14"/>
        <v>829</v>
      </c>
      <c r="B830" s="42" t="s">
        <v>1654</v>
      </c>
      <c r="C830" s="2">
        <v>9849293856</v>
      </c>
      <c r="D830" s="6"/>
      <c r="E830" s="3" t="s">
        <v>52</v>
      </c>
      <c r="F830" s="42" t="s">
        <v>1655</v>
      </c>
      <c r="G830" s="2" t="s">
        <v>424</v>
      </c>
      <c r="H830" s="3" t="s">
        <v>41</v>
      </c>
      <c r="I830" s="37" t="s">
        <v>42</v>
      </c>
      <c r="J830" s="31">
        <v>45702</v>
      </c>
      <c r="K830" s="31">
        <v>45705</v>
      </c>
      <c r="L830" s="31"/>
      <c r="M830" s="31"/>
      <c r="N830" s="31"/>
      <c r="O830" s="2" t="s">
        <v>425</v>
      </c>
    </row>
    <row r="831" spans="1:15">
      <c r="A831" s="3">
        <f t="shared" si="14"/>
        <v>830</v>
      </c>
      <c r="B831" s="42" t="s">
        <v>1656</v>
      </c>
      <c r="C831" s="2">
        <v>6300068046</v>
      </c>
      <c r="D831" s="6"/>
      <c r="E831" s="3" t="s">
        <v>59</v>
      </c>
      <c r="F831" s="42" t="s">
        <v>1657</v>
      </c>
      <c r="G831" s="2" t="s">
        <v>424</v>
      </c>
      <c r="H831" s="3" t="s">
        <v>41</v>
      </c>
      <c r="I831" s="37" t="s">
        <v>42</v>
      </c>
      <c r="J831" s="31">
        <v>45702</v>
      </c>
      <c r="K831" s="31">
        <v>45705</v>
      </c>
      <c r="L831" s="31"/>
      <c r="M831" s="31"/>
      <c r="N831" s="31"/>
      <c r="O831" s="2" t="s">
        <v>425</v>
      </c>
    </row>
    <row r="832" spans="1:15">
      <c r="A832" s="3">
        <f t="shared" si="14"/>
        <v>831</v>
      </c>
      <c r="B832" s="42" t="s">
        <v>1658</v>
      </c>
      <c r="C832" s="2">
        <v>9663650763</v>
      </c>
      <c r="D832" s="6"/>
      <c r="E832" s="3" t="s">
        <v>52</v>
      </c>
      <c r="F832" s="42" t="s">
        <v>1659</v>
      </c>
      <c r="G832" s="2" t="s">
        <v>424</v>
      </c>
      <c r="H832" s="3" t="s">
        <v>41</v>
      </c>
      <c r="I832" s="37" t="s">
        <v>42</v>
      </c>
      <c r="J832" s="31">
        <v>45702</v>
      </c>
      <c r="K832" s="31">
        <v>45713</v>
      </c>
      <c r="L832" s="31"/>
      <c r="M832" s="31"/>
      <c r="N832" s="31"/>
      <c r="O832" s="2" t="s">
        <v>425</v>
      </c>
    </row>
    <row r="833" spans="1:15">
      <c r="A833" s="3">
        <f t="shared" si="14"/>
        <v>832</v>
      </c>
      <c r="B833" s="42" t="s">
        <v>1660</v>
      </c>
      <c r="C833" s="2">
        <v>8617561910</v>
      </c>
      <c r="D833" s="6"/>
      <c r="E833" s="3" t="s">
        <v>127</v>
      </c>
      <c r="F833" s="42" t="s">
        <v>443</v>
      </c>
      <c r="G833" s="2" t="s">
        <v>16</v>
      </c>
      <c r="H833" s="3" t="s">
        <v>788</v>
      </c>
      <c r="I833" s="37" t="s">
        <v>42</v>
      </c>
      <c r="J833" s="31">
        <v>45702</v>
      </c>
      <c r="K833" s="31">
        <v>45708</v>
      </c>
      <c r="L833" s="31">
        <v>45723</v>
      </c>
      <c r="M833" s="31">
        <v>45761</v>
      </c>
      <c r="N833" s="31">
        <v>45761</v>
      </c>
      <c r="O833" s="2" t="s">
        <v>297</v>
      </c>
    </row>
    <row r="834" spans="1:15">
      <c r="A834" s="3">
        <f t="shared" si="14"/>
        <v>833</v>
      </c>
      <c r="B834" s="42" t="s">
        <v>1661</v>
      </c>
      <c r="C834" s="2">
        <v>9111318184</v>
      </c>
      <c r="D834" s="6"/>
      <c r="E834" s="3" t="s">
        <v>59</v>
      </c>
      <c r="F834" s="42" t="s">
        <v>972</v>
      </c>
      <c r="G834" s="2" t="s">
        <v>708</v>
      </c>
      <c r="H834" s="3" t="s">
        <v>41</v>
      </c>
      <c r="I834" s="37" t="s">
        <v>42</v>
      </c>
      <c r="J834" s="31">
        <v>45702</v>
      </c>
      <c r="K834" s="31">
        <v>45712</v>
      </c>
      <c r="L834" s="31"/>
      <c r="M834" s="31"/>
      <c r="N834" s="31"/>
      <c r="O834" s="2" t="s">
        <v>297</v>
      </c>
    </row>
    <row r="835" spans="1:15">
      <c r="A835" s="3">
        <f t="shared" si="14"/>
        <v>834</v>
      </c>
      <c r="B835" s="42" t="s">
        <v>1662</v>
      </c>
      <c r="C835" s="2">
        <v>9939423898</v>
      </c>
      <c r="D835" s="6">
        <v>7903224496</v>
      </c>
      <c r="E835" s="3" t="s">
        <v>59</v>
      </c>
      <c r="F835" s="42" t="s">
        <v>1663</v>
      </c>
      <c r="G835" s="2" t="s">
        <v>16</v>
      </c>
      <c r="H835" s="3" t="s">
        <v>41</v>
      </c>
      <c r="I835" s="37" t="s">
        <v>42</v>
      </c>
      <c r="J835" s="31">
        <v>45702</v>
      </c>
      <c r="K835" s="31">
        <v>45721</v>
      </c>
      <c r="L835" s="31">
        <v>45721</v>
      </c>
      <c r="M835" s="31">
        <v>45781</v>
      </c>
      <c r="N835" s="31">
        <v>45787</v>
      </c>
      <c r="O835" s="2" t="s">
        <v>297</v>
      </c>
    </row>
    <row r="836" spans="1:15">
      <c r="A836" s="3">
        <f t="shared" si="14"/>
        <v>835</v>
      </c>
      <c r="B836" s="42" t="s">
        <v>1664</v>
      </c>
      <c r="C836" s="2">
        <v>9398276306</v>
      </c>
      <c r="D836" s="6"/>
      <c r="E836" s="3" t="s">
        <v>59</v>
      </c>
      <c r="F836" s="42" t="s">
        <v>1663</v>
      </c>
      <c r="G836" s="2" t="s">
        <v>424</v>
      </c>
      <c r="H836" s="3" t="s">
        <v>41</v>
      </c>
      <c r="I836" s="37" t="s">
        <v>42</v>
      </c>
      <c r="J836" s="31">
        <v>45702</v>
      </c>
      <c r="K836" s="31">
        <v>45705</v>
      </c>
      <c r="L836" s="31"/>
      <c r="M836" s="31"/>
      <c r="N836" s="31"/>
      <c r="O836" s="2" t="s">
        <v>425</v>
      </c>
    </row>
    <row r="837" spans="1:15">
      <c r="A837" s="3">
        <f t="shared" si="14"/>
        <v>836</v>
      </c>
      <c r="B837" s="42" t="s">
        <v>1665</v>
      </c>
      <c r="C837" s="2">
        <v>6302908793</v>
      </c>
      <c r="D837" s="6"/>
      <c r="E837" s="3" t="s">
        <v>59</v>
      </c>
      <c r="F837" s="42" t="s">
        <v>1666</v>
      </c>
      <c r="G837" s="2" t="s">
        <v>424</v>
      </c>
      <c r="H837" s="3" t="s">
        <v>41</v>
      </c>
      <c r="I837" s="37" t="s">
        <v>42</v>
      </c>
      <c r="J837" s="31">
        <v>45702</v>
      </c>
      <c r="K837" s="31">
        <v>45705</v>
      </c>
      <c r="L837" s="31"/>
      <c r="M837" s="31"/>
      <c r="N837" s="31"/>
      <c r="O837" s="2" t="s">
        <v>425</v>
      </c>
    </row>
    <row r="838" spans="1:15">
      <c r="A838" s="3">
        <f t="shared" si="14"/>
        <v>837</v>
      </c>
      <c r="B838" s="42" t="s">
        <v>493</v>
      </c>
      <c r="C838" s="2">
        <v>9652154136</v>
      </c>
      <c r="D838" s="6">
        <v>9390891293</v>
      </c>
      <c r="E838" s="3" t="s">
        <v>59</v>
      </c>
      <c r="F838" s="42" t="s">
        <v>1667</v>
      </c>
      <c r="G838" s="2" t="s">
        <v>295</v>
      </c>
      <c r="H838" s="3" t="s">
        <v>41</v>
      </c>
      <c r="I838" s="37" t="s">
        <v>42</v>
      </c>
      <c r="J838" s="31">
        <v>45702</v>
      </c>
      <c r="K838" s="31">
        <v>45734</v>
      </c>
      <c r="L838" s="31">
        <v>45734</v>
      </c>
      <c r="M838" s="31">
        <v>45770</v>
      </c>
      <c r="N838" s="31"/>
      <c r="O838" s="2" t="s">
        <v>297</v>
      </c>
    </row>
    <row r="839" spans="1:15">
      <c r="A839" s="3">
        <f t="shared" si="14"/>
        <v>838</v>
      </c>
      <c r="B839" s="42" t="s">
        <v>1668</v>
      </c>
      <c r="C839" s="2">
        <v>9885961982</v>
      </c>
      <c r="D839" s="6"/>
      <c r="E839" s="3" t="s">
        <v>59</v>
      </c>
      <c r="F839" s="42" t="s">
        <v>1669</v>
      </c>
      <c r="G839" s="2" t="s">
        <v>764</v>
      </c>
      <c r="H839" s="3" t="s">
        <v>41</v>
      </c>
      <c r="I839" s="37" t="s">
        <v>42</v>
      </c>
      <c r="J839" s="31">
        <v>45702</v>
      </c>
      <c r="K839" s="31">
        <v>45747</v>
      </c>
      <c r="L839" s="31"/>
      <c r="M839" s="31"/>
      <c r="N839" s="31"/>
      <c r="O839" s="2" t="s">
        <v>425</v>
      </c>
    </row>
    <row r="840" spans="1:15">
      <c r="A840" s="3">
        <f t="shared" si="14"/>
        <v>839</v>
      </c>
      <c r="B840" s="42" t="s">
        <v>1670</v>
      </c>
      <c r="C840" s="2">
        <v>8374659401</v>
      </c>
      <c r="D840" s="6"/>
      <c r="E840" s="3" t="s">
        <v>121</v>
      </c>
      <c r="F840" s="42" t="s">
        <v>1659</v>
      </c>
      <c r="G840" s="2" t="s">
        <v>330</v>
      </c>
      <c r="H840" s="3" t="s">
        <v>788</v>
      </c>
      <c r="I840" s="37" t="s">
        <v>42</v>
      </c>
      <c r="J840" s="31">
        <v>45702</v>
      </c>
      <c r="K840" s="31">
        <v>45708</v>
      </c>
      <c r="L840" s="31">
        <v>45716</v>
      </c>
      <c r="M840" s="31">
        <v>45742</v>
      </c>
      <c r="N840" s="31">
        <v>45742</v>
      </c>
      <c r="O840" s="2" t="s">
        <v>297</v>
      </c>
    </row>
    <row r="841" spans="1:15">
      <c r="A841" s="3">
        <f t="shared" si="14"/>
        <v>840</v>
      </c>
      <c r="B841" s="42" t="s">
        <v>1671</v>
      </c>
      <c r="C841" s="2">
        <v>8790845925</v>
      </c>
      <c r="D841" s="6">
        <v>8096367802</v>
      </c>
      <c r="E841" s="3" t="s">
        <v>59</v>
      </c>
      <c r="F841" s="42" t="s">
        <v>1669</v>
      </c>
      <c r="G841" s="2" t="s">
        <v>424</v>
      </c>
      <c r="H841" s="3" t="s">
        <v>660</v>
      </c>
      <c r="I841" s="37" t="s">
        <v>42</v>
      </c>
      <c r="J841" s="31">
        <v>45702</v>
      </c>
      <c r="K841" s="31">
        <v>45712</v>
      </c>
      <c r="L841" s="31"/>
      <c r="M841" s="31"/>
      <c r="N841" s="31"/>
      <c r="O841" s="2" t="s">
        <v>425</v>
      </c>
    </row>
    <row r="842" spans="1:15">
      <c r="A842" s="3">
        <f t="shared" si="14"/>
        <v>841</v>
      </c>
      <c r="B842" s="42" t="s">
        <v>1672</v>
      </c>
      <c r="C842" s="2">
        <v>9703646723</v>
      </c>
      <c r="D842" s="6">
        <v>9626555586</v>
      </c>
      <c r="E842" s="3" t="s">
        <v>52</v>
      </c>
      <c r="F842" s="42" t="s">
        <v>1655</v>
      </c>
      <c r="G842" s="2" t="s">
        <v>18</v>
      </c>
      <c r="H842" s="3" t="s">
        <v>41</v>
      </c>
      <c r="I842" s="37" t="s">
        <v>42</v>
      </c>
      <c r="J842" s="31">
        <v>45702</v>
      </c>
      <c r="K842" s="31">
        <v>45712</v>
      </c>
      <c r="L842" s="31"/>
      <c r="M842" s="31"/>
      <c r="N842" s="31"/>
      <c r="O842" s="2" t="s">
        <v>297</v>
      </c>
    </row>
    <row r="843" spans="1:15">
      <c r="A843" s="3">
        <f t="shared" si="14"/>
        <v>842</v>
      </c>
      <c r="B843" s="42" t="s">
        <v>1673</v>
      </c>
      <c r="C843" s="2">
        <v>9502980327</v>
      </c>
      <c r="D843" s="6"/>
      <c r="E843" s="3" t="s">
        <v>118</v>
      </c>
      <c r="F843" s="42" t="s">
        <v>1674</v>
      </c>
      <c r="G843" s="2" t="s">
        <v>424</v>
      </c>
      <c r="H843" s="3" t="s">
        <v>788</v>
      </c>
      <c r="I843" s="37" t="s">
        <v>42</v>
      </c>
      <c r="J843" s="31">
        <v>45702</v>
      </c>
      <c r="K843" s="31">
        <v>45705</v>
      </c>
      <c r="L843" s="31"/>
      <c r="M843" s="31"/>
      <c r="N843" s="31"/>
      <c r="O843" s="2" t="s">
        <v>425</v>
      </c>
    </row>
    <row r="844" spans="1:15">
      <c r="A844" s="3">
        <f t="shared" si="14"/>
        <v>843</v>
      </c>
      <c r="B844" s="42" t="s">
        <v>1675</v>
      </c>
      <c r="C844" s="2">
        <v>9430315917</v>
      </c>
      <c r="D844" s="6"/>
      <c r="E844" s="3" t="s">
        <v>52</v>
      </c>
      <c r="F844" s="42" t="s">
        <v>972</v>
      </c>
      <c r="G844" s="2" t="s">
        <v>424</v>
      </c>
      <c r="H844" s="3" t="s">
        <v>41</v>
      </c>
      <c r="I844" s="37" t="s">
        <v>42</v>
      </c>
      <c r="J844" s="31">
        <v>45702</v>
      </c>
      <c r="K844" s="31">
        <v>45713</v>
      </c>
      <c r="L844" s="31"/>
      <c r="M844" s="31"/>
      <c r="N844" s="31"/>
      <c r="O844" s="2" t="s">
        <v>425</v>
      </c>
    </row>
    <row r="845" spans="1:15">
      <c r="A845" s="3">
        <f t="shared" si="14"/>
        <v>844</v>
      </c>
      <c r="B845" s="42" t="s">
        <v>1676</v>
      </c>
      <c r="C845" s="2">
        <v>8357944485</v>
      </c>
      <c r="D845" s="6"/>
      <c r="E845" s="3" t="s">
        <v>59</v>
      </c>
      <c r="F845" s="42" t="s">
        <v>1677</v>
      </c>
      <c r="G845" s="2" t="s">
        <v>424</v>
      </c>
      <c r="H845" s="3" t="s">
        <v>41</v>
      </c>
      <c r="I845" s="37" t="s">
        <v>42</v>
      </c>
      <c r="J845" s="31">
        <v>45702</v>
      </c>
      <c r="K845" s="31">
        <v>45713</v>
      </c>
      <c r="L845" s="31"/>
      <c r="M845" s="31"/>
      <c r="N845" s="31"/>
      <c r="O845" s="2" t="s">
        <v>425</v>
      </c>
    </row>
    <row r="846" spans="1:15">
      <c r="A846" s="3">
        <f t="shared" si="14"/>
        <v>845</v>
      </c>
      <c r="B846" s="42" t="s">
        <v>1678</v>
      </c>
      <c r="C846" s="2">
        <v>9177067716</v>
      </c>
      <c r="D846" s="6"/>
      <c r="E846" s="3" t="s">
        <v>85</v>
      </c>
      <c r="F846" s="42" t="s">
        <v>1679</v>
      </c>
      <c r="G846" s="2" t="s">
        <v>424</v>
      </c>
      <c r="H846" s="3" t="s">
        <v>717</v>
      </c>
      <c r="I846" s="37" t="s">
        <v>42</v>
      </c>
      <c r="J846" s="31">
        <v>45702</v>
      </c>
      <c r="K846" s="31">
        <v>45705</v>
      </c>
      <c r="L846" s="31"/>
      <c r="M846" s="31"/>
      <c r="N846" s="31"/>
      <c r="O846" s="2" t="s">
        <v>425</v>
      </c>
    </row>
    <row r="847" spans="1:15">
      <c r="A847" s="3">
        <f t="shared" si="14"/>
        <v>846</v>
      </c>
      <c r="B847" s="42" t="s">
        <v>1680</v>
      </c>
      <c r="C847" s="2">
        <v>6263303694</v>
      </c>
      <c r="D847" s="6">
        <v>6232992494</v>
      </c>
      <c r="E847" s="3" t="s">
        <v>79</v>
      </c>
      <c r="F847" s="42" t="s">
        <v>748</v>
      </c>
      <c r="G847" s="2" t="s">
        <v>424</v>
      </c>
      <c r="H847" s="3" t="s">
        <v>717</v>
      </c>
      <c r="I847" s="37" t="s">
        <v>42</v>
      </c>
      <c r="J847" s="31">
        <v>45702</v>
      </c>
      <c r="K847" s="31">
        <v>45705</v>
      </c>
      <c r="L847" s="31"/>
      <c r="M847" s="31"/>
      <c r="N847" s="31"/>
      <c r="O847" s="2" t="s">
        <v>425</v>
      </c>
    </row>
    <row r="848" spans="1:15">
      <c r="A848" s="3">
        <f t="shared" si="14"/>
        <v>847</v>
      </c>
      <c r="B848" s="42" t="s">
        <v>1681</v>
      </c>
      <c r="C848" s="2">
        <v>7726967325</v>
      </c>
      <c r="D848" s="6"/>
      <c r="E848" s="3" t="s">
        <v>79</v>
      </c>
      <c r="F848" s="42" t="s">
        <v>308</v>
      </c>
      <c r="G848" s="2" t="s">
        <v>424</v>
      </c>
      <c r="H848" s="3" t="s">
        <v>717</v>
      </c>
      <c r="I848" s="37" t="s">
        <v>42</v>
      </c>
      <c r="J848" s="31">
        <v>45702</v>
      </c>
      <c r="K848" s="31">
        <v>45705</v>
      </c>
      <c r="L848" s="31"/>
      <c r="M848" s="31"/>
      <c r="N848" s="31"/>
      <c r="O848" s="2" t="s">
        <v>425</v>
      </c>
    </row>
    <row r="849" spans="1:15">
      <c r="A849" s="3">
        <f t="shared" si="14"/>
        <v>848</v>
      </c>
      <c r="B849" s="42" t="s">
        <v>1682</v>
      </c>
      <c r="C849" s="2">
        <v>9676977080</v>
      </c>
      <c r="D849" s="6"/>
      <c r="E849" s="3" t="s">
        <v>85</v>
      </c>
      <c r="F849" s="42" t="s">
        <v>1683</v>
      </c>
      <c r="G849" s="2" t="s">
        <v>764</v>
      </c>
      <c r="H849" s="3" t="s">
        <v>717</v>
      </c>
      <c r="I849" s="37" t="s">
        <v>42</v>
      </c>
      <c r="J849" s="31">
        <v>45702</v>
      </c>
      <c r="K849" s="31">
        <v>45705</v>
      </c>
      <c r="L849" s="31"/>
      <c r="M849" s="31"/>
      <c r="N849" s="31"/>
      <c r="O849" s="2" t="s">
        <v>425</v>
      </c>
    </row>
    <row r="850" spans="1:15">
      <c r="A850" s="3">
        <f t="shared" si="14"/>
        <v>849</v>
      </c>
      <c r="B850" s="42" t="s">
        <v>1684</v>
      </c>
      <c r="C850" s="2">
        <v>8073643955</v>
      </c>
      <c r="D850" s="6"/>
      <c r="E850" s="3" t="s">
        <v>72</v>
      </c>
      <c r="F850" s="42" t="s">
        <v>1685</v>
      </c>
      <c r="G850" s="2" t="s">
        <v>424</v>
      </c>
      <c r="H850" s="3" t="s">
        <v>717</v>
      </c>
      <c r="I850" s="37" t="s">
        <v>42</v>
      </c>
      <c r="J850" s="31">
        <v>45702</v>
      </c>
      <c r="K850" s="31">
        <v>45723</v>
      </c>
      <c r="L850" s="31"/>
      <c r="M850" s="31"/>
      <c r="N850" s="31"/>
      <c r="O850" s="2" t="s">
        <v>749</v>
      </c>
    </row>
    <row r="851" spans="1:15">
      <c r="A851" s="3">
        <f t="shared" si="14"/>
        <v>850</v>
      </c>
      <c r="B851" s="108" t="s">
        <v>1686</v>
      </c>
      <c r="C851" s="2">
        <v>8109365420</v>
      </c>
      <c r="D851" s="6"/>
      <c r="E851" s="3" t="s">
        <v>79</v>
      </c>
      <c r="F851" s="42" t="s">
        <v>1687</v>
      </c>
      <c r="G851" s="2" t="s">
        <v>16</v>
      </c>
      <c r="H851" s="3" t="s">
        <v>717</v>
      </c>
      <c r="I851" s="37" t="s">
        <v>42</v>
      </c>
      <c r="J851" s="31">
        <v>45702</v>
      </c>
      <c r="K851" s="31">
        <v>45723</v>
      </c>
      <c r="L851" s="31">
        <v>45729</v>
      </c>
      <c r="M851" s="31">
        <v>45762</v>
      </c>
      <c r="N851" s="31">
        <v>45763</v>
      </c>
      <c r="O851" s="2" t="s">
        <v>297</v>
      </c>
    </row>
    <row r="852" spans="1:15">
      <c r="A852" s="3">
        <f t="shared" si="14"/>
        <v>851</v>
      </c>
      <c r="B852" s="42" t="s">
        <v>1688</v>
      </c>
      <c r="C852" s="2">
        <v>9568315525</v>
      </c>
      <c r="D852" s="6"/>
      <c r="E852" s="3" t="s">
        <v>72</v>
      </c>
      <c r="F852" s="42" t="s">
        <v>1689</v>
      </c>
      <c r="G852" s="2" t="s">
        <v>416</v>
      </c>
      <c r="H852" s="3" t="s">
        <v>717</v>
      </c>
      <c r="I852" s="37" t="s">
        <v>42</v>
      </c>
      <c r="J852" s="31">
        <v>45702</v>
      </c>
      <c r="K852" s="31">
        <v>45705</v>
      </c>
      <c r="L852" s="31"/>
      <c r="M852" s="31"/>
      <c r="N852" s="31"/>
      <c r="O852" s="2" t="s">
        <v>297</v>
      </c>
    </row>
    <row r="853" spans="1:15">
      <c r="A853" s="3">
        <f t="shared" si="14"/>
        <v>852</v>
      </c>
      <c r="B853" s="109" t="s">
        <v>1690</v>
      </c>
      <c r="C853" s="2">
        <v>8766418683</v>
      </c>
      <c r="D853" s="6"/>
      <c r="E853" s="3" t="s">
        <v>72</v>
      </c>
      <c r="F853" s="42" t="s">
        <v>1691</v>
      </c>
      <c r="G853" s="2" t="s">
        <v>16</v>
      </c>
      <c r="H853" s="3" t="s">
        <v>717</v>
      </c>
      <c r="I853" s="37" t="s">
        <v>42</v>
      </c>
      <c r="J853" s="31">
        <v>45702</v>
      </c>
      <c r="K853" s="31">
        <v>45705</v>
      </c>
      <c r="L853" s="31">
        <v>45723</v>
      </c>
      <c r="M853" s="31">
        <v>45740</v>
      </c>
      <c r="N853" s="31">
        <v>45749</v>
      </c>
      <c r="O853" s="2" t="s">
        <v>297</v>
      </c>
    </row>
    <row r="854" spans="1:15">
      <c r="A854" s="3">
        <f t="shared" si="14"/>
        <v>853</v>
      </c>
      <c r="B854" s="108" t="s">
        <v>1692</v>
      </c>
      <c r="C854" s="2">
        <v>6300194533</v>
      </c>
      <c r="D854" s="6"/>
      <c r="E854" s="3" t="s">
        <v>79</v>
      </c>
      <c r="F854" s="42" t="s">
        <v>1687</v>
      </c>
      <c r="G854" s="2" t="s">
        <v>16</v>
      </c>
      <c r="H854" s="3" t="s">
        <v>717</v>
      </c>
      <c r="I854" s="37" t="s">
        <v>42</v>
      </c>
      <c r="J854" s="31">
        <v>45702</v>
      </c>
      <c r="K854" s="31">
        <v>45705</v>
      </c>
      <c r="L854" s="31">
        <v>45716</v>
      </c>
      <c r="M854" s="31">
        <v>45742</v>
      </c>
      <c r="N854" s="31">
        <v>45742</v>
      </c>
      <c r="O854" s="2" t="s">
        <v>297</v>
      </c>
    </row>
    <row r="855" spans="1:15">
      <c r="A855" s="3">
        <f t="shared" si="14"/>
        <v>854</v>
      </c>
      <c r="B855" s="42" t="s">
        <v>1693</v>
      </c>
      <c r="C855" s="2">
        <v>9494984956</v>
      </c>
      <c r="D855" s="6"/>
      <c r="E855" s="3" t="s">
        <v>85</v>
      </c>
      <c r="F855" s="42" t="s">
        <v>1687</v>
      </c>
      <c r="G855" s="2" t="s">
        <v>424</v>
      </c>
      <c r="H855" s="3" t="s">
        <v>717</v>
      </c>
      <c r="I855" s="37" t="s">
        <v>42</v>
      </c>
      <c r="J855" s="31">
        <v>45702</v>
      </c>
      <c r="K855" s="31">
        <v>45705</v>
      </c>
      <c r="L855" s="31"/>
      <c r="M855" s="31"/>
      <c r="N855" s="31"/>
      <c r="O855" s="2" t="s">
        <v>749</v>
      </c>
    </row>
    <row r="856" spans="1:15">
      <c r="A856" s="3">
        <f t="shared" si="14"/>
        <v>855</v>
      </c>
      <c r="B856" s="41" t="s">
        <v>1694</v>
      </c>
      <c r="C856" s="3">
        <v>9301395802</v>
      </c>
      <c r="D856" s="6"/>
      <c r="E856" s="3" t="s">
        <v>302</v>
      </c>
      <c r="F856" s="42" t="s">
        <v>1695</v>
      </c>
      <c r="G856" s="2" t="s">
        <v>16</v>
      </c>
      <c r="H856" s="2" t="s">
        <v>296</v>
      </c>
      <c r="I856" s="37" t="s">
        <v>94</v>
      </c>
      <c r="J856" s="31">
        <v>45698</v>
      </c>
      <c r="K856" s="31">
        <v>45698</v>
      </c>
      <c r="L856" s="31">
        <v>45702</v>
      </c>
      <c r="M856" s="31">
        <v>45713</v>
      </c>
      <c r="N856" s="31">
        <v>45712</v>
      </c>
      <c r="O856" s="2" t="s">
        <v>297</v>
      </c>
    </row>
    <row r="857" spans="1:15">
      <c r="A857" s="3">
        <f t="shared" si="14"/>
        <v>856</v>
      </c>
      <c r="B857" s="41" t="s">
        <v>1696</v>
      </c>
      <c r="C857" s="3">
        <v>8297951062</v>
      </c>
      <c r="D857" s="6"/>
      <c r="E857" s="3" t="s">
        <v>1697</v>
      </c>
      <c r="F857" s="42" t="s">
        <v>339</v>
      </c>
      <c r="G857" s="3" t="s">
        <v>295</v>
      </c>
      <c r="H857" s="3" t="s">
        <v>162</v>
      </c>
      <c r="I857" s="37" t="s">
        <v>94</v>
      </c>
      <c r="J857" s="31">
        <v>45698</v>
      </c>
      <c r="K857" s="31">
        <v>45698</v>
      </c>
      <c r="L857" s="31">
        <v>45702</v>
      </c>
      <c r="M857" s="31">
        <v>45734</v>
      </c>
      <c r="N857" s="31"/>
      <c r="O857" s="2" t="s">
        <v>297</v>
      </c>
    </row>
    <row r="858" spans="1:15">
      <c r="A858" s="3">
        <f t="shared" si="14"/>
        <v>857</v>
      </c>
      <c r="B858" s="42" t="s">
        <v>1698</v>
      </c>
      <c r="C858" s="2">
        <v>7730054512</v>
      </c>
      <c r="D858" s="6"/>
      <c r="E858" s="3" t="s">
        <v>1054</v>
      </c>
      <c r="F858" s="42"/>
      <c r="G858" s="2" t="s">
        <v>330</v>
      </c>
      <c r="H858" s="3" t="s">
        <v>361</v>
      </c>
      <c r="I858" s="37" t="s">
        <v>94</v>
      </c>
      <c r="J858" s="31">
        <v>45701</v>
      </c>
      <c r="K858" s="31">
        <v>45701</v>
      </c>
      <c r="L858" s="31">
        <v>45709</v>
      </c>
      <c r="M858" s="31">
        <v>45726</v>
      </c>
      <c r="N858" s="31">
        <v>45748</v>
      </c>
      <c r="O858" s="2" t="s">
        <v>297</v>
      </c>
    </row>
    <row r="859" spans="1:15">
      <c r="A859" s="3">
        <f t="shared" si="14"/>
        <v>858</v>
      </c>
      <c r="B859" s="42" t="s">
        <v>1699</v>
      </c>
      <c r="C859" s="2">
        <v>9392889912</v>
      </c>
      <c r="D859" s="6"/>
      <c r="E859" s="3" t="s">
        <v>1048</v>
      </c>
      <c r="F859" s="42"/>
      <c r="G859" s="2" t="s">
        <v>330</v>
      </c>
      <c r="H859" s="3" t="s">
        <v>361</v>
      </c>
      <c r="I859" s="37" t="s">
        <v>94</v>
      </c>
      <c r="J859" s="31">
        <v>45701</v>
      </c>
      <c r="K859" s="31">
        <v>45701</v>
      </c>
      <c r="L859" s="31">
        <v>45709</v>
      </c>
      <c r="M859" s="31">
        <v>45726</v>
      </c>
      <c r="N859" s="31">
        <v>45748</v>
      </c>
      <c r="O859" s="2" t="s">
        <v>297</v>
      </c>
    </row>
    <row r="860" spans="1:15">
      <c r="A860" s="3">
        <f t="shared" si="14"/>
        <v>859</v>
      </c>
      <c r="B860" s="42" t="s">
        <v>1700</v>
      </c>
      <c r="C860" s="2">
        <v>7780463094</v>
      </c>
      <c r="D860" s="6"/>
      <c r="E860" s="3" t="s">
        <v>1054</v>
      </c>
      <c r="F860" s="42"/>
      <c r="G860" s="3" t="s">
        <v>295</v>
      </c>
      <c r="H860" s="3" t="s">
        <v>361</v>
      </c>
      <c r="I860" s="37" t="s">
        <v>94</v>
      </c>
      <c r="J860" s="31">
        <v>45701</v>
      </c>
      <c r="K860" s="31">
        <v>45701</v>
      </c>
      <c r="L860" s="31">
        <v>45709</v>
      </c>
      <c r="M860" s="31">
        <v>45726</v>
      </c>
      <c r="N860" s="31"/>
      <c r="O860" s="2" t="s">
        <v>297</v>
      </c>
    </row>
    <row r="861" spans="1:15">
      <c r="A861" s="3">
        <f t="shared" si="14"/>
        <v>860</v>
      </c>
      <c r="B861" s="42" t="s">
        <v>1701</v>
      </c>
      <c r="C861" s="2">
        <v>9573952331</v>
      </c>
      <c r="D861" s="6"/>
      <c r="E861" s="3" t="s">
        <v>1306</v>
      </c>
      <c r="F861" s="42"/>
      <c r="G861" s="2" t="s">
        <v>16</v>
      </c>
      <c r="H861" s="3" t="s">
        <v>361</v>
      </c>
      <c r="I861" s="37" t="s">
        <v>88</v>
      </c>
      <c r="J861" s="31">
        <v>45701</v>
      </c>
      <c r="K861" s="31">
        <v>45701</v>
      </c>
      <c r="L861" s="31">
        <v>45709</v>
      </c>
      <c r="M861" s="31">
        <v>45726</v>
      </c>
      <c r="N861" s="31">
        <v>45726</v>
      </c>
      <c r="O861" s="2" t="s">
        <v>297</v>
      </c>
    </row>
    <row r="862" spans="1:15">
      <c r="A862" s="3">
        <f t="shared" si="14"/>
        <v>861</v>
      </c>
      <c r="B862" s="42" t="s">
        <v>1702</v>
      </c>
      <c r="C862" s="2">
        <v>7674897459</v>
      </c>
      <c r="D862" s="6"/>
      <c r="E862" s="3" t="s">
        <v>1306</v>
      </c>
      <c r="F862" s="42"/>
      <c r="G862" s="2" t="s">
        <v>16</v>
      </c>
      <c r="H862" s="3" t="s">
        <v>361</v>
      </c>
      <c r="I862" s="37" t="s">
        <v>88</v>
      </c>
      <c r="J862" s="31">
        <v>45701</v>
      </c>
      <c r="K862" s="31">
        <v>45701</v>
      </c>
      <c r="L862" s="31">
        <v>45709</v>
      </c>
      <c r="M862" s="31">
        <v>45726</v>
      </c>
      <c r="N862" s="31">
        <v>45726</v>
      </c>
      <c r="O862" s="2" t="s">
        <v>297</v>
      </c>
    </row>
    <row r="863" spans="1:15">
      <c r="A863" s="3">
        <f t="shared" si="14"/>
        <v>862</v>
      </c>
      <c r="B863" s="42" t="s">
        <v>1703</v>
      </c>
      <c r="C863" s="2">
        <v>9304707451</v>
      </c>
      <c r="D863" s="6"/>
      <c r="E863" s="3" t="s">
        <v>1442</v>
      </c>
      <c r="F863" s="42"/>
      <c r="G863" s="2" t="s">
        <v>16</v>
      </c>
      <c r="H863" s="3" t="s">
        <v>361</v>
      </c>
      <c r="I863" s="37" t="s">
        <v>88</v>
      </c>
      <c r="J863" s="31">
        <v>45701</v>
      </c>
      <c r="K863" s="31">
        <v>45701</v>
      </c>
      <c r="L863" s="31">
        <v>45709</v>
      </c>
      <c r="M863" s="31">
        <v>45726</v>
      </c>
      <c r="N863" s="31">
        <v>45749</v>
      </c>
      <c r="O863" s="2" t="s">
        <v>297</v>
      </c>
    </row>
    <row r="864" spans="1:15">
      <c r="A864" s="3">
        <f t="shared" si="14"/>
        <v>863</v>
      </c>
      <c r="B864" s="42" t="s">
        <v>1704</v>
      </c>
      <c r="C864" s="2">
        <v>9652397470</v>
      </c>
      <c r="D864" s="6"/>
      <c r="E864" s="3" t="s">
        <v>1442</v>
      </c>
      <c r="F864" s="42"/>
      <c r="G864" s="2" t="s">
        <v>16</v>
      </c>
      <c r="H864" s="3" t="s">
        <v>361</v>
      </c>
      <c r="I864" s="37" t="s">
        <v>88</v>
      </c>
      <c r="J864" s="31">
        <v>45701</v>
      </c>
      <c r="K864" s="31">
        <v>45701</v>
      </c>
      <c r="L864" s="31">
        <v>45709</v>
      </c>
      <c r="M864" s="31">
        <v>45726</v>
      </c>
      <c r="N864" s="31">
        <v>45749</v>
      </c>
      <c r="O864" s="2" t="s">
        <v>297</v>
      </c>
    </row>
    <row r="865" spans="1:15">
      <c r="A865" s="3">
        <f t="shared" si="14"/>
        <v>864</v>
      </c>
      <c r="B865" s="42" t="s">
        <v>1705</v>
      </c>
      <c r="C865" s="2">
        <v>9000531103</v>
      </c>
      <c r="D865" s="6"/>
      <c r="E865" s="3" t="s">
        <v>99</v>
      </c>
      <c r="F865" s="42"/>
      <c r="G865" s="2" t="s">
        <v>330</v>
      </c>
      <c r="H865" s="3" t="s">
        <v>361</v>
      </c>
      <c r="I865" s="37" t="s">
        <v>42</v>
      </c>
      <c r="J865" s="31">
        <v>45701</v>
      </c>
      <c r="K865" s="31">
        <v>45701</v>
      </c>
      <c r="L865" s="31">
        <v>45709</v>
      </c>
      <c r="M865" s="31">
        <v>45748</v>
      </c>
      <c r="N865" s="31">
        <v>45748</v>
      </c>
      <c r="O865" s="2" t="s">
        <v>297</v>
      </c>
    </row>
    <row r="866" spans="1:15">
      <c r="A866" s="3">
        <f t="shared" si="14"/>
        <v>865</v>
      </c>
      <c r="B866" s="42" t="s">
        <v>1706</v>
      </c>
      <c r="C866" s="2">
        <v>9014590105</v>
      </c>
      <c r="D866" s="6"/>
      <c r="E866" s="3" t="s">
        <v>99</v>
      </c>
      <c r="F866" s="42"/>
      <c r="G866" s="2" t="s">
        <v>330</v>
      </c>
      <c r="H866" s="3" t="s">
        <v>361</v>
      </c>
      <c r="I866" s="37" t="s">
        <v>42</v>
      </c>
      <c r="J866" s="31">
        <v>45701</v>
      </c>
      <c r="K866" s="31">
        <v>45701</v>
      </c>
      <c r="L866" s="31">
        <v>45709</v>
      </c>
      <c r="M866" s="31">
        <v>45748</v>
      </c>
      <c r="N866" s="31">
        <v>45748</v>
      </c>
      <c r="O866" s="2" t="s">
        <v>297</v>
      </c>
    </row>
    <row r="867" spans="1:15">
      <c r="A867" s="3">
        <f t="shared" si="14"/>
        <v>866</v>
      </c>
      <c r="B867" s="42" t="s">
        <v>1707</v>
      </c>
      <c r="C867" s="2">
        <v>9848991196</v>
      </c>
      <c r="D867" s="6"/>
      <c r="E867" s="3" t="s">
        <v>99</v>
      </c>
      <c r="F867" s="42"/>
      <c r="G867" s="2" t="s">
        <v>16</v>
      </c>
      <c r="H867" s="3" t="s">
        <v>361</v>
      </c>
      <c r="I867" s="37" t="s">
        <v>42</v>
      </c>
      <c r="J867" s="31">
        <v>45701</v>
      </c>
      <c r="K867" s="31">
        <v>45701</v>
      </c>
      <c r="L867" s="31">
        <v>45709</v>
      </c>
      <c r="M867" s="31">
        <v>45748</v>
      </c>
      <c r="N867" s="31">
        <v>45748</v>
      </c>
      <c r="O867" s="2" t="s">
        <v>297</v>
      </c>
    </row>
    <row r="868" spans="1:15">
      <c r="A868" s="3">
        <f t="shared" si="14"/>
        <v>867</v>
      </c>
      <c r="B868" s="42" t="s">
        <v>1708</v>
      </c>
      <c r="C868" s="2">
        <v>9640508237</v>
      </c>
      <c r="D868" s="6"/>
      <c r="E868" s="3" t="s">
        <v>1709</v>
      </c>
      <c r="F868" s="42"/>
      <c r="G868" s="2" t="s">
        <v>295</v>
      </c>
      <c r="H868" s="3" t="s">
        <v>361</v>
      </c>
      <c r="I868" s="37" t="s">
        <v>94</v>
      </c>
      <c r="J868" s="31">
        <v>45701</v>
      </c>
      <c r="K868" s="31">
        <v>45701</v>
      </c>
      <c r="L868" s="31">
        <v>45709</v>
      </c>
      <c r="M868" s="31">
        <v>45726</v>
      </c>
      <c r="N868" s="31"/>
      <c r="O868" s="2" t="s">
        <v>297</v>
      </c>
    </row>
    <row r="869" spans="1:15">
      <c r="A869" s="3">
        <f t="shared" si="14"/>
        <v>868</v>
      </c>
      <c r="B869" s="42" t="s">
        <v>1710</v>
      </c>
      <c r="C869" s="2">
        <v>7569677235</v>
      </c>
      <c r="D869" s="6"/>
      <c r="E869" s="3" t="s">
        <v>1711</v>
      </c>
      <c r="F869" s="42"/>
      <c r="G869" s="2" t="s">
        <v>295</v>
      </c>
      <c r="H869" s="3" t="s">
        <v>361</v>
      </c>
      <c r="I869" s="37" t="s">
        <v>94</v>
      </c>
      <c r="J869" s="31">
        <v>45701</v>
      </c>
      <c r="K869" s="31">
        <v>45701</v>
      </c>
      <c r="L869" s="31">
        <v>45709</v>
      </c>
      <c r="M869" s="31">
        <v>45726</v>
      </c>
      <c r="N869" s="31"/>
      <c r="O869" s="2" t="s">
        <v>297</v>
      </c>
    </row>
    <row r="870" spans="1:15">
      <c r="A870" s="3">
        <f t="shared" si="14"/>
        <v>869</v>
      </c>
      <c r="B870" s="42" t="s">
        <v>1712</v>
      </c>
      <c r="C870" s="2">
        <v>7036526768</v>
      </c>
      <c r="D870" s="6"/>
      <c r="E870" s="3" t="s">
        <v>1711</v>
      </c>
      <c r="F870" s="42"/>
      <c r="G870" s="2" t="s">
        <v>424</v>
      </c>
      <c r="H870" s="3" t="s">
        <v>361</v>
      </c>
      <c r="I870" s="37" t="s">
        <v>94</v>
      </c>
      <c r="J870" s="31">
        <v>45701</v>
      </c>
      <c r="K870" s="31">
        <v>45701</v>
      </c>
      <c r="L870" s="31"/>
      <c r="M870" s="31"/>
      <c r="N870" s="31"/>
      <c r="O870" s="2" t="s">
        <v>425</v>
      </c>
    </row>
    <row r="871" spans="1:15">
      <c r="A871" s="3">
        <f t="shared" si="14"/>
        <v>870</v>
      </c>
      <c r="B871" s="41" t="s">
        <v>1713</v>
      </c>
      <c r="C871" s="3">
        <v>8074165968</v>
      </c>
      <c r="D871" s="6"/>
      <c r="E871" s="2" t="s">
        <v>1173</v>
      </c>
      <c r="F871" s="73" t="s">
        <v>333</v>
      </c>
      <c r="G871" s="2" t="s">
        <v>295</v>
      </c>
      <c r="H871" s="2" t="s">
        <v>1186</v>
      </c>
      <c r="I871" s="37" t="s">
        <v>94</v>
      </c>
      <c r="J871" s="31">
        <v>45702</v>
      </c>
      <c r="K871" s="31">
        <v>45708</v>
      </c>
      <c r="L871" s="31">
        <v>45723</v>
      </c>
      <c r="M871" s="31">
        <v>45749</v>
      </c>
      <c r="N871" s="31"/>
      <c r="O871" s="2" t="s">
        <v>297</v>
      </c>
    </row>
    <row r="872" spans="1:15">
      <c r="A872" s="3">
        <f t="shared" si="14"/>
        <v>871</v>
      </c>
      <c r="B872" s="41" t="s">
        <v>1714</v>
      </c>
      <c r="C872" s="3">
        <v>8074814670</v>
      </c>
      <c r="D872" s="6"/>
      <c r="E872" s="2" t="s">
        <v>1173</v>
      </c>
      <c r="F872" s="73" t="s">
        <v>333</v>
      </c>
      <c r="G872" s="2" t="s">
        <v>424</v>
      </c>
      <c r="H872" s="2" t="s">
        <v>1186</v>
      </c>
      <c r="I872" s="37" t="s">
        <v>94</v>
      </c>
      <c r="J872" s="31">
        <v>45702</v>
      </c>
      <c r="K872" s="31">
        <v>45708</v>
      </c>
      <c r="L872" s="31"/>
      <c r="M872" s="31"/>
      <c r="N872" s="31"/>
      <c r="O872" s="2" t="s">
        <v>749</v>
      </c>
    </row>
    <row r="873" spans="1:15">
      <c r="A873" s="3">
        <f t="shared" si="14"/>
        <v>872</v>
      </c>
      <c r="B873" s="41" t="s">
        <v>1715</v>
      </c>
      <c r="C873" s="3">
        <v>9346340052</v>
      </c>
      <c r="D873" s="6"/>
      <c r="E873" s="2" t="s">
        <v>1173</v>
      </c>
      <c r="F873" s="73" t="s">
        <v>333</v>
      </c>
      <c r="G873" s="2" t="s">
        <v>424</v>
      </c>
      <c r="H873" s="2" t="s">
        <v>1186</v>
      </c>
      <c r="I873" s="37" t="s">
        <v>94</v>
      </c>
      <c r="J873" s="31">
        <v>45702</v>
      </c>
      <c r="K873" s="31">
        <v>45729</v>
      </c>
      <c r="L873" s="31"/>
      <c r="M873" s="31"/>
      <c r="N873" s="31"/>
      <c r="O873" s="2" t="s">
        <v>425</v>
      </c>
    </row>
    <row r="874" spans="1:15">
      <c r="A874" s="3">
        <f t="shared" si="14"/>
        <v>873</v>
      </c>
      <c r="B874" s="41" t="s">
        <v>1716</v>
      </c>
      <c r="C874" s="3">
        <v>9398818140</v>
      </c>
      <c r="D874" s="6"/>
      <c r="E874" s="2" t="s">
        <v>1173</v>
      </c>
      <c r="F874" s="73" t="s">
        <v>333</v>
      </c>
      <c r="G874" s="2" t="s">
        <v>424</v>
      </c>
      <c r="H874" s="2" t="s">
        <v>1186</v>
      </c>
      <c r="I874" s="37" t="s">
        <v>94</v>
      </c>
      <c r="J874" s="31">
        <v>45702</v>
      </c>
      <c r="K874" s="31">
        <v>45714</v>
      </c>
      <c r="L874" s="31"/>
      <c r="M874" s="31"/>
      <c r="N874" s="31"/>
      <c r="O874" s="2" t="s">
        <v>425</v>
      </c>
    </row>
    <row r="875" spans="1:15">
      <c r="A875" s="3">
        <f t="shared" si="14"/>
        <v>874</v>
      </c>
      <c r="B875" s="41" t="s">
        <v>1717</v>
      </c>
      <c r="C875" s="3">
        <v>7993160367</v>
      </c>
      <c r="D875" s="6"/>
      <c r="E875" s="2" t="s">
        <v>1173</v>
      </c>
      <c r="F875" s="73" t="s">
        <v>1312</v>
      </c>
      <c r="G875" s="2" t="s">
        <v>424</v>
      </c>
      <c r="H875" s="2" t="s">
        <v>1186</v>
      </c>
      <c r="I875" s="37" t="s">
        <v>94</v>
      </c>
      <c r="J875" s="31">
        <v>45702</v>
      </c>
      <c r="K875" s="31">
        <v>45708</v>
      </c>
      <c r="L875" s="31"/>
      <c r="M875" s="31"/>
      <c r="N875" s="31"/>
      <c r="O875" s="2" t="s">
        <v>425</v>
      </c>
    </row>
    <row r="876" spans="1:15">
      <c r="A876" s="3">
        <f t="shared" si="14"/>
        <v>875</v>
      </c>
      <c r="B876" s="42" t="s">
        <v>1718</v>
      </c>
      <c r="C876" s="2">
        <v>9556996143</v>
      </c>
      <c r="D876" s="6"/>
      <c r="E876" s="3" t="s">
        <v>170</v>
      </c>
      <c r="F876" s="42" t="s">
        <v>1719</v>
      </c>
      <c r="G876" s="2" t="s">
        <v>424</v>
      </c>
      <c r="H876" s="3" t="s">
        <v>162</v>
      </c>
      <c r="I876" s="37" t="s">
        <v>42</v>
      </c>
      <c r="J876" s="31">
        <v>45703</v>
      </c>
      <c r="K876" s="31">
        <v>45703</v>
      </c>
      <c r="L876" s="31"/>
      <c r="M876" s="31"/>
      <c r="N876" s="31"/>
      <c r="O876" s="2" t="s">
        <v>425</v>
      </c>
    </row>
    <row r="877" spans="1:15">
      <c r="A877" s="3">
        <f t="shared" si="14"/>
        <v>876</v>
      </c>
      <c r="B877" s="42" t="s">
        <v>1720</v>
      </c>
      <c r="C877" s="2">
        <v>9170584123</v>
      </c>
      <c r="D877" s="6"/>
      <c r="E877" s="3" t="s">
        <v>127</v>
      </c>
      <c r="F877" s="42" t="s">
        <v>1721</v>
      </c>
      <c r="G877" s="2" t="s">
        <v>16</v>
      </c>
      <c r="H877" s="3" t="s">
        <v>788</v>
      </c>
      <c r="I877" s="37" t="s">
        <v>42</v>
      </c>
      <c r="J877" s="31">
        <v>45702</v>
      </c>
      <c r="K877" s="31">
        <v>45723</v>
      </c>
      <c r="L877" s="31">
        <v>45729</v>
      </c>
      <c r="M877" s="31">
        <v>45769</v>
      </c>
      <c r="N877" s="31">
        <v>45770</v>
      </c>
      <c r="O877" s="2" t="s">
        <v>297</v>
      </c>
    </row>
    <row r="878" spans="1:15">
      <c r="A878" s="3">
        <f t="shared" si="14"/>
        <v>877</v>
      </c>
      <c r="B878" s="42" t="s">
        <v>1722</v>
      </c>
      <c r="C878" s="2">
        <v>8985100902</v>
      </c>
      <c r="D878" s="6"/>
      <c r="E878" s="3" t="s">
        <v>124</v>
      </c>
      <c r="F878" s="42" t="s">
        <v>443</v>
      </c>
      <c r="G878" s="2" t="s">
        <v>424</v>
      </c>
      <c r="H878" s="3" t="s">
        <v>788</v>
      </c>
      <c r="I878" s="37" t="s">
        <v>42</v>
      </c>
      <c r="J878" s="31">
        <v>45702</v>
      </c>
      <c r="K878" s="31">
        <v>45723</v>
      </c>
      <c r="L878" s="31"/>
      <c r="M878" s="31"/>
      <c r="N878" s="31"/>
      <c r="O878" s="2" t="s">
        <v>749</v>
      </c>
    </row>
    <row r="879" spans="1:15">
      <c r="A879" s="3">
        <f t="shared" si="14"/>
        <v>878</v>
      </c>
      <c r="B879" s="42" t="s">
        <v>1723</v>
      </c>
      <c r="C879" s="2">
        <v>9652775391</v>
      </c>
      <c r="D879" s="6"/>
      <c r="E879" s="3" t="s">
        <v>170</v>
      </c>
      <c r="F879" s="42" t="s">
        <v>1724</v>
      </c>
      <c r="G879" s="2" t="s">
        <v>330</v>
      </c>
      <c r="H879" s="3" t="s">
        <v>162</v>
      </c>
      <c r="I879" s="37" t="s">
        <v>42</v>
      </c>
      <c r="J879" s="31">
        <v>45703</v>
      </c>
      <c r="K879" s="31">
        <v>45703</v>
      </c>
      <c r="L879" s="31">
        <v>45723</v>
      </c>
      <c r="M879" s="31">
        <v>45765</v>
      </c>
      <c r="N879" s="31">
        <v>45765</v>
      </c>
      <c r="O879" s="2" t="s">
        <v>297</v>
      </c>
    </row>
    <row r="880" spans="1:15">
      <c r="A880" s="3">
        <f t="shared" si="14"/>
        <v>879</v>
      </c>
      <c r="B880" s="42" t="s">
        <v>1725</v>
      </c>
      <c r="C880" s="2">
        <v>8767558630</v>
      </c>
      <c r="D880" s="6"/>
      <c r="E880" s="3" t="s">
        <v>170</v>
      </c>
      <c r="F880" s="42" t="s">
        <v>333</v>
      </c>
      <c r="G880" s="2" t="s">
        <v>16</v>
      </c>
      <c r="H880" s="3" t="s">
        <v>162</v>
      </c>
      <c r="I880" s="37" t="s">
        <v>42</v>
      </c>
      <c r="J880" s="31">
        <v>45703</v>
      </c>
      <c r="K880" s="31">
        <v>45703</v>
      </c>
      <c r="L880" s="31">
        <v>45709</v>
      </c>
      <c r="M880" s="31">
        <v>45744</v>
      </c>
      <c r="N880" s="31">
        <v>45744</v>
      </c>
      <c r="O880" s="2" t="s">
        <v>297</v>
      </c>
    </row>
    <row r="881" spans="1:15">
      <c r="A881" s="3">
        <f t="shared" si="14"/>
        <v>880</v>
      </c>
      <c r="B881" s="42" t="s">
        <v>1726</v>
      </c>
      <c r="C881" s="2">
        <v>7655048082</v>
      </c>
      <c r="D881" s="6"/>
      <c r="E881" s="3" t="s">
        <v>1727</v>
      </c>
      <c r="F881" s="42" t="s">
        <v>1728</v>
      </c>
      <c r="G881" s="2" t="s">
        <v>424</v>
      </c>
      <c r="H881" s="3" t="s">
        <v>162</v>
      </c>
      <c r="I881" s="37" t="s">
        <v>88</v>
      </c>
      <c r="J881" s="31">
        <v>45703</v>
      </c>
      <c r="K881" s="31">
        <v>45703</v>
      </c>
      <c r="L881" s="31"/>
      <c r="M881" s="31"/>
      <c r="N881" s="31"/>
      <c r="O881" s="2" t="s">
        <v>425</v>
      </c>
    </row>
    <row r="882" spans="1:15">
      <c r="A882" s="3">
        <f t="shared" si="14"/>
        <v>881</v>
      </c>
      <c r="B882" s="42" t="s">
        <v>1729</v>
      </c>
      <c r="C882" s="2">
        <v>9666587221</v>
      </c>
      <c r="D882" s="6"/>
      <c r="E882" s="3" t="s">
        <v>1727</v>
      </c>
      <c r="F882" s="42" t="s">
        <v>308</v>
      </c>
      <c r="G882" s="2" t="s">
        <v>16</v>
      </c>
      <c r="H882" s="3" t="s">
        <v>162</v>
      </c>
      <c r="I882" s="37" t="s">
        <v>88</v>
      </c>
      <c r="J882" s="31">
        <v>45703</v>
      </c>
      <c r="K882" s="31">
        <v>45703</v>
      </c>
      <c r="L882" s="31">
        <v>45709</v>
      </c>
      <c r="M882" s="31">
        <v>45748</v>
      </c>
      <c r="N882" s="31">
        <v>45758</v>
      </c>
      <c r="O882" s="2" t="s">
        <v>297</v>
      </c>
    </row>
    <row r="883" spans="1:15">
      <c r="A883" s="3">
        <f t="shared" si="14"/>
        <v>882</v>
      </c>
      <c r="B883" s="42" t="s">
        <v>1730</v>
      </c>
      <c r="C883" s="2">
        <v>9161708794</v>
      </c>
      <c r="D883" s="6">
        <v>9773350166</v>
      </c>
      <c r="E883" s="3" t="s">
        <v>851</v>
      </c>
      <c r="F883" s="42" t="s">
        <v>821</v>
      </c>
      <c r="G883" s="2" t="s">
        <v>416</v>
      </c>
      <c r="H883" s="2" t="s">
        <v>815</v>
      </c>
      <c r="I883" s="37" t="s">
        <v>94</v>
      </c>
      <c r="J883" s="31">
        <v>45703</v>
      </c>
      <c r="K883" s="31">
        <v>45720</v>
      </c>
      <c r="L883" s="31"/>
      <c r="M883" s="31"/>
      <c r="N883" s="31"/>
      <c r="O883" s="2" t="s">
        <v>297</v>
      </c>
    </row>
    <row r="884" spans="1:15">
      <c r="A884" s="3">
        <f t="shared" si="14"/>
        <v>883</v>
      </c>
      <c r="B884" s="42" t="s">
        <v>1731</v>
      </c>
      <c r="C884" s="2">
        <v>9336858703</v>
      </c>
      <c r="D884" s="6"/>
      <c r="E884" s="3" t="s">
        <v>1732</v>
      </c>
      <c r="F884" s="42" t="s">
        <v>1733</v>
      </c>
      <c r="G884" s="2" t="s">
        <v>330</v>
      </c>
      <c r="H884" s="2" t="s">
        <v>815</v>
      </c>
      <c r="I884" s="37" t="s">
        <v>94</v>
      </c>
      <c r="J884" s="31">
        <v>45703</v>
      </c>
      <c r="K884" s="31">
        <v>45715</v>
      </c>
      <c r="L884" s="31">
        <v>45736</v>
      </c>
      <c r="M884" s="31">
        <v>45747</v>
      </c>
      <c r="N884" s="31">
        <v>45739</v>
      </c>
      <c r="O884" s="2" t="s">
        <v>297</v>
      </c>
    </row>
    <row r="885" spans="1:15">
      <c r="A885" s="3">
        <f t="shared" si="14"/>
        <v>884</v>
      </c>
      <c r="B885" s="42" t="s">
        <v>1734</v>
      </c>
      <c r="C885" s="2">
        <v>9154937109</v>
      </c>
      <c r="D885" s="6">
        <v>7238894671</v>
      </c>
      <c r="E885" s="3" t="s">
        <v>1735</v>
      </c>
      <c r="F885" s="42" t="s">
        <v>1736</v>
      </c>
      <c r="G885" s="2" t="s">
        <v>416</v>
      </c>
      <c r="H885" s="2" t="s">
        <v>815</v>
      </c>
      <c r="I885" s="37" t="s">
        <v>88</v>
      </c>
      <c r="J885" s="31">
        <v>45703</v>
      </c>
      <c r="K885" s="31">
        <v>45715</v>
      </c>
      <c r="L885" s="31"/>
      <c r="M885" s="31"/>
      <c r="N885" s="31"/>
      <c r="O885" s="2" t="s">
        <v>297</v>
      </c>
    </row>
    <row r="886" spans="1:15">
      <c r="A886" s="3">
        <f t="shared" si="14"/>
        <v>885</v>
      </c>
      <c r="B886" s="42" t="s">
        <v>1737</v>
      </c>
      <c r="C886" s="2">
        <v>8709489535</v>
      </c>
      <c r="D886" s="6">
        <v>7020307839</v>
      </c>
      <c r="E886" s="3" t="s">
        <v>1738</v>
      </c>
      <c r="F886" s="42" t="s">
        <v>1739</v>
      </c>
      <c r="G886" s="2" t="s">
        <v>416</v>
      </c>
      <c r="H886" s="3" t="s">
        <v>361</v>
      </c>
      <c r="I886" s="37" t="s">
        <v>42</v>
      </c>
      <c r="J886" s="31">
        <v>45703</v>
      </c>
      <c r="K886" s="31">
        <v>45706</v>
      </c>
      <c r="L886" s="31"/>
      <c r="M886" s="31"/>
      <c r="N886" s="31"/>
      <c r="O886" s="2" t="s">
        <v>297</v>
      </c>
    </row>
    <row r="887" spans="1:15">
      <c r="A887" s="3">
        <f t="shared" si="14"/>
        <v>886</v>
      </c>
      <c r="B887" s="42" t="s">
        <v>1740</v>
      </c>
      <c r="C887" s="2">
        <v>7018365398</v>
      </c>
      <c r="D887" s="6">
        <v>8261888834</v>
      </c>
      <c r="E887" s="3" t="s">
        <v>1741</v>
      </c>
      <c r="F887" s="42" t="s">
        <v>1742</v>
      </c>
      <c r="G887" s="2" t="s">
        <v>424</v>
      </c>
      <c r="H887" s="3" t="s">
        <v>361</v>
      </c>
      <c r="I887" s="37" t="s">
        <v>88</v>
      </c>
      <c r="J887" s="31">
        <v>45703</v>
      </c>
      <c r="K887" s="31">
        <v>45706</v>
      </c>
      <c r="L887" s="31"/>
      <c r="M887" s="31"/>
      <c r="N887" s="31"/>
      <c r="O887" s="2" t="s">
        <v>425</v>
      </c>
    </row>
    <row r="888" spans="1:15">
      <c r="A888" s="3">
        <f t="shared" si="14"/>
        <v>887</v>
      </c>
      <c r="B888" s="42" t="s">
        <v>1743</v>
      </c>
      <c r="C888" s="2">
        <v>6391385516</v>
      </c>
      <c r="D888" s="6">
        <v>8815724361</v>
      </c>
      <c r="E888" s="3" t="s">
        <v>1442</v>
      </c>
      <c r="F888" s="42" t="s">
        <v>1744</v>
      </c>
      <c r="G888" s="2" t="s">
        <v>16</v>
      </c>
      <c r="H888" s="3" t="s">
        <v>361</v>
      </c>
      <c r="I888" s="37" t="s">
        <v>88</v>
      </c>
      <c r="J888" s="31">
        <v>45703</v>
      </c>
      <c r="K888" s="31">
        <v>45707</v>
      </c>
      <c r="L888" s="31">
        <v>45708</v>
      </c>
      <c r="M888" s="31">
        <v>45741</v>
      </c>
      <c r="N888" s="31">
        <v>45741</v>
      </c>
      <c r="O888" s="2" t="s">
        <v>297</v>
      </c>
    </row>
    <row r="889" spans="1:15">
      <c r="A889" s="3">
        <f t="shared" si="14"/>
        <v>888</v>
      </c>
      <c r="B889" s="42" t="s">
        <v>1745</v>
      </c>
      <c r="C889" s="2">
        <v>7632916516</v>
      </c>
      <c r="D889" s="6"/>
      <c r="E889" s="3" t="s">
        <v>492</v>
      </c>
      <c r="F889" s="41" t="s">
        <v>1746</v>
      </c>
      <c r="G889" s="2" t="s">
        <v>16</v>
      </c>
      <c r="H889" s="3" t="s">
        <v>361</v>
      </c>
      <c r="I889" s="37" t="s">
        <v>94</v>
      </c>
      <c r="J889" s="31">
        <v>45703</v>
      </c>
      <c r="K889" s="31">
        <v>45706</v>
      </c>
      <c r="L889" s="31">
        <v>45709</v>
      </c>
      <c r="M889" s="31">
        <v>45733</v>
      </c>
      <c r="N889" s="31">
        <v>45732</v>
      </c>
      <c r="O889" s="2" t="s">
        <v>297</v>
      </c>
    </row>
    <row r="890" spans="1:15">
      <c r="A890" s="3">
        <f t="shared" ref="A890:A953" si="15">ROW()-1</f>
        <v>889</v>
      </c>
      <c r="B890" s="42" t="s">
        <v>1747</v>
      </c>
      <c r="C890" s="2">
        <v>9770102239</v>
      </c>
      <c r="D890" s="6"/>
      <c r="E890" s="3" t="s">
        <v>512</v>
      </c>
      <c r="F890" s="41" t="s">
        <v>1746</v>
      </c>
      <c r="G890" s="2" t="s">
        <v>16</v>
      </c>
      <c r="H890" s="3" t="s">
        <v>361</v>
      </c>
      <c r="I890" s="37" t="s">
        <v>94</v>
      </c>
      <c r="J890" s="31">
        <v>45703</v>
      </c>
      <c r="K890" s="31">
        <v>45706</v>
      </c>
      <c r="L890" s="31">
        <v>45709</v>
      </c>
      <c r="M890" s="31">
        <v>45733</v>
      </c>
      <c r="N890" s="31">
        <v>45728</v>
      </c>
      <c r="O890" s="2" t="s">
        <v>297</v>
      </c>
    </row>
    <row r="891" spans="1:15">
      <c r="A891" s="3">
        <f t="shared" si="15"/>
        <v>890</v>
      </c>
      <c r="B891" s="42" t="s">
        <v>1748</v>
      </c>
      <c r="C891" s="2">
        <v>9505939998</v>
      </c>
      <c r="D891" s="6">
        <v>9491942878</v>
      </c>
      <c r="E891" s="3" t="s">
        <v>138</v>
      </c>
      <c r="F891" s="42" t="s">
        <v>1749</v>
      </c>
      <c r="G891" s="2" t="s">
        <v>416</v>
      </c>
      <c r="H891" s="2" t="s">
        <v>815</v>
      </c>
      <c r="I891" s="37" t="s">
        <v>42</v>
      </c>
      <c r="J891" s="31">
        <v>45705</v>
      </c>
      <c r="K891" s="31">
        <v>45705</v>
      </c>
      <c r="L891" s="31"/>
      <c r="M891" s="31"/>
      <c r="N891" s="31"/>
      <c r="O891" s="2" t="s">
        <v>297</v>
      </c>
    </row>
    <row r="892" spans="1:15">
      <c r="A892" s="3">
        <f t="shared" si="15"/>
        <v>891</v>
      </c>
      <c r="B892" s="42" t="s">
        <v>1750</v>
      </c>
      <c r="C892" s="2">
        <v>9966303981</v>
      </c>
      <c r="D892" s="6"/>
      <c r="E892" s="3" t="s">
        <v>138</v>
      </c>
      <c r="F892" s="42"/>
      <c r="G892" s="3" t="s">
        <v>330</v>
      </c>
      <c r="H892" s="2" t="s">
        <v>815</v>
      </c>
      <c r="I892" s="37" t="s">
        <v>42</v>
      </c>
      <c r="J892" s="31">
        <v>45705</v>
      </c>
      <c r="K892" s="31">
        <v>45705</v>
      </c>
      <c r="L892" s="31">
        <v>45709</v>
      </c>
      <c r="M892" s="31">
        <v>45727</v>
      </c>
      <c r="N892" s="31">
        <v>45727</v>
      </c>
      <c r="O892" s="2" t="s">
        <v>297</v>
      </c>
    </row>
    <row r="893" spans="1:15">
      <c r="A893" s="3">
        <f t="shared" si="15"/>
        <v>892</v>
      </c>
      <c r="B893" s="42" t="s">
        <v>1751</v>
      </c>
      <c r="C893" s="2">
        <v>7702799869</v>
      </c>
      <c r="D893" s="6"/>
      <c r="E893" s="3" t="s">
        <v>1735</v>
      </c>
      <c r="F893" s="42" t="s">
        <v>1752</v>
      </c>
      <c r="G893" s="3" t="s">
        <v>416</v>
      </c>
      <c r="H893" s="2" t="s">
        <v>815</v>
      </c>
      <c r="I893" s="37" t="s">
        <v>88</v>
      </c>
      <c r="J893" s="31">
        <v>45705</v>
      </c>
      <c r="K893" s="31">
        <v>45705</v>
      </c>
      <c r="L893" s="31"/>
      <c r="M893" s="31"/>
      <c r="N893" s="31"/>
      <c r="O893" s="2" t="s">
        <v>297</v>
      </c>
    </row>
    <row r="894" spans="1:15">
      <c r="A894" s="3">
        <f t="shared" si="15"/>
        <v>893</v>
      </c>
      <c r="B894" s="42" t="s">
        <v>1753</v>
      </c>
      <c r="C894" s="2">
        <v>9963657507</v>
      </c>
      <c r="D894" s="6">
        <v>9110572306</v>
      </c>
      <c r="E894" s="3" t="s">
        <v>132</v>
      </c>
      <c r="F894" s="42" t="s">
        <v>1754</v>
      </c>
      <c r="G894" s="2" t="s">
        <v>16</v>
      </c>
      <c r="H894" s="2" t="s">
        <v>815</v>
      </c>
      <c r="I894" s="37" t="s">
        <v>42</v>
      </c>
      <c r="J894" s="31">
        <v>45705</v>
      </c>
      <c r="K894" s="31">
        <v>45705</v>
      </c>
      <c r="L894" s="31">
        <v>45709</v>
      </c>
      <c r="M894" s="31">
        <v>45757</v>
      </c>
      <c r="N894" s="31">
        <v>45757</v>
      </c>
      <c r="O894" s="2" t="s">
        <v>297</v>
      </c>
    </row>
    <row r="895" spans="1:15">
      <c r="A895" s="3">
        <f t="shared" si="15"/>
        <v>894</v>
      </c>
      <c r="B895" s="42" t="s">
        <v>1755</v>
      </c>
      <c r="C895" s="2">
        <v>8618829677</v>
      </c>
      <c r="D895" s="6">
        <v>9576952541</v>
      </c>
      <c r="E895" s="3" t="s">
        <v>138</v>
      </c>
      <c r="F895" s="42" t="s">
        <v>1756</v>
      </c>
      <c r="G895" s="2" t="s">
        <v>18</v>
      </c>
      <c r="H895" s="2" t="s">
        <v>815</v>
      </c>
      <c r="I895" s="37" t="s">
        <v>42</v>
      </c>
      <c r="J895" s="31">
        <v>45705</v>
      </c>
      <c r="K895" s="31">
        <v>45705</v>
      </c>
      <c r="L895" s="31"/>
      <c r="M895" s="31"/>
      <c r="N895" s="31"/>
      <c r="O895" s="2" t="s">
        <v>297</v>
      </c>
    </row>
    <row r="896" spans="1:15">
      <c r="A896" s="3">
        <f t="shared" si="15"/>
        <v>895</v>
      </c>
      <c r="B896" s="42" t="s">
        <v>1757</v>
      </c>
      <c r="C896" s="2">
        <v>8260291958</v>
      </c>
      <c r="D896" s="6"/>
      <c r="E896" s="3" t="s">
        <v>138</v>
      </c>
      <c r="F896" s="42" t="s">
        <v>1758</v>
      </c>
      <c r="G896" s="2" t="s">
        <v>330</v>
      </c>
      <c r="H896" s="2" t="s">
        <v>815</v>
      </c>
      <c r="I896" s="37" t="s">
        <v>42</v>
      </c>
      <c r="J896" s="31">
        <v>45705</v>
      </c>
      <c r="K896" s="31">
        <v>45705</v>
      </c>
      <c r="L896" s="31">
        <v>45716</v>
      </c>
      <c r="M896" s="31">
        <v>45734</v>
      </c>
      <c r="N896" s="31">
        <v>45734</v>
      </c>
      <c r="O896" s="2" t="s">
        <v>297</v>
      </c>
    </row>
    <row r="897" spans="1:15">
      <c r="A897" s="3">
        <f t="shared" si="15"/>
        <v>896</v>
      </c>
      <c r="B897" s="42" t="s">
        <v>1759</v>
      </c>
      <c r="C897" s="2">
        <v>8977201314</v>
      </c>
      <c r="D897" s="6"/>
      <c r="E897" s="3" t="s">
        <v>1760</v>
      </c>
      <c r="F897" s="42" t="s">
        <v>1761</v>
      </c>
      <c r="G897" s="2" t="s">
        <v>16</v>
      </c>
      <c r="H897" s="2" t="s">
        <v>815</v>
      </c>
      <c r="I897" s="37" t="s">
        <v>94</v>
      </c>
      <c r="J897" s="31">
        <v>45705</v>
      </c>
      <c r="K897" s="31">
        <v>45705</v>
      </c>
      <c r="L897" s="31">
        <v>45709</v>
      </c>
      <c r="M897" s="31">
        <v>45744</v>
      </c>
      <c r="N897" s="31">
        <v>45744</v>
      </c>
      <c r="O897" s="2" t="s">
        <v>297</v>
      </c>
    </row>
    <row r="898" spans="1:15">
      <c r="A898" s="3">
        <f t="shared" si="15"/>
        <v>897</v>
      </c>
      <c r="B898" s="42" t="s">
        <v>1762</v>
      </c>
      <c r="C898" s="2">
        <v>9952016497</v>
      </c>
      <c r="D898" s="6"/>
      <c r="E898" s="3" t="s">
        <v>138</v>
      </c>
      <c r="F898" s="42" t="s">
        <v>1763</v>
      </c>
      <c r="G898" s="2" t="s">
        <v>16</v>
      </c>
      <c r="H898" s="2" t="s">
        <v>815</v>
      </c>
      <c r="I898" s="3" t="s">
        <v>42</v>
      </c>
      <c r="J898" s="31">
        <v>45705</v>
      </c>
      <c r="K898" s="31">
        <v>45705</v>
      </c>
      <c r="L898" s="31">
        <v>45709</v>
      </c>
      <c r="M898" s="31">
        <v>45785</v>
      </c>
      <c r="N898" s="31">
        <v>45785</v>
      </c>
      <c r="O898" s="2" t="s">
        <v>297</v>
      </c>
    </row>
    <row r="899" spans="1:15">
      <c r="A899" s="3">
        <f t="shared" si="15"/>
        <v>898</v>
      </c>
      <c r="B899" s="42" t="s">
        <v>1764</v>
      </c>
      <c r="C899" s="2">
        <v>8309144831</v>
      </c>
      <c r="D899" s="6"/>
      <c r="E899" s="3" t="s">
        <v>1760</v>
      </c>
      <c r="F899" s="42" t="s">
        <v>1765</v>
      </c>
      <c r="G899" s="2" t="s">
        <v>16</v>
      </c>
      <c r="H899" s="2" t="s">
        <v>815</v>
      </c>
      <c r="I899" s="37" t="s">
        <v>94</v>
      </c>
      <c r="J899" s="31">
        <v>45705</v>
      </c>
      <c r="K899" s="31">
        <v>45705</v>
      </c>
      <c r="L899" s="31">
        <v>45723</v>
      </c>
      <c r="M899" s="31">
        <v>45792</v>
      </c>
      <c r="N899" s="31">
        <v>45764</v>
      </c>
      <c r="O899" s="2" t="s">
        <v>297</v>
      </c>
    </row>
    <row r="900" spans="1:15">
      <c r="A900" s="3">
        <f t="shared" si="15"/>
        <v>899</v>
      </c>
      <c r="B900" s="42" t="s">
        <v>1766</v>
      </c>
      <c r="C900" s="2">
        <v>7487967289</v>
      </c>
      <c r="D900" s="6"/>
      <c r="E900" s="3" t="s">
        <v>138</v>
      </c>
      <c r="F900" s="42" t="s">
        <v>1767</v>
      </c>
      <c r="G900" s="2" t="s">
        <v>18</v>
      </c>
      <c r="H900" s="2" t="s">
        <v>815</v>
      </c>
      <c r="I900" s="37" t="s">
        <v>42</v>
      </c>
      <c r="J900" s="31">
        <v>45705</v>
      </c>
      <c r="K900" s="31">
        <v>45705</v>
      </c>
      <c r="L900" s="31"/>
      <c r="M900" s="31"/>
      <c r="N900" s="31"/>
      <c r="O900" s="2" t="s">
        <v>297</v>
      </c>
    </row>
    <row r="901" spans="1:15">
      <c r="A901" s="3">
        <f t="shared" si="15"/>
        <v>900</v>
      </c>
      <c r="B901" s="42" t="s">
        <v>1768</v>
      </c>
      <c r="C901" s="2">
        <v>8072832733</v>
      </c>
      <c r="D901" s="6"/>
      <c r="E901" s="3" t="s">
        <v>1440</v>
      </c>
      <c r="F901" s="42" t="s">
        <v>1769</v>
      </c>
      <c r="G901" s="2" t="s">
        <v>424</v>
      </c>
      <c r="H901" s="2" t="s">
        <v>785</v>
      </c>
      <c r="I901" s="37" t="s">
        <v>88</v>
      </c>
      <c r="J901" s="31">
        <v>45705</v>
      </c>
      <c r="K901" s="31">
        <v>45717</v>
      </c>
      <c r="L901" s="31"/>
      <c r="M901" s="31"/>
      <c r="N901" s="31"/>
      <c r="O901" s="2" t="s">
        <v>749</v>
      </c>
    </row>
    <row r="902" spans="1:15">
      <c r="A902" s="3">
        <f t="shared" si="15"/>
        <v>901</v>
      </c>
      <c r="B902" s="42" t="s">
        <v>1770</v>
      </c>
      <c r="C902" s="2">
        <v>9536226196</v>
      </c>
      <c r="D902" s="6"/>
      <c r="E902" s="3" t="s">
        <v>1771</v>
      </c>
      <c r="F902" s="42" t="s">
        <v>1772</v>
      </c>
      <c r="G902" s="2" t="s">
        <v>416</v>
      </c>
      <c r="H902" s="2" t="s">
        <v>785</v>
      </c>
      <c r="I902" s="37" t="s">
        <v>88</v>
      </c>
      <c r="J902" s="31">
        <v>45705</v>
      </c>
      <c r="K902" s="31">
        <v>45717</v>
      </c>
      <c r="L902" s="31"/>
      <c r="M902" s="31"/>
      <c r="N902" s="31"/>
      <c r="O902" s="2" t="s">
        <v>297</v>
      </c>
    </row>
    <row r="903" spans="1:15">
      <c r="A903" s="3">
        <f t="shared" si="15"/>
        <v>902</v>
      </c>
      <c r="B903" s="42" t="s">
        <v>1773</v>
      </c>
      <c r="C903" s="2">
        <v>9677555280</v>
      </c>
      <c r="D903" s="6"/>
      <c r="E903" s="3" t="s">
        <v>783</v>
      </c>
      <c r="F903" s="42" t="s">
        <v>784</v>
      </c>
      <c r="G903" s="2" t="s">
        <v>16</v>
      </c>
      <c r="H903" s="2" t="s">
        <v>785</v>
      </c>
      <c r="I903" s="37" t="s">
        <v>88</v>
      </c>
      <c r="J903" s="31">
        <v>45705</v>
      </c>
      <c r="K903" s="31">
        <v>45716</v>
      </c>
      <c r="L903" s="31">
        <v>45721</v>
      </c>
      <c r="M903" s="31">
        <v>45752</v>
      </c>
      <c r="N903" s="31">
        <v>45752</v>
      </c>
      <c r="O903" s="2" t="s">
        <v>297</v>
      </c>
    </row>
    <row r="904" spans="1:15">
      <c r="A904" s="3">
        <f t="shared" si="15"/>
        <v>903</v>
      </c>
      <c r="B904" s="42" t="s">
        <v>1774</v>
      </c>
      <c r="C904" s="2">
        <v>8790789083</v>
      </c>
      <c r="D904" s="6"/>
      <c r="E904" s="3" t="s">
        <v>1771</v>
      </c>
      <c r="F904" s="42" t="s">
        <v>329</v>
      </c>
      <c r="G904" s="2" t="s">
        <v>424</v>
      </c>
      <c r="H904" s="2" t="s">
        <v>785</v>
      </c>
      <c r="I904" s="37" t="s">
        <v>88</v>
      </c>
      <c r="J904" s="31">
        <v>45705</v>
      </c>
      <c r="K904" s="31">
        <v>45717</v>
      </c>
      <c r="L904" s="31"/>
      <c r="M904" s="31"/>
      <c r="N904" s="31"/>
      <c r="O904" s="2" t="s">
        <v>425</v>
      </c>
    </row>
    <row r="905" spans="1:15">
      <c r="A905" s="3">
        <f t="shared" si="15"/>
        <v>904</v>
      </c>
      <c r="B905" s="42" t="s">
        <v>1775</v>
      </c>
      <c r="C905" s="2">
        <v>9542592110</v>
      </c>
      <c r="D905" s="6"/>
      <c r="E905" s="3" t="s">
        <v>798</v>
      </c>
      <c r="F905" s="42" t="s">
        <v>972</v>
      </c>
      <c r="G905" s="2" t="s">
        <v>16</v>
      </c>
      <c r="H905" s="2" t="s">
        <v>785</v>
      </c>
      <c r="I905" s="37" t="s">
        <v>42</v>
      </c>
      <c r="J905" s="31">
        <v>45705</v>
      </c>
      <c r="K905" s="31">
        <v>45705</v>
      </c>
      <c r="L905" s="31">
        <v>45705</v>
      </c>
      <c r="M905" s="31">
        <v>45733</v>
      </c>
      <c r="N905" s="31">
        <v>45722</v>
      </c>
      <c r="O905" s="2" t="s">
        <v>297</v>
      </c>
    </row>
    <row r="906" spans="1:15">
      <c r="A906" s="3">
        <f t="shared" si="15"/>
        <v>905</v>
      </c>
      <c r="B906" s="42" t="s">
        <v>1776</v>
      </c>
      <c r="C906" s="2">
        <v>9149347892</v>
      </c>
      <c r="D906" s="6"/>
      <c r="E906" s="3" t="s">
        <v>489</v>
      </c>
      <c r="F906" s="42"/>
      <c r="G906" s="2" t="s">
        <v>424</v>
      </c>
      <c r="H906" s="3" t="s">
        <v>361</v>
      </c>
      <c r="I906" s="37" t="s">
        <v>94</v>
      </c>
      <c r="J906" s="31">
        <v>45706</v>
      </c>
      <c r="K906" s="31">
        <v>45707</v>
      </c>
      <c r="L906" s="31"/>
      <c r="M906" s="31"/>
      <c r="N906" s="31"/>
      <c r="O906" s="2" t="s">
        <v>425</v>
      </c>
    </row>
    <row r="907" spans="1:15">
      <c r="A907" s="3">
        <f t="shared" si="15"/>
        <v>906</v>
      </c>
      <c r="B907" s="42" t="s">
        <v>1777</v>
      </c>
      <c r="C907" s="2">
        <v>9599725947</v>
      </c>
      <c r="D907" s="6"/>
      <c r="E907" s="3" t="s">
        <v>489</v>
      </c>
      <c r="F907" s="42"/>
      <c r="G907" s="2" t="s">
        <v>16</v>
      </c>
      <c r="H907" s="3" t="s">
        <v>361</v>
      </c>
      <c r="I907" s="37" t="s">
        <v>94</v>
      </c>
      <c r="J907" s="31">
        <v>45706</v>
      </c>
      <c r="K907" s="31">
        <v>45708</v>
      </c>
      <c r="L907" s="31">
        <v>45716</v>
      </c>
      <c r="M907" s="31">
        <v>45744</v>
      </c>
      <c r="N907" s="31">
        <v>45732</v>
      </c>
      <c r="O907" s="2" t="s">
        <v>297</v>
      </c>
    </row>
    <row r="908" spans="1:15">
      <c r="A908" s="3">
        <f t="shared" si="15"/>
        <v>907</v>
      </c>
      <c r="B908" s="42" t="s">
        <v>1778</v>
      </c>
      <c r="C908" s="2">
        <v>8787252218</v>
      </c>
      <c r="D908" s="6"/>
      <c r="E908" s="3" t="s">
        <v>1354</v>
      </c>
      <c r="F908" s="42"/>
      <c r="G908" s="2" t="s">
        <v>416</v>
      </c>
      <c r="H908" s="27" t="s">
        <v>604</v>
      </c>
      <c r="I908" s="37" t="s">
        <v>94</v>
      </c>
      <c r="J908" s="31">
        <v>45706</v>
      </c>
      <c r="K908" s="31">
        <v>45707</v>
      </c>
      <c r="L908" s="31"/>
      <c r="M908" s="31"/>
      <c r="N908" s="31"/>
      <c r="O908" s="2" t="s">
        <v>297</v>
      </c>
    </row>
    <row r="909" spans="1:15">
      <c r="A909" s="3">
        <f t="shared" si="15"/>
        <v>908</v>
      </c>
      <c r="B909" s="42" t="s">
        <v>1779</v>
      </c>
      <c r="C909" s="2">
        <v>8726403206</v>
      </c>
      <c r="D909" s="6"/>
      <c r="E909" s="3" t="s">
        <v>1780</v>
      </c>
      <c r="F909" s="42"/>
      <c r="G909" s="2" t="s">
        <v>16</v>
      </c>
      <c r="H909" s="27" t="s">
        <v>305</v>
      </c>
      <c r="I909" s="37" t="s">
        <v>94</v>
      </c>
      <c r="J909" s="31">
        <v>45706</v>
      </c>
      <c r="K909" s="31">
        <v>45707</v>
      </c>
      <c r="L909" s="31">
        <v>46016</v>
      </c>
      <c r="M909" s="31">
        <v>46022</v>
      </c>
      <c r="N909" s="31">
        <v>46023</v>
      </c>
      <c r="O909" s="2" t="s">
        <v>297</v>
      </c>
    </row>
    <row r="910" spans="1:15">
      <c r="A910" s="3">
        <f t="shared" si="15"/>
        <v>909</v>
      </c>
      <c r="B910" s="42" t="s">
        <v>1781</v>
      </c>
      <c r="C910" s="2">
        <v>7889567622</v>
      </c>
      <c r="D910" s="6"/>
      <c r="E910" s="3" t="s">
        <v>1354</v>
      </c>
      <c r="F910" s="42"/>
      <c r="G910" s="2" t="s">
        <v>416</v>
      </c>
      <c r="H910" s="27" t="s">
        <v>604</v>
      </c>
      <c r="I910" s="37" t="s">
        <v>94</v>
      </c>
      <c r="J910" s="31">
        <v>45706</v>
      </c>
      <c r="K910" s="31">
        <v>45707</v>
      </c>
      <c r="L910" s="31"/>
      <c r="M910" s="31"/>
      <c r="N910" s="31"/>
      <c r="O910" s="2" t="s">
        <v>297</v>
      </c>
    </row>
    <row r="911" spans="1:15">
      <c r="A911" s="3">
        <f t="shared" si="15"/>
        <v>910</v>
      </c>
      <c r="B911" s="42" t="s">
        <v>447</v>
      </c>
      <c r="C911" s="2">
        <v>8847445383</v>
      </c>
      <c r="D911" s="6"/>
      <c r="E911" s="3" t="s">
        <v>1238</v>
      </c>
      <c r="F911" s="42"/>
      <c r="G911" s="2" t="s">
        <v>18</v>
      </c>
      <c r="H911" s="2" t="s">
        <v>94</v>
      </c>
      <c r="I911" s="37" t="s">
        <v>94</v>
      </c>
      <c r="J911" s="31">
        <v>45706</v>
      </c>
      <c r="K911" s="31">
        <v>45719</v>
      </c>
      <c r="L911" s="31"/>
      <c r="M911" s="31"/>
      <c r="N911" s="31"/>
      <c r="O911" s="2" t="s">
        <v>425</v>
      </c>
    </row>
    <row r="912" spans="1:15">
      <c r="A912" s="3">
        <f t="shared" si="15"/>
        <v>911</v>
      </c>
      <c r="B912" s="42" t="s">
        <v>1782</v>
      </c>
      <c r="C912" s="2">
        <v>9110162078</v>
      </c>
      <c r="D912" s="6">
        <v>8863841925</v>
      </c>
      <c r="E912" s="3" t="s">
        <v>1783</v>
      </c>
      <c r="F912" s="42"/>
      <c r="G912" s="2" t="s">
        <v>295</v>
      </c>
      <c r="H912" s="2" t="s">
        <v>94</v>
      </c>
      <c r="I912" s="37" t="s">
        <v>94</v>
      </c>
      <c r="J912" s="31">
        <v>45706</v>
      </c>
      <c r="K912" s="31">
        <v>45710</v>
      </c>
      <c r="L912" s="31">
        <v>45723</v>
      </c>
      <c r="M912" s="31">
        <v>45733</v>
      </c>
      <c r="N912" s="31"/>
      <c r="O912" s="2" t="s">
        <v>297</v>
      </c>
    </row>
    <row r="913" spans="1:15">
      <c r="A913" s="3">
        <f t="shared" si="15"/>
        <v>912</v>
      </c>
      <c r="B913" s="42" t="s">
        <v>1784</v>
      </c>
      <c r="C913" s="2">
        <v>7999536802</v>
      </c>
      <c r="D913" s="6"/>
      <c r="E913" s="3" t="s">
        <v>1238</v>
      </c>
      <c r="F913" s="42"/>
      <c r="G913" s="2" t="s">
        <v>16</v>
      </c>
      <c r="H913" s="2" t="s">
        <v>94</v>
      </c>
      <c r="I913" s="37" t="s">
        <v>94</v>
      </c>
      <c r="J913" s="31">
        <v>45706</v>
      </c>
      <c r="K913" s="31">
        <v>45710</v>
      </c>
      <c r="L913" s="31">
        <v>45716</v>
      </c>
      <c r="M913" s="31">
        <v>45744</v>
      </c>
      <c r="N913" s="31">
        <v>45728</v>
      </c>
      <c r="O913" s="2" t="s">
        <v>297</v>
      </c>
    </row>
    <row r="914" spans="1:15">
      <c r="A914" s="3">
        <f t="shared" si="15"/>
        <v>913</v>
      </c>
      <c r="B914" s="42" t="s">
        <v>1785</v>
      </c>
      <c r="C914" s="2">
        <v>6300118508</v>
      </c>
      <c r="D914" s="6">
        <v>9849622802</v>
      </c>
      <c r="E914" s="3" t="s">
        <v>1786</v>
      </c>
      <c r="F914" s="42" t="s">
        <v>294</v>
      </c>
      <c r="G914" s="2" t="s">
        <v>16</v>
      </c>
      <c r="H914" s="2" t="s">
        <v>1186</v>
      </c>
      <c r="I914" s="37" t="s">
        <v>88</v>
      </c>
      <c r="J914" s="31">
        <v>45706</v>
      </c>
      <c r="K914" s="31">
        <v>45709</v>
      </c>
      <c r="L914" s="31">
        <v>45713</v>
      </c>
      <c r="M914" s="31">
        <v>45741</v>
      </c>
      <c r="N914" s="31">
        <v>45741</v>
      </c>
      <c r="O914" s="2" t="s">
        <v>297</v>
      </c>
    </row>
    <row r="915" spans="1:15">
      <c r="A915" s="3">
        <f t="shared" si="15"/>
        <v>914</v>
      </c>
      <c r="B915" s="42" t="s">
        <v>1787</v>
      </c>
      <c r="C915" s="2">
        <v>9000569985</v>
      </c>
      <c r="D915" s="6"/>
      <c r="E915" s="3" t="s">
        <v>1788</v>
      </c>
      <c r="F915" s="42" t="s">
        <v>409</v>
      </c>
      <c r="G915" s="2" t="s">
        <v>424</v>
      </c>
      <c r="H915" s="2" t="s">
        <v>1186</v>
      </c>
      <c r="I915" s="37" t="s">
        <v>88</v>
      </c>
      <c r="J915" s="31">
        <v>45706</v>
      </c>
      <c r="K915" s="31">
        <v>45709</v>
      </c>
      <c r="L915" s="31"/>
      <c r="M915" s="31"/>
      <c r="N915" s="31"/>
      <c r="O915" s="2" t="s">
        <v>425</v>
      </c>
    </row>
    <row r="916" spans="1:15">
      <c r="A916" s="3">
        <f t="shared" si="15"/>
        <v>915</v>
      </c>
      <c r="B916" s="42" t="s">
        <v>1789</v>
      </c>
      <c r="C916" s="2">
        <v>9640427113</v>
      </c>
      <c r="D916" s="6">
        <v>8500665506</v>
      </c>
      <c r="E916" s="17" t="s">
        <v>1790</v>
      </c>
      <c r="F916" s="42" t="s">
        <v>1791</v>
      </c>
      <c r="G916" s="2" t="s">
        <v>18</v>
      </c>
      <c r="H916" s="3" t="s">
        <v>788</v>
      </c>
      <c r="I916" s="4" t="s">
        <v>94</v>
      </c>
      <c r="J916" s="31">
        <v>45706</v>
      </c>
      <c r="K916" s="31">
        <v>45709</v>
      </c>
      <c r="L916" s="31">
        <v>45727</v>
      </c>
      <c r="M916" s="31">
        <v>45809</v>
      </c>
      <c r="N916" s="31"/>
      <c r="O916" s="2" t="s">
        <v>297</v>
      </c>
    </row>
    <row r="917" spans="1:15">
      <c r="A917" s="3">
        <f t="shared" si="15"/>
        <v>916</v>
      </c>
      <c r="B917" s="42" t="s">
        <v>1792</v>
      </c>
      <c r="C917" s="2">
        <v>9505006396</v>
      </c>
      <c r="D917" s="6"/>
      <c r="E917" s="3" t="s">
        <v>1038</v>
      </c>
      <c r="F917" s="42" t="s">
        <v>1793</v>
      </c>
      <c r="G917" s="2" t="s">
        <v>424</v>
      </c>
      <c r="H917" s="2" t="s">
        <v>1186</v>
      </c>
      <c r="I917" s="37" t="s">
        <v>88</v>
      </c>
      <c r="J917" s="31">
        <v>45720</v>
      </c>
      <c r="K917" s="31">
        <v>45722</v>
      </c>
      <c r="L917" s="31"/>
      <c r="M917" s="31"/>
      <c r="N917" s="31"/>
      <c r="O917" s="2" t="s">
        <v>425</v>
      </c>
    </row>
    <row r="918" spans="1:15">
      <c r="A918" s="3">
        <f t="shared" si="15"/>
        <v>917</v>
      </c>
      <c r="B918" s="42" t="s">
        <v>1794</v>
      </c>
      <c r="C918" s="2">
        <v>7285924003</v>
      </c>
      <c r="D918" s="6"/>
      <c r="E918" s="3" t="s">
        <v>1795</v>
      </c>
      <c r="F918" s="42" t="s">
        <v>1796</v>
      </c>
      <c r="G918" s="3" t="s">
        <v>295</v>
      </c>
      <c r="H918" s="2" t="s">
        <v>1186</v>
      </c>
      <c r="I918" s="37" t="s">
        <v>94</v>
      </c>
      <c r="J918" s="31">
        <v>45720</v>
      </c>
      <c r="K918" s="31">
        <v>45722</v>
      </c>
      <c r="L918" s="31">
        <v>45729</v>
      </c>
      <c r="M918" s="31">
        <v>45814</v>
      </c>
      <c r="N918" s="31"/>
      <c r="O918" s="2" t="s">
        <v>297</v>
      </c>
    </row>
    <row r="919" spans="1:15">
      <c r="A919" s="3">
        <f t="shared" si="15"/>
        <v>918</v>
      </c>
      <c r="B919" s="42" t="s">
        <v>1797</v>
      </c>
      <c r="C919" s="2">
        <v>6304591850</v>
      </c>
      <c r="D919" s="6"/>
      <c r="E919" s="3" t="s">
        <v>1294</v>
      </c>
      <c r="F919" s="42"/>
      <c r="G919" s="2" t="s">
        <v>16</v>
      </c>
      <c r="H919" s="3" t="s">
        <v>1296</v>
      </c>
      <c r="I919" s="37" t="s">
        <v>88</v>
      </c>
      <c r="J919" s="31">
        <v>45706</v>
      </c>
      <c r="K919" s="31">
        <v>45706</v>
      </c>
      <c r="L919" s="31">
        <v>45706</v>
      </c>
      <c r="M919" s="31">
        <v>45706</v>
      </c>
      <c r="N919" s="31">
        <v>45706</v>
      </c>
      <c r="O919" s="2" t="s">
        <v>297</v>
      </c>
    </row>
    <row r="920" spans="1:15">
      <c r="A920" s="3">
        <f t="shared" si="15"/>
        <v>919</v>
      </c>
      <c r="B920" s="42" t="s">
        <v>1798</v>
      </c>
      <c r="C920" s="2">
        <v>7995265367</v>
      </c>
      <c r="D920" s="6"/>
      <c r="E920" s="3" t="s">
        <v>1462</v>
      </c>
      <c r="F920" s="42"/>
      <c r="G920" s="2" t="s">
        <v>16</v>
      </c>
      <c r="H920" s="3" t="s">
        <v>1463</v>
      </c>
      <c r="I920" s="37" t="s">
        <v>88</v>
      </c>
      <c r="J920" s="31">
        <v>45706</v>
      </c>
      <c r="K920" s="31">
        <v>45706</v>
      </c>
      <c r="L920" s="31">
        <v>45706</v>
      </c>
      <c r="M920" s="31">
        <v>45706</v>
      </c>
      <c r="N920" s="31">
        <v>45706</v>
      </c>
      <c r="O920" s="2" t="s">
        <v>297</v>
      </c>
    </row>
    <row r="921" spans="1:15">
      <c r="A921" s="3">
        <f t="shared" si="15"/>
        <v>920</v>
      </c>
      <c r="B921" s="42" t="s">
        <v>1799</v>
      </c>
      <c r="C921" s="2">
        <v>7568399159</v>
      </c>
      <c r="D921" s="6"/>
      <c r="E921" s="3" t="s">
        <v>883</v>
      </c>
      <c r="F921" s="42" t="s">
        <v>1800</v>
      </c>
      <c r="G921" s="2" t="s">
        <v>416</v>
      </c>
      <c r="H921" s="3" t="s">
        <v>162</v>
      </c>
      <c r="I921" s="37" t="s">
        <v>88</v>
      </c>
      <c r="J921" s="31">
        <v>45707</v>
      </c>
      <c r="K921" s="31">
        <v>45709</v>
      </c>
      <c r="L921" s="31"/>
      <c r="M921" s="31"/>
      <c r="N921" s="31"/>
      <c r="O921" s="2" t="s">
        <v>297</v>
      </c>
    </row>
    <row r="922" spans="1:15">
      <c r="A922" s="3">
        <f t="shared" si="15"/>
        <v>921</v>
      </c>
      <c r="B922" s="42" t="s">
        <v>1801</v>
      </c>
      <c r="C922" s="2">
        <v>9198420809</v>
      </c>
      <c r="D922" s="6"/>
      <c r="E922" s="3" t="s">
        <v>883</v>
      </c>
      <c r="F922" s="42" t="s">
        <v>1802</v>
      </c>
      <c r="G922" s="2" t="s">
        <v>16</v>
      </c>
      <c r="H922" s="3" t="s">
        <v>162</v>
      </c>
      <c r="I922" s="37" t="s">
        <v>88</v>
      </c>
      <c r="J922" s="31">
        <v>45707</v>
      </c>
      <c r="K922" s="31">
        <v>45708</v>
      </c>
      <c r="L922" s="31">
        <v>45713</v>
      </c>
      <c r="M922" s="31">
        <v>45741</v>
      </c>
      <c r="N922" s="31">
        <v>45741</v>
      </c>
      <c r="O922" s="2" t="s">
        <v>297</v>
      </c>
    </row>
    <row r="923" spans="1:15">
      <c r="A923" s="3">
        <f t="shared" si="15"/>
        <v>922</v>
      </c>
      <c r="B923" s="42" t="s">
        <v>1803</v>
      </c>
      <c r="C923" s="2">
        <v>9264984656</v>
      </c>
      <c r="D923" s="6"/>
      <c r="E923" s="3" t="s">
        <v>1804</v>
      </c>
      <c r="F923" s="42" t="s">
        <v>1802</v>
      </c>
      <c r="G923" s="2" t="s">
        <v>424</v>
      </c>
      <c r="H923" s="3" t="s">
        <v>162</v>
      </c>
      <c r="I923" s="37" t="s">
        <v>88</v>
      </c>
      <c r="J923" s="31">
        <v>45707</v>
      </c>
      <c r="K923" s="31">
        <v>45709</v>
      </c>
      <c r="L923" s="31"/>
      <c r="M923" s="31"/>
      <c r="N923" s="31"/>
      <c r="O923" s="2" t="s">
        <v>425</v>
      </c>
    </row>
    <row r="924" spans="1:15">
      <c r="A924" s="3">
        <f t="shared" si="15"/>
        <v>923</v>
      </c>
      <c r="B924" s="42" t="s">
        <v>1805</v>
      </c>
      <c r="C924" s="2">
        <v>9011743364</v>
      </c>
      <c r="D924" s="6"/>
      <c r="E924" s="3" t="s">
        <v>1804</v>
      </c>
      <c r="F924" s="42" t="s">
        <v>1802</v>
      </c>
      <c r="G924" s="2" t="s">
        <v>16</v>
      </c>
      <c r="H924" s="3" t="s">
        <v>162</v>
      </c>
      <c r="I924" s="37" t="s">
        <v>88</v>
      </c>
      <c r="J924" s="31">
        <v>45707</v>
      </c>
      <c r="K924" s="31">
        <v>45709</v>
      </c>
      <c r="L924" s="31">
        <v>45713</v>
      </c>
      <c r="M924" s="31">
        <v>45741</v>
      </c>
      <c r="N924" s="31">
        <v>45741</v>
      </c>
      <c r="O924" s="2" t="s">
        <v>297</v>
      </c>
    </row>
    <row r="925" spans="1:15">
      <c r="A925" s="3">
        <f t="shared" si="15"/>
        <v>924</v>
      </c>
      <c r="B925" s="42" t="s">
        <v>1806</v>
      </c>
      <c r="C925" s="2">
        <v>9857144404</v>
      </c>
      <c r="D925" s="6">
        <v>9418064404</v>
      </c>
      <c r="E925" s="3" t="s">
        <v>1804</v>
      </c>
      <c r="F925" s="42" t="s">
        <v>1802</v>
      </c>
      <c r="G925" s="2" t="s">
        <v>424</v>
      </c>
      <c r="H925" s="3" t="s">
        <v>162</v>
      </c>
      <c r="I925" s="37" t="s">
        <v>88</v>
      </c>
      <c r="J925" s="31">
        <v>45707</v>
      </c>
      <c r="K925" s="31">
        <v>45709</v>
      </c>
      <c r="L925" s="31"/>
      <c r="M925" s="31"/>
      <c r="N925" s="31"/>
      <c r="O925" s="2" t="s">
        <v>425</v>
      </c>
    </row>
    <row r="926" spans="1:15">
      <c r="A926" s="3">
        <f t="shared" si="15"/>
        <v>925</v>
      </c>
      <c r="B926" s="42" t="s">
        <v>1807</v>
      </c>
      <c r="C926" s="2">
        <v>6006751783</v>
      </c>
      <c r="D926" s="6"/>
      <c r="E926" s="3" t="s">
        <v>1804</v>
      </c>
      <c r="F926" s="42" t="s">
        <v>1800</v>
      </c>
      <c r="G926" s="2" t="s">
        <v>424</v>
      </c>
      <c r="H926" s="3" t="s">
        <v>162</v>
      </c>
      <c r="I926" s="37" t="s">
        <v>88</v>
      </c>
      <c r="J926" s="31">
        <v>45707</v>
      </c>
      <c r="K926" s="31">
        <v>45709</v>
      </c>
      <c r="L926" s="31"/>
      <c r="M926" s="31"/>
      <c r="N926" s="31"/>
      <c r="O926" s="2" t="s">
        <v>425</v>
      </c>
    </row>
    <row r="927" spans="1:15">
      <c r="A927" s="3">
        <f t="shared" si="15"/>
        <v>926</v>
      </c>
      <c r="B927" s="42" t="s">
        <v>1808</v>
      </c>
      <c r="C927" s="2">
        <v>9704933043</v>
      </c>
      <c r="D927" s="6"/>
      <c r="E927" s="3" t="s">
        <v>1202</v>
      </c>
      <c r="F927" s="42" t="s">
        <v>1809</v>
      </c>
      <c r="G927" s="2" t="s">
        <v>708</v>
      </c>
      <c r="H927" s="3" t="s">
        <v>41</v>
      </c>
      <c r="I927" s="37" t="s">
        <v>42</v>
      </c>
      <c r="J927" s="31">
        <v>45707</v>
      </c>
      <c r="K927" s="31">
        <v>45719</v>
      </c>
      <c r="L927" s="31"/>
      <c r="M927" s="31"/>
      <c r="N927" s="31"/>
      <c r="O927" s="2" t="s">
        <v>297</v>
      </c>
    </row>
    <row r="928" spans="1:15">
      <c r="A928" s="3">
        <f t="shared" si="15"/>
        <v>927</v>
      </c>
      <c r="B928" s="42" t="s">
        <v>1810</v>
      </c>
      <c r="C928" s="2">
        <v>9848178162</v>
      </c>
      <c r="D928" s="6"/>
      <c r="E928" s="3" t="s">
        <v>1198</v>
      </c>
      <c r="F928" s="42" t="s">
        <v>1473</v>
      </c>
      <c r="G928" s="3" t="s">
        <v>1175</v>
      </c>
      <c r="H928" s="3" t="s">
        <v>41</v>
      </c>
      <c r="I928" s="37" t="s">
        <v>42</v>
      </c>
      <c r="J928" s="31">
        <v>45707</v>
      </c>
      <c r="K928" s="31"/>
      <c r="L928" s="31"/>
      <c r="M928" s="31"/>
      <c r="N928" s="31"/>
      <c r="O928" s="2" t="s">
        <v>1004</v>
      </c>
    </row>
    <row r="929" spans="1:15">
      <c r="A929" s="3">
        <f t="shared" si="15"/>
        <v>928</v>
      </c>
      <c r="B929" s="77" t="s">
        <v>1811</v>
      </c>
      <c r="C929" s="36">
        <v>8309261690</v>
      </c>
      <c r="D929" s="6">
        <v>8985663712</v>
      </c>
      <c r="E929" s="36" t="s">
        <v>1812</v>
      </c>
      <c r="F929" s="72" t="s">
        <v>1813</v>
      </c>
      <c r="G929" s="2" t="s">
        <v>424</v>
      </c>
      <c r="H929" s="2" t="s">
        <v>42</v>
      </c>
      <c r="I929" s="37" t="s">
        <v>94</v>
      </c>
      <c r="J929" s="31">
        <v>45707</v>
      </c>
      <c r="K929" s="31">
        <v>45707</v>
      </c>
      <c r="L929" s="31"/>
      <c r="M929" s="31"/>
      <c r="N929" s="31"/>
      <c r="O929" s="2" t="s">
        <v>425</v>
      </c>
    </row>
    <row r="930" spans="1:15">
      <c r="A930" s="3">
        <f t="shared" si="15"/>
        <v>929</v>
      </c>
      <c r="B930" s="77" t="s">
        <v>1814</v>
      </c>
      <c r="C930" s="36">
        <v>9885704403</v>
      </c>
      <c r="D930" s="6"/>
      <c r="E930" s="17" t="s">
        <v>148</v>
      </c>
      <c r="F930" s="72" t="s">
        <v>1815</v>
      </c>
      <c r="G930" s="2" t="s">
        <v>424</v>
      </c>
      <c r="H930" s="2" t="s">
        <v>42</v>
      </c>
      <c r="I930" s="37" t="s">
        <v>42</v>
      </c>
      <c r="J930" s="31">
        <v>45707</v>
      </c>
      <c r="K930" s="31">
        <v>45707</v>
      </c>
      <c r="L930" s="31"/>
      <c r="M930" s="31"/>
      <c r="N930" s="31"/>
      <c r="O930" s="2" t="s">
        <v>425</v>
      </c>
    </row>
    <row r="931" spans="1:15">
      <c r="A931" s="3">
        <f t="shared" si="15"/>
        <v>930</v>
      </c>
      <c r="B931" s="77" t="s">
        <v>1816</v>
      </c>
      <c r="C931" s="36">
        <v>9666123369</v>
      </c>
      <c r="D931" s="6"/>
      <c r="E931" s="17" t="s">
        <v>148</v>
      </c>
      <c r="F931" s="72" t="s">
        <v>1817</v>
      </c>
      <c r="G931" s="2" t="s">
        <v>424</v>
      </c>
      <c r="H931" s="2" t="s">
        <v>42</v>
      </c>
      <c r="I931" s="37" t="s">
        <v>42</v>
      </c>
      <c r="J931" s="31">
        <v>45707</v>
      </c>
      <c r="K931" s="31">
        <v>45707</v>
      </c>
      <c r="L931" s="31"/>
      <c r="M931" s="31"/>
      <c r="N931" s="31"/>
      <c r="O931" s="2" t="s">
        <v>425</v>
      </c>
    </row>
    <row r="932" spans="1:15">
      <c r="A932" s="3">
        <f t="shared" si="15"/>
        <v>931</v>
      </c>
      <c r="B932" s="77" t="s">
        <v>1818</v>
      </c>
      <c r="C932" s="36">
        <v>9948584234</v>
      </c>
      <c r="D932" s="6"/>
      <c r="E932" s="36" t="s">
        <v>1819</v>
      </c>
      <c r="F932" s="72" t="s">
        <v>1820</v>
      </c>
      <c r="G932" s="2" t="s">
        <v>424</v>
      </c>
      <c r="H932" s="2" t="s">
        <v>42</v>
      </c>
      <c r="I932" s="37" t="s">
        <v>88</v>
      </c>
      <c r="J932" s="31">
        <v>45707</v>
      </c>
      <c r="K932" s="31">
        <v>45708</v>
      </c>
      <c r="L932" s="31"/>
      <c r="M932" s="31"/>
      <c r="N932" s="31"/>
      <c r="O932" s="2" t="s">
        <v>425</v>
      </c>
    </row>
    <row r="933" spans="1:15">
      <c r="A933" s="3">
        <f t="shared" si="15"/>
        <v>932</v>
      </c>
      <c r="B933" s="77" t="s">
        <v>1821</v>
      </c>
      <c r="C933" s="36">
        <v>8971059512</v>
      </c>
      <c r="D933" s="6"/>
      <c r="E933" s="36" t="s">
        <v>672</v>
      </c>
      <c r="F933" s="72" t="s">
        <v>1361</v>
      </c>
      <c r="G933" s="2" t="s">
        <v>16</v>
      </c>
      <c r="H933" s="4" t="s">
        <v>679</v>
      </c>
      <c r="I933" s="37" t="s">
        <v>42</v>
      </c>
      <c r="J933" s="31">
        <v>45706</v>
      </c>
      <c r="K933" s="31">
        <v>45706</v>
      </c>
      <c r="L933" s="31">
        <v>45716</v>
      </c>
      <c r="M933" s="31">
        <v>45749</v>
      </c>
      <c r="N933" s="31">
        <v>45750</v>
      </c>
      <c r="O933" s="2" t="s">
        <v>297</v>
      </c>
    </row>
    <row r="934" spans="1:15">
      <c r="A934" s="3">
        <f t="shared" si="15"/>
        <v>933</v>
      </c>
      <c r="B934" s="77" t="s">
        <v>1822</v>
      </c>
      <c r="C934" s="36">
        <v>9718322884</v>
      </c>
      <c r="D934" s="6"/>
      <c r="E934" s="36" t="s">
        <v>542</v>
      </c>
      <c r="F934" s="72" t="s">
        <v>1657</v>
      </c>
      <c r="G934" s="2" t="s">
        <v>416</v>
      </c>
      <c r="H934" s="4" t="s">
        <v>679</v>
      </c>
      <c r="I934" s="37" t="s">
        <v>42</v>
      </c>
      <c r="J934" s="31">
        <v>45708</v>
      </c>
      <c r="K934" s="31">
        <v>45708</v>
      </c>
      <c r="L934" s="31"/>
      <c r="M934" s="31"/>
      <c r="N934" s="31"/>
      <c r="O934" s="2" t="s">
        <v>297</v>
      </c>
    </row>
    <row r="935" spans="1:15">
      <c r="A935" s="3">
        <f t="shared" si="15"/>
        <v>934</v>
      </c>
      <c r="B935" s="77" t="s">
        <v>1823</v>
      </c>
      <c r="C935" s="36">
        <v>9619738593</v>
      </c>
      <c r="D935" s="6"/>
      <c r="E935" s="36" t="s">
        <v>1824</v>
      </c>
      <c r="F935" s="72"/>
      <c r="G935" s="3" t="s">
        <v>295</v>
      </c>
      <c r="H935" s="4" t="s">
        <v>1536</v>
      </c>
      <c r="I935" s="37" t="s">
        <v>94</v>
      </c>
      <c r="J935" s="31">
        <v>45708</v>
      </c>
      <c r="K935" s="31">
        <v>45710</v>
      </c>
      <c r="L935" s="31">
        <v>45713</v>
      </c>
      <c r="M935" s="31">
        <v>45741</v>
      </c>
      <c r="N935" s="31"/>
      <c r="O935" s="2" t="s">
        <v>297</v>
      </c>
    </row>
    <row r="936" spans="1:15" ht="15.6">
      <c r="A936" s="3">
        <f t="shared" si="15"/>
        <v>935</v>
      </c>
      <c r="B936" s="70" t="s">
        <v>1825</v>
      </c>
      <c r="C936" s="3">
        <v>7006312140</v>
      </c>
      <c r="D936" s="6"/>
      <c r="E936" s="28" t="s">
        <v>1442</v>
      </c>
      <c r="F936" s="42"/>
      <c r="G936" s="2" t="s">
        <v>295</v>
      </c>
      <c r="H936" s="3" t="s">
        <v>361</v>
      </c>
      <c r="I936" s="37" t="s">
        <v>88</v>
      </c>
      <c r="J936" s="31">
        <v>45657</v>
      </c>
      <c r="K936" s="31">
        <v>45672</v>
      </c>
      <c r="L936" s="31">
        <v>45708</v>
      </c>
      <c r="M936" s="31">
        <v>45741</v>
      </c>
      <c r="N936" s="31"/>
      <c r="O936" s="2" t="s">
        <v>297</v>
      </c>
    </row>
    <row r="937" spans="1:15">
      <c r="A937" s="3">
        <f t="shared" si="15"/>
        <v>936</v>
      </c>
      <c r="B937" s="41" t="s">
        <v>1826</v>
      </c>
      <c r="C937" s="3">
        <v>9661105426</v>
      </c>
      <c r="D937" s="6"/>
      <c r="E937" s="2" t="s">
        <v>1760</v>
      </c>
      <c r="F937" s="68" t="s">
        <v>1827</v>
      </c>
      <c r="G937" s="2" t="s">
        <v>424</v>
      </c>
      <c r="H937" s="2" t="s">
        <v>815</v>
      </c>
      <c r="I937" s="37" t="s">
        <v>94</v>
      </c>
      <c r="J937" s="31">
        <v>45709</v>
      </c>
      <c r="K937" s="31">
        <v>45720</v>
      </c>
      <c r="L937" s="31"/>
      <c r="M937" s="31"/>
      <c r="N937" s="31"/>
      <c r="O937" s="2" t="s">
        <v>425</v>
      </c>
    </row>
    <row r="938" spans="1:15">
      <c r="A938" s="3">
        <f t="shared" si="15"/>
        <v>937</v>
      </c>
      <c r="B938" s="41" t="s">
        <v>1828</v>
      </c>
      <c r="C938" s="3">
        <v>7634029026</v>
      </c>
      <c r="D938" s="6"/>
      <c r="E938" s="2" t="s">
        <v>1760</v>
      </c>
      <c r="F938" s="68" t="s">
        <v>825</v>
      </c>
      <c r="G938" s="2" t="s">
        <v>16</v>
      </c>
      <c r="H938" s="2" t="s">
        <v>815</v>
      </c>
      <c r="I938" s="37" t="s">
        <v>94</v>
      </c>
      <c r="J938" s="31">
        <v>45709</v>
      </c>
      <c r="K938" s="31">
        <v>45720</v>
      </c>
      <c r="L938" s="31">
        <v>45728</v>
      </c>
      <c r="M938" s="31">
        <v>45743</v>
      </c>
      <c r="N938" s="31">
        <v>45751</v>
      </c>
      <c r="O938" s="2" t="s">
        <v>297</v>
      </c>
    </row>
    <row r="939" spans="1:15">
      <c r="A939" s="3">
        <f t="shared" si="15"/>
        <v>938</v>
      </c>
      <c r="B939" s="41" t="s">
        <v>1829</v>
      </c>
      <c r="C939" s="3">
        <v>9052447970</v>
      </c>
      <c r="D939" s="6"/>
      <c r="E939" s="2" t="s">
        <v>1760</v>
      </c>
      <c r="F939" s="68" t="s">
        <v>814</v>
      </c>
      <c r="G939" s="2" t="s">
        <v>416</v>
      </c>
      <c r="H939" s="2" t="s">
        <v>815</v>
      </c>
      <c r="I939" s="37" t="s">
        <v>94</v>
      </c>
      <c r="J939" s="31">
        <v>45709</v>
      </c>
      <c r="K939" s="31">
        <v>45715</v>
      </c>
      <c r="L939" s="31"/>
      <c r="M939" s="31"/>
      <c r="N939" s="31"/>
      <c r="O939" s="2" t="s">
        <v>297</v>
      </c>
    </row>
    <row r="940" spans="1:15">
      <c r="A940" s="3">
        <f t="shared" si="15"/>
        <v>939</v>
      </c>
      <c r="B940" s="41" t="s">
        <v>1830</v>
      </c>
      <c r="C940" s="3">
        <v>8247748103</v>
      </c>
      <c r="D940" s="6"/>
      <c r="E940" s="2" t="s">
        <v>1760</v>
      </c>
      <c r="F940" s="68" t="s">
        <v>814</v>
      </c>
      <c r="G940" s="2" t="s">
        <v>416</v>
      </c>
      <c r="H940" s="2" t="s">
        <v>815</v>
      </c>
      <c r="I940" s="37" t="s">
        <v>94</v>
      </c>
      <c r="J940" s="31">
        <v>45709</v>
      </c>
      <c r="K940" s="31">
        <v>45715</v>
      </c>
      <c r="L940" s="31"/>
      <c r="M940" s="31"/>
      <c r="N940" s="31"/>
      <c r="O940" s="2" t="s">
        <v>297</v>
      </c>
    </row>
    <row r="941" spans="1:15">
      <c r="A941" s="3">
        <f t="shared" si="15"/>
        <v>940</v>
      </c>
      <c r="B941" s="41" t="s">
        <v>1831</v>
      </c>
      <c r="C941" s="3">
        <v>8824890964</v>
      </c>
      <c r="D941" s="6"/>
      <c r="E941" s="2" t="s">
        <v>1832</v>
      </c>
      <c r="F941" s="68" t="s">
        <v>814</v>
      </c>
      <c r="G941" s="2" t="s">
        <v>424</v>
      </c>
      <c r="H941" s="2" t="s">
        <v>815</v>
      </c>
      <c r="I941" s="37" t="s">
        <v>94</v>
      </c>
      <c r="J941" s="31">
        <v>45709</v>
      </c>
      <c r="K941" s="31">
        <v>45715</v>
      </c>
      <c r="L941" s="31"/>
      <c r="M941" s="31"/>
      <c r="N941" s="31"/>
      <c r="O941" s="2" t="s">
        <v>425</v>
      </c>
    </row>
    <row r="942" spans="1:15">
      <c r="A942" s="3">
        <f t="shared" si="15"/>
        <v>941</v>
      </c>
      <c r="B942" s="41" t="s">
        <v>1833</v>
      </c>
      <c r="C942" s="3">
        <v>7601040659</v>
      </c>
      <c r="D942" s="6"/>
      <c r="E942" s="2" t="s">
        <v>1832</v>
      </c>
      <c r="F942" s="68" t="s">
        <v>1767</v>
      </c>
      <c r="G942" s="2" t="s">
        <v>764</v>
      </c>
      <c r="H942" s="2" t="s">
        <v>815</v>
      </c>
      <c r="I942" s="37" t="s">
        <v>94</v>
      </c>
      <c r="J942" s="31">
        <v>45709</v>
      </c>
      <c r="K942" s="31">
        <v>45715</v>
      </c>
      <c r="L942" s="31"/>
      <c r="M942" s="31"/>
      <c r="N942" s="31"/>
      <c r="O942" s="2" t="s">
        <v>425</v>
      </c>
    </row>
    <row r="943" spans="1:15">
      <c r="A943" s="3">
        <f t="shared" si="15"/>
        <v>942</v>
      </c>
      <c r="B943" s="41" t="s">
        <v>1834</v>
      </c>
      <c r="C943" s="3">
        <v>9676942659</v>
      </c>
      <c r="D943" s="6"/>
      <c r="E943" s="2" t="s">
        <v>1832</v>
      </c>
      <c r="F943" s="68" t="s">
        <v>1835</v>
      </c>
      <c r="G943" s="2" t="s">
        <v>764</v>
      </c>
      <c r="H943" s="2" t="s">
        <v>815</v>
      </c>
      <c r="I943" s="37" t="s">
        <v>94</v>
      </c>
      <c r="J943" s="31">
        <v>45709</v>
      </c>
      <c r="K943" s="31">
        <v>45715</v>
      </c>
      <c r="L943" s="31"/>
      <c r="M943" s="31"/>
      <c r="N943" s="31"/>
      <c r="O943" s="2" t="s">
        <v>425</v>
      </c>
    </row>
    <row r="944" spans="1:15">
      <c r="A944" s="3">
        <f t="shared" si="15"/>
        <v>943</v>
      </c>
      <c r="B944" s="41" t="s">
        <v>1836</v>
      </c>
      <c r="C944" s="3">
        <v>9340792397</v>
      </c>
      <c r="D944" s="6"/>
      <c r="E944" s="3" t="s">
        <v>75</v>
      </c>
      <c r="F944" s="41" t="s">
        <v>1837</v>
      </c>
      <c r="G944" s="2" t="s">
        <v>295</v>
      </c>
      <c r="H944" s="2" t="s">
        <v>1387</v>
      </c>
      <c r="I944" s="37" t="s">
        <v>42</v>
      </c>
      <c r="J944" s="31">
        <v>45709</v>
      </c>
      <c r="K944" s="31">
        <v>45716</v>
      </c>
      <c r="L944" s="31">
        <v>45743</v>
      </c>
      <c r="M944" s="31">
        <v>45782</v>
      </c>
      <c r="N944" s="31"/>
      <c r="O944" s="2" t="s">
        <v>297</v>
      </c>
    </row>
    <row r="945" spans="1:15">
      <c r="A945" s="3">
        <f t="shared" si="15"/>
        <v>944</v>
      </c>
      <c r="B945" s="41" t="s">
        <v>1838</v>
      </c>
      <c r="C945" s="3">
        <v>9315098370</v>
      </c>
      <c r="D945" s="6"/>
      <c r="E945" s="3" t="s">
        <v>82</v>
      </c>
      <c r="F945" s="41" t="s">
        <v>1839</v>
      </c>
      <c r="G945" s="2" t="s">
        <v>18</v>
      </c>
      <c r="H945" s="2" t="s">
        <v>1387</v>
      </c>
      <c r="I945" s="37" t="s">
        <v>42</v>
      </c>
      <c r="J945" s="31">
        <v>45709</v>
      </c>
      <c r="K945" s="31">
        <v>45716</v>
      </c>
      <c r="L945" s="31">
        <v>45765</v>
      </c>
      <c r="M945" s="31">
        <v>45795</v>
      </c>
      <c r="N945" s="31"/>
      <c r="O945" s="2" t="s">
        <v>297</v>
      </c>
    </row>
    <row r="946" spans="1:15">
      <c r="A946" s="3">
        <f t="shared" si="15"/>
        <v>945</v>
      </c>
      <c r="B946" s="41" t="s">
        <v>1840</v>
      </c>
      <c r="C946" s="3">
        <v>6387335605</v>
      </c>
      <c r="D946" s="6"/>
      <c r="E946" s="3" t="s">
        <v>75</v>
      </c>
      <c r="F946" s="41" t="s">
        <v>1841</v>
      </c>
      <c r="G946" s="2" t="s">
        <v>424</v>
      </c>
      <c r="H946" s="2" t="s">
        <v>1387</v>
      </c>
      <c r="I946" s="37" t="s">
        <v>42</v>
      </c>
      <c r="J946" s="31">
        <v>45709</v>
      </c>
      <c r="K946" s="31">
        <v>45716</v>
      </c>
      <c r="L946" s="31"/>
      <c r="M946" s="31"/>
      <c r="N946" s="31"/>
      <c r="O946" s="2" t="s">
        <v>749</v>
      </c>
    </row>
    <row r="947" spans="1:15">
      <c r="A947" s="3">
        <f t="shared" si="15"/>
        <v>946</v>
      </c>
      <c r="B947" s="41" t="s">
        <v>1842</v>
      </c>
      <c r="C947" s="3">
        <v>7754967204</v>
      </c>
      <c r="D947" s="6"/>
      <c r="E947" s="3" t="s">
        <v>75</v>
      </c>
      <c r="F947" s="41" t="s">
        <v>313</v>
      </c>
      <c r="G947" s="2" t="s">
        <v>416</v>
      </c>
      <c r="H947" s="2" t="s">
        <v>1387</v>
      </c>
      <c r="I947" s="37" t="s">
        <v>42</v>
      </c>
      <c r="J947" s="31">
        <v>45709</v>
      </c>
      <c r="K947" s="31">
        <v>45716</v>
      </c>
      <c r="L947" s="31"/>
      <c r="M947" s="31"/>
      <c r="N947" s="31"/>
      <c r="O947" s="2" t="s">
        <v>297</v>
      </c>
    </row>
    <row r="948" spans="1:15">
      <c r="A948" s="3">
        <f t="shared" si="15"/>
        <v>947</v>
      </c>
      <c r="B948" s="41" t="s">
        <v>1843</v>
      </c>
      <c r="C948" s="3">
        <v>7842832161</v>
      </c>
      <c r="D948" s="6">
        <v>6302900120</v>
      </c>
      <c r="E948" s="3" t="s">
        <v>75</v>
      </c>
      <c r="F948" s="41" t="s">
        <v>1844</v>
      </c>
      <c r="G948" s="2" t="s">
        <v>16</v>
      </c>
      <c r="H948" s="2" t="s">
        <v>1387</v>
      </c>
      <c r="I948" s="37" t="s">
        <v>42</v>
      </c>
      <c r="J948" s="31">
        <v>45709</v>
      </c>
      <c r="K948" s="31">
        <v>45716</v>
      </c>
      <c r="L948" s="31">
        <v>45723</v>
      </c>
      <c r="M948" s="31">
        <v>45736</v>
      </c>
      <c r="N948" s="31">
        <v>45736</v>
      </c>
      <c r="O948" s="2" t="s">
        <v>297</v>
      </c>
    </row>
    <row r="949" spans="1:15">
      <c r="A949" s="3">
        <f t="shared" si="15"/>
        <v>948</v>
      </c>
      <c r="B949" s="41" t="s">
        <v>1845</v>
      </c>
      <c r="C949" s="3">
        <v>7751067329</v>
      </c>
      <c r="D949" s="6">
        <v>8917656545</v>
      </c>
      <c r="E949" s="3" t="s">
        <v>72</v>
      </c>
      <c r="F949" s="41" t="s">
        <v>1846</v>
      </c>
      <c r="G949" s="2" t="s">
        <v>424</v>
      </c>
      <c r="H949" s="3" t="s">
        <v>717</v>
      </c>
      <c r="I949" s="37" t="s">
        <v>42</v>
      </c>
      <c r="J949" s="31">
        <v>45709</v>
      </c>
      <c r="K949" s="31">
        <v>45713</v>
      </c>
      <c r="L949" s="31"/>
      <c r="M949" s="31"/>
      <c r="N949" s="31"/>
      <c r="O949" s="2" t="s">
        <v>425</v>
      </c>
    </row>
    <row r="950" spans="1:15">
      <c r="A950" s="3">
        <f t="shared" si="15"/>
        <v>949</v>
      </c>
      <c r="B950" s="41" t="s">
        <v>1847</v>
      </c>
      <c r="C950" s="3">
        <v>9701953223</v>
      </c>
      <c r="D950" s="6"/>
      <c r="E950" s="3" t="s">
        <v>72</v>
      </c>
      <c r="F950" s="41" t="s">
        <v>1846</v>
      </c>
      <c r="G950" s="2" t="s">
        <v>424</v>
      </c>
      <c r="H950" s="3" t="s">
        <v>717</v>
      </c>
      <c r="I950" s="37" t="s">
        <v>42</v>
      </c>
      <c r="J950" s="31">
        <v>45709</v>
      </c>
      <c r="K950" s="31">
        <v>45713</v>
      </c>
      <c r="L950" s="31"/>
      <c r="M950" s="31"/>
      <c r="N950" s="31"/>
      <c r="O950" s="2" t="s">
        <v>749</v>
      </c>
    </row>
    <row r="951" spans="1:15">
      <c r="A951" s="3">
        <f t="shared" si="15"/>
        <v>950</v>
      </c>
      <c r="B951" s="41" t="s">
        <v>1848</v>
      </c>
      <c r="C951" s="3">
        <v>8958168902</v>
      </c>
      <c r="D951" s="6"/>
      <c r="E951" s="3" t="s">
        <v>72</v>
      </c>
      <c r="F951" s="41" t="s">
        <v>1846</v>
      </c>
      <c r="G951" s="2" t="s">
        <v>416</v>
      </c>
      <c r="H951" s="3" t="s">
        <v>717</v>
      </c>
      <c r="I951" s="37" t="s">
        <v>42</v>
      </c>
      <c r="J951" s="31">
        <v>45709</v>
      </c>
      <c r="K951" s="31">
        <v>45713</v>
      </c>
      <c r="L951" s="31"/>
      <c r="M951" s="31"/>
      <c r="N951" s="31"/>
      <c r="O951" s="2" t="s">
        <v>297</v>
      </c>
    </row>
    <row r="952" spans="1:15">
      <c r="A952" s="3">
        <f t="shared" si="15"/>
        <v>951</v>
      </c>
      <c r="B952" s="41" t="s">
        <v>1849</v>
      </c>
      <c r="C952" s="3">
        <v>8985798927</v>
      </c>
      <c r="D952" s="6"/>
      <c r="E952" s="3" t="s">
        <v>72</v>
      </c>
      <c r="F952" s="41" t="s">
        <v>1846</v>
      </c>
      <c r="G952" s="2" t="s">
        <v>295</v>
      </c>
      <c r="H952" s="3" t="s">
        <v>717</v>
      </c>
      <c r="I952" s="37" t="s">
        <v>42</v>
      </c>
      <c r="J952" s="31">
        <v>45709</v>
      </c>
      <c r="K952" s="31">
        <v>45713</v>
      </c>
      <c r="L952" s="31">
        <v>45723</v>
      </c>
      <c r="M952" s="31">
        <v>45754</v>
      </c>
      <c r="N952" s="31"/>
      <c r="O952" s="2" t="s">
        <v>297</v>
      </c>
    </row>
    <row r="953" spans="1:15">
      <c r="A953" s="3">
        <f t="shared" si="15"/>
        <v>952</v>
      </c>
      <c r="B953" s="99" t="s">
        <v>1850</v>
      </c>
      <c r="C953" s="3">
        <v>8687477673</v>
      </c>
      <c r="D953" s="6"/>
      <c r="E953" s="3" t="s">
        <v>79</v>
      </c>
      <c r="F953" s="41" t="s">
        <v>1851</v>
      </c>
      <c r="G953" s="2" t="s">
        <v>16</v>
      </c>
      <c r="H953" s="3" t="s">
        <v>717</v>
      </c>
      <c r="I953" s="37" t="s">
        <v>42</v>
      </c>
      <c r="J953" s="31">
        <v>45709</v>
      </c>
      <c r="K953" s="31">
        <v>45713</v>
      </c>
      <c r="L953" s="31">
        <v>45723</v>
      </c>
      <c r="M953" s="31">
        <v>45738</v>
      </c>
      <c r="N953" s="31">
        <v>45742</v>
      </c>
      <c r="O953" s="2" t="s">
        <v>297</v>
      </c>
    </row>
    <row r="954" spans="1:15">
      <c r="A954" s="3">
        <f t="shared" ref="A954:A1017" si="16">ROW()-1</f>
        <v>953</v>
      </c>
      <c r="B954" s="99" t="s">
        <v>982</v>
      </c>
      <c r="C954" s="3">
        <v>7838506458</v>
      </c>
      <c r="D954" s="6"/>
      <c r="E954" s="3" t="s">
        <v>79</v>
      </c>
      <c r="F954" s="41" t="s">
        <v>748</v>
      </c>
      <c r="G954" s="2" t="s">
        <v>16</v>
      </c>
      <c r="H954" s="3" t="s">
        <v>717</v>
      </c>
      <c r="I954" s="37" t="s">
        <v>42</v>
      </c>
      <c r="J954" s="31">
        <v>45709</v>
      </c>
      <c r="K954" s="31">
        <v>45713</v>
      </c>
      <c r="L954" s="31">
        <v>45723</v>
      </c>
      <c r="M954" s="31">
        <v>45762</v>
      </c>
      <c r="N954" s="31">
        <v>45761</v>
      </c>
      <c r="O954" s="2" t="s">
        <v>297</v>
      </c>
    </row>
    <row r="955" spans="1:15">
      <c r="A955" s="3">
        <f t="shared" si="16"/>
        <v>954</v>
      </c>
      <c r="B955" s="99" t="s">
        <v>1852</v>
      </c>
      <c r="C955" s="3">
        <v>8885248556</v>
      </c>
      <c r="D955" s="6"/>
      <c r="E955" s="3" t="s">
        <v>79</v>
      </c>
      <c r="F955" s="41" t="s">
        <v>1001</v>
      </c>
      <c r="G955" s="3" t="s">
        <v>16</v>
      </c>
      <c r="H955" s="3" t="s">
        <v>717</v>
      </c>
      <c r="I955" s="37" t="s">
        <v>42</v>
      </c>
      <c r="J955" s="31">
        <v>45709</v>
      </c>
      <c r="K955" s="31">
        <v>45716</v>
      </c>
      <c r="L955" s="31">
        <v>45716</v>
      </c>
      <c r="M955" s="31">
        <v>45784</v>
      </c>
      <c r="N955" s="31">
        <v>45784</v>
      </c>
      <c r="O955" s="2" t="s">
        <v>297</v>
      </c>
    </row>
    <row r="956" spans="1:15">
      <c r="A956" s="3">
        <f t="shared" si="16"/>
        <v>955</v>
      </c>
      <c r="B956" s="99" t="s">
        <v>1853</v>
      </c>
      <c r="C956" s="3">
        <v>8298494498</v>
      </c>
      <c r="D956" s="6"/>
      <c r="E956" s="3" t="s">
        <v>79</v>
      </c>
      <c r="F956" s="41" t="s">
        <v>748</v>
      </c>
      <c r="G956" s="2" t="s">
        <v>16</v>
      </c>
      <c r="H956" s="3" t="s">
        <v>717</v>
      </c>
      <c r="I956" s="37" t="s">
        <v>42</v>
      </c>
      <c r="J956" s="31">
        <v>45709</v>
      </c>
      <c r="K956" s="31">
        <v>45713</v>
      </c>
      <c r="L956" s="31">
        <v>45723</v>
      </c>
      <c r="M956" s="31">
        <v>45775</v>
      </c>
      <c r="N956" s="31">
        <v>45769</v>
      </c>
      <c r="O956" s="2" t="s">
        <v>297</v>
      </c>
    </row>
    <row r="957" spans="1:15">
      <c r="A957" s="3">
        <f t="shared" si="16"/>
        <v>956</v>
      </c>
      <c r="B957" s="41" t="s">
        <v>1854</v>
      </c>
      <c r="C957" s="3">
        <v>8948149671</v>
      </c>
      <c r="D957" s="6"/>
      <c r="E957" s="3" t="s">
        <v>85</v>
      </c>
      <c r="F957" s="41" t="s">
        <v>1855</v>
      </c>
      <c r="G957" s="2" t="s">
        <v>416</v>
      </c>
      <c r="H957" s="3" t="s">
        <v>717</v>
      </c>
      <c r="I957" s="37" t="s">
        <v>42</v>
      </c>
      <c r="J957" s="31">
        <v>45709</v>
      </c>
      <c r="K957" s="31">
        <v>45713</v>
      </c>
      <c r="L957" s="31"/>
      <c r="M957" s="31"/>
      <c r="N957" s="31"/>
      <c r="O957" s="2" t="s">
        <v>297</v>
      </c>
    </row>
    <row r="958" spans="1:15">
      <c r="A958" s="3">
        <f t="shared" si="16"/>
        <v>957</v>
      </c>
      <c r="B958" s="99" t="s">
        <v>1856</v>
      </c>
      <c r="C958" s="3">
        <v>9198932592</v>
      </c>
      <c r="D958" s="6">
        <v>7355686907</v>
      </c>
      <c r="E958" s="3" t="s">
        <v>79</v>
      </c>
      <c r="F958" s="41" t="s">
        <v>748</v>
      </c>
      <c r="G958" s="2" t="s">
        <v>16</v>
      </c>
      <c r="H958" s="3" t="s">
        <v>717</v>
      </c>
      <c r="I958" s="37" t="s">
        <v>42</v>
      </c>
      <c r="J958" s="31">
        <v>45709</v>
      </c>
      <c r="K958" s="31">
        <v>45713</v>
      </c>
      <c r="L958" s="31">
        <v>45723</v>
      </c>
      <c r="M958" s="31">
        <v>45741</v>
      </c>
      <c r="N958" s="31">
        <v>45736</v>
      </c>
      <c r="O958" s="2" t="s">
        <v>297</v>
      </c>
    </row>
    <row r="959" spans="1:15">
      <c r="A959" s="3">
        <f t="shared" si="16"/>
        <v>958</v>
      </c>
      <c r="B959" s="99" t="s">
        <v>1857</v>
      </c>
      <c r="C959" s="3">
        <v>8790237149</v>
      </c>
      <c r="D959" s="6"/>
      <c r="E959" s="3" t="s">
        <v>79</v>
      </c>
      <c r="F959" s="77" t="s">
        <v>1858</v>
      </c>
      <c r="G959" s="2" t="s">
        <v>16</v>
      </c>
      <c r="H959" s="3" t="s">
        <v>717</v>
      </c>
      <c r="I959" s="37" t="s">
        <v>42</v>
      </c>
      <c r="J959" s="31">
        <v>45709</v>
      </c>
      <c r="K959" s="31">
        <v>45713</v>
      </c>
      <c r="L959" s="31">
        <v>45737</v>
      </c>
      <c r="M959" s="31">
        <v>45777</v>
      </c>
      <c r="N959" s="31">
        <v>45770</v>
      </c>
      <c r="O959" s="2" t="s">
        <v>297</v>
      </c>
    </row>
    <row r="960" spans="1:15">
      <c r="A960" s="3">
        <f t="shared" si="16"/>
        <v>959</v>
      </c>
      <c r="B960" s="77" t="s">
        <v>1859</v>
      </c>
      <c r="C960" s="36">
        <v>9701017848</v>
      </c>
      <c r="D960" s="6"/>
      <c r="E960" s="3" t="s">
        <v>72</v>
      </c>
      <c r="F960" s="77" t="s">
        <v>802</v>
      </c>
      <c r="G960" s="2" t="s">
        <v>424</v>
      </c>
      <c r="H960" s="3" t="s">
        <v>717</v>
      </c>
      <c r="I960" s="37" t="s">
        <v>42</v>
      </c>
      <c r="J960" s="31">
        <v>45709</v>
      </c>
      <c r="K960" s="31">
        <v>45721</v>
      </c>
      <c r="L960" s="31"/>
      <c r="M960" s="31"/>
      <c r="N960" s="31"/>
      <c r="O960" s="2" t="s">
        <v>749</v>
      </c>
    </row>
    <row r="961" spans="1:15">
      <c r="A961" s="3">
        <f t="shared" si="16"/>
        <v>960</v>
      </c>
      <c r="B961" s="41" t="s">
        <v>1860</v>
      </c>
      <c r="C961" s="3">
        <v>9959498122</v>
      </c>
      <c r="D961" s="6"/>
      <c r="E961" s="3" t="s">
        <v>79</v>
      </c>
      <c r="F961" s="41" t="s">
        <v>1861</v>
      </c>
      <c r="G961" s="2" t="s">
        <v>424</v>
      </c>
      <c r="H961" s="3" t="s">
        <v>717</v>
      </c>
      <c r="I961" s="37" t="s">
        <v>42</v>
      </c>
      <c r="J961" s="31">
        <v>45709</v>
      </c>
      <c r="K961" s="31">
        <v>45721</v>
      </c>
      <c r="L961" s="31"/>
      <c r="M961" s="31"/>
      <c r="N961" s="31"/>
      <c r="O961" s="2" t="s">
        <v>749</v>
      </c>
    </row>
    <row r="962" spans="1:15">
      <c r="A962" s="3">
        <f t="shared" si="16"/>
        <v>961</v>
      </c>
      <c r="B962" s="41" t="s">
        <v>1862</v>
      </c>
      <c r="C962" s="3"/>
      <c r="D962" s="6"/>
      <c r="E962" s="36" t="s">
        <v>1863</v>
      </c>
      <c r="F962" s="41" t="s">
        <v>1864</v>
      </c>
      <c r="G962" s="2" t="s">
        <v>18</v>
      </c>
      <c r="H962" s="3" t="s">
        <v>788</v>
      </c>
      <c r="I962" s="37" t="s">
        <v>94</v>
      </c>
      <c r="J962" s="31">
        <v>45709</v>
      </c>
      <c r="K962" s="31">
        <v>45709</v>
      </c>
      <c r="L962" s="31">
        <v>45709</v>
      </c>
      <c r="M962" s="31">
        <v>45792</v>
      </c>
      <c r="N962" s="31"/>
      <c r="O962" s="2" t="s">
        <v>297</v>
      </c>
    </row>
    <row r="963" spans="1:15">
      <c r="A963" s="3">
        <f t="shared" si="16"/>
        <v>962</v>
      </c>
      <c r="B963" s="41" t="s">
        <v>1865</v>
      </c>
      <c r="C963" s="3"/>
      <c r="D963" s="6"/>
      <c r="E963" s="36" t="s">
        <v>1863</v>
      </c>
      <c r="F963" s="41" t="s">
        <v>1864</v>
      </c>
      <c r="G963" s="2" t="s">
        <v>18</v>
      </c>
      <c r="H963" s="3" t="s">
        <v>788</v>
      </c>
      <c r="I963" s="37" t="s">
        <v>94</v>
      </c>
      <c r="J963" s="31">
        <v>45709</v>
      </c>
      <c r="K963" s="31">
        <v>45709</v>
      </c>
      <c r="L963" s="31">
        <v>45709</v>
      </c>
      <c r="M963" s="31">
        <v>45792</v>
      </c>
      <c r="N963" s="31"/>
      <c r="O963" s="2" t="s">
        <v>297</v>
      </c>
    </row>
    <row r="964" spans="1:15">
      <c r="A964" s="3">
        <f t="shared" si="16"/>
        <v>963</v>
      </c>
      <c r="B964" s="41" t="s">
        <v>982</v>
      </c>
      <c r="C964" s="3">
        <v>9113152115</v>
      </c>
      <c r="D964" s="6"/>
      <c r="E964" s="3" t="s">
        <v>82</v>
      </c>
      <c r="F964" s="41" t="s">
        <v>308</v>
      </c>
      <c r="G964" s="2" t="s">
        <v>18</v>
      </c>
      <c r="H964" s="3" t="s">
        <v>1387</v>
      </c>
      <c r="I964" s="37" t="s">
        <v>42</v>
      </c>
      <c r="J964" s="31">
        <v>45709</v>
      </c>
      <c r="K964" s="31">
        <v>45724</v>
      </c>
      <c r="L964" s="31"/>
      <c r="M964" s="31"/>
      <c r="N964" s="31"/>
      <c r="O964" s="2" t="s">
        <v>297</v>
      </c>
    </row>
    <row r="965" spans="1:15">
      <c r="A965" s="3">
        <f t="shared" si="16"/>
        <v>964</v>
      </c>
      <c r="B965" s="41" t="s">
        <v>1866</v>
      </c>
      <c r="C965" s="3">
        <v>7904724856</v>
      </c>
      <c r="D965" s="6"/>
      <c r="E965" s="3" t="s">
        <v>82</v>
      </c>
      <c r="F965" s="41" t="s">
        <v>308</v>
      </c>
      <c r="G965" s="2" t="s">
        <v>424</v>
      </c>
      <c r="H965" s="3" t="s">
        <v>1387</v>
      </c>
      <c r="I965" s="37" t="s">
        <v>42</v>
      </c>
      <c r="J965" s="31">
        <v>45709</v>
      </c>
      <c r="K965" s="31">
        <v>45724</v>
      </c>
      <c r="L965" s="31"/>
      <c r="M965" s="31"/>
      <c r="N965" s="31"/>
      <c r="O965" s="2" t="s">
        <v>749</v>
      </c>
    </row>
    <row r="966" spans="1:15">
      <c r="A966" s="3">
        <f t="shared" si="16"/>
        <v>965</v>
      </c>
      <c r="B966" s="41" t="s">
        <v>1867</v>
      </c>
      <c r="C966" s="3">
        <v>8722962684</v>
      </c>
      <c r="D966" s="6"/>
      <c r="E966" s="3" t="s">
        <v>82</v>
      </c>
      <c r="F966" s="41" t="s">
        <v>419</v>
      </c>
      <c r="G966" s="2" t="s">
        <v>16</v>
      </c>
      <c r="H966" s="3" t="s">
        <v>1387</v>
      </c>
      <c r="I966" s="37" t="s">
        <v>42</v>
      </c>
      <c r="J966" s="31">
        <v>45709</v>
      </c>
      <c r="K966" s="31">
        <v>45724</v>
      </c>
      <c r="L966" s="31">
        <v>45730</v>
      </c>
      <c r="M966" s="31">
        <v>45763</v>
      </c>
      <c r="N966" s="31">
        <v>45763</v>
      </c>
      <c r="O966" s="2" t="s">
        <v>297</v>
      </c>
    </row>
    <row r="967" spans="1:15">
      <c r="A967" s="3">
        <f t="shared" si="16"/>
        <v>966</v>
      </c>
      <c r="B967" s="41" t="s">
        <v>1868</v>
      </c>
      <c r="C967" s="3">
        <v>7799448674</v>
      </c>
      <c r="D967" s="6"/>
      <c r="E967" s="17" t="s">
        <v>82</v>
      </c>
      <c r="F967" s="41" t="s">
        <v>308</v>
      </c>
      <c r="G967" s="2" t="s">
        <v>16</v>
      </c>
      <c r="H967" s="3" t="s">
        <v>1387</v>
      </c>
      <c r="I967" s="37" t="s">
        <v>42</v>
      </c>
      <c r="J967" s="31">
        <v>45709</v>
      </c>
      <c r="K967" s="31">
        <v>45724</v>
      </c>
      <c r="L967" s="31">
        <v>45741</v>
      </c>
      <c r="M967" s="31">
        <v>45775</v>
      </c>
      <c r="N967" s="31">
        <v>45775</v>
      </c>
      <c r="O967" s="2" t="s">
        <v>297</v>
      </c>
    </row>
    <row r="968" spans="1:15">
      <c r="A968" s="3">
        <f t="shared" si="16"/>
        <v>967</v>
      </c>
      <c r="B968" s="41" t="s">
        <v>1869</v>
      </c>
      <c r="C968" s="3">
        <v>6392206464</v>
      </c>
      <c r="D968" s="6"/>
      <c r="E968" s="3" t="s">
        <v>82</v>
      </c>
      <c r="F968" s="41" t="s">
        <v>308</v>
      </c>
      <c r="G968" s="2" t="s">
        <v>18</v>
      </c>
      <c r="H968" s="3" t="s">
        <v>1387</v>
      </c>
      <c r="I968" s="37" t="s">
        <v>42</v>
      </c>
      <c r="J968" s="31">
        <v>45709</v>
      </c>
      <c r="K968" s="31">
        <v>45724</v>
      </c>
      <c r="L968" s="31"/>
      <c r="M968" s="31"/>
      <c r="N968" s="31"/>
      <c r="O968" s="2" t="s">
        <v>297</v>
      </c>
    </row>
    <row r="969" spans="1:15">
      <c r="A969" s="3">
        <f t="shared" si="16"/>
        <v>968</v>
      </c>
      <c r="B969" s="41" t="s">
        <v>1870</v>
      </c>
      <c r="C969" s="3">
        <v>8081966898</v>
      </c>
      <c r="D969" s="6"/>
      <c r="E969" s="3" t="s">
        <v>82</v>
      </c>
      <c r="F969" s="41" t="s">
        <v>419</v>
      </c>
      <c r="G969" s="2" t="s">
        <v>424</v>
      </c>
      <c r="H969" s="3" t="s">
        <v>1387</v>
      </c>
      <c r="I969" s="37" t="s">
        <v>42</v>
      </c>
      <c r="J969" s="31">
        <v>45709</v>
      </c>
      <c r="K969" s="31">
        <v>45724</v>
      </c>
      <c r="L969" s="31"/>
      <c r="M969" s="31"/>
      <c r="N969" s="31"/>
      <c r="O969" s="2" t="s">
        <v>425</v>
      </c>
    </row>
    <row r="970" spans="1:15">
      <c r="A970" s="3">
        <f t="shared" si="16"/>
        <v>969</v>
      </c>
      <c r="B970" s="41" t="s">
        <v>1871</v>
      </c>
      <c r="C970" s="3">
        <v>6201399042</v>
      </c>
      <c r="D970" s="6"/>
      <c r="E970" s="3" t="s">
        <v>85</v>
      </c>
      <c r="F970" s="41" t="s">
        <v>308</v>
      </c>
      <c r="G970" s="2" t="s">
        <v>424</v>
      </c>
      <c r="H970" s="3" t="s">
        <v>717</v>
      </c>
      <c r="I970" s="37" t="s">
        <v>42</v>
      </c>
      <c r="J970" s="31">
        <v>45709</v>
      </c>
      <c r="K970" s="31">
        <v>45723</v>
      </c>
      <c r="L970" s="31"/>
      <c r="M970" s="31"/>
      <c r="N970" s="31"/>
      <c r="O970" s="2" t="s">
        <v>425</v>
      </c>
    </row>
    <row r="971" spans="1:15">
      <c r="A971" s="3">
        <f t="shared" si="16"/>
        <v>970</v>
      </c>
      <c r="B971" s="41" t="s">
        <v>1872</v>
      </c>
      <c r="C971" s="3">
        <v>9798621905</v>
      </c>
      <c r="D971" s="6"/>
      <c r="E971" s="3" t="s">
        <v>85</v>
      </c>
      <c r="F971" s="41" t="s">
        <v>920</v>
      </c>
      <c r="G971" s="2" t="s">
        <v>424</v>
      </c>
      <c r="H971" s="3" t="s">
        <v>717</v>
      </c>
      <c r="I971" s="37" t="s">
        <v>42</v>
      </c>
      <c r="J971" s="31">
        <v>45709</v>
      </c>
      <c r="K971" s="31">
        <v>45723</v>
      </c>
      <c r="L971" s="31"/>
      <c r="M971" s="31"/>
      <c r="N971" s="31"/>
      <c r="O971" s="2" t="s">
        <v>425</v>
      </c>
    </row>
    <row r="972" spans="1:15">
      <c r="A972" s="3">
        <f t="shared" si="16"/>
        <v>971</v>
      </c>
      <c r="B972" s="41" t="s">
        <v>1873</v>
      </c>
      <c r="C972" s="3">
        <v>8618680876</v>
      </c>
      <c r="D972" s="6"/>
      <c r="E972" s="3" t="s">
        <v>85</v>
      </c>
      <c r="F972" s="41" t="s">
        <v>419</v>
      </c>
      <c r="G972" s="2" t="s">
        <v>424</v>
      </c>
      <c r="H972" s="3" t="s">
        <v>717</v>
      </c>
      <c r="I972" s="37" t="s">
        <v>42</v>
      </c>
      <c r="J972" s="31">
        <v>45709</v>
      </c>
      <c r="K972" s="31">
        <v>45723</v>
      </c>
      <c r="L972" s="31"/>
      <c r="M972" s="31"/>
      <c r="N972" s="31"/>
      <c r="O972" s="2" t="s">
        <v>425</v>
      </c>
    </row>
    <row r="973" spans="1:15">
      <c r="A973" s="3">
        <f t="shared" si="16"/>
        <v>972</v>
      </c>
      <c r="B973" s="41" t="s">
        <v>1874</v>
      </c>
      <c r="C973" s="3">
        <v>6265730984</v>
      </c>
      <c r="D973" s="6"/>
      <c r="E973" s="3" t="s">
        <v>85</v>
      </c>
      <c r="F973" s="41" t="s">
        <v>308</v>
      </c>
      <c r="G973" s="2" t="s">
        <v>424</v>
      </c>
      <c r="H973" s="3" t="s">
        <v>717</v>
      </c>
      <c r="I973" s="37" t="s">
        <v>42</v>
      </c>
      <c r="J973" s="31">
        <v>45709</v>
      </c>
      <c r="K973" s="31">
        <v>45723</v>
      </c>
      <c r="L973" s="31"/>
      <c r="M973" s="31"/>
      <c r="N973" s="31"/>
      <c r="O973" s="2" t="s">
        <v>425</v>
      </c>
    </row>
    <row r="974" spans="1:15">
      <c r="A974" s="3">
        <f t="shared" si="16"/>
        <v>973</v>
      </c>
      <c r="B974" s="41" t="s">
        <v>1875</v>
      </c>
      <c r="C974" s="3">
        <v>7979837604</v>
      </c>
      <c r="D974" s="6"/>
      <c r="E974" s="3" t="s">
        <v>85</v>
      </c>
      <c r="F974" s="41" t="s">
        <v>308</v>
      </c>
      <c r="G974" s="2" t="s">
        <v>424</v>
      </c>
      <c r="H974" s="3" t="s">
        <v>717</v>
      </c>
      <c r="I974" s="37" t="s">
        <v>42</v>
      </c>
      <c r="J974" s="31">
        <v>45709</v>
      </c>
      <c r="K974" s="31">
        <v>45723</v>
      </c>
      <c r="L974" s="31"/>
      <c r="M974" s="31"/>
      <c r="N974" s="31"/>
      <c r="O974" s="2" t="s">
        <v>425</v>
      </c>
    </row>
    <row r="975" spans="1:15">
      <c r="A975" s="3">
        <f t="shared" si="16"/>
        <v>974</v>
      </c>
      <c r="B975" s="99" t="s">
        <v>1876</v>
      </c>
      <c r="C975" s="3">
        <v>9454875717</v>
      </c>
      <c r="D975" s="6"/>
      <c r="E975" s="3" t="s">
        <v>79</v>
      </c>
      <c r="F975" s="41" t="s">
        <v>308</v>
      </c>
      <c r="G975" s="2" t="s">
        <v>16</v>
      </c>
      <c r="H975" s="3" t="s">
        <v>717</v>
      </c>
      <c r="I975" s="37" t="s">
        <v>42</v>
      </c>
      <c r="J975" s="31">
        <v>45709</v>
      </c>
      <c r="K975" s="31">
        <v>45723</v>
      </c>
      <c r="L975" s="31">
        <v>45729</v>
      </c>
      <c r="M975" s="31">
        <v>45744</v>
      </c>
      <c r="N975" s="31">
        <v>45744</v>
      </c>
      <c r="O975" s="2" t="s">
        <v>297</v>
      </c>
    </row>
    <row r="976" spans="1:15">
      <c r="A976" s="3">
        <f t="shared" si="16"/>
        <v>975</v>
      </c>
      <c r="B976" s="41" t="s">
        <v>1877</v>
      </c>
      <c r="C976" s="3">
        <v>9129781217</v>
      </c>
      <c r="D976" s="6"/>
      <c r="E976" s="3" t="s">
        <v>85</v>
      </c>
      <c r="F976" s="41" t="s">
        <v>308</v>
      </c>
      <c r="G976" s="2" t="s">
        <v>416</v>
      </c>
      <c r="H976" s="3" t="s">
        <v>717</v>
      </c>
      <c r="I976" s="37" t="s">
        <v>42</v>
      </c>
      <c r="J976" s="31">
        <v>45709</v>
      </c>
      <c r="K976" s="31">
        <v>45723</v>
      </c>
      <c r="L976" s="31"/>
      <c r="M976" s="31"/>
      <c r="N976" s="31"/>
      <c r="O976" s="2" t="s">
        <v>297</v>
      </c>
    </row>
    <row r="977" spans="1:15">
      <c r="A977" s="3">
        <f t="shared" si="16"/>
        <v>976</v>
      </c>
      <c r="B977" s="41" t="s">
        <v>1878</v>
      </c>
      <c r="C977" s="3">
        <v>9314271730</v>
      </c>
      <c r="D977" s="6"/>
      <c r="E977" s="36" t="s">
        <v>1065</v>
      </c>
      <c r="F977" s="41"/>
      <c r="G977" s="2" t="s">
        <v>16</v>
      </c>
      <c r="H977" s="21" t="s">
        <v>1096</v>
      </c>
      <c r="I977" s="37" t="s">
        <v>42</v>
      </c>
      <c r="J977" s="31">
        <v>45709</v>
      </c>
      <c r="K977" s="31">
        <v>45727</v>
      </c>
      <c r="L977" s="31">
        <v>45736</v>
      </c>
      <c r="M977" s="31">
        <v>45768</v>
      </c>
      <c r="N977" s="31">
        <v>45768</v>
      </c>
      <c r="O977" s="2" t="s">
        <v>297</v>
      </c>
    </row>
    <row r="978" spans="1:15">
      <c r="A978" s="3">
        <f t="shared" si="16"/>
        <v>977</v>
      </c>
      <c r="B978" s="41" t="s">
        <v>1879</v>
      </c>
      <c r="C978" s="3">
        <v>9153341572</v>
      </c>
      <c r="D978" s="6"/>
      <c r="E978" s="36" t="s">
        <v>1065</v>
      </c>
      <c r="F978" s="41"/>
      <c r="G978" s="2" t="s">
        <v>424</v>
      </c>
      <c r="H978" s="21" t="s">
        <v>1096</v>
      </c>
      <c r="I978" s="37" t="s">
        <v>42</v>
      </c>
      <c r="J978" s="31">
        <v>45709</v>
      </c>
      <c r="K978" s="31">
        <v>45727</v>
      </c>
      <c r="L978" s="31"/>
      <c r="M978" s="31"/>
      <c r="N978" s="31"/>
      <c r="O978" s="2" t="s">
        <v>425</v>
      </c>
    </row>
    <row r="979" spans="1:15">
      <c r="A979" s="3">
        <f t="shared" si="16"/>
        <v>978</v>
      </c>
      <c r="B979" s="41" t="s">
        <v>1880</v>
      </c>
      <c r="C979" s="3">
        <v>8099994742</v>
      </c>
      <c r="D979" s="6"/>
      <c r="E979" s="36" t="s">
        <v>1881</v>
      </c>
      <c r="F979" s="41"/>
      <c r="G979" s="2" t="s">
        <v>424</v>
      </c>
      <c r="H979" s="21" t="s">
        <v>1096</v>
      </c>
      <c r="I979" s="37" t="s">
        <v>42</v>
      </c>
      <c r="J979" s="31">
        <v>45709</v>
      </c>
      <c r="K979" s="31">
        <v>45727</v>
      </c>
      <c r="L979" s="31"/>
      <c r="M979" s="31"/>
      <c r="N979" s="31"/>
      <c r="O979" s="2" t="s">
        <v>749</v>
      </c>
    </row>
    <row r="980" spans="1:15">
      <c r="A980" s="3">
        <f t="shared" si="16"/>
        <v>979</v>
      </c>
      <c r="B980" s="41" t="s">
        <v>1882</v>
      </c>
      <c r="C980" s="3">
        <v>7410187310</v>
      </c>
      <c r="D980" s="6"/>
      <c r="E980" s="36" t="s">
        <v>1881</v>
      </c>
      <c r="F980" s="41"/>
      <c r="G980" s="2" t="s">
        <v>424</v>
      </c>
      <c r="H980" s="21" t="s">
        <v>1096</v>
      </c>
      <c r="I980" s="37" t="s">
        <v>42</v>
      </c>
      <c r="J980" s="31">
        <v>45709</v>
      </c>
      <c r="K980" s="31">
        <v>45727</v>
      </c>
      <c r="L980" s="31"/>
      <c r="M980" s="31"/>
      <c r="N980" s="31"/>
      <c r="O980" s="2" t="s">
        <v>749</v>
      </c>
    </row>
    <row r="981" spans="1:15">
      <c r="A981" s="3">
        <f t="shared" si="16"/>
        <v>980</v>
      </c>
      <c r="B981" s="41" t="s">
        <v>1883</v>
      </c>
      <c r="C981" s="3">
        <v>6305332907</v>
      </c>
      <c r="D981" s="6"/>
      <c r="E981" s="36" t="s">
        <v>1092</v>
      </c>
      <c r="F981" s="41"/>
      <c r="G981" s="2" t="s">
        <v>16</v>
      </c>
      <c r="H981" s="21" t="s">
        <v>1096</v>
      </c>
      <c r="I981" s="37" t="s">
        <v>94</v>
      </c>
      <c r="J981" s="31">
        <v>45709</v>
      </c>
      <c r="K981" s="31">
        <v>45727</v>
      </c>
      <c r="L981" s="31">
        <v>45729</v>
      </c>
      <c r="M981" s="31">
        <v>45773</v>
      </c>
      <c r="N981" s="31">
        <v>45763</v>
      </c>
      <c r="O981" s="2" t="s">
        <v>297</v>
      </c>
    </row>
    <row r="982" spans="1:15">
      <c r="A982" s="3">
        <f t="shared" si="16"/>
        <v>981</v>
      </c>
      <c r="B982" s="41" t="s">
        <v>1884</v>
      </c>
      <c r="C982" s="3">
        <v>9100974665</v>
      </c>
      <c r="D982" s="6"/>
      <c r="E982" s="36" t="s">
        <v>530</v>
      </c>
      <c r="F982" s="41"/>
      <c r="G982" s="2" t="s">
        <v>18</v>
      </c>
      <c r="H982" s="21" t="s">
        <v>1096</v>
      </c>
      <c r="I982" s="37" t="s">
        <v>94</v>
      </c>
      <c r="J982" s="31">
        <v>45709</v>
      </c>
      <c r="K982" s="31">
        <v>45727</v>
      </c>
      <c r="L982" s="31"/>
      <c r="M982" s="31"/>
      <c r="N982" s="31"/>
      <c r="O982" s="2" t="s">
        <v>297</v>
      </c>
    </row>
    <row r="983" spans="1:15">
      <c r="A983" s="3">
        <f t="shared" si="16"/>
        <v>982</v>
      </c>
      <c r="B983" s="41" t="s">
        <v>1885</v>
      </c>
      <c r="C983" s="3">
        <v>7077008465</v>
      </c>
      <c r="D983" s="6"/>
      <c r="E983" s="36" t="s">
        <v>1092</v>
      </c>
      <c r="F983" s="41"/>
      <c r="G983" s="2" t="s">
        <v>424</v>
      </c>
      <c r="H983" s="21" t="s">
        <v>1096</v>
      </c>
      <c r="I983" s="37" t="s">
        <v>94</v>
      </c>
      <c r="J983" s="31">
        <v>45709</v>
      </c>
      <c r="K983" s="31">
        <v>45727</v>
      </c>
      <c r="L983" s="31"/>
      <c r="M983" s="31"/>
      <c r="N983" s="31"/>
      <c r="O983" s="2" t="s">
        <v>749</v>
      </c>
    </row>
    <row r="984" spans="1:15">
      <c r="A984" s="3">
        <f t="shared" si="16"/>
        <v>983</v>
      </c>
      <c r="B984" s="41" t="s">
        <v>893</v>
      </c>
      <c r="C984" s="3">
        <v>8102370984</v>
      </c>
      <c r="D984" s="6"/>
      <c r="E984" s="3" t="s">
        <v>75</v>
      </c>
      <c r="F984" s="41" t="s">
        <v>1886</v>
      </c>
      <c r="G984" s="2" t="s">
        <v>16</v>
      </c>
      <c r="H984" s="3" t="s">
        <v>1387</v>
      </c>
      <c r="I984" s="37" t="s">
        <v>42</v>
      </c>
      <c r="J984" s="31">
        <v>45709</v>
      </c>
      <c r="K984" s="31">
        <v>45716</v>
      </c>
      <c r="L984" s="31">
        <v>45723</v>
      </c>
      <c r="M984" s="31">
        <v>45738</v>
      </c>
      <c r="N984" s="31">
        <v>45741</v>
      </c>
      <c r="O984" s="2" t="s">
        <v>297</v>
      </c>
    </row>
    <row r="985" spans="1:15">
      <c r="A985" s="3">
        <f t="shared" si="16"/>
        <v>984</v>
      </c>
      <c r="B985" s="41" t="s">
        <v>1887</v>
      </c>
      <c r="C985" s="3">
        <v>9446564987</v>
      </c>
      <c r="D985" s="6"/>
      <c r="E985" s="3" t="s">
        <v>67</v>
      </c>
      <c r="F985" s="41" t="s">
        <v>1888</v>
      </c>
      <c r="G985" s="2" t="s">
        <v>424</v>
      </c>
      <c r="H985" s="3" t="s">
        <v>1387</v>
      </c>
      <c r="I985" s="37" t="s">
        <v>42</v>
      </c>
      <c r="J985" s="31">
        <v>45709</v>
      </c>
      <c r="K985" s="31">
        <v>45716</v>
      </c>
      <c r="L985" s="31"/>
      <c r="M985" s="31"/>
      <c r="N985" s="31"/>
      <c r="O985" s="2" t="s">
        <v>749</v>
      </c>
    </row>
    <row r="986" spans="1:15">
      <c r="A986" s="3">
        <f t="shared" si="16"/>
        <v>985</v>
      </c>
      <c r="B986" s="41" t="s">
        <v>1889</v>
      </c>
      <c r="C986" s="3">
        <v>8739095945</v>
      </c>
      <c r="D986" s="6">
        <v>8887875097</v>
      </c>
      <c r="E986" s="3" t="s">
        <v>67</v>
      </c>
      <c r="F986" s="41" t="s">
        <v>1888</v>
      </c>
      <c r="G986" s="2" t="s">
        <v>424</v>
      </c>
      <c r="H986" s="3" t="s">
        <v>1387</v>
      </c>
      <c r="I986" s="37" t="s">
        <v>42</v>
      </c>
      <c r="J986" s="31">
        <v>45709</v>
      </c>
      <c r="K986" s="31">
        <v>45716</v>
      </c>
      <c r="L986" s="31"/>
      <c r="M986" s="31"/>
      <c r="N986" s="31"/>
      <c r="O986" s="2" t="s">
        <v>749</v>
      </c>
    </row>
    <row r="987" spans="1:15">
      <c r="A987" s="3">
        <f t="shared" si="16"/>
        <v>986</v>
      </c>
      <c r="B987" s="41" t="s">
        <v>1890</v>
      </c>
      <c r="C987" s="2">
        <v>9172479813</v>
      </c>
      <c r="D987" s="6"/>
      <c r="E987" s="36" t="s">
        <v>1414</v>
      </c>
      <c r="F987" s="73" t="s">
        <v>308</v>
      </c>
      <c r="G987" s="2" t="s">
        <v>416</v>
      </c>
      <c r="H987" s="3" t="s">
        <v>788</v>
      </c>
      <c r="I987" s="37" t="s">
        <v>88</v>
      </c>
      <c r="J987" s="31">
        <v>45710</v>
      </c>
      <c r="K987" s="31">
        <v>45724</v>
      </c>
      <c r="L987" s="31"/>
      <c r="M987" s="31"/>
      <c r="N987" s="31"/>
      <c r="O987" s="2" t="s">
        <v>297</v>
      </c>
    </row>
    <row r="988" spans="1:15">
      <c r="A988" s="3">
        <f t="shared" si="16"/>
        <v>987</v>
      </c>
      <c r="B988" s="42" t="s">
        <v>1891</v>
      </c>
      <c r="C988" s="2">
        <v>7075205809</v>
      </c>
      <c r="D988" s="6"/>
      <c r="E988" s="3" t="s">
        <v>1892</v>
      </c>
      <c r="F988" s="42" t="s">
        <v>1893</v>
      </c>
      <c r="G988" s="2" t="s">
        <v>424</v>
      </c>
      <c r="H988" s="3" t="s">
        <v>788</v>
      </c>
      <c r="I988" s="37" t="s">
        <v>88</v>
      </c>
      <c r="J988" s="31">
        <v>45707</v>
      </c>
      <c r="K988" s="31">
        <v>45710</v>
      </c>
      <c r="L988" s="31"/>
      <c r="M988" s="31"/>
      <c r="N988" s="31"/>
      <c r="O988" s="2" t="s">
        <v>425</v>
      </c>
    </row>
    <row r="989" spans="1:15">
      <c r="A989" s="3">
        <f t="shared" si="16"/>
        <v>988</v>
      </c>
      <c r="B989" s="42" t="s">
        <v>1894</v>
      </c>
      <c r="C989" s="2">
        <v>8374131918</v>
      </c>
      <c r="D989" s="6"/>
      <c r="E989" s="3" t="s">
        <v>1892</v>
      </c>
      <c r="F989" s="42" t="s">
        <v>443</v>
      </c>
      <c r="G989" s="2" t="s">
        <v>424</v>
      </c>
      <c r="H989" s="3" t="s">
        <v>788</v>
      </c>
      <c r="I989" s="37" t="s">
        <v>88</v>
      </c>
      <c r="J989" s="31">
        <v>45707</v>
      </c>
      <c r="K989" s="31">
        <v>45710</v>
      </c>
      <c r="L989" s="31"/>
      <c r="M989" s="31"/>
      <c r="N989" s="31"/>
      <c r="O989" s="2" t="s">
        <v>749</v>
      </c>
    </row>
    <row r="990" spans="1:15">
      <c r="A990" s="3">
        <f t="shared" si="16"/>
        <v>989</v>
      </c>
      <c r="B990" s="42" t="s">
        <v>1895</v>
      </c>
      <c r="C990" s="2">
        <v>8008226275</v>
      </c>
      <c r="D990" s="6"/>
      <c r="E990" s="3" t="s">
        <v>1892</v>
      </c>
      <c r="F990" s="42" t="s">
        <v>471</v>
      </c>
      <c r="G990" s="2" t="s">
        <v>424</v>
      </c>
      <c r="H990" s="3" t="s">
        <v>788</v>
      </c>
      <c r="I990" s="37" t="s">
        <v>88</v>
      </c>
      <c r="J990" s="31">
        <v>45707</v>
      </c>
      <c r="K990" s="31">
        <v>45710</v>
      </c>
      <c r="L990" s="31"/>
      <c r="M990" s="31"/>
      <c r="N990" s="31"/>
      <c r="O990" s="2" t="s">
        <v>425</v>
      </c>
    </row>
    <row r="991" spans="1:15">
      <c r="A991" s="3">
        <f t="shared" si="16"/>
        <v>990</v>
      </c>
      <c r="B991" s="42" t="s">
        <v>1896</v>
      </c>
      <c r="C991" s="2">
        <v>7287042165</v>
      </c>
      <c r="D991" s="6"/>
      <c r="E991" s="3" t="s">
        <v>1892</v>
      </c>
      <c r="F991" s="42" t="s">
        <v>1897</v>
      </c>
      <c r="G991" s="2" t="s">
        <v>424</v>
      </c>
      <c r="H991" s="3" t="s">
        <v>913</v>
      </c>
      <c r="I991" s="37" t="s">
        <v>88</v>
      </c>
      <c r="J991" s="31">
        <v>45707</v>
      </c>
      <c r="K991" s="31">
        <v>45710</v>
      </c>
      <c r="L991" s="31"/>
      <c r="M991" s="31"/>
      <c r="N991" s="31"/>
      <c r="O991" s="2" t="s">
        <v>425</v>
      </c>
    </row>
    <row r="992" spans="1:15">
      <c r="A992" s="3">
        <f t="shared" si="16"/>
        <v>991</v>
      </c>
      <c r="B992" s="42" t="s">
        <v>1898</v>
      </c>
      <c r="C992" s="2">
        <v>9703804477</v>
      </c>
      <c r="D992" s="6"/>
      <c r="E992" s="3" t="s">
        <v>1899</v>
      </c>
      <c r="F992" s="41" t="s">
        <v>1900</v>
      </c>
      <c r="G992" s="2" t="s">
        <v>295</v>
      </c>
      <c r="H992" s="2" t="s">
        <v>1544</v>
      </c>
      <c r="I992" s="37" t="s">
        <v>42</v>
      </c>
      <c r="J992" s="31">
        <v>45708</v>
      </c>
      <c r="K992" s="31">
        <v>45708</v>
      </c>
      <c r="L992" s="31">
        <v>45709</v>
      </c>
      <c r="M992" s="31"/>
      <c r="N992" s="31"/>
      <c r="O992" s="2" t="s">
        <v>297</v>
      </c>
    </row>
    <row r="993" spans="1:15">
      <c r="A993" s="3">
        <f t="shared" si="16"/>
        <v>992</v>
      </c>
      <c r="B993" s="42" t="s">
        <v>1901</v>
      </c>
      <c r="C993" s="2">
        <v>9959775463</v>
      </c>
      <c r="D993" s="6">
        <v>9177272702</v>
      </c>
      <c r="E993" s="3" t="s">
        <v>1902</v>
      </c>
      <c r="F993" s="41" t="s">
        <v>1903</v>
      </c>
      <c r="G993" s="2" t="s">
        <v>330</v>
      </c>
      <c r="H993" s="2" t="s">
        <v>41</v>
      </c>
      <c r="I993" s="37" t="s">
        <v>42</v>
      </c>
      <c r="J993" s="31">
        <v>45708</v>
      </c>
      <c r="K993" s="31">
        <v>45708</v>
      </c>
      <c r="L993" s="31">
        <v>45709</v>
      </c>
      <c r="M993" s="31">
        <v>45740</v>
      </c>
      <c r="N993" s="31">
        <v>45740</v>
      </c>
      <c r="O993" s="2" t="s">
        <v>297</v>
      </c>
    </row>
    <row r="994" spans="1:15">
      <c r="A994" s="3">
        <f t="shared" si="16"/>
        <v>993</v>
      </c>
      <c r="B994" s="77" t="s">
        <v>1904</v>
      </c>
      <c r="C994" s="36">
        <v>9618758527</v>
      </c>
      <c r="D994" s="6"/>
      <c r="E994" s="36" t="s">
        <v>110</v>
      </c>
      <c r="F994" s="72" t="s">
        <v>1905</v>
      </c>
      <c r="G994" s="2" t="s">
        <v>16</v>
      </c>
      <c r="H994" s="3" t="s">
        <v>1906</v>
      </c>
      <c r="I994" s="37" t="s">
        <v>42</v>
      </c>
      <c r="J994" s="31">
        <v>45709</v>
      </c>
      <c r="K994" s="31">
        <v>45713</v>
      </c>
      <c r="L994" s="31">
        <v>45721</v>
      </c>
      <c r="M994" s="31">
        <v>45775</v>
      </c>
      <c r="N994" s="31">
        <v>45775</v>
      </c>
      <c r="O994" s="2" t="s">
        <v>297</v>
      </c>
    </row>
    <row r="995" spans="1:15">
      <c r="A995" s="3">
        <f t="shared" si="16"/>
        <v>994</v>
      </c>
      <c r="B995" s="41" t="s">
        <v>1907</v>
      </c>
      <c r="C995" s="3">
        <v>8520928452</v>
      </c>
      <c r="D995" s="6"/>
      <c r="E995" s="3" t="s">
        <v>107</v>
      </c>
      <c r="F995" s="67" t="s">
        <v>1908</v>
      </c>
      <c r="G995" s="2" t="s">
        <v>16</v>
      </c>
      <c r="H995" s="3" t="s">
        <v>1906</v>
      </c>
      <c r="I995" s="37" t="s">
        <v>42</v>
      </c>
      <c r="J995" s="31">
        <v>45709</v>
      </c>
      <c r="K995" s="31">
        <v>45715</v>
      </c>
      <c r="L995" s="31">
        <v>45723</v>
      </c>
      <c r="M995" s="31">
        <v>45759</v>
      </c>
      <c r="N995" s="31">
        <v>45759</v>
      </c>
      <c r="O995" s="2" t="s">
        <v>297</v>
      </c>
    </row>
    <row r="996" spans="1:15">
      <c r="A996" s="3">
        <f t="shared" si="16"/>
        <v>995</v>
      </c>
      <c r="B996" s="41" t="s">
        <v>1909</v>
      </c>
      <c r="C996" s="3">
        <v>9618253476</v>
      </c>
      <c r="D996" s="6"/>
      <c r="E996" s="36" t="s">
        <v>110</v>
      </c>
      <c r="F996" s="67" t="s">
        <v>1910</v>
      </c>
      <c r="G996" s="2" t="s">
        <v>18</v>
      </c>
      <c r="H996" s="3" t="s">
        <v>1906</v>
      </c>
      <c r="I996" s="37" t="s">
        <v>42</v>
      </c>
      <c r="J996" s="31">
        <v>45709</v>
      </c>
      <c r="K996" s="31">
        <v>45716</v>
      </c>
      <c r="L996" s="31"/>
      <c r="M996" s="31"/>
      <c r="N996" s="31"/>
      <c r="O996" s="2" t="s">
        <v>297</v>
      </c>
    </row>
    <row r="997" spans="1:15">
      <c r="A997" s="3">
        <f t="shared" si="16"/>
        <v>996</v>
      </c>
      <c r="B997" s="41" t="s">
        <v>1911</v>
      </c>
      <c r="C997" s="3">
        <v>9515687900</v>
      </c>
      <c r="D997" s="6"/>
      <c r="E997" s="36" t="s">
        <v>113</v>
      </c>
      <c r="F997" s="67" t="s">
        <v>1912</v>
      </c>
      <c r="G997" s="3" t="s">
        <v>16</v>
      </c>
      <c r="H997" s="3" t="s">
        <v>1906</v>
      </c>
      <c r="I997" s="37" t="s">
        <v>42</v>
      </c>
      <c r="J997" s="31">
        <v>45709</v>
      </c>
      <c r="K997" s="31">
        <v>45716</v>
      </c>
      <c r="L997" s="31">
        <v>45723</v>
      </c>
      <c r="M997" s="31">
        <v>45786</v>
      </c>
      <c r="N997" s="31">
        <v>45782</v>
      </c>
      <c r="O997" s="2" t="s">
        <v>297</v>
      </c>
    </row>
    <row r="998" spans="1:15">
      <c r="A998" s="3">
        <f t="shared" si="16"/>
        <v>997</v>
      </c>
      <c r="B998" s="41" t="s">
        <v>1913</v>
      </c>
      <c r="C998" s="3">
        <v>7047001193</v>
      </c>
      <c r="D998" s="6"/>
      <c r="E998" s="36" t="s">
        <v>110</v>
      </c>
      <c r="F998" s="67" t="s">
        <v>1914</v>
      </c>
      <c r="G998" s="2" t="s">
        <v>330</v>
      </c>
      <c r="H998" s="3" t="s">
        <v>1906</v>
      </c>
      <c r="I998" s="37" t="s">
        <v>42</v>
      </c>
      <c r="J998" s="31">
        <v>45709</v>
      </c>
      <c r="K998" s="31">
        <v>45782</v>
      </c>
      <c r="L998" s="31">
        <v>45807</v>
      </c>
      <c r="M998" s="31">
        <v>45838</v>
      </c>
      <c r="N998" s="31">
        <v>45821</v>
      </c>
      <c r="O998" s="2" t="s">
        <v>297</v>
      </c>
    </row>
    <row r="999" spans="1:15">
      <c r="A999" s="3">
        <f t="shared" si="16"/>
        <v>998</v>
      </c>
      <c r="B999" s="41" t="s">
        <v>1915</v>
      </c>
      <c r="C999" s="3">
        <v>9014104221</v>
      </c>
      <c r="D999" s="6">
        <v>7330673883</v>
      </c>
      <c r="E999" s="36" t="s">
        <v>110</v>
      </c>
      <c r="F999" s="67" t="s">
        <v>1916</v>
      </c>
      <c r="G999" s="2" t="s">
        <v>764</v>
      </c>
      <c r="H999" s="22" t="s">
        <v>102</v>
      </c>
      <c r="I999" s="37" t="s">
        <v>42</v>
      </c>
      <c r="J999" s="31">
        <v>45709</v>
      </c>
      <c r="K999" s="31">
        <v>45728</v>
      </c>
      <c r="L999" s="31"/>
      <c r="M999" s="31"/>
      <c r="N999" s="31"/>
      <c r="O999" s="2" t="s">
        <v>425</v>
      </c>
    </row>
    <row r="1000" spans="1:15">
      <c r="A1000" s="3">
        <f t="shared" si="16"/>
        <v>999</v>
      </c>
      <c r="B1000" s="41" t="s">
        <v>1917</v>
      </c>
      <c r="C1000" s="3">
        <v>9795611109</v>
      </c>
      <c r="D1000" s="6"/>
      <c r="E1000" s="36" t="s">
        <v>110</v>
      </c>
      <c r="F1000" s="67" t="s">
        <v>1918</v>
      </c>
      <c r="G1000" s="2" t="s">
        <v>416</v>
      </c>
      <c r="H1000" s="3" t="s">
        <v>1906</v>
      </c>
      <c r="I1000" s="37" t="s">
        <v>42</v>
      </c>
      <c r="J1000" s="31">
        <v>45709</v>
      </c>
      <c r="K1000" s="31">
        <v>45716</v>
      </c>
      <c r="L1000" s="31"/>
      <c r="M1000" s="31"/>
      <c r="N1000" s="31"/>
      <c r="O1000" s="2" t="s">
        <v>297</v>
      </c>
    </row>
    <row r="1001" spans="1:15">
      <c r="A1001" s="3">
        <f t="shared" si="16"/>
        <v>1000</v>
      </c>
      <c r="B1001" s="77" t="s">
        <v>1919</v>
      </c>
      <c r="C1001" s="36">
        <v>6300301340</v>
      </c>
      <c r="D1001" s="6"/>
      <c r="E1001" s="36" t="s">
        <v>110</v>
      </c>
      <c r="F1001" s="72" t="s">
        <v>1920</v>
      </c>
      <c r="G1001" s="2" t="s">
        <v>416</v>
      </c>
      <c r="H1001" s="3" t="s">
        <v>1906</v>
      </c>
      <c r="I1001" s="37" t="s">
        <v>42</v>
      </c>
      <c r="J1001" s="31">
        <v>45709</v>
      </c>
      <c r="K1001" s="31">
        <v>45716</v>
      </c>
      <c r="L1001" s="31"/>
      <c r="M1001" s="31"/>
      <c r="N1001" s="31"/>
      <c r="O1001" s="2" t="s">
        <v>297</v>
      </c>
    </row>
    <row r="1002" spans="1:15">
      <c r="A1002" s="3">
        <f t="shared" si="16"/>
        <v>1001</v>
      </c>
      <c r="B1002" s="77" t="s">
        <v>1921</v>
      </c>
      <c r="C1002" s="36">
        <v>9652485751</v>
      </c>
      <c r="D1002" s="6"/>
      <c r="E1002" s="36" t="s">
        <v>458</v>
      </c>
      <c r="F1002" s="72" t="s">
        <v>1312</v>
      </c>
      <c r="G1002" s="3" t="s">
        <v>295</v>
      </c>
      <c r="H1002" s="2" t="s">
        <v>368</v>
      </c>
      <c r="I1002" s="37" t="s">
        <v>94</v>
      </c>
      <c r="J1002" s="31">
        <v>45706</v>
      </c>
      <c r="K1002" s="31">
        <v>45714</v>
      </c>
      <c r="L1002" s="31">
        <v>45728</v>
      </c>
      <c r="M1002" s="31">
        <v>45759</v>
      </c>
      <c r="N1002" s="31"/>
      <c r="O1002" s="2" t="s">
        <v>297</v>
      </c>
    </row>
    <row r="1003" spans="1:15">
      <c r="A1003" s="3">
        <f t="shared" si="16"/>
        <v>1002</v>
      </c>
      <c r="B1003" s="77" t="s">
        <v>1922</v>
      </c>
      <c r="C1003" s="36">
        <v>8479070057</v>
      </c>
      <c r="D1003" s="6"/>
      <c r="E1003" s="36" t="s">
        <v>1923</v>
      </c>
      <c r="F1003" s="72" t="s">
        <v>1312</v>
      </c>
      <c r="G1003" s="2" t="s">
        <v>424</v>
      </c>
      <c r="H1003" s="2" t="s">
        <v>368</v>
      </c>
      <c r="I1003" s="37" t="s">
        <v>94</v>
      </c>
      <c r="J1003" s="31">
        <v>45706</v>
      </c>
      <c r="K1003" s="31">
        <v>45714</v>
      </c>
      <c r="L1003" s="31"/>
      <c r="M1003" s="31"/>
      <c r="N1003" s="31"/>
      <c r="O1003" s="2" t="s">
        <v>425</v>
      </c>
    </row>
    <row r="1004" spans="1:15">
      <c r="A1004" s="3">
        <f t="shared" si="16"/>
        <v>1003</v>
      </c>
      <c r="B1004" s="77" t="s">
        <v>1924</v>
      </c>
      <c r="C1004" s="36">
        <v>8100192129</v>
      </c>
      <c r="D1004" s="6"/>
      <c r="E1004" s="36" t="s">
        <v>1923</v>
      </c>
      <c r="F1004" s="72" t="s">
        <v>308</v>
      </c>
      <c r="G1004" s="2" t="s">
        <v>295</v>
      </c>
      <c r="H1004" s="2" t="s">
        <v>368</v>
      </c>
      <c r="I1004" s="37" t="s">
        <v>94</v>
      </c>
      <c r="J1004" s="31">
        <v>45706</v>
      </c>
      <c r="K1004" s="31">
        <v>45714</v>
      </c>
      <c r="L1004" s="31">
        <v>45734</v>
      </c>
      <c r="M1004" s="31">
        <v>45772</v>
      </c>
      <c r="N1004" s="31"/>
      <c r="O1004" s="2" t="s">
        <v>297</v>
      </c>
    </row>
    <row r="1005" spans="1:15">
      <c r="A1005" s="3">
        <f t="shared" si="16"/>
        <v>1004</v>
      </c>
      <c r="B1005" s="77" t="s">
        <v>1925</v>
      </c>
      <c r="C1005" s="36">
        <v>7381278903</v>
      </c>
      <c r="D1005" s="6"/>
      <c r="E1005" s="36" t="s">
        <v>1926</v>
      </c>
      <c r="F1005" s="72" t="s">
        <v>308</v>
      </c>
      <c r="G1005" s="2" t="s">
        <v>424</v>
      </c>
      <c r="H1005" s="2" t="s">
        <v>368</v>
      </c>
      <c r="I1005" s="37" t="s">
        <v>94</v>
      </c>
      <c r="J1005" s="31">
        <v>45706</v>
      </c>
      <c r="K1005" s="31">
        <v>45707</v>
      </c>
      <c r="L1005" s="31"/>
      <c r="M1005" s="31"/>
      <c r="N1005" s="31"/>
      <c r="O1005" s="2" t="s">
        <v>425</v>
      </c>
    </row>
    <row r="1006" spans="1:15">
      <c r="A1006" s="3">
        <f t="shared" si="16"/>
        <v>1005</v>
      </c>
      <c r="B1006" s="77" t="s">
        <v>1927</v>
      </c>
      <c r="C1006" s="36">
        <v>9455206413</v>
      </c>
      <c r="D1006" s="6"/>
      <c r="E1006" s="36" t="s">
        <v>1926</v>
      </c>
      <c r="F1006" s="72" t="s">
        <v>308</v>
      </c>
      <c r="G1006" s="2" t="s">
        <v>424</v>
      </c>
      <c r="H1006" s="2" t="s">
        <v>368</v>
      </c>
      <c r="I1006" s="37" t="s">
        <v>94</v>
      </c>
      <c r="J1006" s="31">
        <v>45706</v>
      </c>
      <c r="K1006" s="31">
        <v>45707</v>
      </c>
      <c r="L1006" s="31"/>
      <c r="M1006" s="31"/>
      <c r="N1006" s="31"/>
      <c r="O1006" s="2" t="s">
        <v>749</v>
      </c>
    </row>
    <row r="1007" spans="1:15">
      <c r="A1007" s="3">
        <f t="shared" si="16"/>
        <v>1006</v>
      </c>
      <c r="B1007" s="77" t="s">
        <v>1928</v>
      </c>
      <c r="C1007" s="36">
        <v>9798607228</v>
      </c>
      <c r="D1007" s="6"/>
      <c r="E1007" s="36" t="s">
        <v>1923</v>
      </c>
      <c r="F1007" s="72" t="s">
        <v>308</v>
      </c>
      <c r="G1007" s="2" t="s">
        <v>424</v>
      </c>
      <c r="H1007" s="2" t="s">
        <v>368</v>
      </c>
      <c r="I1007" s="37" t="s">
        <v>94</v>
      </c>
      <c r="J1007" s="31">
        <v>45706</v>
      </c>
      <c r="K1007" s="31">
        <v>45714</v>
      </c>
      <c r="L1007" s="31"/>
      <c r="M1007" s="31"/>
      <c r="N1007" s="31"/>
      <c r="O1007" s="2" t="s">
        <v>425</v>
      </c>
    </row>
    <row r="1008" spans="1:15">
      <c r="A1008" s="3">
        <f t="shared" si="16"/>
        <v>1007</v>
      </c>
      <c r="B1008" s="77" t="s">
        <v>1929</v>
      </c>
      <c r="C1008" s="36">
        <v>7382125267</v>
      </c>
      <c r="D1008" s="6"/>
      <c r="E1008" s="36" t="s">
        <v>1771</v>
      </c>
      <c r="F1008" s="72" t="s">
        <v>1930</v>
      </c>
      <c r="G1008" s="2" t="s">
        <v>295</v>
      </c>
      <c r="H1008" s="2" t="s">
        <v>785</v>
      </c>
      <c r="I1008" s="37" t="s">
        <v>88</v>
      </c>
      <c r="J1008" s="31">
        <v>45710</v>
      </c>
      <c r="K1008" s="31">
        <v>45717</v>
      </c>
      <c r="L1008" s="31">
        <v>45723</v>
      </c>
      <c r="M1008" s="31">
        <v>45754</v>
      </c>
      <c r="N1008" s="31"/>
      <c r="O1008" s="2" t="s">
        <v>297</v>
      </c>
    </row>
    <row r="1009" spans="1:15">
      <c r="A1009" s="3">
        <f t="shared" si="16"/>
        <v>1008</v>
      </c>
      <c r="B1009" s="77" t="s">
        <v>1931</v>
      </c>
      <c r="C1009" s="36">
        <v>8759216159</v>
      </c>
      <c r="D1009" s="6"/>
      <c r="E1009" s="36" t="s">
        <v>1771</v>
      </c>
      <c r="F1009" s="72" t="s">
        <v>1930</v>
      </c>
      <c r="G1009" s="2" t="s">
        <v>295</v>
      </c>
      <c r="H1009" s="2" t="s">
        <v>785</v>
      </c>
      <c r="I1009" s="37" t="s">
        <v>88</v>
      </c>
      <c r="J1009" s="31">
        <v>45710</v>
      </c>
      <c r="K1009" s="31">
        <v>45717</v>
      </c>
      <c r="L1009" s="31">
        <v>45721</v>
      </c>
      <c r="M1009" s="31">
        <v>45752</v>
      </c>
      <c r="N1009" s="31"/>
      <c r="O1009" s="2" t="s">
        <v>297</v>
      </c>
    </row>
    <row r="1010" spans="1:15">
      <c r="A1010" s="3">
        <f t="shared" si="16"/>
        <v>1009</v>
      </c>
      <c r="B1010" s="77" t="s">
        <v>1932</v>
      </c>
      <c r="C1010" s="36">
        <v>9134010355</v>
      </c>
      <c r="D1010" s="6"/>
      <c r="E1010" s="36" t="s">
        <v>1771</v>
      </c>
      <c r="F1010" s="72" t="s">
        <v>1930</v>
      </c>
      <c r="G1010" s="2" t="s">
        <v>18</v>
      </c>
      <c r="H1010" s="2" t="s">
        <v>785</v>
      </c>
      <c r="I1010" s="37" t="s">
        <v>88</v>
      </c>
      <c r="J1010" s="31">
        <v>45710</v>
      </c>
      <c r="K1010" s="31">
        <v>45716</v>
      </c>
      <c r="L1010" s="31"/>
      <c r="M1010" s="31"/>
      <c r="N1010" s="31"/>
      <c r="O1010" s="2" t="s">
        <v>297</v>
      </c>
    </row>
    <row r="1011" spans="1:15">
      <c r="A1011" s="3">
        <f t="shared" si="16"/>
        <v>1010</v>
      </c>
      <c r="B1011" s="77" t="s">
        <v>1933</v>
      </c>
      <c r="C1011" s="36">
        <v>9123881951</v>
      </c>
      <c r="D1011" s="6"/>
      <c r="E1011" s="36" t="s">
        <v>1771</v>
      </c>
      <c r="F1011" s="72" t="s">
        <v>1930</v>
      </c>
      <c r="G1011" s="2" t="s">
        <v>424</v>
      </c>
      <c r="H1011" s="2" t="s">
        <v>785</v>
      </c>
      <c r="I1011" s="37" t="s">
        <v>88</v>
      </c>
      <c r="J1011" s="31">
        <v>45710</v>
      </c>
      <c r="K1011" s="31">
        <v>45717</v>
      </c>
      <c r="L1011" s="31"/>
      <c r="M1011" s="31"/>
      <c r="N1011" s="31"/>
      <c r="O1011" s="2" t="s">
        <v>425</v>
      </c>
    </row>
    <row r="1012" spans="1:15">
      <c r="A1012" s="3">
        <f t="shared" si="16"/>
        <v>1011</v>
      </c>
      <c r="B1012" s="42" t="s">
        <v>1934</v>
      </c>
      <c r="C1012" s="2">
        <v>9634846632</v>
      </c>
      <c r="D1012" s="6">
        <v>8433116699</v>
      </c>
      <c r="E1012" s="3" t="s">
        <v>1148</v>
      </c>
      <c r="F1012" s="42" t="s">
        <v>1935</v>
      </c>
      <c r="G1012" s="2" t="s">
        <v>16</v>
      </c>
      <c r="H1012" s="2" t="s">
        <v>352</v>
      </c>
      <c r="I1012" s="37" t="s">
        <v>94</v>
      </c>
      <c r="J1012" s="31">
        <v>45712</v>
      </c>
      <c r="K1012" s="31">
        <v>45719</v>
      </c>
      <c r="L1012" s="31">
        <v>45723</v>
      </c>
      <c r="M1012" s="31">
        <v>45733</v>
      </c>
      <c r="N1012" s="31">
        <v>45736</v>
      </c>
      <c r="O1012" s="2" t="s">
        <v>297</v>
      </c>
    </row>
    <row r="1013" spans="1:15">
      <c r="A1013" s="3">
        <f t="shared" si="16"/>
        <v>1012</v>
      </c>
      <c r="B1013" s="42" t="s">
        <v>1936</v>
      </c>
      <c r="C1013" s="2">
        <v>9305994853</v>
      </c>
      <c r="D1013" s="6">
        <v>8933963670</v>
      </c>
      <c r="E1013" s="3" t="s">
        <v>1937</v>
      </c>
      <c r="F1013" s="42" t="s">
        <v>1935</v>
      </c>
      <c r="G1013" s="3" t="s">
        <v>16</v>
      </c>
      <c r="H1013" s="2" t="s">
        <v>352</v>
      </c>
      <c r="I1013" s="37" t="s">
        <v>94</v>
      </c>
      <c r="J1013" s="31">
        <v>45939</v>
      </c>
      <c r="K1013" s="31">
        <v>45940</v>
      </c>
      <c r="L1013" s="31">
        <v>45947</v>
      </c>
      <c r="M1013" s="31">
        <v>45978</v>
      </c>
      <c r="N1013" s="31">
        <v>45983</v>
      </c>
      <c r="O1013" s="2" t="s">
        <v>297</v>
      </c>
    </row>
    <row r="1014" spans="1:15">
      <c r="A1014" s="3">
        <f t="shared" si="16"/>
        <v>1013</v>
      </c>
      <c r="B1014" s="42" t="s">
        <v>1938</v>
      </c>
      <c r="C1014" s="2">
        <v>7014694022</v>
      </c>
      <c r="D1014" s="6"/>
      <c r="E1014" s="3" t="s">
        <v>980</v>
      </c>
      <c r="F1014" s="42" t="s">
        <v>1935</v>
      </c>
      <c r="G1014" s="2" t="s">
        <v>424</v>
      </c>
      <c r="H1014" s="2" t="s">
        <v>352</v>
      </c>
      <c r="I1014" s="37" t="s">
        <v>94</v>
      </c>
      <c r="J1014" s="31">
        <v>45712</v>
      </c>
      <c r="K1014" s="31">
        <v>45719</v>
      </c>
      <c r="L1014" s="31"/>
      <c r="M1014" s="31"/>
      <c r="N1014" s="31"/>
      <c r="O1014" s="2" t="s">
        <v>425</v>
      </c>
    </row>
    <row r="1015" spans="1:15">
      <c r="A1015" s="3">
        <f t="shared" si="16"/>
        <v>1014</v>
      </c>
      <c r="B1015" s="42" t="s">
        <v>1939</v>
      </c>
      <c r="C1015" s="2">
        <v>9619736452</v>
      </c>
      <c r="D1015" s="6"/>
      <c r="E1015" s="3" t="s">
        <v>980</v>
      </c>
      <c r="F1015" s="42" t="s">
        <v>1935</v>
      </c>
      <c r="G1015" s="2" t="s">
        <v>16</v>
      </c>
      <c r="H1015" s="2" t="s">
        <v>352</v>
      </c>
      <c r="I1015" s="37" t="s">
        <v>94</v>
      </c>
      <c r="J1015" s="31">
        <v>45712</v>
      </c>
      <c r="K1015" s="31">
        <v>45719</v>
      </c>
      <c r="L1015" s="31">
        <v>45723</v>
      </c>
      <c r="M1015" s="31">
        <v>45738</v>
      </c>
      <c r="N1015" s="31">
        <v>45741</v>
      </c>
      <c r="O1015" s="2" t="s">
        <v>297</v>
      </c>
    </row>
    <row r="1016" spans="1:15">
      <c r="A1016" s="3">
        <f t="shared" si="16"/>
        <v>1015</v>
      </c>
      <c r="B1016" s="42" t="s">
        <v>1940</v>
      </c>
      <c r="C1016" s="2">
        <v>9935970439</v>
      </c>
      <c r="D1016" s="6"/>
      <c r="E1016" s="3" t="s">
        <v>980</v>
      </c>
      <c r="F1016" s="42" t="s">
        <v>1935</v>
      </c>
      <c r="G1016" s="2" t="s">
        <v>424</v>
      </c>
      <c r="H1016" s="2" t="s">
        <v>352</v>
      </c>
      <c r="I1016" s="37" t="s">
        <v>94</v>
      </c>
      <c r="J1016" s="31">
        <v>45712</v>
      </c>
      <c r="K1016" s="31">
        <v>45719</v>
      </c>
      <c r="L1016" s="31"/>
      <c r="M1016" s="31"/>
      <c r="N1016" s="31"/>
      <c r="O1016" s="2" t="s">
        <v>425</v>
      </c>
    </row>
    <row r="1017" spans="1:15">
      <c r="A1017" s="3">
        <f t="shared" si="16"/>
        <v>1016</v>
      </c>
      <c r="B1017" s="42" t="s">
        <v>1941</v>
      </c>
      <c r="C1017" s="2">
        <v>9581848214</v>
      </c>
      <c r="D1017" s="6"/>
      <c r="E1017" s="3" t="s">
        <v>635</v>
      </c>
      <c r="F1017" s="42" t="s">
        <v>1942</v>
      </c>
      <c r="G1017" s="2" t="s">
        <v>295</v>
      </c>
      <c r="H1017" s="3" t="s">
        <v>630</v>
      </c>
      <c r="I1017" s="37" t="s">
        <v>94</v>
      </c>
      <c r="J1017" s="31">
        <v>45712</v>
      </c>
      <c r="K1017" s="31">
        <v>45724</v>
      </c>
      <c r="L1017" s="31">
        <v>45737</v>
      </c>
      <c r="M1017" s="31">
        <v>45759</v>
      </c>
      <c r="N1017" s="31"/>
      <c r="O1017" s="2" t="s">
        <v>297</v>
      </c>
    </row>
    <row r="1018" spans="1:15">
      <c r="A1018" s="3">
        <f t="shared" ref="A1018:A1081" si="17">ROW()-1</f>
        <v>1017</v>
      </c>
      <c r="B1018" s="42" t="s">
        <v>1943</v>
      </c>
      <c r="C1018" s="2">
        <v>7699034734</v>
      </c>
      <c r="D1018" s="6"/>
      <c r="E1018" s="3" t="s">
        <v>632</v>
      </c>
      <c r="F1018" s="42" t="s">
        <v>1942</v>
      </c>
      <c r="G1018" s="2" t="s">
        <v>416</v>
      </c>
      <c r="H1018" s="3" t="s">
        <v>630</v>
      </c>
      <c r="I1018" s="37" t="s">
        <v>94</v>
      </c>
      <c r="J1018" s="31">
        <v>45712</v>
      </c>
      <c r="K1018" s="31">
        <v>45723</v>
      </c>
      <c r="L1018" s="31"/>
      <c r="M1018" s="31"/>
      <c r="N1018" s="31"/>
      <c r="O1018" s="2" t="s">
        <v>297</v>
      </c>
    </row>
    <row r="1019" spans="1:15">
      <c r="A1019" s="3">
        <f t="shared" si="17"/>
        <v>1018</v>
      </c>
      <c r="B1019" s="42" t="s">
        <v>1944</v>
      </c>
      <c r="C1019" s="2">
        <v>9670461386</v>
      </c>
      <c r="D1019" s="6"/>
      <c r="E1019" s="3" t="s">
        <v>640</v>
      </c>
      <c r="F1019" s="42" t="s">
        <v>294</v>
      </c>
      <c r="G1019" s="2" t="s">
        <v>764</v>
      </c>
      <c r="H1019" s="3" t="s">
        <v>630</v>
      </c>
      <c r="I1019" s="37" t="s">
        <v>94</v>
      </c>
      <c r="J1019" s="31">
        <v>45712</v>
      </c>
      <c r="K1019" s="31">
        <v>45723</v>
      </c>
      <c r="L1019" s="31"/>
      <c r="M1019" s="31"/>
      <c r="N1019" s="31"/>
      <c r="O1019" s="2" t="s">
        <v>425</v>
      </c>
    </row>
    <row r="1020" spans="1:15">
      <c r="A1020" s="3">
        <f t="shared" si="17"/>
        <v>1019</v>
      </c>
      <c r="B1020" s="42" t="s">
        <v>1945</v>
      </c>
      <c r="C1020" s="2">
        <v>7071180208</v>
      </c>
      <c r="D1020" s="6"/>
      <c r="E1020" s="3" t="s">
        <v>640</v>
      </c>
      <c r="F1020" s="42" t="s">
        <v>294</v>
      </c>
      <c r="G1020" s="2" t="s">
        <v>764</v>
      </c>
      <c r="H1020" s="3" t="s">
        <v>630</v>
      </c>
      <c r="I1020" s="37" t="s">
        <v>94</v>
      </c>
      <c r="J1020" s="31">
        <v>45712</v>
      </c>
      <c r="K1020" s="31">
        <v>45723</v>
      </c>
      <c r="L1020" s="31"/>
      <c r="M1020" s="31"/>
      <c r="N1020" s="31"/>
      <c r="O1020" s="2" t="s">
        <v>425</v>
      </c>
    </row>
    <row r="1021" spans="1:15">
      <c r="A1021" s="3">
        <f t="shared" si="17"/>
        <v>1020</v>
      </c>
      <c r="B1021" s="42" t="s">
        <v>1946</v>
      </c>
      <c r="C1021" s="2">
        <v>8250313908</v>
      </c>
      <c r="D1021" s="6"/>
      <c r="E1021" s="3" t="s">
        <v>640</v>
      </c>
      <c r="F1021" s="42" t="s">
        <v>294</v>
      </c>
      <c r="G1021" s="2" t="s">
        <v>764</v>
      </c>
      <c r="H1021" s="3" t="s">
        <v>630</v>
      </c>
      <c r="I1021" s="37" t="s">
        <v>94</v>
      </c>
      <c r="J1021" s="31">
        <v>45712</v>
      </c>
      <c r="K1021" s="31">
        <v>45717</v>
      </c>
      <c r="L1021" s="31"/>
      <c r="M1021" s="31"/>
      <c r="N1021" s="31"/>
      <c r="O1021" s="2" t="s">
        <v>425</v>
      </c>
    </row>
    <row r="1022" spans="1:15">
      <c r="A1022" s="3">
        <f t="shared" si="17"/>
        <v>1021</v>
      </c>
      <c r="B1022" s="42" t="s">
        <v>1947</v>
      </c>
      <c r="C1022" s="2">
        <v>7086680369</v>
      </c>
      <c r="D1022" s="6"/>
      <c r="E1022" s="3" t="s">
        <v>640</v>
      </c>
      <c r="F1022" s="42" t="s">
        <v>294</v>
      </c>
      <c r="G1022" s="2" t="s">
        <v>424</v>
      </c>
      <c r="H1022" s="3" t="s">
        <v>630</v>
      </c>
      <c r="I1022" s="37" t="s">
        <v>94</v>
      </c>
      <c r="J1022" s="31">
        <v>45712</v>
      </c>
      <c r="K1022" s="31">
        <v>45724</v>
      </c>
      <c r="L1022" s="31"/>
      <c r="M1022" s="31"/>
      <c r="N1022" s="31"/>
      <c r="O1022" s="2" t="s">
        <v>425</v>
      </c>
    </row>
    <row r="1023" spans="1:15">
      <c r="A1023" s="3">
        <f t="shared" si="17"/>
        <v>1022</v>
      </c>
      <c r="B1023" s="42" t="s">
        <v>858</v>
      </c>
      <c r="C1023" s="2">
        <v>8287526166</v>
      </c>
      <c r="D1023" s="6"/>
      <c r="E1023" s="3" t="s">
        <v>640</v>
      </c>
      <c r="F1023" s="42" t="s">
        <v>294</v>
      </c>
      <c r="G1023" s="2" t="s">
        <v>295</v>
      </c>
      <c r="H1023" s="3" t="s">
        <v>630</v>
      </c>
      <c r="I1023" s="37" t="s">
        <v>94</v>
      </c>
      <c r="J1023" s="31">
        <v>45712</v>
      </c>
      <c r="K1023" s="31">
        <v>45713</v>
      </c>
      <c r="L1023" s="31">
        <v>45734</v>
      </c>
      <c r="M1023" s="31">
        <v>45769</v>
      </c>
      <c r="N1023" s="31"/>
      <c r="O1023" s="2" t="s">
        <v>297</v>
      </c>
    </row>
    <row r="1024" spans="1:15">
      <c r="A1024" s="3">
        <f t="shared" si="17"/>
        <v>1023</v>
      </c>
      <c r="B1024" s="42" t="s">
        <v>1948</v>
      </c>
      <c r="C1024" s="2">
        <v>8328875280</v>
      </c>
      <c r="D1024" s="6"/>
      <c r="E1024" s="3" t="s">
        <v>1949</v>
      </c>
      <c r="F1024" s="42" t="s">
        <v>616</v>
      </c>
      <c r="G1024" s="3" t="s">
        <v>16</v>
      </c>
      <c r="H1024" s="2" t="s">
        <v>1605</v>
      </c>
      <c r="I1024" s="37" t="s">
        <v>94</v>
      </c>
      <c r="J1024" s="31">
        <v>45712</v>
      </c>
      <c r="K1024" s="31">
        <v>45727</v>
      </c>
      <c r="L1024" s="31">
        <v>45727</v>
      </c>
      <c r="M1024" s="31">
        <v>45742</v>
      </c>
      <c r="N1024" s="31">
        <v>45748</v>
      </c>
      <c r="O1024" s="2" t="s">
        <v>297</v>
      </c>
    </row>
    <row r="1025" spans="1:15">
      <c r="A1025" s="3">
        <f t="shared" si="17"/>
        <v>1024</v>
      </c>
      <c r="B1025" s="42" t="s">
        <v>1950</v>
      </c>
      <c r="C1025" s="2">
        <v>9938655803</v>
      </c>
      <c r="D1025" s="6"/>
      <c r="E1025" s="3" t="s">
        <v>1949</v>
      </c>
      <c r="F1025" s="42" t="s">
        <v>616</v>
      </c>
      <c r="G1025" s="3" t="s">
        <v>416</v>
      </c>
      <c r="H1025" s="2" t="s">
        <v>1605</v>
      </c>
      <c r="I1025" s="37" t="s">
        <v>94</v>
      </c>
      <c r="J1025" s="31">
        <v>45712</v>
      </c>
      <c r="K1025" s="31">
        <v>45727</v>
      </c>
      <c r="L1025" s="31"/>
      <c r="M1025" s="31"/>
      <c r="N1025" s="31"/>
      <c r="O1025" s="2" t="s">
        <v>297</v>
      </c>
    </row>
    <row r="1026" spans="1:15">
      <c r="A1026" s="3">
        <f t="shared" si="17"/>
        <v>1025</v>
      </c>
      <c r="B1026" s="42" t="s">
        <v>1951</v>
      </c>
      <c r="C1026" s="2">
        <v>8008162194</v>
      </c>
      <c r="D1026" s="6"/>
      <c r="E1026" s="3" t="s">
        <v>1635</v>
      </c>
      <c r="F1026" s="42" t="s">
        <v>333</v>
      </c>
      <c r="G1026" s="3" t="s">
        <v>424</v>
      </c>
      <c r="H1026" s="2" t="s">
        <v>1186</v>
      </c>
      <c r="I1026" s="37" t="s">
        <v>94</v>
      </c>
      <c r="J1026" s="31">
        <v>45710</v>
      </c>
      <c r="K1026" s="31">
        <v>45722</v>
      </c>
      <c r="L1026" s="31"/>
      <c r="M1026" s="31"/>
      <c r="N1026" s="31"/>
      <c r="O1026" s="2" t="s">
        <v>425</v>
      </c>
    </row>
    <row r="1027" spans="1:15">
      <c r="A1027" s="3">
        <f t="shared" si="17"/>
        <v>1026</v>
      </c>
      <c r="B1027" s="42" t="s">
        <v>1952</v>
      </c>
      <c r="C1027" s="2">
        <v>9492394328</v>
      </c>
      <c r="D1027" s="6"/>
      <c r="E1027" s="3" t="s">
        <v>1622</v>
      </c>
      <c r="F1027" s="42" t="s">
        <v>920</v>
      </c>
      <c r="G1027" s="3" t="s">
        <v>424</v>
      </c>
      <c r="H1027" s="2" t="s">
        <v>1186</v>
      </c>
      <c r="I1027" s="37" t="s">
        <v>94</v>
      </c>
      <c r="J1027" s="31">
        <v>45710</v>
      </c>
      <c r="K1027" s="31">
        <v>45712</v>
      </c>
      <c r="L1027" s="31"/>
      <c r="M1027" s="31"/>
      <c r="N1027" s="31"/>
      <c r="O1027" s="2" t="s">
        <v>425</v>
      </c>
    </row>
    <row r="1028" spans="1:15">
      <c r="A1028" s="3">
        <f t="shared" si="17"/>
        <v>1027</v>
      </c>
      <c r="B1028" s="42" t="s">
        <v>1953</v>
      </c>
      <c r="C1028" s="2">
        <v>8367074069</v>
      </c>
      <c r="D1028" s="6"/>
      <c r="E1028" s="3" t="s">
        <v>1624</v>
      </c>
      <c r="F1028" s="42" t="s">
        <v>308</v>
      </c>
      <c r="G1028" s="3" t="s">
        <v>16</v>
      </c>
      <c r="H1028" s="2" t="s">
        <v>1186</v>
      </c>
      <c r="I1028" s="37" t="s">
        <v>94</v>
      </c>
      <c r="J1028" s="31">
        <v>45710</v>
      </c>
      <c r="K1028" s="31">
        <v>45712</v>
      </c>
      <c r="L1028" s="31">
        <v>45721</v>
      </c>
      <c r="M1028" s="31">
        <v>45785</v>
      </c>
      <c r="N1028" s="31">
        <v>45755</v>
      </c>
      <c r="O1028" s="2" t="s">
        <v>297</v>
      </c>
    </row>
    <row r="1029" spans="1:15">
      <c r="A1029" s="3">
        <f t="shared" si="17"/>
        <v>1028</v>
      </c>
      <c r="B1029" s="42" t="s">
        <v>1954</v>
      </c>
      <c r="C1029" s="2">
        <v>8309586476</v>
      </c>
      <c r="D1029" s="6"/>
      <c r="E1029" s="3" t="s">
        <v>1624</v>
      </c>
      <c r="F1029" s="42" t="s">
        <v>308</v>
      </c>
      <c r="G1029" s="3" t="s">
        <v>424</v>
      </c>
      <c r="H1029" s="2" t="s">
        <v>1186</v>
      </c>
      <c r="I1029" s="37" t="s">
        <v>94</v>
      </c>
      <c r="J1029" s="31">
        <v>45710</v>
      </c>
      <c r="K1029" s="31">
        <v>45713</v>
      </c>
      <c r="L1029" s="31"/>
      <c r="M1029" s="31"/>
      <c r="N1029" s="31"/>
      <c r="O1029" s="2" t="s">
        <v>425</v>
      </c>
    </row>
    <row r="1030" spans="1:15">
      <c r="A1030" s="3">
        <f t="shared" si="17"/>
        <v>1029</v>
      </c>
      <c r="B1030" s="42" t="s">
        <v>1955</v>
      </c>
      <c r="C1030" s="2">
        <v>8152924090</v>
      </c>
      <c r="D1030" s="6"/>
      <c r="E1030" s="3" t="s">
        <v>1624</v>
      </c>
      <c r="F1030" s="42" t="s">
        <v>308</v>
      </c>
      <c r="G1030" s="3" t="s">
        <v>416</v>
      </c>
      <c r="H1030" s="2" t="s">
        <v>1186</v>
      </c>
      <c r="I1030" s="37" t="s">
        <v>94</v>
      </c>
      <c r="J1030" s="31">
        <v>45710</v>
      </c>
      <c r="K1030" s="31">
        <v>45712</v>
      </c>
      <c r="L1030" s="31"/>
      <c r="M1030" s="31"/>
      <c r="N1030" s="31"/>
      <c r="O1030" s="2" t="s">
        <v>297</v>
      </c>
    </row>
    <row r="1031" spans="1:15">
      <c r="A1031" s="3">
        <f t="shared" si="17"/>
        <v>1030</v>
      </c>
      <c r="B1031" s="42" t="s">
        <v>1956</v>
      </c>
      <c r="C1031" s="2">
        <v>6300251511</v>
      </c>
      <c r="D1031" s="6"/>
      <c r="E1031" s="3" t="s">
        <v>1635</v>
      </c>
      <c r="F1031" s="42" t="s">
        <v>333</v>
      </c>
      <c r="G1031" s="3" t="s">
        <v>1175</v>
      </c>
      <c r="H1031" s="2" t="s">
        <v>1186</v>
      </c>
      <c r="I1031" s="37" t="s">
        <v>94</v>
      </c>
      <c r="J1031" s="31">
        <v>45710</v>
      </c>
      <c r="K1031" s="31"/>
      <c r="L1031" s="31"/>
      <c r="M1031" s="31"/>
      <c r="N1031" s="31"/>
      <c r="O1031" s="2" t="s">
        <v>1004</v>
      </c>
    </row>
    <row r="1032" spans="1:15">
      <c r="A1032" s="3">
        <f t="shared" si="17"/>
        <v>1031</v>
      </c>
      <c r="B1032" s="42" t="s">
        <v>1957</v>
      </c>
      <c r="C1032" s="2">
        <v>7979957046</v>
      </c>
      <c r="D1032" s="6"/>
      <c r="E1032" s="3" t="s">
        <v>1173</v>
      </c>
      <c r="F1032" s="42" t="s">
        <v>308</v>
      </c>
      <c r="G1032" s="3" t="s">
        <v>424</v>
      </c>
      <c r="H1032" s="2" t="s">
        <v>1186</v>
      </c>
      <c r="I1032" s="37" t="s">
        <v>94</v>
      </c>
      <c r="J1032" s="31">
        <v>45710</v>
      </c>
      <c r="K1032" s="31">
        <v>45712</v>
      </c>
      <c r="L1032" s="31"/>
      <c r="M1032" s="31"/>
      <c r="N1032" s="31"/>
      <c r="O1032" s="2" t="s">
        <v>425</v>
      </c>
    </row>
    <row r="1033" spans="1:15">
      <c r="A1033" s="3">
        <f t="shared" si="17"/>
        <v>1032</v>
      </c>
      <c r="B1033" s="42" t="s">
        <v>1958</v>
      </c>
      <c r="C1033" s="2">
        <v>7978466156</v>
      </c>
      <c r="D1033" s="6"/>
      <c r="E1033" s="3" t="s">
        <v>1624</v>
      </c>
      <c r="F1033" s="42" t="s">
        <v>308</v>
      </c>
      <c r="G1033" s="3" t="s">
        <v>295</v>
      </c>
      <c r="H1033" s="2" t="s">
        <v>1186</v>
      </c>
      <c r="I1033" s="37" t="s">
        <v>94</v>
      </c>
      <c r="J1033" s="31">
        <v>45710</v>
      </c>
      <c r="K1033" s="31">
        <v>45713</v>
      </c>
      <c r="L1033" s="31">
        <v>45734</v>
      </c>
      <c r="M1033" s="31">
        <v>45761</v>
      </c>
      <c r="N1033" s="31"/>
      <c r="O1033" s="2" t="s">
        <v>297</v>
      </c>
    </row>
    <row r="1034" spans="1:15">
      <c r="A1034" s="3">
        <f t="shared" si="17"/>
        <v>1033</v>
      </c>
      <c r="B1034" s="42" t="s">
        <v>1959</v>
      </c>
      <c r="C1034" s="2">
        <v>8249257129</v>
      </c>
      <c r="D1034" s="6"/>
      <c r="E1034" s="3" t="s">
        <v>1624</v>
      </c>
      <c r="F1034" s="42" t="s">
        <v>419</v>
      </c>
      <c r="G1034" s="3" t="s">
        <v>16</v>
      </c>
      <c r="H1034" s="2" t="s">
        <v>1186</v>
      </c>
      <c r="I1034" s="37" t="s">
        <v>94</v>
      </c>
      <c r="J1034" s="31">
        <v>45710</v>
      </c>
      <c r="K1034" s="31">
        <v>45713</v>
      </c>
      <c r="L1034" s="31">
        <v>45721</v>
      </c>
      <c r="M1034" s="31">
        <v>45752</v>
      </c>
      <c r="N1034" s="31">
        <v>45735</v>
      </c>
      <c r="O1034" s="2" t="s">
        <v>297</v>
      </c>
    </row>
    <row r="1035" spans="1:15">
      <c r="A1035" s="3">
        <f t="shared" si="17"/>
        <v>1034</v>
      </c>
      <c r="B1035" s="42" t="s">
        <v>1960</v>
      </c>
      <c r="C1035" s="2">
        <v>9381151200</v>
      </c>
      <c r="D1035" s="6"/>
      <c r="E1035" s="3" t="s">
        <v>1619</v>
      </c>
      <c r="F1035" s="42" t="s">
        <v>308</v>
      </c>
      <c r="G1035" s="3" t="s">
        <v>424</v>
      </c>
      <c r="H1035" s="2" t="s">
        <v>1186</v>
      </c>
      <c r="I1035" s="37" t="s">
        <v>94</v>
      </c>
      <c r="J1035" s="31">
        <v>45720</v>
      </c>
      <c r="K1035" s="31">
        <v>45722</v>
      </c>
      <c r="L1035" s="31"/>
      <c r="M1035" s="31"/>
      <c r="N1035" s="31"/>
      <c r="O1035" s="2" t="s">
        <v>425</v>
      </c>
    </row>
    <row r="1036" spans="1:15">
      <c r="A1036" s="3">
        <f t="shared" si="17"/>
        <v>1035</v>
      </c>
      <c r="B1036" s="42" t="s">
        <v>1961</v>
      </c>
      <c r="C1036" s="2">
        <v>9515549556</v>
      </c>
      <c r="D1036" s="6"/>
      <c r="E1036" s="3" t="s">
        <v>1624</v>
      </c>
      <c r="F1036" s="42" t="s">
        <v>308</v>
      </c>
      <c r="G1036" s="3" t="s">
        <v>424</v>
      </c>
      <c r="H1036" s="2" t="s">
        <v>1186</v>
      </c>
      <c r="I1036" s="37" t="s">
        <v>94</v>
      </c>
      <c r="J1036" s="31">
        <v>45720</v>
      </c>
      <c r="K1036" s="31">
        <v>45722</v>
      </c>
      <c r="L1036" s="31"/>
      <c r="M1036" s="31"/>
      <c r="N1036" s="31"/>
      <c r="O1036" s="2" t="s">
        <v>425</v>
      </c>
    </row>
    <row r="1037" spans="1:15">
      <c r="A1037" s="3">
        <f t="shared" si="17"/>
        <v>1036</v>
      </c>
      <c r="B1037" s="41" t="s">
        <v>1962</v>
      </c>
      <c r="C1037" s="3">
        <v>7084967866</v>
      </c>
      <c r="D1037" s="6"/>
      <c r="E1037" s="3" t="s">
        <v>1414</v>
      </c>
      <c r="F1037" s="68" t="s">
        <v>419</v>
      </c>
      <c r="G1037" s="3" t="s">
        <v>424</v>
      </c>
      <c r="H1037" s="3" t="s">
        <v>913</v>
      </c>
      <c r="I1037" s="37" t="s">
        <v>88</v>
      </c>
      <c r="J1037" s="31">
        <v>45712</v>
      </c>
      <c r="K1037" s="31">
        <v>45712</v>
      </c>
      <c r="L1037" s="31"/>
      <c r="M1037" s="31"/>
      <c r="N1037" s="31"/>
      <c r="O1037" s="2" t="s">
        <v>425</v>
      </c>
    </row>
    <row r="1038" spans="1:15">
      <c r="A1038" s="3">
        <f t="shared" si="17"/>
        <v>1037</v>
      </c>
      <c r="B1038" s="41" t="s">
        <v>1963</v>
      </c>
      <c r="C1038" s="3">
        <v>8926014505</v>
      </c>
      <c r="D1038" s="6"/>
      <c r="E1038" s="3" t="s">
        <v>1414</v>
      </c>
      <c r="F1038" s="68" t="s">
        <v>308</v>
      </c>
      <c r="G1038" s="3" t="s">
        <v>424</v>
      </c>
      <c r="H1038" s="3" t="s">
        <v>788</v>
      </c>
      <c r="I1038" s="37" t="s">
        <v>88</v>
      </c>
      <c r="J1038" s="31">
        <v>45712</v>
      </c>
      <c r="K1038" s="31">
        <v>45723</v>
      </c>
      <c r="L1038" s="31"/>
      <c r="M1038" s="31"/>
      <c r="N1038" s="31"/>
      <c r="O1038" s="2" t="s">
        <v>425</v>
      </c>
    </row>
    <row r="1039" spans="1:15">
      <c r="A1039" s="3">
        <f t="shared" si="17"/>
        <v>1038</v>
      </c>
      <c r="B1039" s="41" t="s">
        <v>1964</v>
      </c>
      <c r="C1039" s="3">
        <v>7470831436</v>
      </c>
      <c r="D1039" s="6"/>
      <c r="E1039" s="3" t="s">
        <v>1414</v>
      </c>
      <c r="F1039" s="68" t="s">
        <v>419</v>
      </c>
      <c r="G1039" s="3" t="s">
        <v>424</v>
      </c>
      <c r="H1039" s="3" t="s">
        <v>788</v>
      </c>
      <c r="I1039" s="37" t="s">
        <v>88</v>
      </c>
      <c r="J1039" s="31">
        <v>45712</v>
      </c>
      <c r="K1039" s="31">
        <v>45723</v>
      </c>
      <c r="L1039" s="31"/>
      <c r="M1039" s="31"/>
      <c r="N1039" s="31"/>
      <c r="O1039" s="2" t="s">
        <v>425</v>
      </c>
    </row>
    <row r="1040" spans="1:15">
      <c r="A1040" s="3">
        <f t="shared" si="17"/>
        <v>1039</v>
      </c>
      <c r="B1040" s="41" t="s">
        <v>1965</v>
      </c>
      <c r="C1040" s="3">
        <v>8651139272</v>
      </c>
      <c r="D1040" s="6"/>
      <c r="E1040" s="3" t="s">
        <v>1414</v>
      </c>
      <c r="F1040" s="68" t="s">
        <v>303</v>
      </c>
      <c r="G1040" s="3" t="s">
        <v>295</v>
      </c>
      <c r="H1040" s="3" t="s">
        <v>788</v>
      </c>
      <c r="I1040" s="37" t="s">
        <v>88</v>
      </c>
      <c r="J1040" s="31">
        <v>45712</v>
      </c>
      <c r="K1040" s="31">
        <v>45723</v>
      </c>
      <c r="L1040" s="31">
        <v>45729</v>
      </c>
      <c r="M1040" s="31">
        <v>45838</v>
      </c>
      <c r="N1040" s="31"/>
      <c r="O1040" s="2" t="s">
        <v>297</v>
      </c>
    </row>
    <row r="1041" spans="1:15">
      <c r="A1041" s="3">
        <f t="shared" si="17"/>
        <v>1040</v>
      </c>
      <c r="B1041" s="41" t="s">
        <v>1966</v>
      </c>
      <c r="C1041" s="3">
        <v>7816023742</v>
      </c>
      <c r="D1041" s="6"/>
      <c r="E1041" s="3" t="s">
        <v>1414</v>
      </c>
      <c r="F1041" s="68" t="s">
        <v>419</v>
      </c>
      <c r="G1041" s="3" t="s">
        <v>295</v>
      </c>
      <c r="H1041" s="3" t="s">
        <v>913</v>
      </c>
      <c r="I1041" s="37" t="s">
        <v>94</v>
      </c>
      <c r="J1041" s="31">
        <v>45712</v>
      </c>
      <c r="K1041" s="31">
        <v>45712</v>
      </c>
      <c r="L1041" s="31">
        <v>45721</v>
      </c>
      <c r="M1041" s="31">
        <v>45814</v>
      </c>
      <c r="N1041" s="31"/>
      <c r="O1041" s="2" t="s">
        <v>297</v>
      </c>
    </row>
    <row r="1042" spans="1:15">
      <c r="A1042" s="3">
        <f t="shared" si="17"/>
        <v>1041</v>
      </c>
      <c r="B1042" s="41" t="s">
        <v>1967</v>
      </c>
      <c r="C1042" s="3">
        <v>9289585319</v>
      </c>
      <c r="D1042" s="6"/>
      <c r="E1042" s="3" t="s">
        <v>1414</v>
      </c>
      <c r="F1042" s="68" t="s">
        <v>920</v>
      </c>
      <c r="G1042" s="3" t="s">
        <v>764</v>
      </c>
      <c r="H1042" s="3" t="s">
        <v>788</v>
      </c>
      <c r="I1042" s="37" t="s">
        <v>88</v>
      </c>
      <c r="J1042" s="31">
        <v>45712</v>
      </c>
      <c r="K1042" s="31">
        <v>45723</v>
      </c>
      <c r="L1042" s="31"/>
      <c r="M1042" s="31"/>
      <c r="N1042" s="31"/>
      <c r="O1042" s="2" t="s">
        <v>425</v>
      </c>
    </row>
    <row r="1043" spans="1:15">
      <c r="A1043" s="3">
        <f t="shared" si="17"/>
        <v>1042</v>
      </c>
      <c r="B1043" s="42" t="s">
        <v>1968</v>
      </c>
      <c r="C1043" s="3">
        <v>9121672976</v>
      </c>
      <c r="D1043" s="6"/>
      <c r="E1043" s="3" t="s">
        <v>1969</v>
      </c>
      <c r="F1043" s="42"/>
      <c r="G1043" s="3" t="s">
        <v>16</v>
      </c>
      <c r="H1043" s="2" t="s">
        <v>296</v>
      </c>
      <c r="I1043" s="37" t="s">
        <v>94</v>
      </c>
      <c r="J1043" s="31">
        <v>45689</v>
      </c>
      <c r="K1043" s="31">
        <v>45689</v>
      </c>
      <c r="L1043" s="31">
        <v>45689</v>
      </c>
      <c r="M1043" s="31">
        <v>45716</v>
      </c>
      <c r="N1043" s="31">
        <v>45698</v>
      </c>
      <c r="O1043" s="2" t="s">
        <v>297</v>
      </c>
    </row>
    <row r="1044" spans="1:15" ht="15.6">
      <c r="A1044" s="3">
        <f t="shared" si="17"/>
        <v>1043</v>
      </c>
      <c r="B1044" s="110" t="s">
        <v>1970</v>
      </c>
      <c r="C1044" s="3">
        <v>9713050917</v>
      </c>
      <c r="D1044" s="6"/>
      <c r="E1044" s="36" t="s">
        <v>851</v>
      </c>
      <c r="F1044" s="78" t="s">
        <v>1476</v>
      </c>
      <c r="G1044" s="3" t="s">
        <v>424</v>
      </c>
      <c r="H1044" s="2" t="s">
        <v>815</v>
      </c>
      <c r="I1044" s="37" t="s">
        <v>94</v>
      </c>
      <c r="J1044" s="31">
        <v>45712</v>
      </c>
      <c r="K1044" s="31">
        <v>45716</v>
      </c>
      <c r="L1044" s="31"/>
      <c r="M1044" s="31"/>
      <c r="N1044" s="31"/>
      <c r="O1044" s="2" t="s">
        <v>425</v>
      </c>
    </row>
    <row r="1045" spans="1:15" ht="15.6">
      <c r="A1045" s="3">
        <f t="shared" si="17"/>
        <v>1044</v>
      </c>
      <c r="B1045" s="110" t="s">
        <v>1971</v>
      </c>
      <c r="C1045" s="3">
        <v>9637308780</v>
      </c>
      <c r="D1045" s="6"/>
      <c r="E1045" s="36" t="s">
        <v>851</v>
      </c>
      <c r="F1045" s="78" t="s">
        <v>1476</v>
      </c>
      <c r="G1045" s="3" t="s">
        <v>424</v>
      </c>
      <c r="H1045" s="2" t="s">
        <v>815</v>
      </c>
      <c r="I1045" s="37" t="s">
        <v>94</v>
      </c>
      <c r="J1045" s="31">
        <v>45712</v>
      </c>
      <c r="K1045" s="31">
        <v>45716</v>
      </c>
      <c r="L1045" s="31"/>
      <c r="M1045" s="31"/>
      <c r="N1045" s="31"/>
      <c r="O1045" s="2" t="s">
        <v>425</v>
      </c>
    </row>
    <row r="1046" spans="1:15" ht="15.6">
      <c r="A1046" s="3">
        <f t="shared" si="17"/>
        <v>1045</v>
      </c>
      <c r="B1046" s="110" t="s">
        <v>1972</v>
      </c>
      <c r="C1046" s="3">
        <v>8778194241</v>
      </c>
      <c r="D1046" s="6"/>
      <c r="E1046" s="36" t="s">
        <v>402</v>
      </c>
      <c r="F1046" s="78" t="s">
        <v>1973</v>
      </c>
      <c r="G1046" s="3" t="s">
        <v>330</v>
      </c>
      <c r="H1046" s="2" t="s">
        <v>815</v>
      </c>
      <c r="I1046" s="37" t="s">
        <v>88</v>
      </c>
      <c r="J1046" s="31">
        <v>45712</v>
      </c>
      <c r="K1046" s="31">
        <v>45716</v>
      </c>
      <c r="L1046" s="31">
        <v>45721</v>
      </c>
      <c r="M1046" s="31">
        <v>45777</v>
      </c>
      <c r="N1046" s="31">
        <v>45777</v>
      </c>
      <c r="O1046" s="2" t="s">
        <v>297</v>
      </c>
    </row>
    <row r="1047" spans="1:15" ht="15.6">
      <c r="A1047" s="3">
        <f t="shared" si="17"/>
        <v>1046</v>
      </c>
      <c r="B1047" s="110" t="s">
        <v>1974</v>
      </c>
      <c r="C1047" s="3">
        <v>9179039868</v>
      </c>
      <c r="D1047" s="6"/>
      <c r="E1047" s="36" t="s">
        <v>1593</v>
      </c>
      <c r="F1047" s="78" t="s">
        <v>1975</v>
      </c>
      <c r="G1047" s="3" t="s">
        <v>416</v>
      </c>
      <c r="H1047" s="2" t="s">
        <v>815</v>
      </c>
      <c r="I1047" s="37" t="s">
        <v>94</v>
      </c>
      <c r="J1047" s="31">
        <v>45712</v>
      </c>
      <c r="K1047" s="31">
        <v>45716</v>
      </c>
      <c r="L1047" s="31"/>
      <c r="M1047" s="31"/>
      <c r="N1047" s="31"/>
      <c r="O1047" s="2" t="s">
        <v>297</v>
      </c>
    </row>
    <row r="1048" spans="1:15" ht="15.6">
      <c r="A1048" s="3">
        <f t="shared" si="17"/>
        <v>1047</v>
      </c>
      <c r="B1048" s="110" t="s">
        <v>1775</v>
      </c>
      <c r="C1048" s="3">
        <v>9122122040</v>
      </c>
      <c r="D1048" s="6"/>
      <c r="E1048" s="36" t="s">
        <v>851</v>
      </c>
      <c r="F1048" s="78" t="s">
        <v>1476</v>
      </c>
      <c r="G1048" s="3" t="s">
        <v>416</v>
      </c>
      <c r="H1048" s="2" t="s">
        <v>815</v>
      </c>
      <c r="I1048" s="37" t="s">
        <v>94</v>
      </c>
      <c r="J1048" s="31">
        <v>45712</v>
      </c>
      <c r="K1048" s="31">
        <v>45716</v>
      </c>
      <c r="L1048" s="31"/>
      <c r="M1048" s="31"/>
      <c r="N1048" s="31"/>
      <c r="O1048" s="2" t="s">
        <v>297</v>
      </c>
    </row>
    <row r="1049" spans="1:15" ht="15.6">
      <c r="A1049" s="3">
        <f t="shared" si="17"/>
        <v>1048</v>
      </c>
      <c r="B1049" s="110" t="s">
        <v>1344</v>
      </c>
      <c r="C1049" s="3">
        <v>7701922849</v>
      </c>
      <c r="D1049" s="6"/>
      <c r="E1049" s="36" t="s">
        <v>402</v>
      </c>
      <c r="F1049" s="78" t="s">
        <v>1973</v>
      </c>
      <c r="G1049" s="3" t="s">
        <v>16</v>
      </c>
      <c r="H1049" s="2" t="s">
        <v>815</v>
      </c>
      <c r="I1049" s="37" t="s">
        <v>88</v>
      </c>
      <c r="J1049" s="31">
        <v>45712</v>
      </c>
      <c r="K1049" s="31">
        <v>45716</v>
      </c>
      <c r="L1049" s="31">
        <v>45721</v>
      </c>
      <c r="M1049" s="31">
        <v>45752</v>
      </c>
      <c r="N1049" s="31">
        <v>45752</v>
      </c>
      <c r="O1049" s="2" t="s">
        <v>297</v>
      </c>
    </row>
    <row r="1050" spans="1:15" ht="15.6">
      <c r="A1050" s="3">
        <f t="shared" si="17"/>
        <v>1049</v>
      </c>
      <c r="B1050" s="110" t="s">
        <v>1976</v>
      </c>
      <c r="C1050" s="3">
        <v>7080934116</v>
      </c>
      <c r="D1050" s="6"/>
      <c r="E1050" s="36" t="s">
        <v>1593</v>
      </c>
      <c r="F1050" s="78" t="s">
        <v>1975</v>
      </c>
      <c r="G1050" s="3" t="s">
        <v>295</v>
      </c>
      <c r="H1050" s="2" t="s">
        <v>815</v>
      </c>
      <c r="I1050" s="37" t="s">
        <v>94</v>
      </c>
      <c r="J1050" s="31">
        <v>45712</v>
      </c>
      <c r="K1050" s="31">
        <v>45716</v>
      </c>
      <c r="L1050" s="31">
        <v>45721</v>
      </c>
      <c r="M1050" s="31">
        <v>45771</v>
      </c>
      <c r="N1050" s="31"/>
      <c r="O1050" s="2" t="s">
        <v>297</v>
      </c>
    </row>
    <row r="1051" spans="1:15" ht="15.6">
      <c r="A1051" s="3">
        <f t="shared" si="17"/>
        <v>1050</v>
      </c>
      <c r="B1051" s="110" t="s">
        <v>1977</v>
      </c>
      <c r="C1051" s="3">
        <v>8115353912</v>
      </c>
      <c r="D1051" s="6"/>
      <c r="E1051" s="36" t="s">
        <v>1732</v>
      </c>
      <c r="F1051" s="78" t="s">
        <v>1973</v>
      </c>
      <c r="G1051" s="3" t="s">
        <v>424</v>
      </c>
      <c r="H1051" s="2" t="s">
        <v>815</v>
      </c>
      <c r="I1051" s="37" t="s">
        <v>94</v>
      </c>
      <c r="J1051" s="31">
        <v>45712</v>
      </c>
      <c r="K1051" s="31">
        <v>45716</v>
      </c>
      <c r="L1051" s="31"/>
      <c r="M1051" s="31"/>
      <c r="N1051" s="31"/>
      <c r="O1051" s="2" t="s">
        <v>425</v>
      </c>
    </row>
    <row r="1052" spans="1:15" ht="15.6">
      <c r="A1052" s="3">
        <f t="shared" si="17"/>
        <v>1051</v>
      </c>
      <c r="B1052" s="110" t="s">
        <v>1978</v>
      </c>
      <c r="C1052" s="3">
        <v>8329701909</v>
      </c>
      <c r="D1052" s="6"/>
      <c r="E1052" s="36" t="s">
        <v>1593</v>
      </c>
      <c r="F1052" s="78" t="s">
        <v>1975</v>
      </c>
      <c r="G1052" s="3" t="s">
        <v>424</v>
      </c>
      <c r="H1052" s="2" t="s">
        <v>815</v>
      </c>
      <c r="I1052" s="37" t="s">
        <v>94</v>
      </c>
      <c r="J1052" s="31">
        <v>45712</v>
      </c>
      <c r="K1052" s="31">
        <v>45716</v>
      </c>
      <c r="L1052" s="31"/>
      <c r="M1052" s="31"/>
      <c r="N1052" s="31"/>
      <c r="O1052" s="2" t="s">
        <v>425</v>
      </c>
    </row>
    <row r="1053" spans="1:15" ht="15.6">
      <c r="A1053" s="3">
        <f t="shared" si="17"/>
        <v>1052</v>
      </c>
      <c r="B1053" s="110" t="s">
        <v>1979</v>
      </c>
      <c r="C1053" s="3">
        <v>9468902706</v>
      </c>
      <c r="D1053" s="6"/>
      <c r="E1053" s="36" t="s">
        <v>1593</v>
      </c>
      <c r="F1053" s="78" t="s">
        <v>1975</v>
      </c>
      <c r="G1053" s="3" t="s">
        <v>424</v>
      </c>
      <c r="H1053" s="2" t="s">
        <v>815</v>
      </c>
      <c r="I1053" s="37" t="s">
        <v>94</v>
      </c>
      <c r="J1053" s="31">
        <v>45712</v>
      </c>
      <c r="K1053" s="31">
        <v>45716</v>
      </c>
      <c r="L1053" s="31"/>
      <c r="M1053" s="31"/>
      <c r="N1053" s="31"/>
      <c r="O1053" s="2" t="s">
        <v>425</v>
      </c>
    </row>
    <row r="1054" spans="1:15" ht="15.6">
      <c r="A1054" s="3">
        <f t="shared" si="17"/>
        <v>1053</v>
      </c>
      <c r="B1054" s="110" t="s">
        <v>1980</v>
      </c>
      <c r="C1054" s="2">
        <v>8919111487</v>
      </c>
      <c r="D1054" s="6"/>
      <c r="E1054" s="36" t="s">
        <v>1038</v>
      </c>
      <c r="F1054" s="78" t="s">
        <v>1981</v>
      </c>
      <c r="G1054" s="3" t="s">
        <v>424</v>
      </c>
      <c r="H1054" s="2" t="s">
        <v>1186</v>
      </c>
      <c r="I1054" s="37" t="s">
        <v>88</v>
      </c>
      <c r="J1054" s="31">
        <v>45712</v>
      </c>
      <c r="K1054" s="31">
        <v>45719</v>
      </c>
      <c r="L1054" s="31"/>
      <c r="M1054" s="31"/>
      <c r="N1054" s="31"/>
      <c r="O1054" s="2" t="s">
        <v>425</v>
      </c>
    </row>
    <row r="1055" spans="1:15" ht="15.6">
      <c r="A1055" s="3">
        <f t="shared" si="17"/>
        <v>1054</v>
      </c>
      <c r="B1055" s="110" t="s">
        <v>1982</v>
      </c>
      <c r="C1055" s="2">
        <v>9502437756</v>
      </c>
      <c r="D1055" s="6"/>
      <c r="E1055" s="36" t="s">
        <v>1208</v>
      </c>
      <c r="F1055" s="78" t="s">
        <v>1446</v>
      </c>
      <c r="G1055" s="3" t="s">
        <v>416</v>
      </c>
      <c r="H1055" s="2" t="s">
        <v>1186</v>
      </c>
      <c r="I1055" s="37" t="s">
        <v>88</v>
      </c>
      <c r="J1055" s="31">
        <v>45712</v>
      </c>
      <c r="K1055" s="31">
        <v>45719</v>
      </c>
      <c r="L1055" s="31"/>
      <c r="M1055" s="31"/>
      <c r="N1055" s="31"/>
      <c r="O1055" s="2" t="s">
        <v>297</v>
      </c>
    </row>
    <row r="1056" spans="1:15" ht="15.6">
      <c r="A1056" s="3">
        <f t="shared" si="17"/>
        <v>1055</v>
      </c>
      <c r="B1056" s="110" t="s">
        <v>1983</v>
      </c>
      <c r="C1056" s="2">
        <v>9542200455</v>
      </c>
      <c r="D1056" s="6"/>
      <c r="E1056" s="36" t="s">
        <v>1185</v>
      </c>
      <c r="F1056" s="78" t="s">
        <v>1984</v>
      </c>
      <c r="G1056" s="3" t="s">
        <v>16</v>
      </c>
      <c r="H1056" s="2" t="s">
        <v>1186</v>
      </c>
      <c r="I1056" s="37" t="s">
        <v>88</v>
      </c>
      <c r="J1056" s="31">
        <v>45712</v>
      </c>
      <c r="K1056" s="31">
        <v>45719</v>
      </c>
      <c r="L1056" s="31">
        <v>45727</v>
      </c>
      <c r="M1056" s="31">
        <v>45814</v>
      </c>
      <c r="N1056" s="31">
        <v>45814</v>
      </c>
      <c r="O1056" s="2" t="s">
        <v>297</v>
      </c>
    </row>
    <row r="1057" spans="1:15" ht="15.6">
      <c r="A1057" s="3">
        <f t="shared" si="17"/>
        <v>1056</v>
      </c>
      <c r="B1057" s="110" t="s">
        <v>1985</v>
      </c>
      <c r="C1057" s="2">
        <v>9618100566</v>
      </c>
      <c r="D1057" s="6"/>
      <c r="E1057" s="36" t="s">
        <v>1185</v>
      </c>
      <c r="F1057" s="78" t="s">
        <v>1986</v>
      </c>
      <c r="G1057" s="3" t="s">
        <v>424</v>
      </c>
      <c r="H1057" s="2" t="s">
        <v>1186</v>
      </c>
      <c r="I1057" s="37" t="s">
        <v>88</v>
      </c>
      <c r="J1057" s="31">
        <v>45712</v>
      </c>
      <c r="K1057" s="31">
        <v>45724</v>
      </c>
      <c r="L1057" s="31"/>
      <c r="M1057" s="31"/>
      <c r="N1057" s="31"/>
      <c r="O1057" s="2" t="s">
        <v>425</v>
      </c>
    </row>
    <row r="1058" spans="1:15" ht="15.6">
      <c r="A1058" s="3">
        <f t="shared" si="17"/>
        <v>1057</v>
      </c>
      <c r="B1058" s="110" t="s">
        <v>1987</v>
      </c>
      <c r="C1058" s="2">
        <v>9100055724</v>
      </c>
      <c r="D1058" s="6"/>
      <c r="E1058" s="36" t="s">
        <v>1185</v>
      </c>
      <c r="F1058" s="78" t="s">
        <v>1174</v>
      </c>
      <c r="G1058" s="3" t="s">
        <v>424</v>
      </c>
      <c r="H1058" s="2" t="s">
        <v>1186</v>
      </c>
      <c r="I1058" s="37" t="s">
        <v>88</v>
      </c>
      <c r="J1058" s="31">
        <v>45712</v>
      </c>
      <c r="K1058" s="31">
        <v>45719</v>
      </c>
      <c r="L1058" s="31"/>
      <c r="M1058" s="31"/>
      <c r="N1058" s="31"/>
      <c r="O1058" s="2" t="s">
        <v>425</v>
      </c>
    </row>
    <row r="1059" spans="1:15" ht="15.6">
      <c r="A1059" s="3">
        <f t="shared" si="17"/>
        <v>1058</v>
      </c>
      <c r="B1059" s="110" t="s">
        <v>1988</v>
      </c>
      <c r="C1059" s="2">
        <v>7569025524</v>
      </c>
      <c r="D1059" s="6"/>
      <c r="E1059" s="36" t="s">
        <v>1795</v>
      </c>
      <c r="F1059" s="78" t="s">
        <v>1989</v>
      </c>
      <c r="G1059" s="3" t="s">
        <v>16</v>
      </c>
      <c r="H1059" s="2" t="s">
        <v>1186</v>
      </c>
      <c r="I1059" s="37" t="s">
        <v>88</v>
      </c>
      <c r="J1059" s="31">
        <v>45712</v>
      </c>
      <c r="K1059" s="31">
        <v>45719</v>
      </c>
      <c r="L1059" s="31">
        <v>45727</v>
      </c>
      <c r="M1059" s="31">
        <v>45783</v>
      </c>
      <c r="N1059" s="31">
        <v>45783</v>
      </c>
      <c r="O1059" s="2" t="s">
        <v>297</v>
      </c>
    </row>
    <row r="1060" spans="1:15" ht="15.6">
      <c r="A1060" s="3">
        <f t="shared" si="17"/>
        <v>1059</v>
      </c>
      <c r="B1060" s="110" t="s">
        <v>1990</v>
      </c>
      <c r="C1060" s="2">
        <v>7730024498</v>
      </c>
      <c r="D1060" s="6"/>
      <c r="E1060" s="36" t="s">
        <v>1185</v>
      </c>
      <c r="F1060" s="78" t="s">
        <v>1991</v>
      </c>
      <c r="G1060" s="3" t="s">
        <v>424</v>
      </c>
      <c r="H1060" s="2" t="s">
        <v>1186</v>
      </c>
      <c r="I1060" s="37" t="s">
        <v>88</v>
      </c>
      <c r="J1060" s="31">
        <v>45712</v>
      </c>
      <c r="K1060" s="31">
        <v>45719</v>
      </c>
      <c r="L1060" s="31"/>
      <c r="M1060" s="31"/>
      <c r="N1060" s="31"/>
      <c r="O1060" s="2" t="s">
        <v>425</v>
      </c>
    </row>
    <row r="1061" spans="1:15" ht="15.6">
      <c r="A1061" s="3">
        <f t="shared" si="17"/>
        <v>1060</v>
      </c>
      <c r="B1061" s="110" t="s">
        <v>1327</v>
      </c>
      <c r="C1061" s="2">
        <v>9696247051</v>
      </c>
      <c r="D1061" s="6"/>
      <c r="E1061" s="36" t="s">
        <v>1185</v>
      </c>
      <c r="F1061" s="78" t="s">
        <v>1992</v>
      </c>
      <c r="G1061" s="3" t="s">
        <v>416</v>
      </c>
      <c r="H1061" s="2" t="s">
        <v>1186</v>
      </c>
      <c r="I1061" s="37" t="s">
        <v>88</v>
      </c>
      <c r="J1061" s="31">
        <v>45712</v>
      </c>
      <c r="K1061" s="31">
        <v>45729</v>
      </c>
      <c r="L1061" s="31"/>
      <c r="M1061" s="31"/>
      <c r="N1061" s="31"/>
      <c r="O1061" s="2" t="s">
        <v>297</v>
      </c>
    </row>
    <row r="1062" spans="1:15" ht="15.6">
      <c r="A1062" s="3">
        <f t="shared" si="17"/>
        <v>1061</v>
      </c>
      <c r="B1062" s="110" t="s">
        <v>1993</v>
      </c>
      <c r="C1062" s="2">
        <v>9133937307</v>
      </c>
      <c r="D1062" s="6"/>
      <c r="E1062" s="36" t="s">
        <v>1795</v>
      </c>
      <c r="F1062" s="78" t="s">
        <v>1994</v>
      </c>
      <c r="G1062" s="3" t="s">
        <v>416</v>
      </c>
      <c r="H1062" s="2" t="s">
        <v>1186</v>
      </c>
      <c r="I1062" s="37" t="s">
        <v>88</v>
      </c>
      <c r="J1062" s="31">
        <v>45712</v>
      </c>
      <c r="K1062" s="31">
        <v>45719</v>
      </c>
      <c r="L1062" s="31"/>
      <c r="M1062" s="31"/>
      <c r="N1062" s="31"/>
      <c r="O1062" s="2" t="s">
        <v>297</v>
      </c>
    </row>
    <row r="1063" spans="1:15" ht="15.6">
      <c r="A1063" s="3">
        <f t="shared" si="17"/>
        <v>1062</v>
      </c>
      <c r="B1063" s="110" t="s">
        <v>1995</v>
      </c>
      <c r="C1063" s="2">
        <v>7022029647</v>
      </c>
      <c r="D1063" s="6"/>
      <c r="E1063" s="36" t="s">
        <v>1185</v>
      </c>
      <c r="F1063" s="78" t="s">
        <v>1992</v>
      </c>
      <c r="G1063" s="3" t="s">
        <v>424</v>
      </c>
      <c r="H1063" s="2" t="s">
        <v>1186</v>
      </c>
      <c r="I1063" s="37" t="s">
        <v>88</v>
      </c>
      <c r="J1063" s="31">
        <v>45712</v>
      </c>
      <c r="K1063" s="31">
        <v>45719</v>
      </c>
      <c r="L1063" s="31"/>
      <c r="M1063" s="31"/>
      <c r="N1063" s="31"/>
      <c r="O1063" s="2" t="s">
        <v>425</v>
      </c>
    </row>
    <row r="1064" spans="1:15" ht="15.6">
      <c r="A1064" s="3">
        <f t="shared" si="17"/>
        <v>1063</v>
      </c>
      <c r="B1064" s="110" t="s">
        <v>1996</v>
      </c>
      <c r="C1064" s="2">
        <v>9100599830</v>
      </c>
      <c r="D1064" s="6"/>
      <c r="E1064" s="36" t="s">
        <v>1185</v>
      </c>
      <c r="F1064" s="78" t="s">
        <v>1997</v>
      </c>
      <c r="G1064" s="3" t="s">
        <v>424</v>
      </c>
      <c r="H1064" s="2" t="s">
        <v>1186</v>
      </c>
      <c r="I1064" s="37" t="s">
        <v>88</v>
      </c>
      <c r="J1064" s="31">
        <v>45712</v>
      </c>
      <c r="K1064" s="31">
        <v>45724</v>
      </c>
      <c r="L1064" s="31"/>
      <c r="M1064" s="31"/>
      <c r="N1064" s="31"/>
      <c r="O1064" s="2" t="s">
        <v>425</v>
      </c>
    </row>
    <row r="1065" spans="1:15" ht="15.6">
      <c r="A1065" s="3">
        <f t="shared" si="17"/>
        <v>1064</v>
      </c>
      <c r="B1065" s="110" t="s">
        <v>1998</v>
      </c>
      <c r="C1065" s="2">
        <v>7674996809</v>
      </c>
      <c r="D1065" s="6"/>
      <c r="E1065" s="36" t="s">
        <v>1185</v>
      </c>
      <c r="F1065" s="78" t="s">
        <v>1999</v>
      </c>
      <c r="G1065" s="3" t="s">
        <v>424</v>
      </c>
      <c r="H1065" s="2" t="s">
        <v>1186</v>
      </c>
      <c r="I1065" s="37" t="s">
        <v>88</v>
      </c>
      <c r="J1065" s="31">
        <v>45712</v>
      </c>
      <c r="K1065" s="31">
        <v>45724</v>
      </c>
      <c r="L1065" s="31"/>
      <c r="M1065" s="31"/>
      <c r="N1065" s="31"/>
      <c r="O1065" s="2" t="s">
        <v>425</v>
      </c>
    </row>
    <row r="1066" spans="1:15" ht="15.6">
      <c r="A1066" s="3">
        <f t="shared" si="17"/>
        <v>1065</v>
      </c>
      <c r="B1066" s="110" t="s">
        <v>2000</v>
      </c>
      <c r="C1066" s="2">
        <v>7996007882</v>
      </c>
      <c r="D1066" s="6"/>
      <c r="E1066" s="36" t="s">
        <v>1185</v>
      </c>
      <c r="F1066" s="78" t="s">
        <v>1992</v>
      </c>
      <c r="G1066" s="3" t="s">
        <v>424</v>
      </c>
      <c r="H1066" s="2" t="s">
        <v>1186</v>
      </c>
      <c r="I1066" s="37" t="s">
        <v>88</v>
      </c>
      <c r="J1066" s="31">
        <v>45712</v>
      </c>
      <c r="K1066" s="31">
        <v>45729</v>
      </c>
      <c r="L1066" s="31"/>
      <c r="M1066" s="31"/>
      <c r="N1066" s="31"/>
      <c r="O1066" s="2" t="s">
        <v>425</v>
      </c>
    </row>
    <row r="1067" spans="1:15" ht="15.6">
      <c r="A1067" s="3">
        <f t="shared" si="17"/>
        <v>1066</v>
      </c>
      <c r="B1067" s="110" t="s">
        <v>2001</v>
      </c>
      <c r="C1067" s="2">
        <v>6303149473</v>
      </c>
      <c r="D1067" s="6"/>
      <c r="E1067" s="36" t="s">
        <v>1035</v>
      </c>
      <c r="F1067" s="78" t="s">
        <v>2002</v>
      </c>
      <c r="G1067" s="3" t="s">
        <v>424</v>
      </c>
      <c r="H1067" s="2" t="s">
        <v>1186</v>
      </c>
      <c r="I1067" s="37" t="s">
        <v>88</v>
      </c>
      <c r="J1067" s="31">
        <v>45712</v>
      </c>
      <c r="K1067" s="31">
        <v>45724</v>
      </c>
      <c r="L1067" s="31"/>
      <c r="M1067" s="31"/>
      <c r="N1067" s="31"/>
      <c r="O1067" s="2" t="s">
        <v>425</v>
      </c>
    </row>
    <row r="1068" spans="1:15" ht="15.6">
      <c r="A1068" s="3">
        <f t="shared" si="17"/>
        <v>1067</v>
      </c>
      <c r="B1068" s="110" t="s">
        <v>2003</v>
      </c>
      <c r="C1068" s="2">
        <v>9658817131</v>
      </c>
      <c r="D1068" s="6"/>
      <c r="E1068" s="36" t="s">
        <v>1035</v>
      </c>
      <c r="F1068" s="78" t="s">
        <v>2004</v>
      </c>
      <c r="G1068" s="3" t="s">
        <v>424</v>
      </c>
      <c r="H1068" s="2" t="s">
        <v>1186</v>
      </c>
      <c r="I1068" s="37" t="s">
        <v>88</v>
      </c>
      <c r="J1068" s="31">
        <v>45712</v>
      </c>
      <c r="K1068" s="31">
        <v>45724</v>
      </c>
      <c r="L1068" s="31"/>
      <c r="M1068" s="31"/>
      <c r="N1068" s="31"/>
      <c r="O1068" s="2" t="s">
        <v>425</v>
      </c>
    </row>
    <row r="1069" spans="1:15" ht="15.6">
      <c r="A1069" s="3">
        <f t="shared" si="17"/>
        <v>1068</v>
      </c>
      <c r="B1069" s="110" t="s">
        <v>2005</v>
      </c>
      <c r="C1069" s="2">
        <v>8523853297</v>
      </c>
      <c r="D1069" s="6"/>
      <c r="E1069" s="36" t="s">
        <v>1035</v>
      </c>
      <c r="F1069" s="78" t="s">
        <v>2006</v>
      </c>
      <c r="G1069" s="3" t="s">
        <v>16</v>
      </c>
      <c r="H1069" s="2" t="s">
        <v>1186</v>
      </c>
      <c r="I1069" s="37" t="s">
        <v>88</v>
      </c>
      <c r="J1069" s="31">
        <v>45712</v>
      </c>
      <c r="K1069" s="31">
        <v>45729</v>
      </c>
      <c r="L1069" s="31">
        <v>45735</v>
      </c>
      <c r="M1069" s="31">
        <v>45783</v>
      </c>
      <c r="N1069" s="31">
        <v>45783</v>
      </c>
      <c r="O1069" s="2" t="s">
        <v>297</v>
      </c>
    </row>
    <row r="1070" spans="1:15" ht="15.6">
      <c r="A1070" s="3">
        <f t="shared" si="17"/>
        <v>1069</v>
      </c>
      <c r="B1070" s="110" t="s">
        <v>2007</v>
      </c>
      <c r="C1070" s="2">
        <v>9603285561</v>
      </c>
      <c r="D1070" s="6"/>
      <c r="E1070" s="36" t="s">
        <v>1189</v>
      </c>
      <c r="F1070" s="42"/>
      <c r="G1070" s="3" t="s">
        <v>424</v>
      </c>
      <c r="H1070" s="2" t="s">
        <v>1186</v>
      </c>
      <c r="I1070" s="37" t="s">
        <v>88</v>
      </c>
      <c r="J1070" s="31">
        <v>45712</v>
      </c>
      <c r="K1070" s="31">
        <v>45729</v>
      </c>
      <c r="L1070" s="31"/>
      <c r="M1070" s="31"/>
      <c r="N1070" s="31"/>
      <c r="O1070" s="2" t="s">
        <v>425</v>
      </c>
    </row>
    <row r="1071" spans="1:15" ht="15.6">
      <c r="A1071" s="3">
        <f t="shared" si="17"/>
        <v>1070</v>
      </c>
      <c r="B1071" s="110" t="s">
        <v>2008</v>
      </c>
      <c r="C1071" s="2">
        <v>8618621368</v>
      </c>
      <c r="D1071" s="6"/>
      <c r="E1071" s="36" t="s">
        <v>2009</v>
      </c>
      <c r="F1071" s="42" t="s">
        <v>2010</v>
      </c>
      <c r="G1071" s="3" t="s">
        <v>295</v>
      </c>
      <c r="H1071" s="3" t="s">
        <v>357</v>
      </c>
      <c r="I1071" s="37" t="s">
        <v>94</v>
      </c>
      <c r="J1071" s="31">
        <v>45713</v>
      </c>
      <c r="K1071" s="31">
        <v>45713</v>
      </c>
      <c r="L1071" s="31">
        <v>45716</v>
      </c>
      <c r="M1071" s="31">
        <v>45749</v>
      </c>
      <c r="N1071" s="31"/>
      <c r="O1071" s="2" t="s">
        <v>297</v>
      </c>
    </row>
    <row r="1072" spans="1:15" ht="15.6">
      <c r="A1072" s="3">
        <f t="shared" si="17"/>
        <v>1071</v>
      </c>
      <c r="B1072" s="110" t="s">
        <v>2011</v>
      </c>
      <c r="C1072" s="2">
        <v>8073067153</v>
      </c>
      <c r="D1072" s="6"/>
      <c r="E1072" s="36" t="s">
        <v>2012</v>
      </c>
      <c r="F1072" s="42" t="s">
        <v>2010</v>
      </c>
      <c r="G1072" s="3" t="s">
        <v>416</v>
      </c>
      <c r="H1072" s="3" t="s">
        <v>357</v>
      </c>
      <c r="I1072" s="37" t="s">
        <v>94</v>
      </c>
      <c r="J1072" s="31">
        <v>45713</v>
      </c>
      <c r="K1072" s="31">
        <v>45713</v>
      </c>
      <c r="L1072" s="31"/>
      <c r="M1072" s="31"/>
      <c r="N1072" s="31"/>
      <c r="O1072" s="2" t="s">
        <v>297</v>
      </c>
    </row>
    <row r="1073" spans="1:15" ht="15.6">
      <c r="A1073" s="3">
        <f t="shared" si="17"/>
        <v>1072</v>
      </c>
      <c r="B1073" s="110" t="s">
        <v>2013</v>
      </c>
      <c r="C1073" s="2">
        <v>7328083601</v>
      </c>
      <c r="D1073" s="6"/>
      <c r="E1073" s="36" t="s">
        <v>2012</v>
      </c>
      <c r="F1073" s="42" t="s">
        <v>2010</v>
      </c>
      <c r="G1073" s="3" t="s">
        <v>416</v>
      </c>
      <c r="H1073" s="3" t="s">
        <v>357</v>
      </c>
      <c r="I1073" s="37" t="s">
        <v>94</v>
      </c>
      <c r="J1073" s="31">
        <v>45713</v>
      </c>
      <c r="K1073" s="31">
        <v>45713</v>
      </c>
      <c r="L1073" s="31"/>
      <c r="M1073" s="31"/>
      <c r="N1073" s="31"/>
      <c r="O1073" s="2" t="s">
        <v>297</v>
      </c>
    </row>
    <row r="1074" spans="1:15">
      <c r="A1074" s="3">
        <f t="shared" si="17"/>
        <v>1073</v>
      </c>
      <c r="B1074" s="42" t="s">
        <v>2014</v>
      </c>
      <c r="C1074" s="2">
        <v>9676404443</v>
      </c>
      <c r="D1074" s="6"/>
      <c r="E1074" s="3" t="s">
        <v>118</v>
      </c>
      <c r="F1074" s="42" t="s">
        <v>2015</v>
      </c>
      <c r="G1074" s="3" t="s">
        <v>424</v>
      </c>
      <c r="H1074" s="4" t="s">
        <v>679</v>
      </c>
      <c r="I1074" s="37" t="s">
        <v>42</v>
      </c>
      <c r="J1074" s="31">
        <v>45713</v>
      </c>
      <c r="K1074" s="31">
        <v>45756</v>
      </c>
      <c r="L1074" s="31"/>
      <c r="M1074" s="31"/>
      <c r="N1074" s="31"/>
      <c r="O1074" s="2" t="s">
        <v>425</v>
      </c>
    </row>
    <row r="1075" spans="1:15">
      <c r="A1075" s="3">
        <f t="shared" si="17"/>
        <v>1074</v>
      </c>
      <c r="B1075" s="42" t="s">
        <v>2016</v>
      </c>
      <c r="C1075" s="2">
        <v>9637438300</v>
      </c>
      <c r="D1075" s="6">
        <v>8179066396</v>
      </c>
      <c r="E1075" s="3" t="s">
        <v>121</v>
      </c>
      <c r="F1075" s="42" t="s">
        <v>710</v>
      </c>
      <c r="G1075" s="3" t="s">
        <v>330</v>
      </c>
      <c r="H1075" s="4" t="s">
        <v>679</v>
      </c>
      <c r="I1075" s="37" t="s">
        <v>42</v>
      </c>
      <c r="J1075" s="31">
        <v>45713</v>
      </c>
      <c r="K1075" s="31">
        <v>45713</v>
      </c>
      <c r="L1075" s="31">
        <v>45721</v>
      </c>
      <c r="M1075" s="31">
        <v>45752</v>
      </c>
      <c r="N1075" s="31">
        <v>45752</v>
      </c>
      <c r="O1075" s="2" t="s">
        <v>297</v>
      </c>
    </row>
    <row r="1076" spans="1:15">
      <c r="A1076" s="3">
        <f t="shared" si="17"/>
        <v>1075</v>
      </c>
      <c r="B1076" s="41" t="s">
        <v>2017</v>
      </c>
      <c r="C1076" s="3"/>
      <c r="D1076" s="6"/>
      <c r="E1076" s="36" t="s">
        <v>2018</v>
      </c>
      <c r="F1076" s="41" t="s">
        <v>1864</v>
      </c>
      <c r="G1076" s="2" t="s">
        <v>330</v>
      </c>
      <c r="H1076" s="3" t="s">
        <v>788</v>
      </c>
      <c r="I1076" s="37" t="s">
        <v>94</v>
      </c>
      <c r="J1076" s="31">
        <v>45709</v>
      </c>
      <c r="K1076" s="31">
        <v>45709</v>
      </c>
      <c r="L1076" s="31">
        <v>45709</v>
      </c>
      <c r="M1076" s="31">
        <v>45792</v>
      </c>
      <c r="N1076" s="31">
        <v>45792</v>
      </c>
      <c r="O1076" s="2" t="s">
        <v>297</v>
      </c>
    </row>
    <row r="1077" spans="1:15">
      <c r="A1077" s="3">
        <f t="shared" si="17"/>
        <v>1076</v>
      </c>
      <c r="B1077" s="41" t="s">
        <v>2019</v>
      </c>
      <c r="C1077" s="3"/>
      <c r="D1077" s="6"/>
      <c r="E1077" s="36" t="s">
        <v>2018</v>
      </c>
      <c r="F1077" s="41" t="s">
        <v>1864</v>
      </c>
      <c r="G1077" s="2" t="s">
        <v>18</v>
      </c>
      <c r="H1077" s="3" t="s">
        <v>788</v>
      </c>
      <c r="I1077" s="37" t="s">
        <v>94</v>
      </c>
      <c r="J1077" s="31">
        <v>45709</v>
      </c>
      <c r="K1077" s="31">
        <v>45709</v>
      </c>
      <c r="L1077" s="31">
        <v>45709</v>
      </c>
      <c r="M1077" s="31">
        <v>45792</v>
      </c>
      <c r="N1077" s="31"/>
      <c r="O1077" s="2" t="s">
        <v>297</v>
      </c>
    </row>
    <row r="1078" spans="1:15">
      <c r="A1078" s="3">
        <f t="shared" si="17"/>
        <v>1077</v>
      </c>
      <c r="B1078" s="41" t="s">
        <v>2020</v>
      </c>
      <c r="C1078" s="3"/>
      <c r="D1078" s="6"/>
      <c r="E1078" s="36" t="s">
        <v>2021</v>
      </c>
      <c r="F1078" s="41" t="s">
        <v>1864</v>
      </c>
      <c r="G1078" s="2" t="s">
        <v>16</v>
      </c>
      <c r="H1078" s="3" t="s">
        <v>788</v>
      </c>
      <c r="I1078" s="37" t="s">
        <v>94</v>
      </c>
      <c r="J1078" s="31">
        <v>45709</v>
      </c>
      <c r="K1078" s="31">
        <v>45709</v>
      </c>
      <c r="L1078" s="31">
        <v>45880</v>
      </c>
      <c r="M1078" s="31">
        <v>45945</v>
      </c>
      <c r="N1078" s="31">
        <v>45945</v>
      </c>
      <c r="O1078" s="2" t="s">
        <v>297</v>
      </c>
    </row>
    <row r="1079" spans="1:15">
      <c r="A1079" s="3">
        <f t="shared" si="17"/>
        <v>1078</v>
      </c>
      <c r="B1079" s="41" t="s">
        <v>2022</v>
      </c>
      <c r="C1079" s="3"/>
      <c r="D1079" s="6"/>
      <c r="E1079" s="36" t="s">
        <v>2021</v>
      </c>
      <c r="F1079" s="41" t="s">
        <v>1864</v>
      </c>
      <c r="G1079" s="3" t="s">
        <v>295</v>
      </c>
      <c r="H1079" s="3" t="s">
        <v>788</v>
      </c>
      <c r="I1079" s="37" t="s">
        <v>94</v>
      </c>
      <c r="J1079" s="31">
        <v>45709</v>
      </c>
      <c r="K1079" s="31">
        <v>45709</v>
      </c>
      <c r="L1079" s="31">
        <v>45880</v>
      </c>
      <c r="M1079" s="31">
        <v>45945</v>
      </c>
      <c r="N1079" s="31"/>
      <c r="O1079" s="2" t="s">
        <v>297</v>
      </c>
    </row>
    <row r="1080" spans="1:15">
      <c r="A1080" s="3">
        <f t="shared" si="17"/>
        <v>1079</v>
      </c>
      <c r="B1080" s="41" t="s">
        <v>2023</v>
      </c>
      <c r="C1080" s="3"/>
      <c r="D1080" s="6"/>
      <c r="E1080" s="36" t="s">
        <v>2024</v>
      </c>
      <c r="F1080" s="41" t="s">
        <v>1864</v>
      </c>
      <c r="G1080" s="2" t="s">
        <v>295</v>
      </c>
      <c r="H1080" s="3" t="s">
        <v>788</v>
      </c>
      <c r="I1080" s="37" t="s">
        <v>94</v>
      </c>
      <c r="J1080" s="31">
        <v>45709</v>
      </c>
      <c r="K1080" s="31">
        <v>45709</v>
      </c>
      <c r="L1080" s="31">
        <v>45709</v>
      </c>
      <c r="M1080" s="31">
        <v>45792</v>
      </c>
      <c r="N1080" s="31"/>
      <c r="O1080" s="2" t="s">
        <v>297</v>
      </c>
    </row>
    <row r="1081" spans="1:15">
      <c r="A1081" s="3">
        <f t="shared" si="17"/>
        <v>1080</v>
      </c>
      <c r="B1081" s="41" t="s">
        <v>2025</v>
      </c>
      <c r="C1081" s="3"/>
      <c r="D1081" s="6"/>
      <c r="E1081" s="36" t="s">
        <v>2024</v>
      </c>
      <c r="F1081" s="41" t="s">
        <v>1864</v>
      </c>
      <c r="G1081" s="2" t="s">
        <v>18</v>
      </c>
      <c r="H1081" s="3" t="s">
        <v>788</v>
      </c>
      <c r="I1081" s="37" t="s">
        <v>94</v>
      </c>
      <c r="J1081" s="31">
        <v>45709</v>
      </c>
      <c r="K1081" s="31">
        <v>45709</v>
      </c>
      <c r="L1081" s="31">
        <v>45709</v>
      </c>
      <c r="M1081" s="31">
        <v>45792</v>
      </c>
      <c r="N1081" s="31"/>
      <c r="O1081" s="2" t="s">
        <v>297</v>
      </c>
    </row>
    <row r="1082" spans="1:15">
      <c r="A1082" s="3">
        <f t="shared" ref="A1082:A1145" si="18">ROW()-1</f>
        <v>1081</v>
      </c>
      <c r="B1082" s="41" t="s">
        <v>2026</v>
      </c>
      <c r="C1082" s="3"/>
      <c r="D1082" s="6"/>
      <c r="E1082" s="36" t="s">
        <v>2027</v>
      </c>
      <c r="F1082" s="41" t="s">
        <v>1864</v>
      </c>
      <c r="G1082" s="3" t="s">
        <v>295</v>
      </c>
      <c r="H1082" s="3" t="s">
        <v>788</v>
      </c>
      <c r="I1082" s="37" t="s">
        <v>94</v>
      </c>
      <c r="J1082" s="31">
        <v>45709</v>
      </c>
      <c r="K1082" s="31">
        <v>45709</v>
      </c>
      <c r="L1082" s="31">
        <v>45880</v>
      </c>
      <c r="M1082" s="31">
        <v>45915</v>
      </c>
      <c r="N1082" s="31"/>
      <c r="O1082" s="2" t="s">
        <v>297</v>
      </c>
    </row>
    <row r="1083" spans="1:15">
      <c r="A1083" s="3">
        <f t="shared" si="18"/>
        <v>1082</v>
      </c>
      <c r="B1083" s="41" t="s">
        <v>2028</v>
      </c>
      <c r="C1083" s="3"/>
      <c r="D1083" s="6"/>
      <c r="E1083" s="36" t="s">
        <v>2029</v>
      </c>
      <c r="F1083" s="41" t="s">
        <v>1864</v>
      </c>
      <c r="G1083" s="2" t="s">
        <v>18</v>
      </c>
      <c r="H1083" s="3" t="s">
        <v>788</v>
      </c>
      <c r="I1083" s="37" t="s">
        <v>94</v>
      </c>
      <c r="J1083" s="31">
        <v>45709</v>
      </c>
      <c r="K1083" s="31">
        <v>45709</v>
      </c>
      <c r="L1083" s="31">
        <v>45709</v>
      </c>
      <c r="M1083" s="31">
        <v>45859</v>
      </c>
      <c r="N1083" s="31"/>
      <c r="O1083" s="2" t="s">
        <v>297</v>
      </c>
    </row>
    <row r="1084" spans="1:15">
      <c r="A1084" s="3">
        <f t="shared" si="18"/>
        <v>1083</v>
      </c>
      <c r="B1084" s="41" t="s">
        <v>2030</v>
      </c>
      <c r="C1084" s="3"/>
      <c r="D1084" s="6"/>
      <c r="E1084" s="36" t="s">
        <v>1863</v>
      </c>
      <c r="F1084" s="41" t="s">
        <v>1864</v>
      </c>
      <c r="G1084" s="2" t="s">
        <v>18</v>
      </c>
      <c r="H1084" s="3" t="s">
        <v>788</v>
      </c>
      <c r="I1084" s="37" t="s">
        <v>94</v>
      </c>
      <c r="J1084" s="31">
        <v>45709</v>
      </c>
      <c r="K1084" s="31">
        <v>45709</v>
      </c>
      <c r="L1084" s="31">
        <v>45709</v>
      </c>
      <c r="M1084" s="31">
        <v>45792</v>
      </c>
      <c r="N1084" s="31"/>
      <c r="O1084" s="2" t="s">
        <v>297</v>
      </c>
    </row>
    <row r="1085" spans="1:15">
      <c r="A1085" s="3">
        <f t="shared" si="18"/>
        <v>1084</v>
      </c>
      <c r="B1085" s="41" t="s">
        <v>2031</v>
      </c>
      <c r="C1085" s="3"/>
      <c r="D1085" s="6"/>
      <c r="E1085" s="36" t="s">
        <v>2027</v>
      </c>
      <c r="F1085" s="41" t="s">
        <v>1864</v>
      </c>
      <c r="G1085" s="3" t="s">
        <v>295</v>
      </c>
      <c r="H1085" s="3" t="s">
        <v>788</v>
      </c>
      <c r="I1085" s="37" t="s">
        <v>94</v>
      </c>
      <c r="J1085" s="31">
        <v>45709</v>
      </c>
      <c r="K1085" s="31">
        <v>45709</v>
      </c>
      <c r="L1085" s="31">
        <v>45880</v>
      </c>
      <c r="M1085" s="31">
        <v>45915</v>
      </c>
      <c r="N1085" s="31"/>
      <c r="O1085" s="2" t="s">
        <v>297</v>
      </c>
    </row>
    <row r="1086" spans="1:15">
      <c r="A1086" s="3">
        <f t="shared" si="18"/>
        <v>1085</v>
      </c>
      <c r="B1086" s="41" t="s">
        <v>2032</v>
      </c>
      <c r="C1086" s="3"/>
      <c r="D1086" s="6"/>
      <c r="E1086" s="36" t="s">
        <v>1863</v>
      </c>
      <c r="F1086" s="41" t="s">
        <v>1864</v>
      </c>
      <c r="G1086" s="2" t="s">
        <v>18</v>
      </c>
      <c r="H1086" s="3" t="s">
        <v>788</v>
      </c>
      <c r="I1086" s="37" t="s">
        <v>94</v>
      </c>
      <c r="J1086" s="31">
        <v>45709</v>
      </c>
      <c r="K1086" s="31">
        <v>45709</v>
      </c>
      <c r="L1086" s="31">
        <v>45709</v>
      </c>
      <c r="M1086" s="31">
        <v>45792</v>
      </c>
      <c r="N1086" s="31"/>
      <c r="O1086" s="2" t="s">
        <v>297</v>
      </c>
    </row>
    <row r="1087" spans="1:15">
      <c r="A1087" s="3">
        <f t="shared" si="18"/>
        <v>1086</v>
      </c>
      <c r="B1087" s="42" t="s">
        <v>2033</v>
      </c>
      <c r="C1087" s="2">
        <v>8419918801</v>
      </c>
      <c r="D1087" s="6"/>
      <c r="E1087" s="3" t="s">
        <v>2034</v>
      </c>
      <c r="F1087" s="42" t="s">
        <v>245</v>
      </c>
      <c r="G1087" s="2" t="s">
        <v>424</v>
      </c>
      <c r="H1087" s="3" t="s">
        <v>88</v>
      </c>
      <c r="I1087" s="37" t="s">
        <v>88</v>
      </c>
      <c r="J1087" s="31">
        <v>45703</v>
      </c>
      <c r="K1087" s="31">
        <v>45728</v>
      </c>
      <c r="L1087" s="31"/>
      <c r="M1087" s="31"/>
      <c r="N1087" s="31"/>
      <c r="O1087" s="2" t="s">
        <v>425</v>
      </c>
    </row>
    <row r="1088" spans="1:15">
      <c r="A1088" s="3">
        <f t="shared" si="18"/>
        <v>1087</v>
      </c>
      <c r="B1088" s="42" t="s">
        <v>2035</v>
      </c>
      <c r="C1088" s="2">
        <v>9565550591</v>
      </c>
      <c r="D1088" s="6"/>
      <c r="E1088" s="3" t="s">
        <v>2034</v>
      </c>
      <c r="F1088" s="42" t="s">
        <v>245</v>
      </c>
      <c r="G1088" s="3" t="s">
        <v>1175</v>
      </c>
      <c r="H1088" s="3" t="s">
        <v>88</v>
      </c>
      <c r="I1088" s="37" t="s">
        <v>88</v>
      </c>
      <c r="J1088" s="31">
        <v>45703</v>
      </c>
      <c r="K1088" s="31"/>
      <c r="L1088" s="31"/>
      <c r="M1088" s="31"/>
      <c r="N1088" s="31"/>
      <c r="O1088" s="2" t="s">
        <v>1004</v>
      </c>
    </row>
    <row r="1089" spans="1:15">
      <c r="A1089" s="3">
        <f t="shared" si="18"/>
        <v>1088</v>
      </c>
      <c r="B1089" s="42" t="s">
        <v>2036</v>
      </c>
      <c r="C1089" s="2">
        <v>8688891692</v>
      </c>
      <c r="D1089" s="6"/>
      <c r="E1089" s="3" t="s">
        <v>2034</v>
      </c>
      <c r="F1089" s="42" t="s">
        <v>245</v>
      </c>
      <c r="G1089" s="3" t="s">
        <v>1175</v>
      </c>
      <c r="H1089" s="3" t="s">
        <v>88</v>
      </c>
      <c r="I1089" s="37" t="s">
        <v>88</v>
      </c>
      <c r="J1089" s="31">
        <v>45703</v>
      </c>
      <c r="K1089" s="31"/>
      <c r="L1089" s="31"/>
      <c r="M1089" s="31"/>
      <c r="N1089" s="31"/>
      <c r="O1089" s="2" t="s">
        <v>1004</v>
      </c>
    </row>
    <row r="1090" spans="1:15">
      <c r="A1090" s="3">
        <f t="shared" si="18"/>
        <v>1089</v>
      </c>
      <c r="B1090" s="42" t="s">
        <v>2037</v>
      </c>
      <c r="C1090" s="2">
        <v>8657328004</v>
      </c>
      <c r="D1090" s="6"/>
      <c r="E1090" s="3" t="s">
        <v>2034</v>
      </c>
      <c r="F1090" s="42" t="s">
        <v>245</v>
      </c>
      <c r="G1090" s="3" t="s">
        <v>1175</v>
      </c>
      <c r="H1090" s="3" t="s">
        <v>88</v>
      </c>
      <c r="I1090" s="37" t="s">
        <v>88</v>
      </c>
      <c r="J1090" s="31">
        <v>45703</v>
      </c>
      <c r="K1090" s="31"/>
      <c r="L1090" s="31"/>
      <c r="M1090" s="31"/>
      <c r="N1090" s="31"/>
      <c r="O1090" s="2" t="s">
        <v>1004</v>
      </c>
    </row>
    <row r="1091" spans="1:15">
      <c r="A1091" s="3">
        <f t="shared" si="18"/>
        <v>1090</v>
      </c>
      <c r="B1091" s="42" t="s">
        <v>2038</v>
      </c>
      <c r="C1091" s="2">
        <v>9640629921</v>
      </c>
      <c r="D1091" s="6"/>
      <c r="E1091" s="3" t="s">
        <v>2034</v>
      </c>
      <c r="F1091" s="42" t="s">
        <v>245</v>
      </c>
      <c r="G1091" s="3" t="s">
        <v>1175</v>
      </c>
      <c r="H1091" s="3" t="s">
        <v>88</v>
      </c>
      <c r="I1091" s="37" t="s">
        <v>88</v>
      </c>
      <c r="J1091" s="31">
        <v>45703</v>
      </c>
      <c r="K1091" s="31"/>
      <c r="L1091" s="31"/>
      <c r="M1091" s="31"/>
      <c r="N1091" s="31"/>
      <c r="O1091" s="2" t="s">
        <v>1004</v>
      </c>
    </row>
    <row r="1092" spans="1:15">
      <c r="A1092" s="3">
        <f t="shared" si="18"/>
        <v>1091</v>
      </c>
      <c r="B1092" s="42" t="s">
        <v>2039</v>
      </c>
      <c r="C1092" s="2">
        <v>7021020659</v>
      </c>
      <c r="D1092" s="6"/>
      <c r="E1092" s="3" t="s">
        <v>2034</v>
      </c>
      <c r="F1092" s="42" t="s">
        <v>245</v>
      </c>
      <c r="G1092" s="3" t="s">
        <v>1175</v>
      </c>
      <c r="H1092" s="3" t="s">
        <v>88</v>
      </c>
      <c r="I1092" s="37" t="s">
        <v>88</v>
      </c>
      <c r="J1092" s="31">
        <v>45703</v>
      </c>
      <c r="K1092" s="31"/>
      <c r="L1092" s="31"/>
      <c r="M1092" s="31"/>
      <c r="N1092" s="31"/>
      <c r="O1092" s="2" t="s">
        <v>1004</v>
      </c>
    </row>
    <row r="1093" spans="1:15">
      <c r="A1093" s="3">
        <f t="shared" si="18"/>
        <v>1092</v>
      </c>
      <c r="B1093" s="42" t="s">
        <v>2040</v>
      </c>
      <c r="C1093" s="2">
        <v>7070568636</v>
      </c>
      <c r="D1093" s="6"/>
      <c r="E1093" s="3" t="s">
        <v>2041</v>
      </c>
      <c r="F1093" s="42" t="s">
        <v>245</v>
      </c>
      <c r="G1093" s="3" t="s">
        <v>1175</v>
      </c>
      <c r="H1093" s="3" t="s">
        <v>88</v>
      </c>
      <c r="I1093" s="37" t="s">
        <v>88</v>
      </c>
      <c r="J1093" s="31">
        <v>45703</v>
      </c>
      <c r="K1093" s="31"/>
      <c r="L1093" s="31"/>
      <c r="M1093" s="31"/>
      <c r="N1093" s="31"/>
      <c r="O1093" s="2" t="s">
        <v>1004</v>
      </c>
    </row>
    <row r="1094" spans="1:15">
      <c r="A1094" s="3">
        <f t="shared" si="18"/>
        <v>1093</v>
      </c>
      <c r="B1094" s="42" t="s">
        <v>2042</v>
      </c>
      <c r="C1094" s="2">
        <v>9168899771</v>
      </c>
      <c r="D1094" s="6"/>
      <c r="E1094" s="3" t="s">
        <v>2041</v>
      </c>
      <c r="F1094" s="42" t="s">
        <v>245</v>
      </c>
      <c r="G1094" s="3" t="s">
        <v>1175</v>
      </c>
      <c r="H1094" s="3" t="s">
        <v>88</v>
      </c>
      <c r="I1094" s="37" t="s">
        <v>88</v>
      </c>
      <c r="J1094" s="31">
        <v>45703</v>
      </c>
      <c r="K1094" s="31"/>
      <c r="L1094" s="31"/>
      <c r="M1094" s="31"/>
      <c r="N1094" s="31"/>
      <c r="O1094" s="2" t="s">
        <v>1004</v>
      </c>
    </row>
    <row r="1095" spans="1:15">
      <c r="A1095" s="3">
        <f t="shared" si="18"/>
        <v>1094</v>
      </c>
      <c r="B1095" s="42" t="s">
        <v>2043</v>
      </c>
      <c r="C1095" s="2">
        <v>7758805847</v>
      </c>
      <c r="D1095" s="6"/>
      <c r="E1095" s="3" t="s">
        <v>2041</v>
      </c>
      <c r="F1095" s="42" t="s">
        <v>245</v>
      </c>
      <c r="G1095" s="3" t="s">
        <v>1175</v>
      </c>
      <c r="H1095" s="3" t="s">
        <v>88</v>
      </c>
      <c r="I1095" s="37" t="s">
        <v>88</v>
      </c>
      <c r="J1095" s="31">
        <v>45703</v>
      </c>
      <c r="K1095" s="31"/>
      <c r="L1095" s="31"/>
      <c r="M1095" s="31"/>
      <c r="N1095" s="31"/>
      <c r="O1095" s="2" t="s">
        <v>1004</v>
      </c>
    </row>
    <row r="1096" spans="1:15">
      <c r="A1096" s="3">
        <f t="shared" si="18"/>
        <v>1095</v>
      </c>
      <c r="B1096" s="42" t="s">
        <v>2044</v>
      </c>
      <c r="C1096" s="2">
        <v>8530259372</v>
      </c>
      <c r="D1096" s="6"/>
      <c r="E1096" s="3" t="s">
        <v>2041</v>
      </c>
      <c r="F1096" s="42" t="s">
        <v>245</v>
      </c>
      <c r="G1096" s="3" t="s">
        <v>1175</v>
      </c>
      <c r="H1096" s="3" t="s">
        <v>88</v>
      </c>
      <c r="I1096" s="37" t="s">
        <v>88</v>
      </c>
      <c r="J1096" s="31">
        <v>45703</v>
      </c>
      <c r="K1096" s="31"/>
      <c r="L1096" s="31"/>
      <c r="M1096" s="31"/>
      <c r="N1096" s="31"/>
      <c r="O1096" s="2" t="s">
        <v>1004</v>
      </c>
    </row>
    <row r="1097" spans="1:15">
      <c r="A1097" s="3">
        <f t="shared" si="18"/>
        <v>1096</v>
      </c>
      <c r="B1097" s="42" t="s">
        <v>2045</v>
      </c>
      <c r="C1097" s="2">
        <v>9595434392</v>
      </c>
      <c r="D1097" s="6"/>
      <c r="E1097" s="3" t="s">
        <v>2041</v>
      </c>
      <c r="F1097" s="42" t="s">
        <v>245</v>
      </c>
      <c r="G1097" s="3" t="s">
        <v>1175</v>
      </c>
      <c r="H1097" s="3" t="s">
        <v>88</v>
      </c>
      <c r="I1097" s="37" t="s">
        <v>88</v>
      </c>
      <c r="J1097" s="31">
        <v>45703</v>
      </c>
      <c r="K1097" s="31"/>
      <c r="L1097" s="31"/>
      <c r="M1097" s="31"/>
      <c r="N1097" s="31"/>
      <c r="O1097" s="2" t="s">
        <v>1004</v>
      </c>
    </row>
    <row r="1098" spans="1:15">
      <c r="A1098" s="3">
        <f t="shared" si="18"/>
        <v>1097</v>
      </c>
      <c r="B1098" s="42" t="s">
        <v>2046</v>
      </c>
      <c r="C1098" s="2">
        <v>9119526494</v>
      </c>
      <c r="D1098" s="6"/>
      <c r="E1098" s="3" t="s">
        <v>2041</v>
      </c>
      <c r="F1098" s="42" t="s">
        <v>245</v>
      </c>
      <c r="G1098" s="3" t="s">
        <v>1175</v>
      </c>
      <c r="H1098" s="3" t="s">
        <v>88</v>
      </c>
      <c r="I1098" s="37" t="s">
        <v>88</v>
      </c>
      <c r="J1098" s="31">
        <v>45703</v>
      </c>
      <c r="K1098" s="31"/>
      <c r="L1098" s="31"/>
      <c r="M1098" s="31"/>
      <c r="N1098" s="31"/>
      <c r="O1098" s="2" t="s">
        <v>1004</v>
      </c>
    </row>
    <row r="1099" spans="1:15">
      <c r="A1099" s="3">
        <f t="shared" si="18"/>
        <v>1098</v>
      </c>
      <c r="B1099" s="41" t="s">
        <v>2047</v>
      </c>
      <c r="C1099" s="3">
        <v>9133164450</v>
      </c>
      <c r="D1099" s="6"/>
      <c r="E1099" s="3" t="s">
        <v>2048</v>
      </c>
      <c r="F1099" s="42" t="s">
        <v>2049</v>
      </c>
      <c r="G1099" s="2" t="s">
        <v>295</v>
      </c>
      <c r="H1099" s="3" t="s">
        <v>162</v>
      </c>
      <c r="I1099" s="37" t="s">
        <v>94</v>
      </c>
      <c r="J1099" s="31">
        <v>45698</v>
      </c>
      <c r="K1099" s="31">
        <v>45698</v>
      </c>
      <c r="L1099" s="31">
        <v>45702</v>
      </c>
      <c r="M1099" s="31">
        <v>45713</v>
      </c>
      <c r="N1099" s="31"/>
      <c r="O1099" s="2" t="s">
        <v>297</v>
      </c>
    </row>
    <row r="1100" spans="1:15">
      <c r="A1100" s="3">
        <f t="shared" si="18"/>
        <v>1099</v>
      </c>
      <c r="B1100" s="42" t="s">
        <v>2050</v>
      </c>
      <c r="C1100" s="2">
        <v>9154977025</v>
      </c>
      <c r="D1100" s="6"/>
      <c r="E1100" s="3" t="s">
        <v>2051</v>
      </c>
      <c r="F1100" s="42" t="s">
        <v>2052</v>
      </c>
      <c r="G1100" s="2" t="s">
        <v>424</v>
      </c>
      <c r="H1100" s="3" t="s">
        <v>42</v>
      </c>
      <c r="I1100" s="37" t="s">
        <v>88</v>
      </c>
      <c r="J1100" s="31">
        <v>45700</v>
      </c>
      <c r="K1100" s="31">
        <v>45702</v>
      </c>
      <c r="L1100" s="31"/>
      <c r="M1100" s="31"/>
      <c r="N1100" s="31"/>
      <c r="O1100" s="2" t="s">
        <v>425</v>
      </c>
    </row>
    <row r="1101" spans="1:15">
      <c r="A1101" s="3">
        <f t="shared" si="18"/>
        <v>1100</v>
      </c>
      <c r="B1101" s="42" t="s">
        <v>2053</v>
      </c>
      <c r="C1101" s="2">
        <v>8143733343</v>
      </c>
      <c r="D1101" s="6"/>
      <c r="E1101" s="3" t="s">
        <v>2051</v>
      </c>
      <c r="F1101" s="42" t="s">
        <v>2052</v>
      </c>
      <c r="G1101" s="2" t="s">
        <v>416</v>
      </c>
      <c r="H1101" s="3" t="s">
        <v>94</v>
      </c>
      <c r="I1101" s="37" t="s">
        <v>88</v>
      </c>
      <c r="J1101" s="31">
        <v>45700</v>
      </c>
      <c r="K1101" s="31">
        <v>45701</v>
      </c>
      <c r="L1101" s="31"/>
      <c r="M1101" s="31"/>
      <c r="N1101" s="31"/>
      <c r="O1101" s="2" t="s">
        <v>297</v>
      </c>
    </row>
    <row r="1102" spans="1:15">
      <c r="A1102" s="3">
        <f t="shared" si="18"/>
        <v>1101</v>
      </c>
      <c r="B1102" s="42" t="s">
        <v>2054</v>
      </c>
      <c r="C1102" s="2">
        <v>9346247688</v>
      </c>
      <c r="D1102" s="6"/>
      <c r="E1102" s="3" t="s">
        <v>2051</v>
      </c>
      <c r="F1102" s="42" t="s">
        <v>2052</v>
      </c>
      <c r="G1102" s="2" t="s">
        <v>424</v>
      </c>
      <c r="H1102" s="3" t="s">
        <v>42</v>
      </c>
      <c r="I1102" s="37" t="s">
        <v>88</v>
      </c>
      <c r="J1102" s="31">
        <v>45700</v>
      </c>
      <c r="K1102" s="31">
        <v>45702</v>
      </c>
      <c r="L1102" s="31"/>
      <c r="M1102" s="31"/>
      <c r="N1102" s="31"/>
      <c r="O1102" s="2" t="s">
        <v>425</v>
      </c>
    </row>
    <row r="1103" spans="1:15">
      <c r="A1103" s="3">
        <f t="shared" si="18"/>
        <v>1102</v>
      </c>
      <c r="B1103" s="42" t="s">
        <v>2055</v>
      </c>
      <c r="C1103" s="2">
        <v>6305721387</v>
      </c>
      <c r="D1103" s="6"/>
      <c r="E1103" s="3" t="s">
        <v>2051</v>
      </c>
      <c r="F1103" s="42" t="s">
        <v>2052</v>
      </c>
      <c r="G1103" s="2" t="s">
        <v>424</v>
      </c>
      <c r="H1103" s="3" t="s">
        <v>42</v>
      </c>
      <c r="I1103" s="37" t="s">
        <v>88</v>
      </c>
      <c r="J1103" s="31">
        <v>45700</v>
      </c>
      <c r="K1103" s="31">
        <v>45702</v>
      </c>
      <c r="L1103" s="31"/>
      <c r="M1103" s="31"/>
      <c r="N1103" s="31"/>
      <c r="O1103" s="2" t="s">
        <v>425</v>
      </c>
    </row>
    <row r="1104" spans="1:15">
      <c r="A1104" s="3">
        <f t="shared" si="18"/>
        <v>1103</v>
      </c>
      <c r="B1104" s="109" t="s">
        <v>2056</v>
      </c>
      <c r="C1104" s="2">
        <v>9515580679</v>
      </c>
      <c r="D1104" s="6"/>
      <c r="E1104" s="3" t="s">
        <v>2048</v>
      </c>
      <c r="F1104" s="42" t="s">
        <v>2052</v>
      </c>
      <c r="G1104" s="2" t="s">
        <v>16</v>
      </c>
      <c r="H1104" s="3" t="s">
        <v>94</v>
      </c>
      <c r="I1104" s="37" t="s">
        <v>94</v>
      </c>
      <c r="J1104" s="31">
        <v>45700</v>
      </c>
      <c r="K1104" s="31">
        <v>45701</v>
      </c>
      <c r="L1104" s="31">
        <v>45721</v>
      </c>
      <c r="M1104" s="31">
        <v>45768</v>
      </c>
      <c r="N1104" s="31">
        <v>45768</v>
      </c>
      <c r="O1104" s="2" t="s">
        <v>297</v>
      </c>
    </row>
    <row r="1105" spans="1:15">
      <c r="A1105" s="3">
        <f t="shared" si="18"/>
        <v>1104</v>
      </c>
      <c r="B1105" s="42" t="s">
        <v>2057</v>
      </c>
      <c r="C1105" s="2">
        <v>7288064011</v>
      </c>
      <c r="D1105" s="6"/>
      <c r="E1105" s="3" t="s">
        <v>2051</v>
      </c>
      <c r="F1105" s="42" t="s">
        <v>2052</v>
      </c>
      <c r="G1105" s="2" t="s">
        <v>416</v>
      </c>
      <c r="H1105" s="3" t="s">
        <v>94</v>
      </c>
      <c r="I1105" s="37" t="s">
        <v>88</v>
      </c>
      <c r="J1105" s="31">
        <v>45700</v>
      </c>
      <c r="K1105" s="31">
        <v>45701</v>
      </c>
      <c r="L1105" s="31"/>
      <c r="M1105" s="31"/>
      <c r="N1105" s="31"/>
      <c r="O1105" s="2" t="s">
        <v>297</v>
      </c>
    </row>
    <row r="1106" spans="1:15">
      <c r="A1106" s="3">
        <f t="shared" si="18"/>
        <v>1105</v>
      </c>
      <c r="B1106" s="42" t="s">
        <v>2058</v>
      </c>
      <c r="C1106" s="2">
        <v>9154759845</v>
      </c>
      <c r="D1106" s="6"/>
      <c r="E1106" s="3" t="s">
        <v>2048</v>
      </c>
      <c r="F1106" s="42" t="s">
        <v>2052</v>
      </c>
      <c r="G1106" s="2" t="s">
        <v>295</v>
      </c>
      <c r="H1106" s="3" t="s">
        <v>88</v>
      </c>
      <c r="I1106" s="37" t="s">
        <v>94</v>
      </c>
      <c r="J1106" s="31">
        <v>45700</v>
      </c>
      <c r="K1106" s="31">
        <v>45701</v>
      </c>
      <c r="L1106" s="31">
        <v>45721</v>
      </c>
      <c r="M1106" s="31">
        <v>45752</v>
      </c>
      <c r="N1106" s="31"/>
      <c r="O1106" s="2" t="s">
        <v>297</v>
      </c>
    </row>
    <row r="1107" spans="1:15">
      <c r="A1107" s="3">
        <f t="shared" si="18"/>
        <v>1106</v>
      </c>
      <c r="B1107" s="42" t="s">
        <v>2059</v>
      </c>
      <c r="C1107" s="2">
        <v>8019283610</v>
      </c>
      <c r="D1107" s="6"/>
      <c r="E1107" s="3" t="s">
        <v>2060</v>
      </c>
      <c r="F1107" s="42" t="s">
        <v>2052</v>
      </c>
      <c r="G1107" s="2" t="s">
        <v>764</v>
      </c>
      <c r="H1107" s="3" t="s">
        <v>42</v>
      </c>
      <c r="I1107" s="37" t="s">
        <v>88</v>
      </c>
      <c r="J1107" s="31">
        <v>45700</v>
      </c>
      <c r="K1107" s="31">
        <v>45702</v>
      </c>
      <c r="L1107" s="31"/>
      <c r="M1107" s="31"/>
      <c r="N1107" s="31"/>
      <c r="O1107" s="2" t="s">
        <v>425</v>
      </c>
    </row>
    <row r="1108" spans="1:15">
      <c r="A1108" s="3">
        <f t="shared" si="18"/>
        <v>1107</v>
      </c>
      <c r="B1108" s="42" t="s">
        <v>2061</v>
      </c>
      <c r="C1108" s="2">
        <v>7569333502</v>
      </c>
      <c r="D1108" s="6"/>
      <c r="E1108" s="3" t="s">
        <v>1804</v>
      </c>
      <c r="F1108" s="42" t="s">
        <v>2062</v>
      </c>
      <c r="G1108" s="2" t="s">
        <v>16</v>
      </c>
      <c r="H1108" s="3" t="s">
        <v>94</v>
      </c>
      <c r="I1108" s="37" t="s">
        <v>88</v>
      </c>
      <c r="J1108" s="31">
        <v>45700</v>
      </c>
      <c r="K1108" s="31">
        <v>45701</v>
      </c>
      <c r="L1108" s="31">
        <v>45721</v>
      </c>
      <c r="M1108" s="31">
        <v>45752</v>
      </c>
      <c r="N1108" s="31">
        <v>45752</v>
      </c>
      <c r="O1108" s="2" t="s">
        <v>297</v>
      </c>
    </row>
    <row r="1109" spans="1:15">
      <c r="A1109" s="3">
        <f t="shared" si="18"/>
        <v>1108</v>
      </c>
      <c r="B1109" s="42" t="s">
        <v>2063</v>
      </c>
      <c r="C1109" s="2">
        <v>8309605440</v>
      </c>
      <c r="D1109" s="6"/>
      <c r="E1109" s="3" t="s">
        <v>2048</v>
      </c>
      <c r="F1109" s="42" t="s">
        <v>2052</v>
      </c>
      <c r="G1109" s="2" t="s">
        <v>295</v>
      </c>
      <c r="H1109" s="3" t="s">
        <v>88</v>
      </c>
      <c r="I1109" s="37" t="s">
        <v>94</v>
      </c>
      <c r="J1109" s="31">
        <v>45700</v>
      </c>
      <c r="K1109" s="31">
        <v>45701</v>
      </c>
      <c r="L1109" s="31">
        <v>45721</v>
      </c>
      <c r="M1109" s="31">
        <v>45752</v>
      </c>
      <c r="N1109" s="31"/>
      <c r="O1109" s="2" t="s">
        <v>297</v>
      </c>
    </row>
    <row r="1110" spans="1:15">
      <c r="A1110" s="3">
        <f t="shared" si="18"/>
        <v>1109</v>
      </c>
      <c r="B1110" s="42" t="s">
        <v>2064</v>
      </c>
      <c r="C1110" s="2">
        <v>7013377246</v>
      </c>
      <c r="D1110" s="6"/>
      <c r="E1110" s="3" t="s">
        <v>2060</v>
      </c>
      <c r="F1110" s="42" t="s">
        <v>2052</v>
      </c>
      <c r="G1110" s="2" t="s">
        <v>416</v>
      </c>
      <c r="H1110" s="3" t="s">
        <v>94</v>
      </c>
      <c r="I1110" s="37" t="s">
        <v>88</v>
      </c>
      <c r="J1110" s="31">
        <v>45700</v>
      </c>
      <c r="K1110" s="31">
        <v>45701</v>
      </c>
      <c r="L1110" s="31"/>
      <c r="M1110" s="31"/>
      <c r="N1110" s="31"/>
      <c r="O1110" s="2" t="s">
        <v>297</v>
      </c>
    </row>
    <row r="1111" spans="1:15">
      <c r="A1111" s="3">
        <f t="shared" si="18"/>
        <v>1110</v>
      </c>
      <c r="B1111" s="42" t="s">
        <v>2065</v>
      </c>
      <c r="C1111" s="2">
        <v>6303286681</v>
      </c>
      <c r="D1111" s="6"/>
      <c r="E1111" s="3" t="s">
        <v>2060</v>
      </c>
      <c r="F1111" s="42" t="s">
        <v>2052</v>
      </c>
      <c r="G1111" s="2" t="s">
        <v>424</v>
      </c>
      <c r="H1111" s="3" t="s">
        <v>42</v>
      </c>
      <c r="I1111" s="37" t="s">
        <v>88</v>
      </c>
      <c r="J1111" s="31">
        <v>45700</v>
      </c>
      <c r="K1111" s="31">
        <v>45702</v>
      </c>
      <c r="L1111" s="31"/>
      <c r="M1111" s="31"/>
      <c r="N1111" s="31"/>
      <c r="O1111" s="2" t="s">
        <v>425</v>
      </c>
    </row>
    <row r="1112" spans="1:15">
      <c r="A1112" s="3">
        <f t="shared" si="18"/>
        <v>1111</v>
      </c>
      <c r="B1112" s="41" t="s">
        <v>2066</v>
      </c>
      <c r="C1112" s="3">
        <v>8609617647</v>
      </c>
      <c r="D1112" s="6"/>
      <c r="E1112" s="3" t="s">
        <v>2067</v>
      </c>
      <c r="F1112" s="41" t="s">
        <v>1864</v>
      </c>
      <c r="G1112" s="3" t="s">
        <v>330</v>
      </c>
      <c r="H1112" s="3" t="s">
        <v>604</v>
      </c>
      <c r="I1112" s="37" t="s">
        <v>94</v>
      </c>
      <c r="J1112" s="31">
        <v>45673</v>
      </c>
      <c r="K1112" s="31">
        <v>45681</v>
      </c>
      <c r="L1112" s="31">
        <v>45685</v>
      </c>
      <c r="M1112" s="31">
        <v>45705</v>
      </c>
      <c r="N1112" s="31">
        <v>45700</v>
      </c>
      <c r="O1112" s="3" t="s">
        <v>297</v>
      </c>
    </row>
    <row r="1113" spans="1:15">
      <c r="A1113" s="3">
        <f t="shared" si="18"/>
        <v>1112</v>
      </c>
      <c r="B1113" s="41" t="s">
        <v>2068</v>
      </c>
      <c r="C1113" s="3">
        <v>8348561816</v>
      </c>
      <c r="D1113" s="6"/>
      <c r="E1113" s="3" t="s">
        <v>2018</v>
      </c>
      <c r="F1113" s="41" t="s">
        <v>1864</v>
      </c>
      <c r="G1113" s="3" t="s">
        <v>424</v>
      </c>
      <c r="H1113" s="3" t="s">
        <v>604</v>
      </c>
      <c r="I1113" s="37" t="s">
        <v>94</v>
      </c>
      <c r="J1113" s="31">
        <v>45673</v>
      </c>
      <c r="K1113" s="31">
        <v>45681</v>
      </c>
      <c r="L1113" s="31"/>
      <c r="M1113" s="31"/>
      <c r="N1113" s="31"/>
      <c r="O1113" s="3" t="s">
        <v>425</v>
      </c>
    </row>
    <row r="1114" spans="1:15">
      <c r="A1114" s="3">
        <f t="shared" si="18"/>
        <v>1113</v>
      </c>
      <c r="B1114" s="41" t="s">
        <v>2069</v>
      </c>
      <c r="C1114" s="3">
        <v>8250074638</v>
      </c>
      <c r="D1114" s="6"/>
      <c r="E1114" s="3" t="s">
        <v>2018</v>
      </c>
      <c r="F1114" s="41" t="s">
        <v>1864</v>
      </c>
      <c r="G1114" s="3" t="s">
        <v>424</v>
      </c>
      <c r="H1114" s="3" t="s">
        <v>604</v>
      </c>
      <c r="I1114" s="37" t="s">
        <v>94</v>
      </c>
      <c r="J1114" s="31">
        <v>45673</v>
      </c>
      <c r="K1114" s="31">
        <v>45681</v>
      </c>
      <c r="L1114" s="31"/>
      <c r="M1114" s="31"/>
      <c r="N1114" s="31"/>
      <c r="O1114" s="3" t="s">
        <v>425</v>
      </c>
    </row>
    <row r="1115" spans="1:15">
      <c r="A1115" s="3">
        <f t="shared" si="18"/>
        <v>1114</v>
      </c>
      <c r="B1115" s="41" t="s">
        <v>2070</v>
      </c>
      <c r="C1115" s="3">
        <v>9860666637</v>
      </c>
      <c r="D1115" s="6"/>
      <c r="E1115" s="3" t="s">
        <v>2024</v>
      </c>
      <c r="F1115" s="41" t="s">
        <v>1864</v>
      </c>
      <c r="G1115" s="3" t="s">
        <v>424</v>
      </c>
      <c r="H1115" s="3" t="s">
        <v>604</v>
      </c>
      <c r="I1115" s="37" t="s">
        <v>94</v>
      </c>
      <c r="J1115" s="31">
        <v>45673</v>
      </c>
      <c r="K1115" s="31">
        <v>45681</v>
      </c>
      <c r="L1115" s="31"/>
      <c r="M1115" s="31"/>
      <c r="N1115" s="31"/>
      <c r="O1115" s="3" t="s">
        <v>425</v>
      </c>
    </row>
    <row r="1116" spans="1:15">
      <c r="A1116" s="3">
        <f t="shared" si="18"/>
        <v>1115</v>
      </c>
      <c r="B1116" s="41" t="s">
        <v>2071</v>
      </c>
      <c r="C1116" s="3">
        <v>9637652307</v>
      </c>
      <c r="D1116" s="6"/>
      <c r="E1116" s="3" t="s">
        <v>2072</v>
      </c>
      <c r="F1116" s="41" t="s">
        <v>1864</v>
      </c>
      <c r="G1116" s="3" t="s">
        <v>295</v>
      </c>
      <c r="H1116" s="3" t="s">
        <v>604</v>
      </c>
      <c r="I1116" s="37" t="s">
        <v>94</v>
      </c>
      <c r="J1116" s="31">
        <v>45673</v>
      </c>
      <c r="K1116" s="31">
        <v>45681</v>
      </c>
      <c r="L1116" s="31">
        <v>45685</v>
      </c>
      <c r="M1116" s="31">
        <v>45694</v>
      </c>
      <c r="N1116" s="31"/>
      <c r="O1116" s="3" t="s">
        <v>297</v>
      </c>
    </row>
    <row r="1117" spans="1:15">
      <c r="A1117" s="3">
        <f t="shared" si="18"/>
        <v>1116</v>
      </c>
      <c r="B1117" s="41" t="s">
        <v>2073</v>
      </c>
      <c r="C1117" s="3">
        <v>7020786136</v>
      </c>
      <c r="D1117" s="6"/>
      <c r="E1117" s="3" t="s">
        <v>2029</v>
      </c>
      <c r="F1117" s="41" t="s">
        <v>1864</v>
      </c>
      <c r="G1117" s="3" t="s">
        <v>16</v>
      </c>
      <c r="H1117" s="3" t="s">
        <v>604</v>
      </c>
      <c r="I1117" s="37" t="s">
        <v>94</v>
      </c>
      <c r="J1117" s="31">
        <v>45673</v>
      </c>
      <c r="K1117" s="31">
        <v>45681</v>
      </c>
      <c r="L1117" s="31">
        <v>45685</v>
      </c>
      <c r="M1117" s="31">
        <v>45694</v>
      </c>
      <c r="N1117" s="31">
        <v>45694</v>
      </c>
      <c r="O1117" s="3" t="s">
        <v>297</v>
      </c>
    </row>
    <row r="1118" spans="1:15">
      <c r="A1118" s="3">
        <f t="shared" si="18"/>
        <v>1117</v>
      </c>
      <c r="B1118" s="41" t="s">
        <v>2074</v>
      </c>
      <c r="C1118" s="3">
        <v>8509026127</v>
      </c>
      <c r="D1118" s="6"/>
      <c r="E1118" s="3" t="s">
        <v>2029</v>
      </c>
      <c r="F1118" s="41" t="s">
        <v>1864</v>
      </c>
      <c r="G1118" s="3" t="s">
        <v>424</v>
      </c>
      <c r="H1118" s="3" t="s">
        <v>604</v>
      </c>
      <c r="I1118" s="37" t="s">
        <v>94</v>
      </c>
      <c r="J1118" s="31">
        <v>45673</v>
      </c>
      <c r="K1118" s="31">
        <v>45681</v>
      </c>
      <c r="L1118" s="31"/>
      <c r="M1118" s="31"/>
      <c r="N1118" s="31"/>
      <c r="O1118" s="3" t="s">
        <v>425</v>
      </c>
    </row>
    <row r="1119" spans="1:15">
      <c r="A1119" s="3">
        <f t="shared" si="18"/>
        <v>1118</v>
      </c>
      <c r="B1119" s="41" t="s">
        <v>2075</v>
      </c>
      <c r="C1119" s="3">
        <v>7083509380</v>
      </c>
      <c r="D1119" s="6"/>
      <c r="E1119" s="3" t="s">
        <v>2029</v>
      </c>
      <c r="F1119" s="41" t="s">
        <v>1864</v>
      </c>
      <c r="G1119" s="3" t="s">
        <v>424</v>
      </c>
      <c r="H1119" s="3" t="s">
        <v>604</v>
      </c>
      <c r="I1119" s="37" t="s">
        <v>94</v>
      </c>
      <c r="J1119" s="31">
        <v>45673</v>
      </c>
      <c r="K1119" s="31">
        <v>45681</v>
      </c>
      <c r="L1119" s="31"/>
      <c r="M1119" s="31"/>
      <c r="N1119" s="31"/>
      <c r="O1119" s="3" t="s">
        <v>425</v>
      </c>
    </row>
    <row r="1120" spans="1:15">
      <c r="A1120" s="3">
        <f t="shared" si="18"/>
        <v>1119</v>
      </c>
      <c r="B1120" s="41" t="s">
        <v>2076</v>
      </c>
      <c r="C1120" s="3">
        <v>8918415631</v>
      </c>
      <c r="D1120" s="6"/>
      <c r="E1120" s="3" t="s">
        <v>2029</v>
      </c>
      <c r="F1120" s="41" t="s">
        <v>1864</v>
      </c>
      <c r="G1120" s="3" t="s">
        <v>295</v>
      </c>
      <c r="H1120" s="3" t="s">
        <v>604</v>
      </c>
      <c r="I1120" s="37" t="s">
        <v>94</v>
      </c>
      <c r="J1120" s="31">
        <v>45673</v>
      </c>
      <c r="K1120" s="31">
        <v>45681</v>
      </c>
      <c r="L1120" s="31">
        <v>45684</v>
      </c>
      <c r="M1120" s="31">
        <v>45705</v>
      </c>
      <c r="N1120" s="31"/>
      <c r="O1120" s="3" t="s">
        <v>297</v>
      </c>
    </row>
    <row r="1121" spans="1:15">
      <c r="A1121" s="3">
        <f t="shared" si="18"/>
        <v>1120</v>
      </c>
      <c r="B1121" s="41" t="s">
        <v>2077</v>
      </c>
      <c r="C1121" s="3">
        <v>9130057318</v>
      </c>
      <c r="D1121" s="6"/>
      <c r="E1121" s="3" t="s">
        <v>2018</v>
      </c>
      <c r="F1121" s="41" t="s">
        <v>1864</v>
      </c>
      <c r="G1121" s="3" t="s">
        <v>16</v>
      </c>
      <c r="H1121" s="3" t="s">
        <v>604</v>
      </c>
      <c r="I1121" s="37" t="s">
        <v>94</v>
      </c>
      <c r="J1121" s="31">
        <v>45673</v>
      </c>
      <c r="K1121" s="31">
        <v>45681</v>
      </c>
      <c r="L1121" s="31">
        <v>45686</v>
      </c>
      <c r="M1121" s="31">
        <v>45698</v>
      </c>
      <c r="N1121" s="31">
        <v>45697</v>
      </c>
      <c r="O1121" s="3" t="s">
        <v>297</v>
      </c>
    </row>
    <row r="1122" spans="1:15">
      <c r="A1122" s="3">
        <f t="shared" si="18"/>
        <v>1121</v>
      </c>
      <c r="B1122" s="41" t="s">
        <v>2078</v>
      </c>
      <c r="C1122" s="3">
        <v>8010999208</v>
      </c>
      <c r="D1122" s="6"/>
      <c r="E1122" s="3" t="s">
        <v>2024</v>
      </c>
      <c r="F1122" s="41" t="s">
        <v>1864</v>
      </c>
      <c r="G1122" s="3" t="s">
        <v>424</v>
      </c>
      <c r="H1122" s="3" t="s">
        <v>604</v>
      </c>
      <c r="I1122" s="37" t="s">
        <v>94</v>
      </c>
      <c r="J1122" s="31">
        <v>45673</v>
      </c>
      <c r="K1122" s="31">
        <v>45681</v>
      </c>
      <c r="L1122" s="31"/>
      <c r="M1122" s="31"/>
      <c r="N1122" s="31"/>
      <c r="O1122" s="3" t="s">
        <v>425</v>
      </c>
    </row>
    <row r="1123" spans="1:15">
      <c r="A1123" s="3">
        <f t="shared" si="18"/>
        <v>1122</v>
      </c>
      <c r="B1123" s="41" t="s">
        <v>2079</v>
      </c>
      <c r="C1123" s="3">
        <v>9359021887</v>
      </c>
      <c r="D1123" s="6"/>
      <c r="E1123" s="3" t="s">
        <v>2029</v>
      </c>
      <c r="F1123" s="41" t="s">
        <v>1864</v>
      </c>
      <c r="G1123" s="3" t="s">
        <v>424</v>
      </c>
      <c r="H1123" s="3" t="s">
        <v>604</v>
      </c>
      <c r="I1123" s="37" t="s">
        <v>94</v>
      </c>
      <c r="J1123" s="31">
        <v>45673</v>
      </c>
      <c r="K1123" s="31">
        <v>45673</v>
      </c>
      <c r="L1123" s="31"/>
      <c r="M1123" s="31"/>
      <c r="N1123" s="31"/>
      <c r="O1123" s="3" t="s">
        <v>425</v>
      </c>
    </row>
    <row r="1124" spans="1:15">
      <c r="A1124" s="3">
        <f t="shared" si="18"/>
        <v>1123</v>
      </c>
      <c r="B1124" s="41" t="s">
        <v>2080</v>
      </c>
      <c r="C1124" s="3">
        <v>6305095287</v>
      </c>
      <c r="D1124" s="6"/>
      <c r="E1124" s="3" t="s">
        <v>2081</v>
      </c>
      <c r="F1124" s="41" t="s">
        <v>2082</v>
      </c>
      <c r="G1124" s="3" t="s">
        <v>16</v>
      </c>
      <c r="H1124" s="3" t="s">
        <v>785</v>
      </c>
      <c r="I1124" s="37" t="s">
        <v>88</v>
      </c>
      <c r="J1124" s="31">
        <v>45666</v>
      </c>
      <c r="K1124" s="31">
        <v>45667</v>
      </c>
      <c r="L1124" s="31">
        <v>45667</v>
      </c>
      <c r="M1124" s="31">
        <v>45677</v>
      </c>
      <c r="N1124" s="31">
        <v>45677</v>
      </c>
      <c r="O1124" s="3" t="s">
        <v>297</v>
      </c>
    </row>
    <row r="1125" spans="1:15">
      <c r="A1125" s="3">
        <f t="shared" si="18"/>
        <v>1124</v>
      </c>
      <c r="B1125" s="41" t="s">
        <v>2083</v>
      </c>
      <c r="C1125" s="3">
        <v>8247678455</v>
      </c>
      <c r="D1125" s="6"/>
      <c r="E1125" s="3" t="s">
        <v>2084</v>
      </c>
      <c r="F1125" s="41" t="s">
        <v>2085</v>
      </c>
      <c r="G1125" s="3" t="s">
        <v>16</v>
      </c>
      <c r="H1125" s="3" t="s">
        <v>582</v>
      </c>
      <c r="I1125" s="37" t="s">
        <v>88</v>
      </c>
      <c r="J1125" s="31">
        <v>45665</v>
      </c>
      <c r="K1125" s="31">
        <v>45665</v>
      </c>
      <c r="L1125" s="31">
        <v>45665</v>
      </c>
      <c r="M1125" s="31">
        <v>45694</v>
      </c>
      <c r="N1125" s="31">
        <v>45694</v>
      </c>
      <c r="O1125" s="3" t="s">
        <v>297</v>
      </c>
    </row>
    <row r="1126" spans="1:15">
      <c r="A1126" s="3">
        <f t="shared" si="18"/>
        <v>1125</v>
      </c>
      <c r="B1126" s="41" t="s">
        <v>2086</v>
      </c>
      <c r="C1126" s="3">
        <v>7287972002</v>
      </c>
      <c r="D1126" s="6"/>
      <c r="E1126" s="3" t="s">
        <v>2084</v>
      </c>
      <c r="F1126" s="41" t="s">
        <v>2085</v>
      </c>
      <c r="G1126" s="3" t="s">
        <v>16</v>
      </c>
      <c r="H1126" s="3" t="s">
        <v>582</v>
      </c>
      <c r="I1126" s="37" t="s">
        <v>88</v>
      </c>
      <c r="J1126" s="31">
        <v>45664</v>
      </c>
      <c r="K1126" s="31">
        <v>45665</v>
      </c>
      <c r="L1126" s="31">
        <v>45665</v>
      </c>
      <c r="M1126" s="31">
        <v>45696</v>
      </c>
      <c r="N1126" s="31">
        <v>45696</v>
      </c>
      <c r="O1126" s="3" t="s">
        <v>297</v>
      </c>
    </row>
    <row r="1127" spans="1:15">
      <c r="A1127" s="3">
        <f t="shared" si="18"/>
        <v>1126</v>
      </c>
      <c r="B1127" s="41" t="s">
        <v>2087</v>
      </c>
      <c r="C1127" s="3">
        <v>9182103734</v>
      </c>
      <c r="D1127" s="6"/>
      <c r="E1127" s="3" t="s">
        <v>2048</v>
      </c>
      <c r="F1127" s="41" t="s">
        <v>245</v>
      </c>
      <c r="G1127" s="3" t="s">
        <v>424</v>
      </c>
      <c r="H1127" s="3" t="s">
        <v>162</v>
      </c>
      <c r="I1127" s="37" t="s">
        <v>94</v>
      </c>
      <c r="J1127" s="31">
        <v>45665</v>
      </c>
      <c r="K1127" s="31">
        <v>45674</v>
      </c>
      <c r="L1127" s="31"/>
      <c r="M1127" s="31"/>
      <c r="N1127" s="31"/>
      <c r="O1127" s="3" t="s">
        <v>425</v>
      </c>
    </row>
    <row r="1128" spans="1:15">
      <c r="A1128" s="3">
        <f t="shared" si="18"/>
        <v>1127</v>
      </c>
      <c r="B1128" s="41" t="s">
        <v>2088</v>
      </c>
      <c r="C1128" s="3">
        <v>9894811702</v>
      </c>
      <c r="D1128" s="6"/>
      <c r="E1128" s="3" t="s">
        <v>2048</v>
      </c>
      <c r="F1128" s="41" t="s">
        <v>245</v>
      </c>
      <c r="G1128" s="3" t="s">
        <v>424</v>
      </c>
      <c r="H1128" s="3" t="s">
        <v>162</v>
      </c>
      <c r="I1128" s="37" t="s">
        <v>94</v>
      </c>
      <c r="J1128" s="31">
        <v>45665</v>
      </c>
      <c r="K1128" s="31">
        <v>45674</v>
      </c>
      <c r="L1128" s="31"/>
      <c r="M1128" s="31"/>
      <c r="N1128" s="31"/>
      <c r="O1128" s="3" t="s">
        <v>425</v>
      </c>
    </row>
    <row r="1129" spans="1:15">
      <c r="A1129" s="3">
        <f t="shared" si="18"/>
        <v>1128</v>
      </c>
      <c r="B1129" s="41" t="s">
        <v>2089</v>
      </c>
      <c r="C1129" s="3">
        <v>7735677088</v>
      </c>
      <c r="D1129" s="6"/>
      <c r="E1129" s="3" t="s">
        <v>2048</v>
      </c>
      <c r="F1129" s="41" t="s">
        <v>245</v>
      </c>
      <c r="G1129" s="3" t="s">
        <v>424</v>
      </c>
      <c r="H1129" s="3" t="s">
        <v>162</v>
      </c>
      <c r="I1129" s="37" t="s">
        <v>94</v>
      </c>
      <c r="J1129" s="31">
        <v>45665</v>
      </c>
      <c r="K1129" s="31">
        <v>45674</v>
      </c>
      <c r="L1129" s="31"/>
      <c r="M1129" s="31"/>
      <c r="N1129" s="31"/>
      <c r="O1129" s="3" t="s">
        <v>425</v>
      </c>
    </row>
    <row r="1130" spans="1:15">
      <c r="A1130" s="3">
        <f t="shared" si="18"/>
        <v>1129</v>
      </c>
      <c r="B1130" s="109" t="s">
        <v>2090</v>
      </c>
      <c r="C1130" s="2">
        <v>8127771570</v>
      </c>
      <c r="D1130" s="6"/>
      <c r="E1130" s="3" t="s">
        <v>2048</v>
      </c>
      <c r="F1130" s="42" t="s">
        <v>2091</v>
      </c>
      <c r="G1130" s="2" t="s">
        <v>16</v>
      </c>
      <c r="H1130" s="3" t="s">
        <v>162</v>
      </c>
      <c r="I1130" s="37" t="s">
        <v>94</v>
      </c>
      <c r="J1130" s="31">
        <v>45695</v>
      </c>
      <c r="K1130" s="31">
        <v>45695</v>
      </c>
      <c r="L1130" s="31">
        <v>45695</v>
      </c>
      <c r="M1130" s="31">
        <v>45723</v>
      </c>
      <c r="N1130" s="31">
        <v>45708</v>
      </c>
      <c r="O1130" s="2" t="s">
        <v>297</v>
      </c>
    </row>
    <row r="1131" spans="1:15">
      <c r="A1131" s="3">
        <f t="shared" si="18"/>
        <v>1130</v>
      </c>
      <c r="B1131" s="41" t="s">
        <v>2092</v>
      </c>
      <c r="C1131" s="3">
        <v>9705727764</v>
      </c>
      <c r="D1131" s="6"/>
      <c r="E1131" s="3" t="s">
        <v>2072</v>
      </c>
      <c r="F1131" s="41" t="s">
        <v>2093</v>
      </c>
      <c r="G1131" s="3" t="s">
        <v>416</v>
      </c>
      <c r="H1131" s="2" t="s">
        <v>296</v>
      </c>
      <c r="I1131" s="37" t="s">
        <v>94</v>
      </c>
      <c r="J1131" s="31">
        <v>45658</v>
      </c>
      <c r="K1131" s="31">
        <v>45679</v>
      </c>
      <c r="L1131" s="31"/>
      <c r="M1131" s="31"/>
      <c r="N1131" s="31"/>
      <c r="O1131" s="3" t="s">
        <v>297</v>
      </c>
    </row>
    <row r="1132" spans="1:15">
      <c r="A1132" s="3">
        <f t="shared" si="18"/>
        <v>1131</v>
      </c>
      <c r="B1132" s="41" t="s">
        <v>2094</v>
      </c>
      <c r="C1132" s="3">
        <v>8416962472</v>
      </c>
      <c r="D1132" s="6"/>
      <c r="E1132" s="3" t="s">
        <v>2072</v>
      </c>
      <c r="F1132" s="41" t="s">
        <v>2093</v>
      </c>
      <c r="G1132" s="3" t="s">
        <v>424</v>
      </c>
      <c r="H1132" s="2" t="s">
        <v>296</v>
      </c>
      <c r="I1132" s="37" t="s">
        <v>94</v>
      </c>
      <c r="J1132" s="31">
        <v>45658</v>
      </c>
      <c r="K1132" s="31">
        <v>45679</v>
      </c>
      <c r="L1132" s="31"/>
      <c r="M1132" s="31"/>
      <c r="N1132" s="31"/>
      <c r="O1132" s="3" t="s">
        <v>425</v>
      </c>
    </row>
    <row r="1133" spans="1:15">
      <c r="A1133" s="3">
        <f t="shared" si="18"/>
        <v>1132</v>
      </c>
      <c r="B1133" s="41" t="s">
        <v>2095</v>
      </c>
      <c r="C1133" s="3">
        <v>7309889078</v>
      </c>
      <c r="D1133" s="6"/>
      <c r="E1133" s="3" t="s">
        <v>2048</v>
      </c>
      <c r="F1133" s="41" t="s">
        <v>2096</v>
      </c>
      <c r="G1133" s="3" t="s">
        <v>424</v>
      </c>
      <c r="H1133" s="3" t="s">
        <v>162</v>
      </c>
      <c r="I1133" s="37" t="s">
        <v>94</v>
      </c>
      <c r="J1133" s="31">
        <v>45665</v>
      </c>
      <c r="K1133" s="31">
        <v>45674</v>
      </c>
      <c r="L1133" s="31"/>
      <c r="M1133" s="31"/>
      <c r="N1133" s="31"/>
      <c r="O1133" s="3" t="s">
        <v>425</v>
      </c>
    </row>
    <row r="1134" spans="1:15">
      <c r="A1134" s="3">
        <f t="shared" si="18"/>
        <v>1133</v>
      </c>
      <c r="B1134" s="41" t="s">
        <v>2097</v>
      </c>
      <c r="C1134" s="3">
        <v>7067772664</v>
      </c>
      <c r="D1134" s="6"/>
      <c r="E1134" s="3" t="s">
        <v>2048</v>
      </c>
      <c r="F1134" s="41" t="s">
        <v>2096</v>
      </c>
      <c r="G1134" s="3" t="s">
        <v>424</v>
      </c>
      <c r="H1134" s="3" t="s">
        <v>162</v>
      </c>
      <c r="I1134" s="37" t="s">
        <v>94</v>
      </c>
      <c r="J1134" s="31">
        <v>45665</v>
      </c>
      <c r="K1134" s="31">
        <v>45674</v>
      </c>
      <c r="L1134" s="31"/>
      <c r="M1134" s="31"/>
      <c r="N1134" s="31"/>
      <c r="O1134" s="3" t="s">
        <v>425</v>
      </c>
    </row>
    <row r="1135" spans="1:15">
      <c r="A1135" s="3">
        <f t="shared" si="18"/>
        <v>1134</v>
      </c>
      <c r="B1135" s="41" t="s">
        <v>2098</v>
      </c>
      <c r="C1135" s="3">
        <v>9981162038</v>
      </c>
      <c r="D1135" s="6"/>
      <c r="E1135" s="3" t="s">
        <v>2048</v>
      </c>
      <c r="F1135" s="41" t="s">
        <v>2096</v>
      </c>
      <c r="G1135" s="3" t="s">
        <v>424</v>
      </c>
      <c r="H1135" s="3" t="s">
        <v>162</v>
      </c>
      <c r="I1135" s="37" t="s">
        <v>94</v>
      </c>
      <c r="J1135" s="31">
        <v>45665</v>
      </c>
      <c r="K1135" s="31">
        <v>45690</v>
      </c>
      <c r="L1135" s="31"/>
      <c r="M1135" s="31"/>
      <c r="N1135" s="31"/>
      <c r="O1135" s="3" t="s">
        <v>425</v>
      </c>
    </row>
    <row r="1136" spans="1:15">
      <c r="A1136" s="3">
        <f t="shared" si="18"/>
        <v>1135</v>
      </c>
      <c r="B1136" s="41" t="s">
        <v>2099</v>
      </c>
      <c r="C1136" s="3">
        <v>6304932684</v>
      </c>
      <c r="D1136" s="6"/>
      <c r="E1136" s="3" t="s">
        <v>2081</v>
      </c>
      <c r="F1136" s="41" t="s">
        <v>2100</v>
      </c>
      <c r="G1136" s="3" t="s">
        <v>16</v>
      </c>
      <c r="H1136" s="3" t="s">
        <v>162</v>
      </c>
      <c r="I1136" s="37" t="s">
        <v>88</v>
      </c>
      <c r="J1136" s="31">
        <v>45677</v>
      </c>
      <c r="K1136" s="31">
        <v>45678</v>
      </c>
      <c r="L1136" s="31">
        <v>45684</v>
      </c>
      <c r="M1136" s="31">
        <v>45716</v>
      </c>
      <c r="N1136" s="31">
        <v>45716</v>
      </c>
      <c r="O1136" s="3" t="s">
        <v>297</v>
      </c>
    </row>
    <row r="1137" spans="1:15">
      <c r="A1137" s="3">
        <f t="shared" si="18"/>
        <v>1136</v>
      </c>
      <c r="B1137" s="41" t="s">
        <v>2101</v>
      </c>
      <c r="C1137" s="3">
        <v>9908965617</v>
      </c>
      <c r="D1137" s="6"/>
      <c r="E1137" s="3" t="s">
        <v>2060</v>
      </c>
      <c r="F1137" s="41" t="s">
        <v>2102</v>
      </c>
      <c r="G1137" s="2" t="s">
        <v>416</v>
      </c>
      <c r="H1137" s="3" t="s">
        <v>162</v>
      </c>
      <c r="I1137" s="37" t="s">
        <v>88</v>
      </c>
      <c r="J1137" s="31">
        <v>45689</v>
      </c>
      <c r="K1137" s="31">
        <v>45689</v>
      </c>
      <c r="L1137" s="31"/>
      <c r="M1137" s="31"/>
      <c r="N1137" s="31"/>
      <c r="O1137" s="2" t="s">
        <v>297</v>
      </c>
    </row>
    <row r="1138" spans="1:15">
      <c r="A1138" s="3">
        <f t="shared" si="18"/>
        <v>1137</v>
      </c>
      <c r="B1138" s="41" t="s">
        <v>2103</v>
      </c>
      <c r="C1138" s="3">
        <v>9701453549</v>
      </c>
      <c r="D1138" s="6"/>
      <c r="E1138" s="35" t="s">
        <v>2084</v>
      </c>
      <c r="F1138" s="41" t="s">
        <v>2104</v>
      </c>
      <c r="G1138" s="3" t="s">
        <v>424</v>
      </c>
      <c r="H1138" s="3" t="s">
        <v>582</v>
      </c>
      <c r="I1138" s="37" t="s">
        <v>88</v>
      </c>
      <c r="J1138" s="31">
        <v>45692</v>
      </c>
      <c r="K1138" s="31">
        <v>45692</v>
      </c>
      <c r="L1138" s="31"/>
      <c r="M1138" s="31"/>
      <c r="N1138" s="31"/>
      <c r="O1138" s="3" t="s">
        <v>425</v>
      </c>
    </row>
    <row r="1139" spans="1:15">
      <c r="A1139" s="3">
        <f t="shared" si="18"/>
        <v>1138</v>
      </c>
      <c r="B1139" s="41" t="s">
        <v>2105</v>
      </c>
      <c r="C1139" s="3">
        <v>9603102451</v>
      </c>
      <c r="D1139" s="6"/>
      <c r="E1139" s="35" t="s">
        <v>2084</v>
      </c>
      <c r="F1139" s="41" t="s">
        <v>2104</v>
      </c>
      <c r="G1139" s="3" t="s">
        <v>424</v>
      </c>
      <c r="H1139" s="3" t="s">
        <v>582</v>
      </c>
      <c r="I1139" s="37" t="s">
        <v>88</v>
      </c>
      <c r="J1139" s="31">
        <v>45692</v>
      </c>
      <c r="K1139" s="31">
        <v>45692</v>
      </c>
      <c r="L1139" s="31"/>
      <c r="M1139" s="31"/>
      <c r="N1139" s="31"/>
      <c r="O1139" s="3" t="s">
        <v>425</v>
      </c>
    </row>
    <row r="1140" spans="1:15">
      <c r="A1140" s="3">
        <f t="shared" si="18"/>
        <v>1139</v>
      </c>
      <c r="B1140" s="41" t="s">
        <v>2106</v>
      </c>
      <c r="C1140" s="3">
        <v>9855651128</v>
      </c>
      <c r="D1140" s="6"/>
      <c r="E1140" s="35" t="s">
        <v>2084</v>
      </c>
      <c r="F1140" s="41" t="s">
        <v>599</v>
      </c>
      <c r="G1140" s="3" t="s">
        <v>424</v>
      </c>
      <c r="H1140" s="3" t="s">
        <v>582</v>
      </c>
      <c r="I1140" s="37" t="s">
        <v>88</v>
      </c>
      <c r="J1140" s="31">
        <v>45692</v>
      </c>
      <c r="K1140" s="31">
        <v>45692</v>
      </c>
      <c r="L1140" s="31"/>
      <c r="M1140" s="31"/>
      <c r="N1140" s="31"/>
      <c r="O1140" s="3" t="s">
        <v>425</v>
      </c>
    </row>
    <row r="1141" spans="1:15">
      <c r="A1141" s="3">
        <f t="shared" si="18"/>
        <v>1140</v>
      </c>
      <c r="B1141" s="41" t="s">
        <v>2107</v>
      </c>
      <c r="C1141" s="3">
        <v>8497959562</v>
      </c>
      <c r="D1141" s="6"/>
      <c r="E1141" s="35" t="s">
        <v>2084</v>
      </c>
      <c r="F1141" s="41" t="s">
        <v>599</v>
      </c>
      <c r="G1141" s="3" t="s">
        <v>424</v>
      </c>
      <c r="H1141" s="3" t="s">
        <v>582</v>
      </c>
      <c r="I1141" s="37" t="s">
        <v>88</v>
      </c>
      <c r="J1141" s="31">
        <v>45692</v>
      </c>
      <c r="K1141" s="31">
        <v>45692</v>
      </c>
      <c r="L1141" s="31"/>
      <c r="M1141" s="31"/>
      <c r="N1141" s="31"/>
      <c r="O1141" s="3" t="s">
        <v>425</v>
      </c>
    </row>
    <row r="1142" spans="1:15">
      <c r="A1142" s="3">
        <f t="shared" si="18"/>
        <v>1141</v>
      </c>
      <c r="B1142" s="41" t="s">
        <v>2108</v>
      </c>
      <c r="C1142" s="3">
        <v>8318150822</v>
      </c>
      <c r="D1142" s="6">
        <v>9792658622</v>
      </c>
      <c r="E1142" s="35" t="s">
        <v>2084</v>
      </c>
      <c r="F1142" s="41" t="s">
        <v>599</v>
      </c>
      <c r="G1142" s="3" t="s">
        <v>424</v>
      </c>
      <c r="H1142" s="3" t="s">
        <v>582</v>
      </c>
      <c r="I1142" s="37" t="s">
        <v>88</v>
      </c>
      <c r="J1142" s="31">
        <v>45692</v>
      </c>
      <c r="K1142" s="31">
        <v>45692</v>
      </c>
      <c r="L1142" s="31"/>
      <c r="M1142" s="31"/>
      <c r="N1142" s="31"/>
      <c r="O1142" s="3" t="s">
        <v>425</v>
      </c>
    </row>
    <row r="1143" spans="1:15">
      <c r="A1143" s="3">
        <f t="shared" si="18"/>
        <v>1142</v>
      </c>
      <c r="B1143" s="41" t="s">
        <v>2109</v>
      </c>
      <c r="C1143" s="3">
        <v>7483166591</v>
      </c>
      <c r="D1143" s="6"/>
      <c r="E1143" s="35" t="s">
        <v>2084</v>
      </c>
      <c r="F1143" s="41" t="s">
        <v>599</v>
      </c>
      <c r="G1143" s="3" t="s">
        <v>424</v>
      </c>
      <c r="H1143" s="3" t="s">
        <v>582</v>
      </c>
      <c r="I1143" s="37" t="s">
        <v>88</v>
      </c>
      <c r="J1143" s="31">
        <v>45692</v>
      </c>
      <c r="K1143" s="31">
        <v>45692</v>
      </c>
      <c r="L1143" s="31"/>
      <c r="M1143" s="31"/>
      <c r="N1143" s="31"/>
      <c r="O1143" s="3" t="s">
        <v>425</v>
      </c>
    </row>
    <row r="1144" spans="1:15">
      <c r="A1144" s="3">
        <f t="shared" si="18"/>
        <v>1143</v>
      </c>
      <c r="B1144" s="41" t="s">
        <v>2110</v>
      </c>
      <c r="C1144" s="3">
        <v>8328355161</v>
      </c>
      <c r="D1144" s="6"/>
      <c r="E1144" s="35" t="s">
        <v>2084</v>
      </c>
      <c r="F1144" s="41" t="s">
        <v>599</v>
      </c>
      <c r="G1144" s="3" t="s">
        <v>424</v>
      </c>
      <c r="H1144" s="3" t="s">
        <v>582</v>
      </c>
      <c r="I1144" s="37" t="s">
        <v>88</v>
      </c>
      <c r="J1144" s="31">
        <v>45692</v>
      </c>
      <c r="K1144" s="31">
        <v>45692</v>
      </c>
      <c r="L1144" s="31"/>
      <c r="M1144" s="31"/>
      <c r="N1144" s="31"/>
      <c r="O1144" s="3" t="s">
        <v>425</v>
      </c>
    </row>
    <row r="1145" spans="1:15">
      <c r="A1145" s="3">
        <f t="shared" si="18"/>
        <v>1144</v>
      </c>
      <c r="B1145" s="41" t="s">
        <v>2111</v>
      </c>
      <c r="C1145" s="3">
        <v>9959318595</v>
      </c>
      <c r="D1145" s="6">
        <v>8247294358</v>
      </c>
      <c r="E1145" s="35" t="s">
        <v>2084</v>
      </c>
      <c r="F1145" s="41" t="s">
        <v>599</v>
      </c>
      <c r="G1145" s="3" t="s">
        <v>424</v>
      </c>
      <c r="H1145" s="3" t="s">
        <v>582</v>
      </c>
      <c r="I1145" s="37" t="s">
        <v>88</v>
      </c>
      <c r="J1145" s="31">
        <v>45692</v>
      </c>
      <c r="K1145" s="31">
        <v>45692</v>
      </c>
      <c r="L1145" s="31"/>
      <c r="M1145" s="31"/>
      <c r="N1145" s="31"/>
      <c r="O1145" s="3" t="s">
        <v>425</v>
      </c>
    </row>
    <row r="1146" spans="1:15">
      <c r="A1146" s="3">
        <f t="shared" ref="A1146:A1209" si="19">ROW()-1</f>
        <v>1145</v>
      </c>
      <c r="B1146" s="42" t="s">
        <v>2112</v>
      </c>
      <c r="C1146" s="2">
        <v>9952300205</v>
      </c>
      <c r="D1146" s="6"/>
      <c r="E1146" s="3" t="s">
        <v>2084</v>
      </c>
      <c r="F1146" s="41" t="s">
        <v>2113</v>
      </c>
      <c r="G1146" s="2" t="s">
        <v>416</v>
      </c>
      <c r="H1146" s="3" t="s">
        <v>582</v>
      </c>
      <c r="I1146" s="37" t="s">
        <v>88</v>
      </c>
      <c r="J1146" s="31">
        <v>45695</v>
      </c>
      <c r="K1146" s="31">
        <v>45695</v>
      </c>
      <c r="L1146" s="31"/>
      <c r="M1146" s="31"/>
      <c r="N1146" s="31"/>
      <c r="O1146" s="2" t="s">
        <v>297</v>
      </c>
    </row>
    <row r="1147" spans="1:15">
      <c r="A1147" s="3">
        <f t="shared" si="19"/>
        <v>1146</v>
      </c>
      <c r="B1147" s="42" t="s">
        <v>2114</v>
      </c>
      <c r="C1147" s="2">
        <v>9965042828</v>
      </c>
      <c r="D1147" s="6"/>
      <c r="E1147" s="3" t="s">
        <v>2084</v>
      </c>
      <c r="F1147" s="41" t="s">
        <v>599</v>
      </c>
      <c r="G1147" s="2" t="s">
        <v>295</v>
      </c>
      <c r="H1147" s="3" t="s">
        <v>582</v>
      </c>
      <c r="I1147" s="37" t="s">
        <v>88</v>
      </c>
      <c r="J1147" s="31">
        <v>45695</v>
      </c>
      <c r="K1147" s="31">
        <v>45695</v>
      </c>
      <c r="L1147" s="31">
        <v>45701</v>
      </c>
      <c r="M1147" s="31">
        <v>45731</v>
      </c>
      <c r="N1147" s="31"/>
      <c r="O1147" s="2" t="s">
        <v>297</v>
      </c>
    </row>
    <row r="1148" spans="1:15">
      <c r="A1148" s="3">
        <f t="shared" si="19"/>
        <v>1147</v>
      </c>
      <c r="B1148" s="42" t="s">
        <v>2115</v>
      </c>
      <c r="C1148" s="2">
        <v>9515940636</v>
      </c>
      <c r="D1148" s="6"/>
      <c r="E1148" s="3" t="s">
        <v>2084</v>
      </c>
      <c r="F1148" s="42" t="s">
        <v>2116</v>
      </c>
      <c r="G1148" s="2" t="s">
        <v>330</v>
      </c>
      <c r="H1148" s="3" t="s">
        <v>582</v>
      </c>
      <c r="I1148" s="37" t="s">
        <v>88</v>
      </c>
      <c r="J1148" s="31">
        <v>45699</v>
      </c>
      <c r="K1148" s="31">
        <v>45698</v>
      </c>
      <c r="L1148" s="31">
        <v>45701</v>
      </c>
      <c r="M1148" s="31">
        <v>45731</v>
      </c>
      <c r="N1148" s="31">
        <v>45731</v>
      </c>
      <c r="O1148" s="2" t="s">
        <v>297</v>
      </c>
    </row>
    <row r="1149" spans="1:15">
      <c r="A1149" s="3">
        <f t="shared" si="19"/>
        <v>1148</v>
      </c>
      <c r="B1149" s="42" t="s">
        <v>2117</v>
      </c>
      <c r="C1149" s="2">
        <v>8885439996</v>
      </c>
      <c r="D1149" s="6"/>
      <c r="E1149" s="3" t="s">
        <v>2084</v>
      </c>
      <c r="F1149" s="42" t="s">
        <v>2116</v>
      </c>
      <c r="G1149" s="2" t="s">
        <v>295</v>
      </c>
      <c r="H1149" s="3" t="s">
        <v>582</v>
      </c>
      <c r="I1149" s="37" t="s">
        <v>88</v>
      </c>
      <c r="J1149" s="31">
        <v>45699</v>
      </c>
      <c r="K1149" s="31">
        <v>45698</v>
      </c>
      <c r="L1149" s="31">
        <v>45701</v>
      </c>
      <c r="M1149" s="31">
        <v>45736</v>
      </c>
      <c r="N1149" s="31"/>
      <c r="O1149" s="2" t="s">
        <v>297</v>
      </c>
    </row>
    <row r="1150" spans="1:15">
      <c r="A1150" s="3">
        <f t="shared" si="19"/>
        <v>1149</v>
      </c>
      <c r="B1150" s="42" t="s">
        <v>2118</v>
      </c>
      <c r="C1150" s="2">
        <v>9787829706</v>
      </c>
      <c r="D1150" s="6"/>
      <c r="E1150" s="3" t="s">
        <v>2084</v>
      </c>
      <c r="F1150" s="42" t="s">
        <v>2116</v>
      </c>
      <c r="G1150" s="2" t="s">
        <v>295</v>
      </c>
      <c r="H1150" s="3" t="s">
        <v>582</v>
      </c>
      <c r="I1150" s="37" t="s">
        <v>88</v>
      </c>
      <c r="J1150" s="31">
        <v>45699</v>
      </c>
      <c r="K1150" s="31">
        <v>45698</v>
      </c>
      <c r="L1150" s="31">
        <v>45708</v>
      </c>
      <c r="M1150" s="31">
        <v>45741</v>
      </c>
      <c r="N1150" s="31"/>
      <c r="O1150" s="2" t="s">
        <v>297</v>
      </c>
    </row>
    <row r="1151" spans="1:15">
      <c r="A1151" s="3">
        <f t="shared" si="19"/>
        <v>1150</v>
      </c>
      <c r="B1151" s="42" t="s">
        <v>2119</v>
      </c>
      <c r="C1151" s="2">
        <v>7799820830</v>
      </c>
      <c r="D1151" s="6"/>
      <c r="E1151" s="3" t="s">
        <v>2084</v>
      </c>
      <c r="F1151" s="42" t="s">
        <v>2120</v>
      </c>
      <c r="G1151" s="2" t="s">
        <v>16</v>
      </c>
      <c r="H1151" s="3" t="s">
        <v>582</v>
      </c>
      <c r="I1151" s="37" t="s">
        <v>88</v>
      </c>
      <c r="J1151" s="31">
        <v>45699</v>
      </c>
      <c r="K1151" s="31">
        <v>45699</v>
      </c>
      <c r="L1151" s="31">
        <v>45699</v>
      </c>
      <c r="M1151" s="31">
        <v>45699</v>
      </c>
      <c r="N1151" s="31">
        <v>45699</v>
      </c>
      <c r="O1151" s="2" t="s">
        <v>297</v>
      </c>
    </row>
    <row r="1152" spans="1:15">
      <c r="A1152" s="3">
        <f t="shared" si="19"/>
        <v>1151</v>
      </c>
      <c r="B1152" s="77" t="s">
        <v>2121</v>
      </c>
      <c r="C1152" s="36">
        <v>8919160720</v>
      </c>
      <c r="D1152" s="6"/>
      <c r="E1152" s="3" t="s">
        <v>164</v>
      </c>
      <c r="F1152" s="72" t="s">
        <v>2122</v>
      </c>
      <c r="G1152" s="2" t="s">
        <v>424</v>
      </c>
      <c r="H1152" s="3" t="s">
        <v>162</v>
      </c>
      <c r="I1152" s="37" t="s">
        <v>42</v>
      </c>
      <c r="J1152" s="31">
        <v>45713</v>
      </c>
      <c r="K1152" s="31">
        <v>45717</v>
      </c>
      <c r="L1152" s="31"/>
      <c r="M1152" s="31"/>
      <c r="N1152" s="31"/>
      <c r="O1152" s="2" t="s">
        <v>425</v>
      </c>
    </row>
    <row r="1153" spans="1:15">
      <c r="A1153" s="3">
        <f t="shared" si="19"/>
        <v>1152</v>
      </c>
      <c r="B1153" s="77" t="s">
        <v>2123</v>
      </c>
      <c r="C1153" s="36">
        <v>7013959520</v>
      </c>
      <c r="D1153" s="6"/>
      <c r="E1153" s="3" t="s">
        <v>164</v>
      </c>
      <c r="F1153" s="72" t="s">
        <v>2122</v>
      </c>
      <c r="G1153" s="2" t="s">
        <v>424</v>
      </c>
      <c r="H1153" s="3" t="s">
        <v>162</v>
      </c>
      <c r="I1153" s="37" t="s">
        <v>42</v>
      </c>
      <c r="J1153" s="31">
        <v>45713</v>
      </c>
      <c r="K1153" s="31">
        <v>45715</v>
      </c>
      <c r="L1153" s="31"/>
      <c r="M1153" s="31"/>
      <c r="N1153" s="31"/>
      <c r="O1153" s="2" t="s">
        <v>425</v>
      </c>
    </row>
    <row r="1154" spans="1:15">
      <c r="A1154" s="3">
        <f t="shared" si="19"/>
        <v>1153</v>
      </c>
      <c r="B1154" s="77" t="s">
        <v>2124</v>
      </c>
      <c r="C1154" s="36">
        <v>7416060629</v>
      </c>
      <c r="D1154" s="6"/>
      <c r="E1154" s="3" t="s">
        <v>167</v>
      </c>
      <c r="F1154" s="72" t="s">
        <v>2125</v>
      </c>
      <c r="G1154" s="2" t="s">
        <v>416</v>
      </c>
      <c r="H1154" s="3" t="s">
        <v>162</v>
      </c>
      <c r="I1154" s="37" t="s">
        <v>42</v>
      </c>
      <c r="J1154" s="31">
        <v>45713</v>
      </c>
      <c r="K1154" s="31">
        <v>45717</v>
      </c>
      <c r="L1154" s="31"/>
      <c r="M1154" s="31"/>
      <c r="N1154" s="31"/>
      <c r="O1154" s="2" t="s">
        <v>297</v>
      </c>
    </row>
    <row r="1155" spans="1:15">
      <c r="A1155" s="3">
        <f t="shared" si="19"/>
        <v>1154</v>
      </c>
      <c r="B1155" s="77" t="s">
        <v>2126</v>
      </c>
      <c r="C1155" s="36">
        <v>9023727544</v>
      </c>
      <c r="D1155" s="6">
        <v>9949314628</v>
      </c>
      <c r="E1155" s="3" t="s">
        <v>164</v>
      </c>
      <c r="F1155" s="72" t="s">
        <v>1199</v>
      </c>
      <c r="G1155" s="2" t="s">
        <v>295</v>
      </c>
      <c r="H1155" s="3" t="s">
        <v>162</v>
      </c>
      <c r="I1155" s="37" t="s">
        <v>42</v>
      </c>
      <c r="J1155" s="31">
        <v>45713</v>
      </c>
      <c r="K1155" s="31">
        <v>45715</v>
      </c>
      <c r="L1155" s="31">
        <v>45729</v>
      </c>
      <c r="M1155" s="31">
        <v>45810</v>
      </c>
      <c r="N1155" s="31"/>
      <c r="O1155" s="2" t="s">
        <v>297</v>
      </c>
    </row>
    <row r="1156" spans="1:15">
      <c r="A1156" s="3">
        <f t="shared" si="19"/>
        <v>1155</v>
      </c>
      <c r="B1156" s="77" t="s">
        <v>2127</v>
      </c>
      <c r="C1156" s="36">
        <v>9177548337</v>
      </c>
      <c r="D1156" s="6"/>
      <c r="E1156" s="3" t="s">
        <v>164</v>
      </c>
      <c r="F1156" s="72" t="s">
        <v>2128</v>
      </c>
      <c r="G1156" s="2" t="s">
        <v>424</v>
      </c>
      <c r="H1156" s="3" t="s">
        <v>162</v>
      </c>
      <c r="I1156" s="37" t="s">
        <v>42</v>
      </c>
      <c r="J1156" s="31">
        <v>45713</v>
      </c>
      <c r="K1156" s="31">
        <v>45720</v>
      </c>
      <c r="L1156" s="31"/>
      <c r="M1156" s="31"/>
      <c r="N1156" s="31"/>
      <c r="O1156" s="2" t="s">
        <v>425</v>
      </c>
    </row>
    <row r="1157" spans="1:15">
      <c r="A1157" s="3">
        <f t="shared" si="19"/>
        <v>1156</v>
      </c>
      <c r="B1157" s="77" t="s">
        <v>2129</v>
      </c>
      <c r="C1157" s="36">
        <v>9052920184</v>
      </c>
      <c r="D1157" s="6">
        <v>9676828411</v>
      </c>
      <c r="E1157" s="3" t="s">
        <v>167</v>
      </c>
      <c r="F1157" s="72" t="s">
        <v>2130</v>
      </c>
      <c r="G1157" s="2" t="s">
        <v>424</v>
      </c>
      <c r="H1157" s="3" t="s">
        <v>162</v>
      </c>
      <c r="I1157" s="37" t="s">
        <v>42</v>
      </c>
      <c r="J1157" s="31">
        <v>45713</v>
      </c>
      <c r="K1157" s="31">
        <v>45717</v>
      </c>
      <c r="L1157" s="31"/>
      <c r="M1157" s="31"/>
      <c r="N1157" s="31"/>
      <c r="O1157" s="2" t="s">
        <v>425</v>
      </c>
    </row>
    <row r="1158" spans="1:15">
      <c r="A1158" s="3">
        <f t="shared" si="19"/>
        <v>1157</v>
      </c>
      <c r="B1158" s="77" t="s">
        <v>2131</v>
      </c>
      <c r="C1158" s="2">
        <v>8106559488</v>
      </c>
      <c r="D1158" s="6"/>
      <c r="E1158" s="3" t="s">
        <v>164</v>
      </c>
      <c r="F1158" s="72" t="s">
        <v>949</v>
      </c>
      <c r="G1158" s="2" t="s">
        <v>424</v>
      </c>
      <c r="H1158" s="3" t="s">
        <v>162</v>
      </c>
      <c r="I1158" s="37" t="s">
        <v>42</v>
      </c>
      <c r="J1158" s="31">
        <v>45713</v>
      </c>
      <c r="K1158" s="31">
        <v>45715</v>
      </c>
      <c r="L1158" s="31"/>
      <c r="M1158" s="31"/>
      <c r="N1158" s="31"/>
      <c r="O1158" s="2" t="s">
        <v>425</v>
      </c>
    </row>
    <row r="1159" spans="1:15" ht="15.6">
      <c r="A1159" s="3">
        <f t="shared" si="19"/>
        <v>1158</v>
      </c>
      <c r="B1159" s="102" t="s">
        <v>2132</v>
      </c>
      <c r="C1159" s="2">
        <v>9490762556</v>
      </c>
      <c r="D1159" s="6">
        <v>9490322766</v>
      </c>
      <c r="E1159" s="3" t="s">
        <v>164</v>
      </c>
      <c r="F1159" s="75" t="s">
        <v>2133</v>
      </c>
      <c r="G1159" s="2" t="s">
        <v>424</v>
      </c>
      <c r="H1159" s="3" t="s">
        <v>162</v>
      </c>
      <c r="I1159" s="37" t="s">
        <v>42</v>
      </c>
      <c r="J1159" s="31">
        <v>45713</v>
      </c>
      <c r="K1159" s="31">
        <v>45717</v>
      </c>
      <c r="L1159" s="31"/>
      <c r="M1159" s="31"/>
      <c r="N1159" s="31"/>
      <c r="O1159" s="2" t="s">
        <v>749</v>
      </c>
    </row>
    <row r="1160" spans="1:15" ht="15.6">
      <c r="A1160" s="3">
        <f t="shared" si="19"/>
        <v>1159</v>
      </c>
      <c r="B1160" s="102" t="s">
        <v>2134</v>
      </c>
      <c r="C1160" s="2">
        <v>9701382907</v>
      </c>
      <c r="D1160" s="6"/>
      <c r="E1160" s="3" t="s">
        <v>164</v>
      </c>
      <c r="F1160" s="75" t="s">
        <v>2135</v>
      </c>
      <c r="G1160" s="2" t="s">
        <v>424</v>
      </c>
      <c r="H1160" s="3" t="s">
        <v>162</v>
      </c>
      <c r="I1160" s="37" t="s">
        <v>42</v>
      </c>
      <c r="J1160" s="31">
        <v>45713</v>
      </c>
      <c r="K1160" s="31">
        <v>45715</v>
      </c>
      <c r="L1160" s="31"/>
      <c r="M1160" s="31"/>
      <c r="N1160" s="31"/>
      <c r="O1160" s="2" t="s">
        <v>425</v>
      </c>
    </row>
    <row r="1161" spans="1:15" ht="15.6">
      <c r="A1161" s="3">
        <f t="shared" si="19"/>
        <v>1160</v>
      </c>
      <c r="B1161" s="102" t="s">
        <v>2136</v>
      </c>
      <c r="C1161" s="2">
        <v>9347078210</v>
      </c>
      <c r="D1161" s="6">
        <v>9603042091</v>
      </c>
      <c r="E1161" s="3" t="s">
        <v>164</v>
      </c>
      <c r="F1161" s="75" t="s">
        <v>2137</v>
      </c>
      <c r="G1161" s="2" t="s">
        <v>424</v>
      </c>
      <c r="H1161" s="3" t="s">
        <v>162</v>
      </c>
      <c r="I1161" s="37" t="s">
        <v>42</v>
      </c>
      <c r="J1161" s="31">
        <v>45713</v>
      </c>
      <c r="K1161" s="31">
        <v>45715</v>
      </c>
      <c r="L1161" s="31"/>
      <c r="M1161" s="31"/>
      <c r="N1161" s="31"/>
      <c r="O1161" s="2" t="s">
        <v>425</v>
      </c>
    </row>
    <row r="1162" spans="1:15">
      <c r="A1162" s="3">
        <f t="shared" si="19"/>
        <v>1161</v>
      </c>
      <c r="B1162" s="42" t="s">
        <v>2138</v>
      </c>
      <c r="C1162" s="2">
        <v>9849794564</v>
      </c>
      <c r="D1162" s="6">
        <v>9959378444</v>
      </c>
      <c r="E1162" s="3" t="s">
        <v>121</v>
      </c>
      <c r="F1162" s="42" t="s">
        <v>2139</v>
      </c>
      <c r="G1162" s="2" t="s">
        <v>16</v>
      </c>
      <c r="H1162" s="4" t="s">
        <v>679</v>
      </c>
      <c r="I1162" s="37" t="s">
        <v>42</v>
      </c>
      <c r="J1162" s="31">
        <v>45713</v>
      </c>
      <c r="K1162" s="31">
        <v>45715</v>
      </c>
      <c r="L1162" s="31">
        <v>45716</v>
      </c>
      <c r="M1162" s="31">
        <v>45754</v>
      </c>
      <c r="N1162" s="31">
        <v>45754</v>
      </c>
      <c r="O1162" s="2" t="s">
        <v>297</v>
      </c>
    </row>
    <row r="1163" spans="1:15">
      <c r="A1163" s="3">
        <f t="shared" si="19"/>
        <v>1162</v>
      </c>
      <c r="B1163" s="42" t="s">
        <v>2140</v>
      </c>
      <c r="C1163" s="2">
        <v>9634430888</v>
      </c>
      <c r="D1163" s="6">
        <v>8971530481</v>
      </c>
      <c r="E1163" s="3" t="s">
        <v>121</v>
      </c>
      <c r="F1163" s="42" t="s">
        <v>2141</v>
      </c>
      <c r="G1163" s="2" t="s">
        <v>18</v>
      </c>
      <c r="H1163" s="4" t="s">
        <v>679</v>
      </c>
      <c r="I1163" s="37" t="s">
        <v>42</v>
      </c>
      <c r="J1163" s="31">
        <v>45713</v>
      </c>
      <c r="K1163" s="31"/>
      <c r="L1163" s="31"/>
      <c r="M1163" s="31"/>
      <c r="N1163" s="31"/>
      <c r="O1163" s="2" t="s">
        <v>1004</v>
      </c>
    </row>
    <row r="1164" spans="1:15" ht="15.6">
      <c r="A1164" s="3">
        <f t="shared" si="19"/>
        <v>1163</v>
      </c>
      <c r="B1164" s="102" t="s">
        <v>2142</v>
      </c>
      <c r="C1164" s="2">
        <v>9502225887</v>
      </c>
      <c r="D1164" s="6"/>
      <c r="E1164" s="3" t="s">
        <v>124</v>
      </c>
      <c r="F1164" s="75" t="s">
        <v>456</v>
      </c>
      <c r="G1164" s="2" t="s">
        <v>295</v>
      </c>
      <c r="H1164" s="3" t="s">
        <v>788</v>
      </c>
      <c r="I1164" s="37" t="s">
        <v>42</v>
      </c>
      <c r="J1164" s="31">
        <v>45713</v>
      </c>
      <c r="K1164" s="31">
        <v>45723</v>
      </c>
      <c r="L1164" s="31">
        <v>45736</v>
      </c>
      <c r="M1164" s="31">
        <v>45768</v>
      </c>
      <c r="N1164" s="31"/>
      <c r="O1164" s="2" t="s">
        <v>297</v>
      </c>
    </row>
    <row r="1165" spans="1:15">
      <c r="A1165" s="3">
        <f t="shared" si="19"/>
        <v>1164</v>
      </c>
      <c r="B1165" s="42" t="s">
        <v>2143</v>
      </c>
      <c r="C1165" s="2">
        <v>9981558218</v>
      </c>
      <c r="D1165" s="6"/>
      <c r="E1165" s="3" t="s">
        <v>1969</v>
      </c>
      <c r="F1165" s="42" t="s">
        <v>2144</v>
      </c>
      <c r="G1165" s="2" t="s">
        <v>16</v>
      </c>
      <c r="H1165" s="3" t="s">
        <v>94</v>
      </c>
      <c r="I1165" s="37" t="s">
        <v>94</v>
      </c>
      <c r="J1165" s="31">
        <v>45711</v>
      </c>
      <c r="K1165" s="31">
        <v>45712</v>
      </c>
      <c r="L1165" s="31">
        <v>45716</v>
      </c>
      <c r="M1165" s="31">
        <v>45744</v>
      </c>
      <c r="N1165" s="31">
        <v>45734</v>
      </c>
      <c r="O1165" s="2" t="s">
        <v>297</v>
      </c>
    </row>
    <row r="1166" spans="1:15">
      <c r="A1166" s="3">
        <f t="shared" si="19"/>
        <v>1165</v>
      </c>
      <c r="B1166" s="42" t="s">
        <v>1433</v>
      </c>
      <c r="C1166" s="2">
        <v>7898758238</v>
      </c>
      <c r="D1166" s="6"/>
      <c r="E1166" s="3" t="s">
        <v>2145</v>
      </c>
      <c r="F1166" s="42" t="s">
        <v>2144</v>
      </c>
      <c r="G1166" s="2" t="s">
        <v>295</v>
      </c>
      <c r="H1166" s="3" t="s">
        <v>94</v>
      </c>
      <c r="I1166" s="37" t="s">
        <v>94</v>
      </c>
      <c r="J1166" s="31">
        <v>45711</v>
      </c>
      <c r="K1166" s="31">
        <v>45712</v>
      </c>
      <c r="L1166" s="31">
        <v>45721</v>
      </c>
      <c r="M1166" s="31">
        <v>45752</v>
      </c>
      <c r="N1166" s="31"/>
      <c r="O1166" s="2" t="s">
        <v>297</v>
      </c>
    </row>
    <row r="1167" spans="1:15">
      <c r="A1167" s="3">
        <f t="shared" si="19"/>
        <v>1166</v>
      </c>
      <c r="B1167" s="42" t="s">
        <v>2146</v>
      </c>
      <c r="C1167" s="2">
        <v>9068055055</v>
      </c>
      <c r="D1167" s="6"/>
      <c r="E1167" s="3" t="s">
        <v>48</v>
      </c>
      <c r="F1167" s="42" t="s">
        <v>2147</v>
      </c>
      <c r="G1167" s="2" t="s">
        <v>764</v>
      </c>
      <c r="H1167" s="4" t="s">
        <v>679</v>
      </c>
      <c r="I1167" s="37" t="s">
        <v>42</v>
      </c>
      <c r="J1167" s="31">
        <v>45715</v>
      </c>
      <c r="K1167" s="31">
        <v>45715</v>
      </c>
      <c r="L1167" s="31"/>
      <c r="M1167" s="31"/>
      <c r="N1167" s="31"/>
      <c r="O1167" s="2" t="s">
        <v>425</v>
      </c>
    </row>
    <row r="1168" spans="1:15">
      <c r="A1168" s="3">
        <f t="shared" si="19"/>
        <v>1167</v>
      </c>
      <c r="B1168" s="42" t="s">
        <v>415</v>
      </c>
      <c r="C1168" s="2">
        <v>9416687057</v>
      </c>
      <c r="D1168" s="6"/>
      <c r="E1168" s="3" t="s">
        <v>48</v>
      </c>
      <c r="F1168" s="42" t="s">
        <v>2148</v>
      </c>
      <c r="G1168" s="2" t="s">
        <v>764</v>
      </c>
      <c r="H1168" s="4" t="s">
        <v>679</v>
      </c>
      <c r="I1168" s="37" t="s">
        <v>42</v>
      </c>
      <c r="J1168" s="31">
        <v>45715</v>
      </c>
      <c r="K1168" s="31">
        <v>45715</v>
      </c>
      <c r="L1168" s="31"/>
      <c r="M1168" s="31"/>
      <c r="N1168" s="31"/>
      <c r="O1168" s="2" t="s">
        <v>425</v>
      </c>
    </row>
    <row r="1169" spans="1:15">
      <c r="A1169" s="3">
        <f t="shared" si="19"/>
        <v>1168</v>
      </c>
      <c r="B1169" s="42" t="s">
        <v>2149</v>
      </c>
      <c r="C1169" s="2">
        <v>8686499935</v>
      </c>
      <c r="D1169" s="6"/>
      <c r="E1169" s="3" t="s">
        <v>48</v>
      </c>
      <c r="F1169" s="42" t="s">
        <v>2148</v>
      </c>
      <c r="G1169" s="2" t="s">
        <v>764</v>
      </c>
      <c r="H1169" s="4" t="s">
        <v>679</v>
      </c>
      <c r="I1169" s="37" t="s">
        <v>42</v>
      </c>
      <c r="J1169" s="31">
        <v>45715</v>
      </c>
      <c r="K1169" s="31">
        <v>45715</v>
      </c>
      <c r="L1169" s="31"/>
      <c r="M1169" s="31"/>
      <c r="N1169" s="31"/>
      <c r="O1169" s="2" t="s">
        <v>425</v>
      </c>
    </row>
    <row r="1170" spans="1:15">
      <c r="A1170" s="3">
        <f t="shared" si="19"/>
        <v>1169</v>
      </c>
      <c r="B1170" s="42" t="s">
        <v>2150</v>
      </c>
      <c r="C1170" s="2">
        <v>9819609903</v>
      </c>
      <c r="D1170" s="6"/>
      <c r="E1170" s="3" t="s">
        <v>48</v>
      </c>
      <c r="F1170" s="42" t="s">
        <v>2151</v>
      </c>
      <c r="G1170" s="2" t="s">
        <v>764</v>
      </c>
      <c r="H1170" s="4" t="s">
        <v>679</v>
      </c>
      <c r="I1170" s="37" t="s">
        <v>42</v>
      </c>
      <c r="J1170" s="31">
        <v>45715</v>
      </c>
      <c r="K1170" s="31">
        <v>45715</v>
      </c>
      <c r="L1170" s="31"/>
      <c r="M1170" s="31"/>
      <c r="N1170" s="31"/>
      <c r="O1170" s="2" t="s">
        <v>425</v>
      </c>
    </row>
    <row r="1171" spans="1:15">
      <c r="A1171" s="3">
        <f t="shared" si="19"/>
        <v>1170</v>
      </c>
      <c r="B1171" s="42" t="s">
        <v>2152</v>
      </c>
      <c r="C1171" s="2">
        <v>9701103141</v>
      </c>
      <c r="D1171" s="6"/>
      <c r="E1171" s="3" t="s">
        <v>48</v>
      </c>
      <c r="F1171" s="42" t="s">
        <v>2148</v>
      </c>
      <c r="G1171" s="2" t="s">
        <v>764</v>
      </c>
      <c r="H1171" s="4" t="s">
        <v>679</v>
      </c>
      <c r="I1171" s="37" t="s">
        <v>42</v>
      </c>
      <c r="J1171" s="31">
        <v>45715</v>
      </c>
      <c r="K1171" s="31">
        <v>45715</v>
      </c>
      <c r="L1171" s="31"/>
      <c r="M1171" s="31"/>
      <c r="N1171" s="31"/>
      <c r="O1171" s="2" t="s">
        <v>425</v>
      </c>
    </row>
    <row r="1172" spans="1:15">
      <c r="A1172" s="3">
        <f t="shared" si="19"/>
        <v>1171</v>
      </c>
      <c r="B1172" s="42" t="s">
        <v>2153</v>
      </c>
      <c r="C1172" s="2">
        <v>9479908209</v>
      </c>
      <c r="D1172" s="6"/>
      <c r="E1172" s="3" t="s">
        <v>48</v>
      </c>
      <c r="F1172" s="42" t="s">
        <v>2154</v>
      </c>
      <c r="G1172" s="2" t="s">
        <v>764</v>
      </c>
      <c r="H1172" s="4" t="s">
        <v>679</v>
      </c>
      <c r="I1172" s="37" t="s">
        <v>42</v>
      </c>
      <c r="J1172" s="31">
        <v>45715</v>
      </c>
      <c r="K1172" s="31">
        <v>45715</v>
      </c>
      <c r="L1172" s="31"/>
      <c r="M1172" s="31"/>
      <c r="N1172" s="31"/>
      <c r="O1172" s="2" t="s">
        <v>425</v>
      </c>
    </row>
    <row r="1173" spans="1:15">
      <c r="A1173" s="3">
        <f t="shared" si="19"/>
        <v>1172</v>
      </c>
      <c r="B1173" s="42" t="s">
        <v>2155</v>
      </c>
      <c r="C1173" s="2">
        <v>8895750942</v>
      </c>
      <c r="D1173" s="6"/>
      <c r="E1173" s="3" t="s">
        <v>48</v>
      </c>
      <c r="F1173" s="42" t="s">
        <v>2148</v>
      </c>
      <c r="G1173" s="2" t="s">
        <v>764</v>
      </c>
      <c r="H1173" s="4" t="s">
        <v>679</v>
      </c>
      <c r="I1173" s="37" t="s">
        <v>42</v>
      </c>
      <c r="J1173" s="31">
        <v>45715</v>
      </c>
      <c r="K1173" s="31">
        <v>45715</v>
      </c>
      <c r="L1173" s="31"/>
      <c r="M1173" s="31"/>
      <c r="N1173" s="31"/>
      <c r="O1173" s="2" t="s">
        <v>425</v>
      </c>
    </row>
    <row r="1174" spans="1:15">
      <c r="A1174" s="3">
        <f t="shared" si="19"/>
        <v>1173</v>
      </c>
      <c r="B1174" s="42" t="s">
        <v>2156</v>
      </c>
      <c r="C1174" s="2">
        <v>9229559456</v>
      </c>
      <c r="D1174" s="6"/>
      <c r="E1174" s="3" t="s">
        <v>48</v>
      </c>
      <c r="F1174" s="42" t="s">
        <v>2157</v>
      </c>
      <c r="G1174" s="2" t="s">
        <v>764</v>
      </c>
      <c r="H1174" s="4" t="s">
        <v>679</v>
      </c>
      <c r="I1174" s="37" t="s">
        <v>42</v>
      </c>
      <c r="J1174" s="31">
        <v>45715</v>
      </c>
      <c r="K1174" s="31">
        <v>45715</v>
      </c>
      <c r="L1174" s="31"/>
      <c r="M1174" s="31"/>
      <c r="N1174" s="31"/>
      <c r="O1174" s="2" t="s">
        <v>425</v>
      </c>
    </row>
    <row r="1175" spans="1:15">
      <c r="A1175" s="3">
        <f t="shared" si="19"/>
        <v>1174</v>
      </c>
      <c r="B1175" s="42" t="s">
        <v>2158</v>
      </c>
      <c r="C1175" s="2">
        <v>9628423666</v>
      </c>
      <c r="D1175" s="6"/>
      <c r="E1175" s="3" t="s">
        <v>44</v>
      </c>
      <c r="F1175" s="42" t="s">
        <v>2159</v>
      </c>
      <c r="G1175" s="2" t="s">
        <v>764</v>
      </c>
      <c r="H1175" s="4" t="s">
        <v>679</v>
      </c>
      <c r="I1175" s="37" t="s">
        <v>42</v>
      </c>
      <c r="J1175" s="31">
        <v>45715</v>
      </c>
      <c r="K1175" s="31">
        <v>45715</v>
      </c>
      <c r="L1175" s="31"/>
      <c r="M1175" s="31"/>
      <c r="N1175" s="31"/>
      <c r="O1175" s="2" t="s">
        <v>425</v>
      </c>
    </row>
    <row r="1176" spans="1:15">
      <c r="A1176" s="3">
        <f t="shared" si="19"/>
        <v>1175</v>
      </c>
      <c r="B1176" s="42" t="s">
        <v>2160</v>
      </c>
      <c r="C1176" s="2">
        <v>7829783886</v>
      </c>
      <c r="D1176" s="6"/>
      <c r="E1176" s="3" t="s">
        <v>121</v>
      </c>
      <c r="F1176" s="42" t="s">
        <v>2161</v>
      </c>
      <c r="G1176" s="2" t="s">
        <v>330</v>
      </c>
      <c r="H1176" s="4" t="s">
        <v>679</v>
      </c>
      <c r="I1176" s="37" t="s">
        <v>42</v>
      </c>
      <c r="J1176" s="31">
        <v>45715</v>
      </c>
      <c r="K1176" s="31">
        <v>45715</v>
      </c>
      <c r="L1176" s="31">
        <v>45729</v>
      </c>
      <c r="M1176" s="31">
        <v>45765</v>
      </c>
      <c r="N1176" s="31">
        <v>45765</v>
      </c>
      <c r="O1176" s="2" t="s">
        <v>297</v>
      </c>
    </row>
    <row r="1177" spans="1:15">
      <c r="A1177" s="3">
        <f t="shared" si="19"/>
        <v>1176</v>
      </c>
      <c r="B1177" s="42" t="s">
        <v>2162</v>
      </c>
      <c r="C1177" s="2">
        <v>8639393718</v>
      </c>
      <c r="D1177" s="6"/>
      <c r="E1177" s="3" t="s">
        <v>2163</v>
      </c>
      <c r="F1177" s="42" t="s">
        <v>142</v>
      </c>
      <c r="G1177" s="2" t="s">
        <v>295</v>
      </c>
      <c r="H1177" s="3" t="s">
        <v>94</v>
      </c>
      <c r="I1177" s="37" t="s">
        <v>94</v>
      </c>
      <c r="J1177" s="31">
        <v>45715</v>
      </c>
      <c r="K1177" s="31">
        <v>45715</v>
      </c>
      <c r="L1177" s="31">
        <v>45765</v>
      </c>
      <c r="M1177" s="31">
        <v>45771</v>
      </c>
      <c r="N1177" s="31"/>
      <c r="O1177" s="2" t="s">
        <v>297</v>
      </c>
    </row>
    <row r="1178" spans="1:15">
      <c r="A1178" s="3">
        <f t="shared" si="19"/>
        <v>1177</v>
      </c>
      <c r="B1178" s="42" t="s">
        <v>2164</v>
      </c>
      <c r="C1178" s="2">
        <v>8306772883</v>
      </c>
      <c r="D1178" s="6">
        <v>6301432883</v>
      </c>
      <c r="E1178" s="3" t="s">
        <v>2163</v>
      </c>
      <c r="F1178" s="42" t="s">
        <v>142</v>
      </c>
      <c r="G1178" s="2" t="s">
        <v>16</v>
      </c>
      <c r="H1178" s="3" t="s">
        <v>94</v>
      </c>
      <c r="I1178" s="37" t="s">
        <v>94</v>
      </c>
      <c r="J1178" s="31">
        <v>45715</v>
      </c>
      <c r="K1178" s="31">
        <v>45715</v>
      </c>
      <c r="L1178" s="31">
        <v>45716</v>
      </c>
      <c r="M1178" s="31">
        <v>45744</v>
      </c>
      <c r="N1178" s="31">
        <v>45736</v>
      </c>
      <c r="O1178" s="2" t="s">
        <v>297</v>
      </c>
    </row>
    <row r="1179" spans="1:15">
      <c r="A1179" s="3">
        <f t="shared" si="19"/>
        <v>1178</v>
      </c>
      <c r="B1179" s="42" t="s">
        <v>2165</v>
      </c>
      <c r="C1179" s="2">
        <v>8328618511</v>
      </c>
      <c r="D1179" s="6">
        <v>8897893867</v>
      </c>
      <c r="E1179" s="3" t="s">
        <v>2166</v>
      </c>
      <c r="F1179" s="42" t="s">
        <v>276</v>
      </c>
      <c r="G1179" s="2" t="s">
        <v>424</v>
      </c>
      <c r="H1179" s="3" t="s">
        <v>94</v>
      </c>
      <c r="I1179" s="37" t="s">
        <v>94</v>
      </c>
      <c r="J1179" s="31">
        <v>45715</v>
      </c>
      <c r="K1179" s="31">
        <v>45715</v>
      </c>
      <c r="L1179" s="31"/>
      <c r="M1179" s="31"/>
      <c r="N1179" s="31"/>
      <c r="O1179" s="2" t="s">
        <v>749</v>
      </c>
    </row>
    <row r="1180" spans="1:15">
      <c r="A1180" s="3">
        <f t="shared" si="19"/>
        <v>1179</v>
      </c>
      <c r="B1180" s="42" t="s">
        <v>2167</v>
      </c>
      <c r="C1180" s="2">
        <v>8074437132</v>
      </c>
      <c r="D1180" s="6"/>
      <c r="E1180" s="3" t="s">
        <v>2166</v>
      </c>
      <c r="F1180" s="42" t="s">
        <v>276</v>
      </c>
      <c r="G1180" s="2" t="s">
        <v>330</v>
      </c>
      <c r="H1180" s="3" t="s">
        <v>94</v>
      </c>
      <c r="I1180" s="37" t="s">
        <v>94</v>
      </c>
      <c r="J1180" s="31">
        <v>45715</v>
      </c>
      <c r="K1180" s="31">
        <v>45715</v>
      </c>
      <c r="L1180" s="31">
        <v>45716</v>
      </c>
      <c r="M1180" s="31">
        <v>45744</v>
      </c>
      <c r="N1180" s="31">
        <v>45722</v>
      </c>
      <c r="O1180" s="2" t="s">
        <v>297</v>
      </c>
    </row>
    <row r="1181" spans="1:15">
      <c r="A1181" s="3">
        <f t="shared" si="19"/>
        <v>1180</v>
      </c>
      <c r="B1181" s="42" t="s">
        <v>2168</v>
      </c>
      <c r="C1181" s="2">
        <v>6302265454</v>
      </c>
      <c r="D1181" s="6"/>
      <c r="E1181" s="3" t="s">
        <v>2169</v>
      </c>
      <c r="F1181" s="42" t="s">
        <v>2170</v>
      </c>
      <c r="G1181" s="2" t="s">
        <v>330</v>
      </c>
      <c r="H1181" s="3" t="s">
        <v>94</v>
      </c>
      <c r="I1181" s="37" t="s">
        <v>94</v>
      </c>
      <c r="J1181" s="31">
        <v>45715</v>
      </c>
      <c r="K1181" s="31">
        <v>45731</v>
      </c>
      <c r="L1181" s="31">
        <v>45731</v>
      </c>
      <c r="M1181" s="31">
        <v>45762</v>
      </c>
      <c r="N1181" s="31">
        <v>45766</v>
      </c>
      <c r="O1181" s="2" t="s">
        <v>297</v>
      </c>
    </row>
    <row r="1182" spans="1:15">
      <c r="A1182" s="3">
        <f t="shared" si="19"/>
        <v>1181</v>
      </c>
      <c r="B1182" s="42" t="s">
        <v>2171</v>
      </c>
      <c r="C1182" s="2">
        <v>9573599135</v>
      </c>
      <c r="D1182" s="6">
        <v>8099485304</v>
      </c>
      <c r="E1182" s="3" t="s">
        <v>151</v>
      </c>
      <c r="F1182" s="42" t="s">
        <v>142</v>
      </c>
      <c r="G1182" s="2" t="s">
        <v>416</v>
      </c>
      <c r="H1182" s="3" t="s">
        <v>42</v>
      </c>
      <c r="I1182" s="37" t="s">
        <v>42</v>
      </c>
      <c r="J1182" s="31">
        <v>45715</v>
      </c>
      <c r="K1182" s="31">
        <v>45715</v>
      </c>
      <c r="L1182" s="31"/>
      <c r="M1182" s="31"/>
      <c r="N1182" s="31"/>
      <c r="O1182" s="2" t="s">
        <v>297</v>
      </c>
    </row>
    <row r="1183" spans="1:15">
      <c r="A1183" s="3">
        <f t="shared" si="19"/>
        <v>1182</v>
      </c>
      <c r="B1183" s="42" t="s">
        <v>2172</v>
      </c>
      <c r="C1183" s="2">
        <v>9494018359</v>
      </c>
      <c r="D1183" s="6"/>
      <c r="E1183" s="3" t="s">
        <v>2173</v>
      </c>
      <c r="F1183" s="42" t="s">
        <v>2174</v>
      </c>
      <c r="G1183" s="2" t="s">
        <v>330</v>
      </c>
      <c r="H1183" s="3" t="s">
        <v>42</v>
      </c>
      <c r="I1183" s="37" t="s">
        <v>94</v>
      </c>
      <c r="J1183" s="31">
        <v>45715</v>
      </c>
      <c r="K1183" s="31">
        <v>45715</v>
      </c>
      <c r="L1183" s="31">
        <v>45721</v>
      </c>
      <c r="M1183" s="31">
        <v>45752</v>
      </c>
      <c r="N1183" s="31">
        <v>45728</v>
      </c>
      <c r="O1183" s="2" t="s">
        <v>297</v>
      </c>
    </row>
    <row r="1184" spans="1:15">
      <c r="A1184" s="3">
        <f t="shared" si="19"/>
        <v>1183</v>
      </c>
      <c r="B1184" s="42" t="s">
        <v>2175</v>
      </c>
      <c r="C1184" s="2">
        <v>8919257699</v>
      </c>
      <c r="D1184" s="6">
        <v>9493409973</v>
      </c>
      <c r="E1184" s="3" t="s">
        <v>2176</v>
      </c>
      <c r="F1184" s="42" t="s">
        <v>2177</v>
      </c>
      <c r="G1184" s="2" t="s">
        <v>16</v>
      </c>
      <c r="H1184" s="3" t="s">
        <v>296</v>
      </c>
      <c r="I1184" s="37" t="s">
        <v>88</v>
      </c>
      <c r="J1184" s="31">
        <v>45707</v>
      </c>
      <c r="K1184" s="31">
        <v>45710</v>
      </c>
      <c r="L1184" s="31">
        <v>45713</v>
      </c>
      <c r="M1184" s="31">
        <v>45741</v>
      </c>
      <c r="N1184" s="31">
        <v>45743</v>
      </c>
      <c r="O1184" s="2" t="s">
        <v>297</v>
      </c>
    </row>
    <row r="1185" spans="1:15">
      <c r="A1185" s="3">
        <f t="shared" si="19"/>
        <v>1184</v>
      </c>
      <c r="B1185" s="42" t="s">
        <v>2178</v>
      </c>
      <c r="C1185" s="2">
        <v>6281452335</v>
      </c>
      <c r="D1185" s="6">
        <v>9010555388</v>
      </c>
      <c r="E1185" s="3" t="s">
        <v>2179</v>
      </c>
      <c r="F1185" s="42" t="s">
        <v>2177</v>
      </c>
      <c r="G1185" s="2" t="s">
        <v>16</v>
      </c>
      <c r="H1185" s="3" t="s">
        <v>296</v>
      </c>
      <c r="I1185" s="37" t="s">
        <v>88</v>
      </c>
      <c r="J1185" s="31">
        <v>45707</v>
      </c>
      <c r="K1185" s="31">
        <v>45710</v>
      </c>
      <c r="L1185" s="31">
        <v>45713</v>
      </c>
      <c r="M1185" s="31">
        <v>45741</v>
      </c>
      <c r="N1185" s="31">
        <v>45736</v>
      </c>
      <c r="O1185" s="2" t="s">
        <v>297</v>
      </c>
    </row>
    <row r="1186" spans="1:15" ht="15.6">
      <c r="A1186" s="3">
        <f t="shared" si="19"/>
        <v>1185</v>
      </c>
      <c r="B1186" s="70" t="s">
        <v>2180</v>
      </c>
      <c r="C1186" s="2">
        <v>9542018245</v>
      </c>
      <c r="D1186" s="6"/>
      <c r="E1186" s="63" t="s">
        <v>2181</v>
      </c>
      <c r="F1186" s="75" t="s">
        <v>2182</v>
      </c>
      <c r="G1186" s="2" t="s">
        <v>16</v>
      </c>
      <c r="H1186" s="2" t="s">
        <v>2183</v>
      </c>
      <c r="I1186" s="37" t="s">
        <v>88</v>
      </c>
      <c r="J1186" s="31">
        <v>46025</v>
      </c>
      <c r="K1186" s="31">
        <v>46027</v>
      </c>
      <c r="L1186" s="31">
        <v>46031</v>
      </c>
      <c r="M1186" s="31">
        <v>46062</v>
      </c>
      <c r="N1186" s="31">
        <v>46044</v>
      </c>
      <c r="O1186" s="2" t="s">
        <v>297</v>
      </c>
    </row>
    <row r="1187" spans="1:15" ht="15.6">
      <c r="A1187" s="3">
        <f t="shared" si="19"/>
        <v>1186</v>
      </c>
      <c r="B1187" s="70" t="s">
        <v>2184</v>
      </c>
      <c r="C1187" s="2">
        <v>7036736631</v>
      </c>
      <c r="D1187" s="6"/>
      <c r="E1187" s="36" t="s">
        <v>1301</v>
      </c>
      <c r="F1187" s="75" t="s">
        <v>2185</v>
      </c>
      <c r="G1187" s="2" t="s">
        <v>295</v>
      </c>
      <c r="H1187" s="3" t="s">
        <v>788</v>
      </c>
      <c r="I1187" s="37" t="s">
        <v>88</v>
      </c>
      <c r="J1187" s="31">
        <v>45716</v>
      </c>
      <c r="K1187" s="31">
        <v>45723</v>
      </c>
      <c r="L1187" s="31">
        <v>45729</v>
      </c>
      <c r="M1187" s="31">
        <v>45992</v>
      </c>
      <c r="N1187" s="31"/>
      <c r="O1187" s="2" t="s">
        <v>297</v>
      </c>
    </row>
    <row r="1188" spans="1:15" ht="15.6">
      <c r="A1188" s="3">
        <f t="shared" si="19"/>
        <v>1187</v>
      </c>
      <c r="B1188" s="70" t="s">
        <v>2186</v>
      </c>
      <c r="C1188" s="2">
        <v>7901239844</v>
      </c>
      <c r="D1188" s="6"/>
      <c r="E1188" s="36" t="s">
        <v>1035</v>
      </c>
      <c r="F1188" s="75" t="s">
        <v>2187</v>
      </c>
      <c r="G1188" s="2" t="s">
        <v>424</v>
      </c>
      <c r="H1188" s="3" t="s">
        <v>788</v>
      </c>
      <c r="I1188" s="37" t="s">
        <v>88</v>
      </c>
      <c r="J1188" s="31">
        <v>45716</v>
      </c>
      <c r="K1188" s="31">
        <v>45723</v>
      </c>
      <c r="L1188" s="31"/>
      <c r="M1188" s="31"/>
      <c r="N1188" s="31"/>
      <c r="O1188" s="2" t="s">
        <v>425</v>
      </c>
    </row>
    <row r="1189" spans="1:15">
      <c r="A1189" s="3">
        <f t="shared" si="19"/>
        <v>1188</v>
      </c>
      <c r="B1189" s="42" t="s">
        <v>2188</v>
      </c>
      <c r="C1189" s="2">
        <v>8121116433</v>
      </c>
      <c r="D1189" s="6"/>
      <c r="E1189" s="3" t="s">
        <v>48</v>
      </c>
      <c r="F1189" s="41" t="s">
        <v>2189</v>
      </c>
      <c r="G1189" s="2" t="s">
        <v>424</v>
      </c>
      <c r="H1189" s="2" t="s">
        <v>41</v>
      </c>
      <c r="I1189" s="37" t="s">
        <v>42</v>
      </c>
      <c r="J1189" s="31">
        <v>45716</v>
      </c>
      <c r="K1189" s="31">
        <v>45720</v>
      </c>
      <c r="L1189" s="31"/>
      <c r="M1189" s="31"/>
      <c r="N1189" s="31"/>
      <c r="O1189" s="2" t="s">
        <v>425</v>
      </c>
    </row>
    <row r="1190" spans="1:15">
      <c r="A1190" s="3">
        <f t="shared" si="19"/>
        <v>1189</v>
      </c>
      <c r="B1190" s="42" t="s">
        <v>2190</v>
      </c>
      <c r="C1190" s="2">
        <v>6261233465</v>
      </c>
      <c r="D1190" s="6"/>
      <c r="E1190" s="3" t="s">
        <v>48</v>
      </c>
      <c r="F1190" s="42" t="s">
        <v>2191</v>
      </c>
      <c r="G1190" s="2" t="s">
        <v>708</v>
      </c>
      <c r="H1190" s="2" t="s">
        <v>41</v>
      </c>
      <c r="I1190" s="37" t="s">
        <v>42</v>
      </c>
      <c r="J1190" s="31">
        <v>45716</v>
      </c>
      <c r="K1190" s="31">
        <v>45720</v>
      </c>
      <c r="L1190" s="31"/>
      <c r="M1190" s="31"/>
      <c r="N1190" s="31"/>
      <c r="O1190" s="2" t="s">
        <v>297</v>
      </c>
    </row>
    <row r="1191" spans="1:15">
      <c r="A1191" s="3">
        <f t="shared" si="19"/>
        <v>1190</v>
      </c>
      <c r="B1191" s="42" t="s">
        <v>2192</v>
      </c>
      <c r="C1191" s="2">
        <v>9666672405</v>
      </c>
      <c r="D1191" s="6"/>
      <c r="E1191" s="3" t="s">
        <v>48</v>
      </c>
      <c r="F1191" s="42" t="s">
        <v>46</v>
      </c>
      <c r="G1191" s="2" t="s">
        <v>764</v>
      </c>
      <c r="H1191" s="2" t="s">
        <v>41</v>
      </c>
      <c r="I1191" s="37" t="s">
        <v>42</v>
      </c>
      <c r="J1191" s="31">
        <v>45716</v>
      </c>
      <c r="K1191" s="31">
        <v>45720</v>
      </c>
      <c r="L1191" s="31"/>
      <c r="M1191" s="31"/>
      <c r="N1191" s="31"/>
      <c r="O1191" s="2" t="s">
        <v>425</v>
      </c>
    </row>
    <row r="1192" spans="1:15">
      <c r="A1192" s="3">
        <f t="shared" si="19"/>
        <v>1191</v>
      </c>
      <c r="B1192" s="42" t="s">
        <v>2193</v>
      </c>
      <c r="C1192" s="2">
        <v>9515583554</v>
      </c>
      <c r="D1192" s="6"/>
      <c r="E1192" s="3" t="s">
        <v>85</v>
      </c>
      <c r="F1192" s="42" t="s">
        <v>2194</v>
      </c>
      <c r="G1192" s="2" t="s">
        <v>18</v>
      </c>
      <c r="H1192" s="3" t="s">
        <v>717</v>
      </c>
      <c r="I1192" s="37" t="s">
        <v>42</v>
      </c>
      <c r="J1192" s="31">
        <v>45716</v>
      </c>
      <c r="K1192" s="31">
        <v>45723</v>
      </c>
      <c r="L1192" s="31"/>
      <c r="M1192" s="31"/>
      <c r="N1192" s="31"/>
      <c r="O1192" s="2" t="s">
        <v>297</v>
      </c>
    </row>
    <row r="1193" spans="1:15">
      <c r="A1193" s="3">
        <f t="shared" si="19"/>
        <v>1192</v>
      </c>
      <c r="B1193" s="42" t="s">
        <v>2195</v>
      </c>
      <c r="C1193" s="2">
        <v>6371126782</v>
      </c>
      <c r="D1193" s="6">
        <v>8880106438</v>
      </c>
      <c r="E1193" s="3" t="s">
        <v>90</v>
      </c>
      <c r="F1193" s="42" t="s">
        <v>2196</v>
      </c>
      <c r="G1193" s="2" t="s">
        <v>16</v>
      </c>
      <c r="H1193" s="3" t="s">
        <v>1432</v>
      </c>
      <c r="I1193" s="37" t="s">
        <v>42</v>
      </c>
      <c r="J1193" s="31">
        <v>45716</v>
      </c>
      <c r="K1193" s="31">
        <v>45727</v>
      </c>
      <c r="L1193" s="31">
        <v>45729</v>
      </c>
      <c r="M1193" s="31">
        <v>45763</v>
      </c>
      <c r="N1193" s="31">
        <v>45763</v>
      </c>
      <c r="O1193" s="2" t="s">
        <v>297</v>
      </c>
    </row>
    <row r="1194" spans="1:15">
      <c r="A1194" s="3">
        <f t="shared" si="19"/>
        <v>1193</v>
      </c>
      <c r="B1194" s="42" t="s">
        <v>2197</v>
      </c>
      <c r="C1194" s="2">
        <v>9000203900</v>
      </c>
      <c r="D1194" s="6"/>
      <c r="E1194" s="3" t="s">
        <v>2198</v>
      </c>
      <c r="F1194" s="42" t="s">
        <v>2199</v>
      </c>
      <c r="G1194" s="2" t="s">
        <v>416</v>
      </c>
      <c r="H1194" s="2" t="s">
        <v>815</v>
      </c>
      <c r="I1194" s="37" t="s">
        <v>42</v>
      </c>
      <c r="J1194" s="31">
        <v>45716</v>
      </c>
      <c r="K1194" s="31">
        <v>45717</v>
      </c>
      <c r="L1194" s="31"/>
      <c r="M1194" s="31"/>
      <c r="N1194" s="31"/>
      <c r="O1194" s="2" t="s">
        <v>297</v>
      </c>
    </row>
    <row r="1195" spans="1:15">
      <c r="A1195" s="3">
        <f t="shared" si="19"/>
        <v>1194</v>
      </c>
      <c r="B1195" s="42" t="s">
        <v>2200</v>
      </c>
      <c r="C1195" s="2">
        <v>9676580390</v>
      </c>
      <c r="D1195" s="6"/>
      <c r="E1195" s="3" t="s">
        <v>2198</v>
      </c>
      <c r="F1195" s="42" t="s">
        <v>2199</v>
      </c>
      <c r="G1195" s="2" t="s">
        <v>424</v>
      </c>
      <c r="H1195" s="2" t="s">
        <v>815</v>
      </c>
      <c r="I1195" s="37" t="s">
        <v>42</v>
      </c>
      <c r="J1195" s="31">
        <v>45716</v>
      </c>
      <c r="K1195" s="31">
        <v>45717</v>
      </c>
      <c r="L1195" s="31"/>
      <c r="M1195" s="31"/>
      <c r="N1195" s="31"/>
      <c r="O1195" s="2" t="s">
        <v>425</v>
      </c>
    </row>
    <row r="1196" spans="1:15">
      <c r="A1196" s="3">
        <f t="shared" si="19"/>
        <v>1195</v>
      </c>
      <c r="B1196" s="42" t="s">
        <v>2201</v>
      </c>
      <c r="C1196" s="2">
        <v>9938114811</v>
      </c>
      <c r="D1196" s="6"/>
      <c r="E1196" s="3" t="s">
        <v>2198</v>
      </c>
      <c r="F1196" s="42" t="s">
        <v>2199</v>
      </c>
      <c r="G1196" s="2" t="s">
        <v>424</v>
      </c>
      <c r="H1196" s="2" t="s">
        <v>815</v>
      </c>
      <c r="I1196" s="37" t="s">
        <v>42</v>
      </c>
      <c r="J1196" s="31">
        <v>45716</v>
      </c>
      <c r="K1196" s="31">
        <v>45717</v>
      </c>
      <c r="L1196" s="31"/>
      <c r="M1196" s="31"/>
      <c r="N1196" s="31"/>
      <c r="O1196" s="2" t="s">
        <v>425</v>
      </c>
    </row>
    <row r="1197" spans="1:15">
      <c r="A1197" s="3">
        <f t="shared" si="19"/>
        <v>1196</v>
      </c>
      <c r="B1197" s="42" t="s">
        <v>2202</v>
      </c>
      <c r="C1197" s="2">
        <v>6201851552</v>
      </c>
      <c r="D1197" s="6"/>
      <c r="E1197" s="3" t="s">
        <v>1711</v>
      </c>
      <c r="F1197" s="42" t="s">
        <v>461</v>
      </c>
      <c r="G1197" s="3" t="s">
        <v>16</v>
      </c>
      <c r="H1197" s="3" t="s">
        <v>361</v>
      </c>
      <c r="I1197" s="37" t="s">
        <v>94</v>
      </c>
      <c r="J1197" s="31">
        <v>45716</v>
      </c>
      <c r="K1197" s="31">
        <v>45722</v>
      </c>
      <c r="L1197" s="31">
        <v>45744</v>
      </c>
      <c r="M1197" s="31">
        <v>45757</v>
      </c>
      <c r="N1197" s="31">
        <v>45756</v>
      </c>
      <c r="O1197" s="2" t="s">
        <v>297</v>
      </c>
    </row>
    <row r="1198" spans="1:15">
      <c r="A1198" s="3">
        <f t="shared" si="19"/>
        <v>1197</v>
      </c>
      <c r="B1198" s="42" t="s">
        <v>2203</v>
      </c>
      <c r="C1198" s="2">
        <v>7619180540</v>
      </c>
      <c r="D1198" s="6"/>
      <c r="E1198" s="3" t="s">
        <v>1711</v>
      </c>
      <c r="F1198" s="42" t="s">
        <v>461</v>
      </c>
      <c r="G1198" s="2" t="s">
        <v>424</v>
      </c>
      <c r="H1198" s="3" t="s">
        <v>361</v>
      </c>
      <c r="I1198" s="37" t="s">
        <v>94</v>
      </c>
      <c r="J1198" s="31">
        <v>45716</v>
      </c>
      <c r="K1198" s="31">
        <v>45717</v>
      </c>
      <c r="L1198" s="31"/>
      <c r="M1198" s="31"/>
      <c r="N1198" s="31"/>
      <c r="O1198" s="2" t="s">
        <v>425</v>
      </c>
    </row>
    <row r="1199" spans="1:15">
      <c r="A1199" s="3">
        <f t="shared" si="19"/>
        <v>1198</v>
      </c>
      <c r="B1199" s="42" t="s">
        <v>2204</v>
      </c>
      <c r="C1199" s="2">
        <v>6304668200</v>
      </c>
      <c r="D1199" s="6"/>
      <c r="E1199" s="3" t="s">
        <v>1711</v>
      </c>
      <c r="F1199" s="42" t="s">
        <v>503</v>
      </c>
      <c r="G1199" s="2" t="s">
        <v>16</v>
      </c>
      <c r="H1199" s="3" t="s">
        <v>361</v>
      </c>
      <c r="I1199" s="37" t="s">
        <v>94</v>
      </c>
      <c r="J1199" s="31">
        <v>45716</v>
      </c>
      <c r="K1199" s="31">
        <v>45717</v>
      </c>
      <c r="L1199" s="31">
        <v>45727</v>
      </c>
      <c r="M1199" s="31">
        <v>45742</v>
      </c>
      <c r="N1199" s="31">
        <v>45744</v>
      </c>
      <c r="O1199" s="2" t="s">
        <v>297</v>
      </c>
    </row>
    <row r="1200" spans="1:15">
      <c r="A1200" s="3">
        <f t="shared" si="19"/>
        <v>1199</v>
      </c>
      <c r="B1200" s="42" t="s">
        <v>2205</v>
      </c>
      <c r="C1200" s="2">
        <v>9798123453</v>
      </c>
      <c r="D1200" s="6"/>
      <c r="E1200" s="3" t="s">
        <v>1711</v>
      </c>
      <c r="F1200" s="42" t="s">
        <v>2206</v>
      </c>
      <c r="G1200" s="2" t="s">
        <v>295</v>
      </c>
      <c r="H1200" s="3" t="s">
        <v>361</v>
      </c>
      <c r="I1200" s="37" t="s">
        <v>94</v>
      </c>
      <c r="J1200" s="31">
        <v>45716</v>
      </c>
      <c r="K1200" s="31">
        <v>45722</v>
      </c>
      <c r="L1200" s="31">
        <v>45729</v>
      </c>
      <c r="M1200" s="31">
        <v>45782</v>
      </c>
      <c r="N1200" s="31"/>
      <c r="O1200" s="2" t="s">
        <v>297</v>
      </c>
    </row>
    <row r="1201" spans="1:15">
      <c r="A1201" s="3">
        <f t="shared" si="19"/>
        <v>1200</v>
      </c>
      <c r="B1201" s="42" t="s">
        <v>2207</v>
      </c>
      <c r="C1201" s="2">
        <v>8756875729</v>
      </c>
      <c r="D1201" s="6"/>
      <c r="E1201" s="3" t="s">
        <v>1711</v>
      </c>
      <c r="F1201" s="42" t="s">
        <v>867</v>
      </c>
      <c r="G1201" s="2" t="s">
        <v>424</v>
      </c>
      <c r="H1201" s="3" t="s">
        <v>361</v>
      </c>
      <c r="I1201" s="37" t="s">
        <v>94</v>
      </c>
      <c r="J1201" s="31">
        <v>45716</v>
      </c>
      <c r="K1201" s="31">
        <v>45722</v>
      </c>
      <c r="L1201" s="31"/>
      <c r="M1201" s="31"/>
      <c r="N1201" s="31"/>
      <c r="O1201" s="2" t="s">
        <v>749</v>
      </c>
    </row>
    <row r="1202" spans="1:15">
      <c r="A1202" s="3">
        <f t="shared" si="19"/>
        <v>1201</v>
      </c>
      <c r="B1202" s="42" t="s">
        <v>2208</v>
      </c>
      <c r="C1202" s="2">
        <v>7088794707</v>
      </c>
      <c r="D1202" s="6"/>
      <c r="E1202" s="3" t="s">
        <v>1711</v>
      </c>
      <c r="F1202" s="42" t="s">
        <v>503</v>
      </c>
      <c r="G1202" s="2" t="s">
        <v>424</v>
      </c>
      <c r="H1202" s="3" t="s">
        <v>361</v>
      </c>
      <c r="I1202" s="37" t="s">
        <v>94</v>
      </c>
      <c r="J1202" s="31">
        <v>45716</v>
      </c>
      <c r="K1202" s="31">
        <v>45717</v>
      </c>
      <c r="L1202" s="31"/>
      <c r="M1202" s="31"/>
      <c r="N1202" s="31"/>
      <c r="O1202" s="2" t="s">
        <v>425</v>
      </c>
    </row>
    <row r="1203" spans="1:15">
      <c r="A1203" s="3">
        <f t="shared" si="19"/>
        <v>1202</v>
      </c>
      <c r="B1203" s="42" t="s">
        <v>2209</v>
      </c>
      <c r="C1203" s="2">
        <v>9160456679</v>
      </c>
      <c r="D1203" s="6"/>
      <c r="E1203" s="3" t="s">
        <v>1711</v>
      </c>
      <c r="F1203" s="42" t="s">
        <v>360</v>
      </c>
      <c r="G1203" s="2" t="s">
        <v>424</v>
      </c>
      <c r="H1203" s="3" t="s">
        <v>361</v>
      </c>
      <c r="I1203" s="37" t="s">
        <v>94</v>
      </c>
      <c r="J1203" s="31">
        <v>45716</v>
      </c>
      <c r="K1203" s="31">
        <v>45722</v>
      </c>
      <c r="L1203" s="31"/>
      <c r="M1203" s="31"/>
      <c r="N1203" s="31"/>
      <c r="O1203" s="2" t="s">
        <v>425</v>
      </c>
    </row>
    <row r="1204" spans="1:15">
      <c r="A1204" s="3">
        <f t="shared" si="19"/>
        <v>1203</v>
      </c>
      <c r="B1204" s="42" t="s">
        <v>2210</v>
      </c>
      <c r="C1204" s="2">
        <v>7056129114</v>
      </c>
      <c r="D1204" s="6"/>
      <c r="E1204" s="3" t="s">
        <v>1711</v>
      </c>
      <c r="F1204" s="42" t="s">
        <v>360</v>
      </c>
      <c r="G1204" s="3" t="s">
        <v>295</v>
      </c>
      <c r="H1204" s="3" t="s">
        <v>361</v>
      </c>
      <c r="I1204" s="37" t="s">
        <v>94</v>
      </c>
      <c r="J1204" s="31">
        <v>45716</v>
      </c>
      <c r="K1204" s="31">
        <v>45717</v>
      </c>
      <c r="L1204" s="31">
        <v>45727</v>
      </c>
      <c r="M1204" s="31">
        <v>45742</v>
      </c>
      <c r="N1204" s="31"/>
      <c r="O1204" s="2" t="s">
        <v>297</v>
      </c>
    </row>
    <row r="1205" spans="1:15">
      <c r="A1205" s="3">
        <f t="shared" si="19"/>
        <v>1204</v>
      </c>
      <c r="B1205" s="42" t="s">
        <v>964</v>
      </c>
      <c r="C1205" s="2">
        <v>7978284850</v>
      </c>
      <c r="D1205" s="6"/>
      <c r="E1205" s="3" t="s">
        <v>1711</v>
      </c>
      <c r="F1205" s="42" t="s">
        <v>509</v>
      </c>
      <c r="G1205" s="2" t="s">
        <v>18</v>
      </c>
      <c r="H1205" s="3" t="s">
        <v>361</v>
      </c>
      <c r="I1205" s="37" t="s">
        <v>94</v>
      </c>
      <c r="J1205" s="31">
        <v>45716</v>
      </c>
      <c r="K1205" s="31">
        <v>45717</v>
      </c>
      <c r="L1205" s="31"/>
      <c r="M1205" s="31"/>
      <c r="N1205" s="31"/>
      <c r="O1205" s="2" t="s">
        <v>297</v>
      </c>
    </row>
    <row r="1206" spans="1:15">
      <c r="A1206" s="3">
        <f t="shared" si="19"/>
        <v>1205</v>
      </c>
      <c r="B1206" s="42" t="s">
        <v>2211</v>
      </c>
      <c r="C1206" s="2">
        <v>9553945065</v>
      </c>
      <c r="D1206" s="6"/>
      <c r="E1206" s="3" t="s">
        <v>2212</v>
      </c>
      <c r="F1206" s="42" t="s">
        <v>1421</v>
      </c>
      <c r="G1206" s="2" t="s">
        <v>424</v>
      </c>
      <c r="H1206" s="3" t="s">
        <v>361</v>
      </c>
      <c r="I1206" s="37" t="s">
        <v>94</v>
      </c>
      <c r="J1206" s="31">
        <v>45716</v>
      </c>
      <c r="K1206" s="31">
        <v>45717</v>
      </c>
      <c r="L1206" s="31"/>
      <c r="M1206" s="31"/>
      <c r="N1206" s="31"/>
      <c r="O1206" s="2" t="s">
        <v>425</v>
      </c>
    </row>
    <row r="1207" spans="1:15">
      <c r="A1207" s="3">
        <f t="shared" si="19"/>
        <v>1206</v>
      </c>
      <c r="B1207" s="42" t="s">
        <v>2213</v>
      </c>
      <c r="C1207" s="2">
        <v>7536958885</v>
      </c>
      <c r="D1207" s="6"/>
      <c r="E1207" s="3" t="s">
        <v>2212</v>
      </c>
      <c r="F1207" s="42" t="s">
        <v>509</v>
      </c>
      <c r="G1207" s="2" t="s">
        <v>424</v>
      </c>
      <c r="H1207" s="3" t="s">
        <v>361</v>
      </c>
      <c r="I1207" s="37" t="s">
        <v>94</v>
      </c>
      <c r="J1207" s="31">
        <v>45716</v>
      </c>
      <c r="K1207" s="31">
        <v>45717</v>
      </c>
      <c r="L1207" s="31"/>
      <c r="M1207" s="31"/>
      <c r="N1207" s="31"/>
      <c r="O1207" s="2" t="s">
        <v>425</v>
      </c>
    </row>
    <row r="1208" spans="1:15">
      <c r="A1208" s="3">
        <f t="shared" si="19"/>
        <v>1207</v>
      </c>
      <c r="B1208" s="42" t="s">
        <v>2214</v>
      </c>
      <c r="C1208" s="2">
        <v>8804238095</v>
      </c>
      <c r="D1208" s="6"/>
      <c r="E1208" s="3" t="s">
        <v>2212</v>
      </c>
      <c r="F1208" s="42" t="s">
        <v>1421</v>
      </c>
      <c r="G1208" s="2" t="s">
        <v>295</v>
      </c>
      <c r="H1208" s="3" t="s">
        <v>361</v>
      </c>
      <c r="I1208" s="37" t="s">
        <v>94</v>
      </c>
      <c r="J1208" s="31">
        <v>45716</v>
      </c>
      <c r="K1208" s="31">
        <v>45717</v>
      </c>
      <c r="L1208" s="31">
        <v>45727</v>
      </c>
      <c r="M1208" s="31">
        <v>45742</v>
      </c>
      <c r="N1208" s="31"/>
      <c r="O1208" s="2" t="s">
        <v>297</v>
      </c>
    </row>
    <row r="1209" spans="1:15">
      <c r="A1209" s="3">
        <f t="shared" si="19"/>
        <v>1208</v>
      </c>
      <c r="B1209" s="42" t="s">
        <v>2215</v>
      </c>
      <c r="C1209" s="2">
        <v>6305594005</v>
      </c>
      <c r="D1209" s="6"/>
      <c r="E1209" s="3" t="s">
        <v>2216</v>
      </c>
      <c r="F1209" s="42" t="s">
        <v>308</v>
      </c>
      <c r="G1209" s="2" t="s">
        <v>424</v>
      </c>
      <c r="H1209" s="3" t="s">
        <v>162</v>
      </c>
      <c r="I1209" s="37" t="s">
        <v>94</v>
      </c>
      <c r="J1209" s="31">
        <v>45716</v>
      </c>
      <c r="K1209" s="31">
        <v>45722</v>
      </c>
      <c r="L1209" s="31"/>
      <c r="M1209" s="31"/>
      <c r="N1209" s="31"/>
      <c r="O1209" s="2" t="s">
        <v>425</v>
      </c>
    </row>
    <row r="1210" spans="1:15">
      <c r="A1210" s="3">
        <f t="shared" ref="A1210:A1273" si="20">ROW()-1</f>
        <v>1209</v>
      </c>
      <c r="B1210" s="42" t="s">
        <v>2217</v>
      </c>
      <c r="C1210" s="2">
        <v>9985972480</v>
      </c>
      <c r="D1210" s="6"/>
      <c r="E1210" s="3" t="s">
        <v>2216</v>
      </c>
      <c r="F1210" s="42" t="s">
        <v>308</v>
      </c>
      <c r="G1210" s="2" t="s">
        <v>424</v>
      </c>
      <c r="H1210" s="3" t="s">
        <v>162</v>
      </c>
      <c r="I1210" s="37" t="s">
        <v>94</v>
      </c>
      <c r="J1210" s="31">
        <v>45716</v>
      </c>
      <c r="K1210" s="31">
        <v>45721</v>
      </c>
      <c r="L1210" s="31"/>
      <c r="M1210" s="31"/>
      <c r="N1210" s="31"/>
      <c r="O1210" s="2" t="s">
        <v>425</v>
      </c>
    </row>
    <row r="1211" spans="1:15">
      <c r="A1211" s="3">
        <f t="shared" si="20"/>
        <v>1210</v>
      </c>
      <c r="B1211" s="42" t="s">
        <v>2218</v>
      </c>
      <c r="C1211" s="2">
        <v>8697099540</v>
      </c>
      <c r="D1211" s="6"/>
      <c r="E1211" s="3" t="s">
        <v>2216</v>
      </c>
      <c r="F1211" s="42" t="s">
        <v>308</v>
      </c>
      <c r="G1211" s="2" t="s">
        <v>295</v>
      </c>
      <c r="H1211" s="3" t="s">
        <v>162</v>
      </c>
      <c r="I1211" s="37" t="s">
        <v>94</v>
      </c>
      <c r="J1211" s="31">
        <v>45716</v>
      </c>
      <c r="K1211" s="31">
        <v>45721</v>
      </c>
      <c r="L1211" s="31">
        <v>45723</v>
      </c>
      <c r="M1211" s="31">
        <v>45752</v>
      </c>
      <c r="N1211" s="31"/>
      <c r="O1211" s="2" t="s">
        <v>297</v>
      </c>
    </row>
    <row r="1212" spans="1:15">
      <c r="A1212" s="3">
        <f t="shared" si="20"/>
        <v>1211</v>
      </c>
      <c r="B1212" s="42" t="s">
        <v>2219</v>
      </c>
      <c r="C1212" s="2">
        <v>8179454397</v>
      </c>
      <c r="D1212" s="6"/>
      <c r="E1212" s="3" t="s">
        <v>2216</v>
      </c>
      <c r="F1212" s="42" t="s">
        <v>308</v>
      </c>
      <c r="G1212" s="2" t="s">
        <v>18</v>
      </c>
      <c r="H1212" s="3" t="s">
        <v>162</v>
      </c>
      <c r="I1212" s="37" t="s">
        <v>94</v>
      </c>
      <c r="J1212" s="31">
        <v>45716</v>
      </c>
      <c r="K1212" s="31">
        <v>45721</v>
      </c>
      <c r="L1212" s="31"/>
      <c r="M1212" s="31"/>
      <c r="N1212" s="31"/>
      <c r="O1212" s="2" t="s">
        <v>297</v>
      </c>
    </row>
    <row r="1213" spans="1:15">
      <c r="A1213" s="3">
        <f t="shared" si="20"/>
        <v>1212</v>
      </c>
      <c r="B1213" s="42" t="s">
        <v>2220</v>
      </c>
      <c r="C1213" s="2">
        <v>7842595541</v>
      </c>
      <c r="D1213" s="6"/>
      <c r="E1213" s="3" t="s">
        <v>2216</v>
      </c>
      <c r="F1213" s="42" t="s">
        <v>308</v>
      </c>
      <c r="G1213" s="2" t="s">
        <v>424</v>
      </c>
      <c r="H1213" s="3" t="s">
        <v>162</v>
      </c>
      <c r="I1213" s="37" t="s">
        <v>94</v>
      </c>
      <c r="J1213" s="31">
        <v>45716</v>
      </c>
      <c r="K1213" s="31">
        <v>45721</v>
      </c>
      <c r="L1213" s="31"/>
      <c r="M1213" s="31"/>
      <c r="N1213" s="31"/>
      <c r="O1213" s="2" t="s">
        <v>425</v>
      </c>
    </row>
    <row r="1214" spans="1:15">
      <c r="A1214" s="3">
        <f t="shared" si="20"/>
        <v>1213</v>
      </c>
      <c r="B1214" s="42" t="s">
        <v>2221</v>
      </c>
      <c r="C1214" s="2">
        <v>9182260594</v>
      </c>
      <c r="D1214" s="6"/>
      <c r="E1214" s="3" t="s">
        <v>2216</v>
      </c>
      <c r="F1214" s="42" t="s">
        <v>308</v>
      </c>
      <c r="G1214" s="2" t="s">
        <v>424</v>
      </c>
      <c r="H1214" s="3" t="s">
        <v>162</v>
      </c>
      <c r="I1214" s="37" t="s">
        <v>94</v>
      </c>
      <c r="J1214" s="31">
        <v>45716</v>
      </c>
      <c r="K1214" s="31">
        <v>45721</v>
      </c>
      <c r="L1214" s="31"/>
      <c r="M1214" s="31"/>
      <c r="N1214" s="31"/>
      <c r="O1214" s="2" t="s">
        <v>425</v>
      </c>
    </row>
    <row r="1215" spans="1:15">
      <c r="A1215" s="3">
        <f t="shared" si="20"/>
        <v>1214</v>
      </c>
      <c r="B1215" s="42" t="s">
        <v>2222</v>
      </c>
      <c r="C1215" s="2">
        <v>7237084962</v>
      </c>
      <c r="D1215" s="6">
        <v>9415634586</v>
      </c>
      <c r="E1215" s="3" t="s">
        <v>2216</v>
      </c>
      <c r="F1215" s="42" t="s">
        <v>308</v>
      </c>
      <c r="G1215" s="2" t="s">
        <v>424</v>
      </c>
      <c r="H1215" s="3" t="s">
        <v>162</v>
      </c>
      <c r="I1215" s="37" t="s">
        <v>94</v>
      </c>
      <c r="J1215" s="31">
        <v>45716</v>
      </c>
      <c r="K1215" s="31">
        <v>45721</v>
      </c>
      <c r="L1215" s="31"/>
      <c r="M1215" s="31"/>
      <c r="N1215" s="31"/>
      <c r="O1215" s="2" t="s">
        <v>425</v>
      </c>
    </row>
    <row r="1216" spans="1:15">
      <c r="A1216" s="3">
        <f t="shared" si="20"/>
        <v>1215</v>
      </c>
      <c r="B1216" s="42" t="s">
        <v>2223</v>
      </c>
      <c r="C1216" s="2">
        <v>9473788066</v>
      </c>
      <c r="D1216" s="6"/>
      <c r="E1216" s="3" t="s">
        <v>2216</v>
      </c>
      <c r="F1216" s="42" t="s">
        <v>308</v>
      </c>
      <c r="G1216" s="2" t="s">
        <v>424</v>
      </c>
      <c r="H1216" s="3" t="s">
        <v>162</v>
      </c>
      <c r="I1216" s="37" t="s">
        <v>94</v>
      </c>
      <c r="J1216" s="31">
        <v>45716</v>
      </c>
      <c r="K1216" s="31">
        <v>45722</v>
      </c>
      <c r="L1216" s="31"/>
      <c r="M1216" s="31"/>
      <c r="N1216" s="31"/>
      <c r="O1216" s="2" t="s">
        <v>425</v>
      </c>
    </row>
    <row r="1217" spans="1:15">
      <c r="A1217" s="3">
        <f t="shared" si="20"/>
        <v>1216</v>
      </c>
      <c r="B1217" s="42" t="s">
        <v>2224</v>
      </c>
      <c r="C1217" s="2">
        <v>7020043429</v>
      </c>
      <c r="D1217" s="6"/>
      <c r="E1217" s="3" t="s">
        <v>2225</v>
      </c>
      <c r="F1217" s="42" t="s">
        <v>308</v>
      </c>
      <c r="G1217" s="2" t="s">
        <v>424</v>
      </c>
      <c r="H1217" s="3" t="s">
        <v>162</v>
      </c>
      <c r="I1217" s="37" t="s">
        <v>94</v>
      </c>
      <c r="J1217" s="31">
        <v>45716</v>
      </c>
      <c r="K1217" s="31">
        <v>45721</v>
      </c>
      <c r="L1217" s="31"/>
      <c r="M1217" s="31"/>
      <c r="N1217" s="31"/>
      <c r="O1217" s="2" t="s">
        <v>425</v>
      </c>
    </row>
    <row r="1218" spans="1:15">
      <c r="A1218" s="3">
        <f t="shared" si="20"/>
        <v>1217</v>
      </c>
      <c r="B1218" s="42" t="s">
        <v>2226</v>
      </c>
      <c r="C1218" s="2">
        <v>9938390074</v>
      </c>
      <c r="D1218" s="6"/>
      <c r="E1218" s="3" t="s">
        <v>2225</v>
      </c>
      <c r="F1218" s="42" t="s">
        <v>308</v>
      </c>
      <c r="G1218" s="2" t="s">
        <v>424</v>
      </c>
      <c r="H1218" s="3" t="s">
        <v>162</v>
      </c>
      <c r="I1218" s="37" t="s">
        <v>94</v>
      </c>
      <c r="J1218" s="31">
        <v>45716</v>
      </c>
      <c r="K1218" s="31">
        <v>45721</v>
      </c>
      <c r="L1218" s="31"/>
      <c r="M1218" s="31"/>
      <c r="N1218" s="31"/>
      <c r="O1218" s="2" t="s">
        <v>425</v>
      </c>
    </row>
    <row r="1219" spans="1:15">
      <c r="A1219" s="3">
        <f t="shared" si="20"/>
        <v>1218</v>
      </c>
      <c r="B1219" s="109" t="s">
        <v>2227</v>
      </c>
      <c r="C1219" s="2">
        <v>9541796729</v>
      </c>
      <c r="D1219" s="6"/>
      <c r="E1219" s="3" t="s">
        <v>1697</v>
      </c>
      <c r="F1219" s="42" t="s">
        <v>308</v>
      </c>
      <c r="G1219" s="2" t="s">
        <v>16</v>
      </c>
      <c r="H1219" s="3" t="s">
        <v>162</v>
      </c>
      <c r="I1219" s="37" t="s">
        <v>94</v>
      </c>
      <c r="J1219" s="31">
        <v>45716</v>
      </c>
      <c r="K1219" s="31">
        <v>45721</v>
      </c>
      <c r="L1219" s="31">
        <v>45723</v>
      </c>
      <c r="M1219" s="31">
        <v>45754</v>
      </c>
      <c r="N1219" s="31">
        <v>45756</v>
      </c>
      <c r="O1219" s="2" t="s">
        <v>297</v>
      </c>
    </row>
    <row r="1220" spans="1:15">
      <c r="A1220" s="3">
        <f t="shared" si="20"/>
        <v>1219</v>
      </c>
      <c r="B1220" s="42" t="s">
        <v>2228</v>
      </c>
      <c r="C1220" s="2">
        <v>9226650994</v>
      </c>
      <c r="D1220" s="6"/>
      <c r="E1220" s="3" t="s">
        <v>2225</v>
      </c>
      <c r="F1220" s="42" t="s">
        <v>308</v>
      </c>
      <c r="G1220" s="2" t="s">
        <v>18</v>
      </c>
      <c r="H1220" s="3" t="s">
        <v>162</v>
      </c>
      <c r="I1220" s="37" t="s">
        <v>94</v>
      </c>
      <c r="J1220" s="31">
        <v>45716</v>
      </c>
      <c r="K1220" s="31">
        <v>45722</v>
      </c>
      <c r="L1220" s="31"/>
      <c r="M1220" s="31"/>
      <c r="N1220" s="31"/>
      <c r="O1220" s="2" t="s">
        <v>297</v>
      </c>
    </row>
    <row r="1221" spans="1:15">
      <c r="A1221" s="3">
        <f t="shared" si="20"/>
        <v>1220</v>
      </c>
      <c r="B1221" s="42" t="s">
        <v>2229</v>
      </c>
      <c r="C1221" s="2">
        <v>8081108668</v>
      </c>
      <c r="D1221" s="6">
        <v>7459000779</v>
      </c>
      <c r="E1221" s="3" t="s">
        <v>2225</v>
      </c>
      <c r="F1221" s="42" t="s">
        <v>308</v>
      </c>
      <c r="G1221" s="2" t="s">
        <v>764</v>
      </c>
      <c r="H1221" s="3" t="s">
        <v>162</v>
      </c>
      <c r="I1221" s="37" t="s">
        <v>94</v>
      </c>
      <c r="J1221" s="31">
        <v>45716</v>
      </c>
      <c r="K1221" s="31">
        <v>45722</v>
      </c>
      <c r="L1221" s="31"/>
      <c r="M1221" s="31"/>
      <c r="N1221" s="31"/>
      <c r="O1221" s="2" t="s">
        <v>425</v>
      </c>
    </row>
    <row r="1222" spans="1:15">
      <c r="A1222" s="3">
        <f t="shared" si="20"/>
        <v>1221</v>
      </c>
      <c r="B1222" s="42" t="s">
        <v>2230</v>
      </c>
      <c r="C1222" s="2">
        <v>8897549667</v>
      </c>
      <c r="D1222" s="6"/>
      <c r="E1222" s="3" t="s">
        <v>2225</v>
      </c>
      <c r="F1222" s="42" t="s">
        <v>308</v>
      </c>
      <c r="G1222" s="2" t="s">
        <v>764</v>
      </c>
      <c r="H1222" s="3" t="s">
        <v>162</v>
      </c>
      <c r="I1222" s="37" t="s">
        <v>94</v>
      </c>
      <c r="J1222" s="31">
        <v>45716</v>
      </c>
      <c r="K1222" s="31">
        <v>45722</v>
      </c>
      <c r="L1222" s="31"/>
      <c r="M1222" s="31"/>
      <c r="N1222" s="31"/>
      <c r="O1222" s="2" t="s">
        <v>425</v>
      </c>
    </row>
    <row r="1223" spans="1:15">
      <c r="A1223" s="3">
        <f t="shared" si="20"/>
        <v>1222</v>
      </c>
      <c r="B1223" s="42" t="s">
        <v>2231</v>
      </c>
      <c r="C1223" s="2">
        <v>9182255653</v>
      </c>
      <c r="D1223" s="6"/>
      <c r="E1223" s="3" t="s">
        <v>2225</v>
      </c>
      <c r="F1223" s="42" t="s">
        <v>308</v>
      </c>
      <c r="G1223" s="2" t="s">
        <v>424</v>
      </c>
      <c r="H1223" s="3" t="s">
        <v>162</v>
      </c>
      <c r="I1223" s="37" t="s">
        <v>94</v>
      </c>
      <c r="J1223" s="31">
        <v>45716</v>
      </c>
      <c r="K1223" s="31">
        <v>45721</v>
      </c>
      <c r="L1223" s="31"/>
      <c r="M1223" s="31"/>
      <c r="N1223" s="31"/>
      <c r="O1223" s="2" t="s">
        <v>425</v>
      </c>
    </row>
    <row r="1224" spans="1:15">
      <c r="A1224" s="3">
        <f t="shared" si="20"/>
        <v>1223</v>
      </c>
      <c r="B1224" s="42" t="s">
        <v>2232</v>
      </c>
      <c r="C1224" s="2">
        <v>8485019631</v>
      </c>
      <c r="D1224" s="6"/>
      <c r="E1224" s="3" t="s">
        <v>2225</v>
      </c>
      <c r="F1224" s="42" t="s">
        <v>308</v>
      </c>
      <c r="G1224" s="2" t="s">
        <v>424</v>
      </c>
      <c r="H1224" s="3" t="s">
        <v>162</v>
      </c>
      <c r="I1224" s="37" t="s">
        <v>94</v>
      </c>
      <c r="J1224" s="31">
        <v>45716</v>
      </c>
      <c r="K1224" s="31">
        <v>45722</v>
      </c>
      <c r="L1224" s="31"/>
      <c r="M1224" s="31"/>
      <c r="N1224" s="31"/>
      <c r="O1224" s="2" t="s">
        <v>425</v>
      </c>
    </row>
    <row r="1225" spans="1:15">
      <c r="A1225" s="3">
        <f t="shared" si="20"/>
        <v>1224</v>
      </c>
      <c r="B1225" s="42" t="s">
        <v>2233</v>
      </c>
      <c r="C1225" s="2">
        <v>9014330951</v>
      </c>
      <c r="D1225" s="6"/>
      <c r="E1225" s="3" t="s">
        <v>2225</v>
      </c>
      <c r="F1225" s="42" t="s">
        <v>308</v>
      </c>
      <c r="G1225" s="2" t="s">
        <v>16</v>
      </c>
      <c r="H1225" s="3" t="s">
        <v>162</v>
      </c>
      <c r="I1225" s="37" t="s">
        <v>94</v>
      </c>
      <c r="J1225" s="31">
        <v>45716</v>
      </c>
      <c r="K1225" s="31">
        <v>45722</v>
      </c>
      <c r="L1225" s="31">
        <v>45727</v>
      </c>
      <c r="M1225" s="31">
        <v>45742</v>
      </c>
      <c r="N1225" s="31">
        <v>45743</v>
      </c>
      <c r="O1225" s="2" t="s">
        <v>297</v>
      </c>
    </row>
    <row r="1226" spans="1:15">
      <c r="A1226" s="3">
        <f t="shared" si="20"/>
        <v>1225</v>
      </c>
      <c r="B1226" s="42" t="s">
        <v>2234</v>
      </c>
      <c r="C1226" s="2">
        <v>7980498314</v>
      </c>
      <c r="D1226" s="6"/>
      <c r="E1226" s="3" t="s">
        <v>2235</v>
      </c>
      <c r="F1226" s="42" t="s">
        <v>333</v>
      </c>
      <c r="G1226" s="2" t="s">
        <v>424</v>
      </c>
      <c r="H1226" s="3" t="s">
        <v>162</v>
      </c>
      <c r="I1226" s="37" t="s">
        <v>94</v>
      </c>
      <c r="J1226" s="31">
        <v>45716</v>
      </c>
      <c r="K1226" s="31">
        <v>45722</v>
      </c>
      <c r="L1226" s="31"/>
      <c r="M1226" s="31"/>
      <c r="N1226" s="31"/>
      <c r="O1226" s="2" t="s">
        <v>425</v>
      </c>
    </row>
    <row r="1227" spans="1:15">
      <c r="A1227" s="3">
        <f t="shared" si="20"/>
        <v>1226</v>
      </c>
      <c r="B1227" s="42" t="s">
        <v>2236</v>
      </c>
      <c r="C1227" s="2">
        <v>9887101521</v>
      </c>
      <c r="D1227" s="6"/>
      <c r="E1227" s="3" t="s">
        <v>2235</v>
      </c>
      <c r="F1227" s="42" t="s">
        <v>333</v>
      </c>
      <c r="G1227" s="2" t="s">
        <v>424</v>
      </c>
      <c r="H1227" s="3" t="s">
        <v>162</v>
      </c>
      <c r="I1227" s="37" t="s">
        <v>94</v>
      </c>
      <c r="J1227" s="31">
        <v>45716</v>
      </c>
      <c r="K1227" s="31">
        <v>45722</v>
      </c>
      <c r="L1227" s="31"/>
      <c r="M1227" s="31"/>
      <c r="N1227" s="31"/>
      <c r="O1227" s="2" t="s">
        <v>425</v>
      </c>
    </row>
    <row r="1228" spans="1:15">
      <c r="A1228" s="3">
        <f t="shared" si="20"/>
        <v>1227</v>
      </c>
      <c r="B1228" s="42" t="s">
        <v>2237</v>
      </c>
      <c r="C1228" s="2">
        <v>7805009649</v>
      </c>
      <c r="D1228" s="6">
        <v>6393791873</v>
      </c>
      <c r="E1228" s="3" t="s">
        <v>2235</v>
      </c>
      <c r="F1228" s="42" t="s">
        <v>333</v>
      </c>
      <c r="G1228" s="2" t="s">
        <v>424</v>
      </c>
      <c r="H1228" s="3" t="s">
        <v>162</v>
      </c>
      <c r="I1228" s="37" t="s">
        <v>94</v>
      </c>
      <c r="J1228" s="31">
        <v>45716</v>
      </c>
      <c r="K1228" s="31">
        <v>45722</v>
      </c>
      <c r="L1228" s="31"/>
      <c r="M1228" s="31"/>
      <c r="N1228" s="31"/>
      <c r="O1228" s="2" t="s">
        <v>425</v>
      </c>
    </row>
    <row r="1229" spans="1:15">
      <c r="A1229" s="3">
        <f t="shared" si="20"/>
        <v>1228</v>
      </c>
      <c r="B1229" s="42" t="s">
        <v>2238</v>
      </c>
      <c r="C1229" s="2">
        <v>9945548924</v>
      </c>
      <c r="D1229" s="6"/>
      <c r="E1229" s="3" t="s">
        <v>2235</v>
      </c>
      <c r="F1229" s="42" t="s">
        <v>333</v>
      </c>
      <c r="G1229" s="2" t="s">
        <v>424</v>
      </c>
      <c r="H1229" s="3" t="s">
        <v>162</v>
      </c>
      <c r="I1229" s="37" t="s">
        <v>94</v>
      </c>
      <c r="J1229" s="31">
        <v>45716</v>
      </c>
      <c r="K1229" s="31">
        <v>45721</v>
      </c>
      <c r="L1229" s="31"/>
      <c r="M1229" s="31"/>
      <c r="N1229" s="31"/>
      <c r="O1229" s="2" t="s">
        <v>425</v>
      </c>
    </row>
    <row r="1230" spans="1:15">
      <c r="A1230" s="3">
        <f t="shared" si="20"/>
        <v>1229</v>
      </c>
      <c r="B1230" s="42" t="s">
        <v>2239</v>
      </c>
      <c r="C1230" s="2">
        <v>9550891206</v>
      </c>
      <c r="D1230" s="6"/>
      <c r="E1230" s="3" t="s">
        <v>2235</v>
      </c>
      <c r="F1230" s="42" t="s">
        <v>333</v>
      </c>
      <c r="G1230" s="2" t="s">
        <v>424</v>
      </c>
      <c r="H1230" s="3" t="s">
        <v>162</v>
      </c>
      <c r="I1230" s="37" t="s">
        <v>94</v>
      </c>
      <c r="J1230" s="31">
        <v>45716</v>
      </c>
      <c r="K1230" s="31">
        <v>45721</v>
      </c>
      <c r="L1230" s="31"/>
      <c r="M1230" s="31"/>
      <c r="N1230" s="31"/>
      <c r="O1230" s="2" t="s">
        <v>425</v>
      </c>
    </row>
    <row r="1231" spans="1:15">
      <c r="A1231" s="3">
        <f t="shared" si="20"/>
        <v>1230</v>
      </c>
      <c r="B1231" s="111" t="s">
        <v>2240</v>
      </c>
      <c r="C1231" s="27">
        <v>8088781828</v>
      </c>
      <c r="D1231" s="6"/>
      <c r="E1231" s="27" t="s">
        <v>1624</v>
      </c>
      <c r="F1231" s="68" t="s">
        <v>308</v>
      </c>
      <c r="G1231" s="2" t="s">
        <v>295</v>
      </c>
      <c r="H1231" s="2" t="s">
        <v>1186</v>
      </c>
      <c r="I1231" s="37" t="s">
        <v>94</v>
      </c>
      <c r="J1231" s="31">
        <v>45716</v>
      </c>
      <c r="K1231" s="31">
        <v>45729</v>
      </c>
      <c r="L1231" s="31">
        <v>45731</v>
      </c>
      <c r="M1231" s="31">
        <v>45747</v>
      </c>
      <c r="N1231" s="31"/>
      <c r="O1231" s="2" t="s">
        <v>297</v>
      </c>
    </row>
    <row r="1232" spans="1:15">
      <c r="A1232" s="3">
        <f t="shared" si="20"/>
        <v>1231</v>
      </c>
      <c r="B1232" s="111" t="s">
        <v>2241</v>
      </c>
      <c r="C1232" s="27">
        <v>9704120192</v>
      </c>
      <c r="D1232" s="6"/>
      <c r="E1232" s="27" t="s">
        <v>2242</v>
      </c>
      <c r="F1232" s="68" t="s">
        <v>333</v>
      </c>
      <c r="G1232" s="3" t="s">
        <v>1175</v>
      </c>
      <c r="H1232" s="2" t="s">
        <v>1186</v>
      </c>
      <c r="I1232" s="37" t="s">
        <v>94</v>
      </c>
      <c r="J1232" s="31">
        <v>45716</v>
      </c>
      <c r="K1232" s="31"/>
      <c r="L1232" s="31"/>
      <c r="M1232" s="31"/>
      <c r="N1232" s="31"/>
      <c r="O1232" s="2" t="s">
        <v>1004</v>
      </c>
    </row>
    <row r="1233" spans="1:15">
      <c r="A1233" s="3">
        <f t="shared" si="20"/>
        <v>1232</v>
      </c>
      <c r="B1233" s="111" t="s">
        <v>2243</v>
      </c>
      <c r="C1233" s="27">
        <v>9057360298</v>
      </c>
      <c r="D1233" s="6"/>
      <c r="E1233" s="27" t="s">
        <v>1173</v>
      </c>
      <c r="F1233" s="68" t="s">
        <v>333</v>
      </c>
      <c r="G1233" s="2" t="s">
        <v>295</v>
      </c>
      <c r="H1233" s="2" t="s">
        <v>1186</v>
      </c>
      <c r="I1233" s="37" t="s">
        <v>94</v>
      </c>
      <c r="J1233" s="31">
        <v>45716</v>
      </c>
      <c r="K1233" s="31">
        <v>45721</v>
      </c>
      <c r="L1233" s="31">
        <v>45741</v>
      </c>
      <c r="M1233" s="31">
        <v>45773</v>
      </c>
      <c r="N1233" s="31"/>
      <c r="O1233" s="2" t="s">
        <v>297</v>
      </c>
    </row>
    <row r="1234" spans="1:15">
      <c r="A1234" s="3">
        <f t="shared" si="20"/>
        <v>1233</v>
      </c>
      <c r="B1234" s="68" t="s">
        <v>2244</v>
      </c>
      <c r="C1234" s="27">
        <v>6302664558</v>
      </c>
      <c r="D1234" s="6"/>
      <c r="E1234" s="27" t="s">
        <v>2242</v>
      </c>
      <c r="F1234" s="68" t="s">
        <v>333</v>
      </c>
      <c r="G1234" s="3" t="s">
        <v>424</v>
      </c>
      <c r="H1234" s="2" t="s">
        <v>1186</v>
      </c>
      <c r="I1234" s="37" t="s">
        <v>94</v>
      </c>
      <c r="J1234" s="31">
        <v>45716</v>
      </c>
      <c r="K1234" s="31">
        <v>45820</v>
      </c>
      <c r="L1234" s="31"/>
      <c r="M1234" s="31"/>
      <c r="N1234" s="31"/>
      <c r="O1234" s="2" t="s">
        <v>425</v>
      </c>
    </row>
    <row r="1235" spans="1:15">
      <c r="A1235" s="3">
        <f t="shared" si="20"/>
        <v>1234</v>
      </c>
      <c r="B1235" s="111" t="s">
        <v>2245</v>
      </c>
      <c r="C1235" s="27">
        <v>8867864671</v>
      </c>
      <c r="D1235" s="6"/>
      <c r="E1235" s="27" t="s">
        <v>2242</v>
      </c>
      <c r="F1235" s="68" t="s">
        <v>333</v>
      </c>
      <c r="G1235" s="2" t="s">
        <v>424</v>
      </c>
      <c r="H1235" s="2" t="s">
        <v>1186</v>
      </c>
      <c r="I1235" s="37" t="s">
        <v>94</v>
      </c>
      <c r="J1235" s="31">
        <v>45716</v>
      </c>
      <c r="K1235" s="31">
        <v>45721</v>
      </c>
      <c r="L1235" s="31"/>
      <c r="M1235" s="31"/>
      <c r="N1235" s="31"/>
      <c r="O1235" s="2" t="s">
        <v>425</v>
      </c>
    </row>
    <row r="1236" spans="1:15">
      <c r="A1236" s="3">
        <f t="shared" si="20"/>
        <v>1235</v>
      </c>
      <c r="B1236" s="111" t="s">
        <v>2246</v>
      </c>
      <c r="C1236" s="44">
        <v>7017996806</v>
      </c>
      <c r="D1236" s="6"/>
      <c r="E1236" s="27" t="s">
        <v>1173</v>
      </c>
      <c r="F1236" s="68" t="s">
        <v>333</v>
      </c>
      <c r="G1236" s="2" t="s">
        <v>330</v>
      </c>
      <c r="H1236" s="2" t="s">
        <v>1186</v>
      </c>
      <c r="I1236" s="37" t="s">
        <v>94</v>
      </c>
      <c r="J1236" s="31">
        <v>45716</v>
      </c>
      <c r="K1236" s="31">
        <v>45722</v>
      </c>
      <c r="L1236" s="31">
        <v>45727</v>
      </c>
      <c r="M1236" s="31">
        <v>45742</v>
      </c>
      <c r="N1236" s="31">
        <v>45744</v>
      </c>
      <c r="O1236" s="2" t="s">
        <v>297</v>
      </c>
    </row>
    <row r="1237" spans="1:15">
      <c r="A1237" s="3">
        <f t="shared" si="20"/>
        <v>1236</v>
      </c>
      <c r="B1237" s="111" t="s">
        <v>2247</v>
      </c>
      <c r="C1237" s="27">
        <v>8269016286</v>
      </c>
      <c r="D1237" s="6"/>
      <c r="E1237" s="27" t="s">
        <v>2242</v>
      </c>
      <c r="F1237" s="68" t="s">
        <v>333</v>
      </c>
      <c r="G1237" s="3" t="s">
        <v>1175</v>
      </c>
      <c r="H1237" s="2" t="s">
        <v>1186</v>
      </c>
      <c r="I1237" s="37" t="s">
        <v>94</v>
      </c>
      <c r="J1237" s="31">
        <v>45716</v>
      </c>
      <c r="K1237" s="31"/>
      <c r="L1237" s="31"/>
      <c r="M1237" s="31"/>
      <c r="N1237" s="31"/>
      <c r="O1237" s="2" t="s">
        <v>1004</v>
      </c>
    </row>
    <row r="1238" spans="1:15">
      <c r="A1238" s="3">
        <f t="shared" si="20"/>
        <v>1237</v>
      </c>
      <c r="B1238" s="111" t="s">
        <v>2248</v>
      </c>
      <c r="C1238" s="27">
        <v>9897438527</v>
      </c>
      <c r="D1238" s="6"/>
      <c r="E1238" s="27" t="s">
        <v>2242</v>
      </c>
      <c r="F1238" s="68" t="s">
        <v>333</v>
      </c>
      <c r="G1238" s="2" t="s">
        <v>424</v>
      </c>
      <c r="H1238" s="2" t="s">
        <v>1186</v>
      </c>
      <c r="I1238" s="37" t="s">
        <v>94</v>
      </c>
      <c r="J1238" s="31">
        <v>45716</v>
      </c>
      <c r="K1238" s="31">
        <v>45721</v>
      </c>
      <c r="L1238" s="31"/>
      <c r="M1238" s="31"/>
      <c r="N1238" s="31"/>
      <c r="O1238" s="2" t="s">
        <v>425</v>
      </c>
    </row>
    <row r="1239" spans="1:15">
      <c r="A1239" s="3">
        <f t="shared" si="20"/>
        <v>1238</v>
      </c>
      <c r="B1239" s="111" t="s">
        <v>2249</v>
      </c>
      <c r="C1239" s="27">
        <v>7780758535</v>
      </c>
      <c r="D1239" s="6"/>
      <c r="E1239" s="27" t="s">
        <v>2242</v>
      </c>
      <c r="F1239" s="68" t="s">
        <v>333</v>
      </c>
      <c r="G1239" s="2" t="s">
        <v>424</v>
      </c>
      <c r="H1239" s="2" t="s">
        <v>1186</v>
      </c>
      <c r="I1239" s="37" t="s">
        <v>94</v>
      </c>
      <c r="J1239" s="31">
        <v>45716</v>
      </c>
      <c r="K1239" s="31">
        <v>45721</v>
      </c>
      <c r="L1239" s="31"/>
      <c r="M1239" s="31"/>
      <c r="N1239" s="31"/>
      <c r="O1239" s="2" t="s">
        <v>425</v>
      </c>
    </row>
    <row r="1240" spans="1:15">
      <c r="A1240" s="3">
        <f t="shared" si="20"/>
        <v>1239</v>
      </c>
      <c r="B1240" s="111" t="s">
        <v>2250</v>
      </c>
      <c r="C1240" s="27">
        <v>9764393033</v>
      </c>
      <c r="D1240" s="6"/>
      <c r="E1240" s="27"/>
      <c r="F1240" s="68" t="s">
        <v>2251</v>
      </c>
      <c r="G1240" s="2" t="s">
        <v>295</v>
      </c>
      <c r="H1240" s="2" t="s">
        <v>296</v>
      </c>
      <c r="I1240" s="37" t="s">
        <v>94</v>
      </c>
      <c r="J1240" s="31">
        <v>45698</v>
      </c>
      <c r="K1240" s="31">
        <v>45698</v>
      </c>
      <c r="L1240" s="31">
        <v>45716</v>
      </c>
      <c r="M1240" s="31">
        <v>45823</v>
      </c>
      <c r="N1240" s="31"/>
      <c r="O1240" s="2" t="s">
        <v>297</v>
      </c>
    </row>
    <row r="1241" spans="1:15">
      <c r="A1241" s="3">
        <f t="shared" si="20"/>
        <v>1240</v>
      </c>
      <c r="B1241" s="111" t="s">
        <v>2252</v>
      </c>
      <c r="C1241" s="27">
        <v>9985887650</v>
      </c>
      <c r="D1241" s="6"/>
      <c r="E1241" s="27" t="s">
        <v>2253</v>
      </c>
      <c r="F1241" s="68" t="s">
        <v>308</v>
      </c>
      <c r="G1241" s="2" t="s">
        <v>16</v>
      </c>
      <c r="H1241" s="2" t="s">
        <v>464</v>
      </c>
      <c r="I1241" s="37" t="s">
        <v>94</v>
      </c>
      <c r="J1241" s="31">
        <v>45658</v>
      </c>
      <c r="K1241" s="31">
        <v>45666</v>
      </c>
      <c r="L1241" s="31">
        <v>45716</v>
      </c>
      <c r="M1241" s="31">
        <v>45744</v>
      </c>
      <c r="N1241" s="31">
        <v>45720</v>
      </c>
      <c r="O1241" s="2" t="s">
        <v>297</v>
      </c>
    </row>
    <row r="1242" spans="1:15">
      <c r="A1242" s="3">
        <f t="shared" si="20"/>
        <v>1241</v>
      </c>
      <c r="B1242" s="111" t="s">
        <v>2254</v>
      </c>
      <c r="C1242" s="27">
        <v>9556605727</v>
      </c>
      <c r="D1242" s="6"/>
      <c r="E1242" s="27" t="s">
        <v>915</v>
      </c>
      <c r="F1242" s="68" t="s">
        <v>2255</v>
      </c>
      <c r="G1242" s="2" t="s">
        <v>295</v>
      </c>
      <c r="H1242" s="3" t="s">
        <v>913</v>
      </c>
      <c r="I1242" s="3" t="s">
        <v>94</v>
      </c>
      <c r="J1242" s="31">
        <v>45692</v>
      </c>
      <c r="K1242" s="31">
        <v>45695</v>
      </c>
      <c r="L1242" s="31">
        <v>45716</v>
      </c>
      <c r="M1242" s="31">
        <v>45746</v>
      </c>
      <c r="N1242" s="31"/>
      <c r="O1242" s="2" t="s">
        <v>297</v>
      </c>
    </row>
    <row r="1243" spans="1:15">
      <c r="A1243" s="3">
        <f t="shared" si="20"/>
        <v>1242</v>
      </c>
      <c r="B1243" s="111" t="s">
        <v>2256</v>
      </c>
      <c r="C1243" s="27">
        <v>8950220336</v>
      </c>
      <c r="D1243" s="6"/>
      <c r="E1243" s="27" t="s">
        <v>550</v>
      </c>
      <c r="F1243" s="68" t="s">
        <v>569</v>
      </c>
      <c r="G1243" s="2" t="s">
        <v>16</v>
      </c>
      <c r="H1243" s="2" t="s">
        <v>305</v>
      </c>
      <c r="I1243" s="37" t="s">
        <v>94</v>
      </c>
      <c r="J1243" s="31">
        <v>45694</v>
      </c>
      <c r="K1243" s="31">
        <v>45700</v>
      </c>
      <c r="L1243" s="31">
        <v>45716</v>
      </c>
      <c r="M1243" s="31">
        <v>45744</v>
      </c>
      <c r="N1243" s="31">
        <v>45753</v>
      </c>
      <c r="O1243" s="2" t="s">
        <v>297</v>
      </c>
    </row>
    <row r="1244" spans="1:15">
      <c r="A1244" s="3">
        <f t="shared" si="20"/>
        <v>1243</v>
      </c>
      <c r="B1244" s="42" t="s">
        <v>2257</v>
      </c>
      <c r="C1244" s="2">
        <v>9550611911</v>
      </c>
      <c r="D1244" s="6"/>
      <c r="E1244" s="3" t="s">
        <v>1032</v>
      </c>
      <c r="F1244" s="42" t="s">
        <v>972</v>
      </c>
      <c r="G1244" s="2" t="s">
        <v>424</v>
      </c>
      <c r="H1244" s="2" t="s">
        <v>41</v>
      </c>
      <c r="I1244" s="37" t="s">
        <v>42</v>
      </c>
      <c r="J1244" s="31">
        <v>45717</v>
      </c>
      <c r="K1244" s="31">
        <v>45719</v>
      </c>
      <c r="L1244" s="31"/>
      <c r="M1244" s="31"/>
      <c r="N1244" s="31"/>
      <c r="O1244" s="2" t="s">
        <v>425</v>
      </c>
    </row>
    <row r="1245" spans="1:15">
      <c r="A1245" s="3">
        <f t="shared" si="20"/>
        <v>1244</v>
      </c>
      <c r="B1245" s="42" t="s">
        <v>2258</v>
      </c>
      <c r="C1245" s="2">
        <v>9866288272</v>
      </c>
      <c r="D1245" s="6"/>
      <c r="E1245" s="3" t="s">
        <v>1202</v>
      </c>
      <c r="F1245" s="42" t="s">
        <v>1663</v>
      </c>
      <c r="G1245" s="2" t="s">
        <v>424</v>
      </c>
      <c r="H1245" s="2" t="s">
        <v>41</v>
      </c>
      <c r="I1245" s="37" t="s">
        <v>42</v>
      </c>
      <c r="J1245" s="31">
        <v>45717</v>
      </c>
      <c r="K1245" s="31">
        <v>45719</v>
      </c>
      <c r="L1245" s="31"/>
      <c r="M1245" s="31"/>
      <c r="N1245" s="31"/>
      <c r="O1245" s="2" t="s">
        <v>425</v>
      </c>
    </row>
    <row r="1246" spans="1:15">
      <c r="A1246" s="3">
        <f t="shared" si="20"/>
        <v>1245</v>
      </c>
      <c r="B1246" s="112" t="s">
        <v>2259</v>
      </c>
      <c r="C1246" s="50">
        <v>9068421902</v>
      </c>
      <c r="D1246" s="6">
        <v>9675648439</v>
      </c>
      <c r="E1246" s="36" t="s">
        <v>2260</v>
      </c>
      <c r="F1246" s="79" t="s">
        <v>2261</v>
      </c>
      <c r="G1246" s="2" t="s">
        <v>16</v>
      </c>
      <c r="H1246" s="3" t="s">
        <v>487</v>
      </c>
      <c r="I1246" s="37" t="s">
        <v>88</v>
      </c>
      <c r="J1246" s="31">
        <v>45719</v>
      </c>
      <c r="K1246" s="31">
        <v>45723</v>
      </c>
      <c r="L1246" s="31">
        <v>45723</v>
      </c>
      <c r="M1246" s="31">
        <v>45754</v>
      </c>
      <c r="N1246" s="31">
        <v>45754</v>
      </c>
      <c r="O1246" s="2" t="s">
        <v>297</v>
      </c>
    </row>
    <row r="1247" spans="1:15">
      <c r="A1247" s="3">
        <f t="shared" si="20"/>
        <v>1246</v>
      </c>
      <c r="B1247" s="112" t="s">
        <v>2262</v>
      </c>
      <c r="C1247" s="50">
        <v>7478525055</v>
      </c>
      <c r="D1247" s="6"/>
      <c r="E1247" s="36" t="s">
        <v>1454</v>
      </c>
      <c r="F1247" s="79" t="s">
        <v>2261</v>
      </c>
      <c r="G1247" s="2" t="s">
        <v>424</v>
      </c>
      <c r="H1247" s="3" t="s">
        <v>487</v>
      </c>
      <c r="I1247" s="37" t="s">
        <v>88</v>
      </c>
      <c r="J1247" s="31">
        <v>45719</v>
      </c>
      <c r="K1247" s="31">
        <v>45722</v>
      </c>
      <c r="L1247" s="31"/>
      <c r="M1247" s="31"/>
      <c r="N1247" s="31"/>
      <c r="O1247" s="2" t="s">
        <v>425</v>
      </c>
    </row>
    <row r="1248" spans="1:15">
      <c r="A1248" s="3">
        <f t="shared" si="20"/>
        <v>1247</v>
      </c>
      <c r="B1248" s="112" t="s">
        <v>2263</v>
      </c>
      <c r="C1248" s="50">
        <v>9993651336</v>
      </c>
      <c r="D1248" s="6">
        <v>9425300000</v>
      </c>
      <c r="E1248" s="36" t="s">
        <v>2260</v>
      </c>
      <c r="F1248" s="79" t="s">
        <v>2261</v>
      </c>
      <c r="G1248" s="2" t="s">
        <v>295</v>
      </c>
      <c r="H1248" s="3" t="s">
        <v>487</v>
      </c>
      <c r="I1248" s="37" t="s">
        <v>88</v>
      </c>
      <c r="J1248" s="31">
        <v>45719</v>
      </c>
      <c r="K1248" s="31">
        <v>45722</v>
      </c>
      <c r="L1248" s="31">
        <v>45723</v>
      </c>
      <c r="M1248" s="31">
        <v>45754</v>
      </c>
      <c r="N1248" s="31"/>
      <c r="O1248" s="2" t="s">
        <v>297</v>
      </c>
    </row>
    <row r="1249" spans="1:15">
      <c r="A1249" s="3">
        <f t="shared" si="20"/>
        <v>1248</v>
      </c>
      <c r="B1249" s="112" t="s">
        <v>2264</v>
      </c>
      <c r="C1249" s="50">
        <v>9494459162</v>
      </c>
      <c r="D1249" s="6"/>
      <c r="E1249" s="36" t="s">
        <v>1454</v>
      </c>
      <c r="F1249" s="79" t="s">
        <v>2261</v>
      </c>
      <c r="G1249" s="2" t="s">
        <v>16</v>
      </c>
      <c r="H1249" s="3" t="s">
        <v>487</v>
      </c>
      <c r="I1249" s="37" t="s">
        <v>88</v>
      </c>
      <c r="J1249" s="31">
        <v>45719</v>
      </c>
      <c r="K1249" s="31">
        <v>45722</v>
      </c>
      <c r="L1249" s="31">
        <v>45723</v>
      </c>
      <c r="M1249" s="31">
        <v>45754</v>
      </c>
      <c r="N1249" s="31">
        <v>45734</v>
      </c>
      <c r="O1249" s="2" t="s">
        <v>297</v>
      </c>
    </row>
    <row r="1250" spans="1:15">
      <c r="A1250" s="3">
        <f t="shared" si="20"/>
        <v>1249</v>
      </c>
      <c r="B1250" s="112" t="s">
        <v>2265</v>
      </c>
      <c r="C1250" s="50">
        <v>8082653906</v>
      </c>
      <c r="D1250" s="6"/>
      <c r="E1250" s="36" t="s">
        <v>2260</v>
      </c>
      <c r="F1250" s="79" t="s">
        <v>2261</v>
      </c>
      <c r="G1250" s="2" t="s">
        <v>16</v>
      </c>
      <c r="H1250" s="3" t="s">
        <v>487</v>
      </c>
      <c r="I1250" s="37" t="s">
        <v>88</v>
      </c>
      <c r="J1250" s="31">
        <v>45719</v>
      </c>
      <c r="K1250" s="31">
        <v>45722</v>
      </c>
      <c r="L1250" s="31">
        <v>45723</v>
      </c>
      <c r="M1250" s="31">
        <v>45754</v>
      </c>
      <c r="N1250" s="31">
        <v>45729</v>
      </c>
      <c r="O1250" s="2" t="s">
        <v>297</v>
      </c>
    </row>
    <row r="1251" spans="1:15">
      <c r="A1251" s="3">
        <f t="shared" si="20"/>
        <v>1250</v>
      </c>
      <c r="B1251" s="112" t="s">
        <v>2266</v>
      </c>
      <c r="C1251" s="50">
        <v>8144510184</v>
      </c>
      <c r="D1251" s="6">
        <v>7894467850</v>
      </c>
      <c r="E1251" s="36" t="s">
        <v>2260</v>
      </c>
      <c r="F1251" s="79" t="s">
        <v>2261</v>
      </c>
      <c r="G1251" s="2" t="s">
        <v>16</v>
      </c>
      <c r="H1251" s="3" t="s">
        <v>487</v>
      </c>
      <c r="I1251" s="37" t="s">
        <v>88</v>
      </c>
      <c r="J1251" s="31">
        <v>45719</v>
      </c>
      <c r="K1251" s="31">
        <v>45722</v>
      </c>
      <c r="L1251" s="31">
        <v>45723</v>
      </c>
      <c r="M1251" s="31">
        <v>45754</v>
      </c>
      <c r="N1251" s="31">
        <v>45754</v>
      </c>
      <c r="O1251" s="2" t="s">
        <v>297</v>
      </c>
    </row>
    <row r="1252" spans="1:15">
      <c r="A1252" s="3">
        <f t="shared" si="20"/>
        <v>1251</v>
      </c>
      <c r="B1252" s="112" t="s">
        <v>2267</v>
      </c>
      <c r="C1252" s="50">
        <v>9668854811</v>
      </c>
      <c r="D1252" s="6"/>
      <c r="E1252" s="36" t="s">
        <v>2268</v>
      </c>
      <c r="F1252" s="79" t="s">
        <v>2269</v>
      </c>
      <c r="G1252" s="2" t="s">
        <v>16</v>
      </c>
      <c r="H1252" s="3" t="s">
        <v>487</v>
      </c>
      <c r="I1252" s="37" t="s">
        <v>88</v>
      </c>
      <c r="J1252" s="31">
        <v>45719</v>
      </c>
      <c r="K1252" s="31">
        <v>45722</v>
      </c>
      <c r="L1252" s="31">
        <v>45723</v>
      </c>
      <c r="M1252" s="31">
        <v>45754</v>
      </c>
      <c r="N1252" s="31">
        <v>45754</v>
      </c>
      <c r="O1252" s="2" t="s">
        <v>297</v>
      </c>
    </row>
    <row r="1253" spans="1:15">
      <c r="A1253" s="3">
        <f t="shared" si="20"/>
        <v>1252</v>
      </c>
      <c r="B1253" s="112" t="s">
        <v>2270</v>
      </c>
      <c r="C1253" s="50">
        <v>9365369961</v>
      </c>
      <c r="D1253" s="6">
        <v>9394956692</v>
      </c>
      <c r="E1253" s="36" t="s">
        <v>2271</v>
      </c>
      <c r="F1253" s="79" t="s">
        <v>2272</v>
      </c>
      <c r="G1253" s="2" t="s">
        <v>295</v>
      </c>
      <c r="H1253" s="3" t="s">
        <v>487</v>
      </c>
      <c r="I1253" s="37" t="s">
        <v>88</v>
      </c>
      <c r="J1253" s="31">
        <v>45719</v>
      </c>
      <c r="K1253" s="31">
        <v>45722</v>
      </c>
      <c r="L1253" s="31">
        <v>45727</v>
      </c>
      <c r="M1253" s="31">
        <v>45758</v>
      </c>
      <c r="N1253" s="31"/>
      <c r="O1253" s="2" t="s">
        <v>297</v>
      </c>
    </row>
    <row r="1254" spans="1:15">
      <c r="A1254" s="3">
        <f t="shared" si="20"/>
        <v>1253</v>
      </c>
      <c r="B1254" s="112" t="s">
        <v>2273</v>
      </c>
      <c r="C1254" s="50">
        <v>9163483507</v>
      </c>
      <c r="D1254" s="6">
        <v>8296095765</v>
      </c>
      <c r="E1254" s="36" t="s">
        <v>1395</v>
      </c>
      <c r="F1254" s="79" t="s">
        <v>2269</v>
      </c>
      <c r="G1254" s="2" t="s">
        <v>16</v>
      </c>
      <c r="H1254" s="3" t="s">
        <v>487</v>
      </c>
      <c r="I1254" s="37" t="s">
        <v>88</v>
      </c>
      <c r="J1254" s="31">
        <v>45719</v>
      </c>
      <c r="K1254" s="31">
        <v>45723</v>
      </c>
      <c r="L1254" s="31">
        <v>45729</v>
      </c>
      <c r="M1254" s="31">
        <v>45759</v>
      </c>
      <c r="N1254" s="31">
        <v>45759</v>
      </c>
      <c r="O1254" s="2" t="s">
        <v>297</v>
      </c>
    </row>
    <row r="1255" spans="1:15">
      <c r="A1255" s="3">
        <f t="shared" si="20"/>
        <v>1254</v>
      </c>
      <c r="B1255" s="112" t="s">
        <v>2274</v>
      </c>
      <c r="C1255" s="50">
        <v>9473737581</v>
      </c>
      <c r="D1255" s="6">
        <v>7619989154</v>
      </c>
      <c r="E1255" s="36" t="s">
        <v>1309</v>
      </c>
      <c r="F1255" s="79" t="s">
        <v>2275</v>
      </c>
      <c r="G1255" s="2" t="s">
        <v>16</v>
      </c>
      <c r="H1255" s="3" t="s">
        <v>487</v>
      </c>
      <c r="I1255" s="37" t="s">
        <v>42</v>
      </c>
      <c r="J1255" s="31">
        <v>45719</v>
      </c>
      <c r="K1255" s="31">
        <v>45723</v>
      </c>
      <c r="L1255" s="31">
        <v>45727</v>
      </c>
      <c r="M1255" s="31">
        <v>45758</v>
      </c>
      <c r="N1255" s="31">
        <v>45787</v>
      </c>
      <c r="O1255" s="2" t="s">
        <v>297</v>
      </c>
    </row>
    <row r="1256" spans="1:15">
      <c r="A1256" s="3">
        <f t="shared" si="20"/>
        <v>1255</v>
      </c>
      <c r="B1256" s="112" t="s">
        <v>2276</v>
      </c>
      <c r="C1256" s="50">
        <v>9906296482</v>
      </c>
      <c r="D1256" s="6"/>
      <c r="E1256" s="36" t="s">
        <v>1183</v>
      </c>
      <c r="F1256" s="79" t="s">
        <v>2272</v>
      </c>
      <c r="G1256" s="2" t="s">
        <v>424</v>
      </c>
      <c r="H1256" s="3" t="s">
        <v>487</v>
      </c>
      <c r="I1256" s="37" t="s">
        <v>88</v>
      </c>
      <c r="J1256" s="31">
        <v>45719</v>
      </c>
      <c r="K1256" s="31">
        <v>45719</v>
      </c>
      <c r="L1256" s="31"/>
      <c r="M1256" s="31"/>
      <c r="N1256" s="31"/>
      <c r="O1256" s="2" t="s">
        <v>425</v>
      </c>
    </row>
    <row r="1257" spans="1:15">
      <c r="A1257" s="3">
        <f t="shared" si="20"/>
        <v>1256</v>
      </c>
      <c r="B1257" s="112" t="s">
        <v>2277</v>
      </c>
      <c r="C1257" s="50">
        <v>9086143155</v>
      </c>
      <c r="D1257" s="6">
        <v>9682565778</v>
      </c>
      <c r="E1257" s="36" t="s">
        <v>1183</v>
      </c>
      <c r="F1257" s="79" t="s">
        <v>2272</v>
      </c>
      <c r="G1257" s="2" t="s">
        <v>416</v>
      </c>
      <c r="H1257" s="3" t="s">
        <v>487</v>
      </c>
      <c r="I1257" s="37" t="s">
        <v>88</v>
      </c>
      <c r="J1257" s="31">
        <v>45719</v>
      </c>
      <c r="K1257" s="31">
        <v>45723</v>
      </c>
      <c r="L1257" s="31"/>
      <c r="M1257" s="31"/>
      <c r="N1257" s="31"/>
      <c r="O1257" s="2" t="s">
        <v>297</v>
      </c>
    </row>
    <row r="1258" spans="1:15">
      <c r="A1258" s="3">
        <f t="shared" si="20"/>
        <v>1257</v>
      </c>
      <c r="B1258" s="112" t="s">
        <v>2278</v>
      </c>
      <c r="C1258" s="50">
        <v>9070231243</v>
      </c>
      <c r="D1258" s="6"/>
      <c r="E1258" s="36" t="s">
        <v>2279</v>
      </c>
      <c r="F1258" s="79" t="s">
        <v>2280</v>
      </c>
      <c r="G1258" s="2" t="s">
        <v>424</v>
      </c>
      <c r="H1258" s="3" t="s">
        <v>487</v>
      </c>
      <c r="I1258" s="37" t="s">
        <v>42</v>
      </c>
      <c r="J1258" s="31">
        <v>45719</v>
      </c>
      <c r="K1258" s="31">
        <v>45719</v>
      </c>
      <c r="L1258" s="31"/>
      <c r="M1258" s="31"/>
      <c r="N1258" s="31"/>
      <c r="O1258" s="2" t="s">
        <v>425</v>
      </c>
    </row>
    <row r="1259" spans="1:15">
      <c r="A1259" s="3">
        <f t="shared" si="20"/>
        <v>1258</v>
      </c>
      <c r="B1259" s="112" t="s">
        <v>2282</v>
      </c>
      <c r="C1259" s="50">
        <v>9149837103</v>
      </c>
      <c r="D1259" s="6"/>
      <c r="E1259" s="36" t="s">
        <v>898</v>
      </c>
      <c r="F1259" s="79" t="s">
        <v>2280</v>
      </c>
      <c r="G1259" s="2" t="s">
        <v>416</v>
      </c>
      <c r="H1259" s="3" t="s">
        <v>487</v>
      </c>
      <c r="I1259" s="37" t="s">
        <v>42</v>
      </c>
      <c r="J1259" s="31">
        <v>45719</v>
      </c>
      <c r="K1259" s="31">
        <v>45723</v>
      </c>
      <c r="L1259" s="31"/>
      <c r="M1259" s="31"/>
      <c r="N1259" s="31"/>
      <c r="O1259" s="2" t="s">
        <v>297</v>
      </c>
    </row>
    <row r="1260" spans="1:15">
      <c r="A1260" s="3">
        <f t="shared" si="20"/>
        <v>1259</v>
      </c>
      <c r="B1260" s="112" t="s">
        <v>2283</v>
      </c>
      <c r="C1260" s="50">
        <v>8328806516</v>
      </c>
      <c r="D1260" s="6"/>
      <c r="E1260" s="36" t="s">
        <v>1458</v>
      </c>
      <c r="F1260" s="79" t="s">
        <v>1459</v>
      </c>
      <c r="G1260" s="2" t="s">
        <v>16</v>
      </c>
      <c r="H1260" s="3" t="s">
        <v>487</v>
      </c>
      <c r="I1260" s="37" t="s">
        <v>88</v>
      </c>
      <c r="J1260" s="31">
        <v>45719</v>
      </c>
      <c r="K1260" s="31">
        <v>45723</v>
      </c>
      <c r="L1260" s="31">
        <v>45744</v>
      </c>
      <c r="M1260" s="31">
        <v>45782</v>
      </c>
      <c r="N1260" s="31">
        <v>45782</v>
      </c>
      <c r="O1260" s="2" t="s">
        <v>297</v>
      </c>
    </row>
    <row r="1261" spans="1:15">
      <c r="A1261" s="3">
        <f t="shared" si="20"/>
        <v>1260</v>
      </c>
      <c r="B1261" s="112" t="s">
        <v>2284</v>
      </c>
      <c r="C1261" s="50">
        <v>9882925129</v>
      </c>
      <c r="D1261" s="6"/>
      <c r="E1261" s="36" t="s">
        <v>1458</v>
      </c>
      <c r="F1261" s="79" t="s">
        <v>1459</v>
      </c>
      <c r="G1261" s="2" t="s">
        <v>16</v>
      </c>
      <c r="H1261" s="3" t="s">
        <v>487</v>
      </c>
      <c r="I1261" s="37" t="s">
        <v>88</v>
      </c>
      <c r="J1261" s="31">
        <v>45719</v>
      </c>
      <c r="K1261" s="31">
        <v>45723</v>
      </c>
      <c r="L1261" s="31">
        <v>45727</v>
      </c>
      <c r="M1261" s="31">
        <v>45758</v>
      </c>
      <c r="N1261" s="31">
        <v>45758</v>
      </c>
      <c r="O1261" s="2" t="s">
        <v>297</v>
      </c>
    </row>
    <row r="1262" spans="1:15">
      <c r="A1262" s="3">
        <f t="shared" si="20"/>
        <v>1261</v>
      </c>
      <c r="B1262" s="112" t="s">
        <v>2285</v>
      </c>
      <c r="C1262" s="50">
        <v>6006018315</v>
      </c>
      <c r="D1262" s="6"/>
      <c r="E1262" s="36" t="s">
        <v>898</v>
      </c>
      <c r="F1262" s="79" t="s">
        <v>2280</v>
      </c>
      <c r="G1262" s="2" t="s">
        <v>424</v>
      </c>
      <c r="H1262" s="3" t="s">
        <v>487</v>
      </c>
      <c r="I1262" s="37" t="s">
        <v>42</v>
      </c>
      <c r="J1262" s="31">
        <v>45719</v>
      </c>
      <c r="K1262" s="31">
        <v>45723</v>
      </c>
      <c r="L1262" s="31"/>
      <c r="M1262" s="31"/>
      <c r="N1262" s="31"/>
      <c r="O1262" s="2" t="s">
        <v>425</v>
      </c>
    </row>
    <row r="1263" spans="1:15">
      <c r="A1263" s="3">
        <f t="shared" si="20"/>
        <v>1262</v>
      </c>
      <c r="B1263" s="112" t="s">
        <v>2286</v>
      </c>
      <c r="C1263" s="50">
        <v>7780843865</v>
      </c>
      <c r="D1263" s="6"/>
      <c r="E1263" s="36" t="s">
        <v>894</v>
      </c>
      <c r="F1263" s="79" t="s">
        <v>1467</v>
      </c>
      <c r="G1263" s="2" t="s">
        <v>16</v>
      </c>
      <c r="H1263" s="3" t="s">
        <v>487</v>
      </c>
      <c r="I1263" s="37" t="s">
        <v>88</v>
      </c>
      <c r="J1263" s="31">
        <v>45719</v>
      </c>
      <c r="K1263" s="31">
        <v>45722</v>
      </c>
      <c r="L1263" s="31">
        <v>45723</v>
      </c>
      <c r="M1263" s="31">
        <v>45754</v>
      </c>
      <c r="N1263" s="31">
        <v>45754</v>
      </c>
      <c r="O1263" s="2" t="s">
        <v>297</v>
      </c>
    </row>
    <row r="1264" spans="1:15">
      <c r="A1264" s="3">
        <f t="shared" si="20"/>
        <v>1263</v>
      </c>
      <c r="B1264" s="42" t="s">
        <v>2287</v>
      </c>
      <c r="C1264" s="2">
        <v>9505414654</v>
      </c>
      <c r="D1264" s="6"/>
      <c r="E1264" s="3" t="s">
        <v>2288</v>
      </c>
      <c r="F1264" s="42" t="s">
        <v>2289</v>
      </c>
      <c r="G1264" s="2" t="s">
        <v>16</v>
      </c>
      <c r="H1264" s="3" t="s">
        <v>296</v>
      </c>
      <c r="I1264" s="37" t="s">
        <v>94</v>
      </c>
      <c r="J1264" s="31">
        <v>45719</v>
      </c>
      <c r="K1264" s="31">
        <v>45724</v>
      </c>
      <c r="L1264" s="31">
        <v>45934</v>
      </c>
      <c r="M1264" s="31">
        <v>45945</v>
      </c>
      <c r="N1264" s="31">
        <v>45947</v>
      </c>
      <c r="O1264" s="2" t="s">
        <v>297</v>
      </c>
    </row>
    <row r="1265" spans="1:15">
      <c r="A1265" s="3">
        <f t="shared" si="20"/>
        <v>1264</v>
      </c>
      <c r="B1265" s="42" t="s">
        <v>2290</v>
      </c>
      <c r="C1265" s="2">
        <v>7541888036</v>
      </c>
      <c r="D1265" s="6"/>
      <c r="E1265" s="3" t="s">
        <v>2291</v>
      </c>
      <c r="F1265" s="42" t="s">
        <v>2289</v>
      </c>
      <c r="G1265" s="2" t="s">
        <v>424</v>
      </c>
      <c r="H1265" s="3" t="s">
        <v>788</v>
      </c>
      <c r="I1265" s="37" t="s">
        <v>94</v>
      </c>
      <c r="J1265" s="31">
        <v>45719</v>
      </c>
      <c r="K1265" s="31">
        <v>45724</v>
      </c>
      <c r="L1265" s="31"/>
      <c r="M1265" s="31"/>
      <c r="N1265" s="31"/>
      <c r="O1265" s="2" t="s">
        <v>425</v>
      </c>
    </row>
    <row r="1266" spans="1:15">
      <c r="A1266" s="3">
        <f t="shared" si="20"/>
        <v>1265</v>
      </c>
      <c r="B1266" s="42" t="s">
        <v>2292</v>
      </c>
      <c r="C1266" s="2">
        <v>8688245989</v>
      </c>
      <c r="D1266" s="6"/>
      <c r="E1266" s="3" t="s">
        <v>2293</v>
      </c>
      <c r="F1266" s="42" t="s">
        <v>920</v>
      </c>
      <c r="G1266" s="2" t="s">
        <v>424</v>
      </c>
      <c r="H1266" s="3" t="s">
        <v>788</v>
      </c>
      <c r="I1266" s="37" t="s">
        <v>94</v>
      </c>
      <c r="J1266" s="31">
        <v>45719</v>
      </c>
      <c r="K1266" s="31">
        <v>45724</v>
      </c>
      <c r="L1266" s="31"/>
      <c r="M1266" s="31"/>
      <c r="N1266" s="31"/>
      <c r="O1266" s="2" t="s">
        <v>425</v>
      </c>
    </row>
    <row r="1267" spans="1:15">
      <c r="A1267" s="3">
        <f t="shared" si="20"/>
        <v>1266</v>
      </c>
      <c r="B1267" s="42" t="s">
        <v>2294</v>
      </c>
      <c r="C1267" s="2">
        <v>8333850369</v>
      </c>
      <c r="D1267" s="6"/>
      <c r="E1267" s="3" t="s">
        <v>2293</v>
      </c>
      <c r="F1267" s="42" t="s">
        <v>308</v>
      </c>
      <c r="G1267" s="2" t="s">
        <v>424</v>
      </c>
      <c r="H1267" s="3" t="s">
        <v>788</v>
      </c>
      <c r="I1267" s="37" t="s">
        <v>94</v>
      </c>
      <c r="J1267" s="31">
        <v>45719</v>
      </c>
      <c r="K1267" s="31">
        <v>45749</v>
      </c>
      <c r="L1267" s="31"/>
      <c r="M1267" s="31"/>
      <c r="N1267" s="31"/>
      <c r="O1267" s="2" t="s">
        <v>749</v>
      </c>
    </row>
    <row r="1268" spans="1:15">
      <c r="A1268" s="3">
        <f t="shared" si="20"/>
        <v>1267</v>
      </c>
      <c r="B1268" s="42" t="s">
        <v>2295</v>
      </c>
      <c r="C1268" s="2">
        <v>8896288298</v>
      </c>
      <c r="D1268" s="6"/>
      <c r="E1268" s="3" t="s">
        <v>2293</v>
      </c>
      <c r="F1268" s="42" t="s">
        <v>419</v>
      </c>
      <c r="G1268" s="2" t="s">
        <v>424</v>
      </c>
      <c r="H1268" s="3" t="s">
        <v>788</v>
      </c>
      <c r="I1268" s="37" t="s">
        <v>94</v>
      </c>
      <c r="J1268" s="31">
        <v>45719</v>
      </c>
      <c r="K1268" s="31">
        <v>45724</v>
      </c>
      <c r="L1268" s="31"/>
      <c r="M1268" s="31"/>
      <c r="N1268" s="31"/>
      <c r="O1268" s="2" t="s">
        <v>425</v>
      </c>
    </row>
    <row r="1269" spans="1:15">
      <c r="A1269" s="3">
        <f t="shared" si="20"/>
        <v>1268</v>
      </c>
      <c r="B1269" s="42" t="s">
        <v>2296</v>
      </c>
      <c r="C1269" s="2">
        <v>9705345108</v>
      </c>
      <c r="D1269" s="6"/>
      <c r="E1269" s="3" t="s">
        <v>2293</v>
      </c>
      <c r="F1269" s="42" t="s">
        <v>308</v>
      </c>
      <c r="G1269" s="2" t="s">
        <v>424</v>
      </c>
      <c r="H1269" s="3" t="s">
        <v>788</v>
      </c>
      <c r="I1269" s="37" t="s">
        <v>94</v>
      </c>
      <c r="J1269" s="31">
        <v>45719</v>
      </c>
      <c r="K1269" s="31">
        <v>45727</v>
      </c>
      <c r="L1269" s="31"/>
      <c r="M1269" s="31"/>
      <c r="N1269" s="31"/>
      <c r="O1269" s="2" t="s">
        <v>425</v>
      </c>
    </row>
    <row r="1270" spans="1:15">
      <c r="A1270" s="3">
        <f t="shared" si="20"/>
        <v>1269</v>
      </c>
      <c r="B1270" s="42" t="s">
        <v>2297</v>
      </c>
      <c r="C1270" s="2">
        <v>7602363052</v>
      </c>
      <c r="D1270" s="6"/>
      <c r="E1270" s="3" t="s">
        <v>2293</v>
      </c>
      <c r="F1270" s="42" t="s">
        <v>419</v>
      </c>
      <c r="G1270" s="2" t="s">
        <v>416</v>
      </c>
      <c r="H1270" s="3" t="s">
        <v>788</v>
      </c>
      <c r="I1270" s="37" t="s">
        <v>94</v>
      </c>
      <c r="J1270" s="31">
        <v>45719</v>
      </c>
      <c r="K1270" s="31">
        <v>45727</v>
      </c>
      <c r="L1270" s="31"/>
      <c r="M1270" s="31"/>
      <c r="N1270" s="31"/>
      <c r="O1270" s="2" t="s">
        <v>297</v>
      </c>
    </row>
    <row r="1271" spans="1:15">
      <c r="A1271" s="3">
        <f t="shared" si="20"/>
        <v>1270</v>
      </c>
      <c r="B1271" s="42" t="s">
        <v>2298</v>
      </c>
      <c r="C1271" s="2">
        <v>7989409101</v>
      </c>
      <c r="D1271" s="6"/>
      <c r="E1271" s="3" t="s">
        <v>2293</v>
      </c>
      <c r="F1271" s="42" t="s">
        <v>308</v>
      </c>
      <c r="G1271" s="2" t="s">
        <v>424</v>
      </c>
      <c r="H1271" s="3" t="s">
        <v>788</v>
      </c>
      <c r="I1271" s="37" t="s">
        <v>94</v>
      </c>
      <c r="J1271" s="31">
        <v>45719</v>
      </c>
      <c r="K1271" s="31">
        <v>45727</v>
      </c>
      <c r="L1271" s="31"/>
      <c r="M1271" s="31"/>
      <c r="N1271" s="31"/>
      <c r="O1271" s="2" t="s">
        <v>425</v>
      </c>
    </row>
    <row r="1272" spans="1:15">
      <c r="A1272" s="3">
        <f t="shared" si="20"/>
        <v>1271</v>
      </c>
      <c r="B1272" s="42" t="s">
        <v>2299</v>
      </c>
      <c r="C1272" s="2">
        <v>8297208930</v>
      </c>
      <c r="D1272" s="6"/>
      <c r="E1272" s="3" t="s">
        <v>2293</v>
      </c>
      <c r="F1272" s="42" t="s">
        <v>419</v>
      </c>
      <c r="G1272" s="2" t="s">
        <v>16</v>
      </c>
      <c r="H1272" s="3" t="s">
        <v>788</v>
      </c>
      <c r="I1272" s="37" t="s">
        <v>94</v>
      </c>
      <c r="J1272" s="31">
        <v>45719</v>
      </c>
      <c r="K1272" s="31">
        <v>45727</v>
      </c>
      <c r="L1272" s="31">
        <v>45736</v>
      </c>
      <c r="M1272" s="31">
        <v>45754</v>
      </c>
      <c r="N1272" s="31">
        <v>45750</v>
      </c>
      <c r="O1272" s="2" t="s">
        <v>297</v>
      </c>
    </row>
    <row r="1273" spans="1:15">
      <c r="A1273" s="3">
        <f t="shared" si="20"/>
        <v>1272</v>
      </c>
      <c r="B1273" s="42" t="s">
        <v>2300</v>
      </c>
      <c r="C1273" s="2">
        <v>9154920985</v>
      </c>
      <c r="D1273" s="6"/>
      <c r="E1273" s="3" t="s">
        <v>2293</v>
      </c>
      <c r="F1273" s="42" t="s">
        <v>308</v>
      </c>
      <c r="G1273" s="2" t="s">
        <v>424</v>
      </c>
      <c r="H1273" s="3" t="s">
        <v>788</v>
      </c>
      <c r="I1273" s="37" t="s">
        <v>94</v>
      </c>
      <c r="J1273" s="31">
        <v>45719</v>
      </c>
      <c r="K1273" s="31">
        <v>45727</v>
      </c>
      <c r="L1273" s="31"/>
      <c r="M1273" s="31"/>
      <c r="N1273" s="31"/>
      <c r="O1273" s="2" t="s">
        <v>749</v>
      </c>
    </row>
    <row r="1274" spans="1:15">
      <c r="A1274" s="3">
        <f t="shared" ref="A1274:A1337" si="21">ROW()-1</f>
        <v>1273</v>
      </c>
      <c r="B1274" s="42" t="s">
        <v>493</v>
      </c>
      <c r="C1274" s="2">
        <v>6205254115</v>
      </c>
      <c r="D1274" s="6"/>
      <c r="E1274" s="3" t="s">
        <v>2301</v>
      </c>
      <c r="F1274" s="42" t="s">
        <v>823</v>
      </c>
      <c r="G1274" s="2" t="s">
        <v>424</v>
      </c>
      <c r="H1274" s="2" t="s">
        <v>815</v>
      </c>
      <c r="I1274" s="37" t="s">
        <v>94</v>
      </c>
      <c r="J1274" s="31">
        <v>45719</v>
      </c>
      <c r="K1274" s="31">
        <v>45729</v>
      </c>
      <c r="L1274" s="31"/>
      <c r="M1274" s="31"/>
      <c r="N1274" s="31"/>
      <c r="O1274" s="2" t="s">
        <v>425</v>
      </c>
    </row>
    <row r="1275" spans="1:15">
      <c r="A1275" s="3">
        <f t="shared" si="21"/>
        <v>1274</v>
      </c>
      <c r="B1275" s="42" t="s">
        <v>1972</v>
      </c>
      <c r="C1275" s="2">
        <v>9628709388</v>
      </c>
      <c r="D1275" s="6"/>
      <c r="E1275" s="3" t="s">
        <v>2301</v>
      </c>
      <c r="F1275" s="42" t="s">
        <v>1555</v>
      </c>
      <c r="G1275" s="3" t="s">
        <v>295</v>
      </c>
      <c r="H1275" s="2" t="s">
        <v>815</v>
      </c>
      <c r="I1275" s="37" t="s">
        <v>94</v>
      </c>
      <c r="J1275" s="31">
        <v>45719</v>
      </c>
      <c r="K1275" s="31">
        <v>45729</v>
      </c>
      <c r="L1275" s="31">
        <v>45734</v>
      </c>
      <c r="M1275" s="31">
        <v>45755</v>
      </c>
      <c r="N1275" s="31"/>
      <c r="O1275" s="2" t="s">
        <v>297</v>
      </c>
    </row>
    <row r="1276" spans="1:15">
      <c r="A1276" s="3">
        <f t="shared" si="21"/>
        <v>1275</v>
      </c>
      <c r="B1276" s="42" t="s">
        <v>2302</v>
      </c>
      <c r="C1276" s="2">
        <v>7658995996</v>
      </c>
      <c r="D1276" s="6"/>
      <c r="E1276" s="3" t="s">
        <v>2301</v>
      </c>
      <c r="F1276" s="42" t="s">
        <v>1555</v>
      </c>
      <c r="G1276" s="2" t="s">
        <v>16</v>
      </c>
      <c r="H1276" s="2" t="s">
        <v>815</v>
      </c>
      <c r="I1276" s="37" t="s">
        <v>94</v>
      </c>
      <c r="J1276" s="31">
        <v>45719</v>
      </c>
      <c r="K1276" s="31">
        <v>45729</v>
      </c>
      <c r="L1276" s="31">
        <v>45736</v>
      </c>
      <c r="M1276" s="31">
        <v>45754</v>
      </c>
      <c r="N1276" s="31">
        <v>45750</v>
      </c>
      <c r="O1276" s="2" t="s">
        <v>297</v>
      </c>
    </row>
    <row r="1277" spans="1:15">
      <c r="A1277" s="3">
        <f t="shared" si="21"/>
        <v>1276</v>
      </c>
      <c r="B1277" s="42" t="s">
        <v>2303</v>
      </c>
      <c r="C1277" s="2">
        <v>7602979150</v>
      </c>
      <c r="D1277" s="6"/>
      <c r="E1277" s="3" t="s">
        <v>2301</v>
      </c>
      <c r="F1277" s="42" t="s">
        <v>2304</v>
      </c>
      <c r="G1277" s="2" t="s">
        <v>424</v>
      </c>
      <c r="H1277" s="2" t="s">
        <v>815</v>
      </c>
      <c r="I1277" s="37" t="s">
        <v>94</v>
      </c>
      <c r="J1277" s="31">
        <v>45719</v>
      </c>
      <c r="K1277" s="31">
        <v>45729</v>
      </c>
      <c r="L1277" s="31"/>
      <c r="M1277" s="31"/>
      <c r="N1277" s="31"/>
      <c r="O1277" s="2" t="s">
        <v>425</v>
      </c>
    </row>
    <row r="1278" spans="1:15">
      <c r="A1278" s="3">
        <f t="shared" si="21"/>
        <v>1277</v>
      </c>
      <c r="B1278" s="42" t="s">
        <v>2305</v>
      </c>
      <c r="C1278" s="2">
        <v>7381606628</v>
      </c>
      <c r="D1278" s="6"/>
      <c r="E1278" s="3" t="s">
        <v>2301</v>
      </c>
      <c r="F1278" s="42" t="s">
        <v>2306</v>
      </c>
      <c r="G1278" s="2" t="s">
        <v>424</v>
      </c>
      <c r="H1278" s="2" t="s">
        <v>815</v>
      </c>
      <c r="I1278" s="37" t="s">
        <v>94</v>
      </c>
      <c r="J1278" s="31">
        <v>45719</v>
      </c>
      <c r="K1278" s="31">
        <v>45729</v>
      </c>
      <c r="L1278" s="31"/>
      <c r="M1278" s="31"/>
      <c r="N1278" s="31"/>
      <c r="O1278" s="2" t="s">
        <v>425</v>
      </c>
    </row>
    <row r="1279" spans="1:15">
      <c r="A1279" s="3">
        <f t="shared" si="21"/>
        <v>1278</v>
      </c>
      <c r="B1279" s="42" t="s">
        <v>2307</v>
      </c>
      <c r="C1279" s="2">
        <v>9106569126</v>
      </c>
      <c r="D1279" s="6"/>
      <c r="E1279" s="3" t="s">
        <v>2301</v>
      </c>
      <c r="F1279" s="42" t="s">
        <v>2306</v>
      </c>
      <c r="G1279" s="2" t="s">
        <v>295</v>
      </c>
      <c r="H1279" s="2" t="s">
        <v>815</v>
      </c>
      <c r="I1279" s="37" t="s">
        <v>94</v>
      </c>
      <c r="J1279" s="31">
        <v>45719</v>
      </c>
      <c r="K1279" s="31">
        <v>45729</v>
      </c>
      <c r="L1279" s="31">
        <v>45736</v>
      </c>
      <c r="M1279" s="31">
        <v>45754</v>
      </c>
      <c r="N1279" s="31"/>
      <c r="O1279" s="2" t="s">
        <v>297</v>
      </c>
    </row>
    <row r="1280" spans="1:15">
      <c r="A1280" s="3">
        <f t="shared" si="21"/>
        <v>1279</v>
      </c>
      <c r="B1280" s="42" t="s">
        <v>2308</v>
      </c>
      <c r="C1280" s="2">
        <v>9120783710</v>
      </c>
      <c r="D1280" s="6"/>
      <c r="E1280" s="3" t="s">
        <v>2301</v>
      </c>
      <c r="F1280" s="42" t="s">
        <v>1555</v>
      </c>
      <c r="G1280" s="2" t="s">
        <v>424</v>
      </c>
      <c r="H1280" s="2" t="s">
        <v>815</v>
      </c>
      <c r="I1280" s="37" t="s">
        <v>94</v>
      </c>
      <c r="J1280" s="31">
        <v>45719</v>
      </c>
      <c r="K1280" s="31">
        <v>45729</v>
      </c>
      <c r="L1280" s="31"/>
      <c r="M1280" s="31"/>
      <c r="N1280" s="31"/>
      <c r="O1280" s="2" t="s">
        <v>425</v>
      </c>
    </row>
    <row r="1281" spans="1:15">
      <c r="A1281" s="3">
        <f t="shared" si="21"/>
        <v>1280</v>
      </c>
      <c r="B1281" s="42" t="s">
        <v>2309</v>
      </c>
      <c r="C1281" s="2">
        <v>8497942784</v>
      </c>
      <c r="D1281" s="6"/>
      <c r="E1281" s="3" t="s">
        <v>2301</v>
      </c>
      <c r="F1281" s="42" t="s">
        <v>1555</v>
      </c>
      <c r="G1281" s="2" t="s">
        <v>764</v>
      </c>
      <c r="H1281" s="2" t="s">
        <v>815</v>
      </c>
      <c r="I1281" s="37" t="s">
        <v>94</v>
      </c>
      <c r="J1281" s="31">
        <v>45719</v>
      </c>
      <c r="K1281" s="31">
        <v>45729</v>
      </c>
      <c r="L1281" s="31"/>
      <c r="M1281" s="31"/>
      <c r="N1281" s="31"/>
      <c r="O1281" s="2" t="s">
        <v>425</v>
      </c>
    </row>
    <row r="1282" spans="1:15">
      <c r="A1282" s="3">
        <f t="shared" si="21"/>
        <v>1281</v>
      </c>
      <c r="B1282" s="42" t="s">
        <v>2310</v>
      </c>
      <c r="C1282" s="2">
        <v>8509335093</v>
      </c>
      <c r="D1282" s="6"/>
      <c r="E1282" s="3" t="s">
        <v>2311</v>
      </c>
      <c r="F1282" s="42" t="s">
        <v>2312</v>
      </c>
      <c r="G1282" s="2" t="s">
        <v>295</v>
      </c>
      <c r="H1282" s="2" t="s">
        <v>815</v>
      </c>
      <c r="I1282" s="37" t="s">
        <v>88</v>
      </c>
      <c r="J1282" s="31">
        <v>45719</v>
      </c>
      <c r="K1282" s="31">
        <v>45742</v>
      </c>
      <c r="L1282" s="31">
        <v>45749</v>
      </c>
      <c r="M1282" s="31">
        <v>45779</v>
      </c>
      <c r="N1282" s="31"/>
      <c r="O1282" s="2" t="s">
        <v>297</v>
      </c>
    </row>
    <row r="1283" spans="1:15">
      <c r="A1283" s="3">
        <f t="shared" si="21"/>
        <v>1282</v>
      </c>
      <c r="B1283" s="42" t="s">
        <v>2313</v>
      </c>
      <c r="C1283" s="2">
        <v>8756376298</v>
      </c>
      <c r="D1283" s="6"/>
      <c r="E1283" s="3" t="s">
        <v>1558</v>
      </c>
      <c r="F1283" s="42" t="s">
        <v>2312</v>
      </c>
      <c r="G1283" s="3" t="s">
        <v>295</v>
      </c>
      <c r="H1283" s="2" t="s">
        <v>815</v>
      </c>
      <c r="I1283" s="37" t="s">
        <v>94</v>
      </c>
      <c r="J1283" s="31">
        <v>45719</v>
      </c>
      <c r="K1283" s="31">
        <v>45729</v>
      </c>
      <c r="L1283" s="31">
        <v>45731</v>
      </c>
      <c r="M1283" s="31">
        <v>45807</v>
      </c>
      <c r="N1283" s="31"/>
      <c r="O1283" s="2" t="s">
        <v>297</v>
      </c>
    </row>
    <row r="1284" spans="1:15">
      <c r="A1284" s="3">
        <f t="shared" si="21"/>
        <v>1283</v>
      </c>
      <c r="B1284" s="42" t="s">
        <v>2314</v>
      </c>
      <c r="C1284" s="2">
        <v>8340473087</v>
      </c>
      <c r="D1284" s="6"/>
      <c r="E1284" s="3" t="s">
        <v>2301</v>
      </c>
      <c r="F1284" s="42" t="s">
        <v>2315</v>
      </c>
      <c r="G1284" s="3" t="s">
        <v>295</v>
      </c>
      <c r="H1284" s="2" t="s">
        <v>815</v>
      </c>
      <c r="I1284" s="37" t="s">
        <v>94</v>
      </c>
      <c r="J1284" s="31">
        <v>45719</v>
      </c>
      <c r="K1284" s="31">
        <v>45729</v>
      </c>
      <c r="L1284" s="31">
        <v>45741</v>
      </c>
      <c r="M1284" s="31">
        <v>45749</v>
      </c>
      <c r="N1284" s="31"/>
      <c r="O1284" s="2" t="s">
        <v>297</v>
      </c>
    </row>
    <row r="1285" spans="1:15">
      <c r="A1285" s="3">
        <f t="shared" si="21"/>
        <v>1284</v>
      </c>
      <c r="B1285" s="42" t="s">
        <v>2316</v>
      </c>
      <c r="C1285" s="2">
        <v>9776107282</v>
      </c>
      <c r="D1285" s="6"/>
      <c r="E1285" s="3" t="s">
        <v>2317</v>
      </c>
      <c r="F1285" s="42" t="s">
        <v>2312</v>
      </c>
      <c r="G1285" s="2" t="s">
        <v>416</v>
      </c>
      <c r="H1285" s="2" t="s">
        <v>815</v>
      </c>
      <c r="I1285" s="37" t="s">
        <v>94</v>
      </c>
      <c r="J1285" s="31">
        <v>45719</v>
      </c>
      <c r="K1285" s="31">
        <v>45729</v>
      </c>
      <c r="L1285" s="31"/>
      <c r="M1285" s="31"/>
      <c r="N1285" s="31"/>
      <c r="O1285" s="2" t="s">
        <v>297</v>
      </c>
    </row>
    <row r="1286" spans="1:15">
      <c r="A1286" s="3">
        <f t="shared" si="21"/>
        <v>1285</v>
      </c>
      <c r="B1286" s="42" t="s">
        <v>2318</v>
      </c>
      <c r="C1286" s="2">
        <v>9348457012</v>
      </c>
      <c r="D1286" s="6"/>
      <c r="E1286" s="3" t="s">
        <v>2317</v>
      </c>
      <c r="F1286" s="42" t="s">
        <v>2312</v>
      </c>
      <c r="G1286" s="2" t="s">
        <v>416</v>
      </c>
      <c r="H1286" s="2" t="s">
        <v>815</v>
      </c>
      <c r="I1286" s="37" t="s">
        <v>94</v>
      </c>
      <c r="J1286" s="31">
        <v>45719</v>
      </c>
      <c r="K1286" s="31">
        <v>45729</v>
      </c>
      <c r="L1286" s="31"/>
      <c r="M1286" s="31"/>
      <c r="N1286" s="31"/>
      <c r="O1286" s="2" t="s">
        <v>297</v>
      </c>
    </row>
    <row r="1287" spans="1:15">
      <c r="A1287" s="3">
        <f t="shared" si="21"/>
        <v>1286</v>
      </c>
      <c r="B1287" s="108" t="s">
        <v>2319</v>
      </c>
      <c r="C1287" s="2">
        <v>6302586102</v>
      </c>
      <c r="D1287" s="6"/>
      <c r="E1287" s="3" t="s">
        <v>79</v>
      </c>
      <c r="F1287" s="42" t="s">
        <v>748</v>
      </c>
      <c r="G1287" s="2" t="s">
        <v>16</v>
      </c>
      <c r="H1287" s="2" t="s">
        <v>717</v>
      </c>
      <c r="I1287" s="37" t="s">
        <v>42</v>
      </c>
      <c r="J1287" s="31">
        <v>45719</v>
      </c>
      <c r="K1287" s="31">
        <v>45721</v>
      </c>
      <c r="L1287" s="31">
        <v>45723</v>
      </c>
      <c r="M1287" s="31">
        <v>45738</v>
      </c>
      <c r="N1287" s="31">
        <v>45740</v>
      </c>
      <c r="O1287" s="2" t="s">
        <v>297</v>
      </c>
    </row>
    <row r="1288" spans="1:15">
      <c r="A1288" s="3">
        <f t="shared" si="21"/>
        <v>1287</v>
      </c>
      <c r="B1288" s="42" t="s">
        <v>2320</v>
      </c>
      <c r="C1288" s="2">
        <v>9000731374</v>
      </c>
      <c r="D1288" s="6"/>
      <c r="E1288" s="3" t="s">
        <v>2321</v>
      </c>
      <c r="F1288" s="42" t="s">
        <v>1975</v>
      </c>
      <c r="G1288" s="2" t="s">
        <v>16</v>
      </c>
      <c r="H1288" s="2" t="s">
        <v>815</v>
      </c>
      <c r="I1288" s="37" t="s">
        <v>88</v>
      </c>
      <c r="J1288" s="31">
        <v>45720</v>
      </c>
      <c r="K1288" s="31">
        <v>45734</v>
      </c>
      <c r="L1288" s="31">
        <v>45741</v>
      </c>
      <c r="M1288" s="31">
        <v>45781</v>
      </c>
      <c r="N1288" s="31">
        <v>45781</v>
      </c>
      <c r="O1288" s="2" t="s">
        <v>297</v>
      </c>
    </row>
    <row r="1289" spans="1:15">
      <c r="A1289" s="3">
        <f t="shared" si="21"/>
        <v>1288</v>
      </c>
      <c r="B1289" s="42" t="s">
        <v>2322</v>
      </c>
      <c r="C1289" s="2">
        <v>9701539157</v>
      </c>
      <c r="D1289" s="6"/>
      <c r="E1289" s="3" t="s">
        <v>2321</v>
      </c>
      <c r="F1289" s="42" t="s">
        <v>1975</v>
      </c>
      <c r="G1289" s="2" t="s">
        <v>424</v>
      </c>
      <c r="H1289" s="2" t="s">
        <v>815</v>
      </c>
      <c r="I1289" s="37" t="s">
        <v>88</v>
      </c>
      <c r="J1289" s="31">
        <v>45720</v>
      </c>
      <c r="K1289" s="31">
        <v>45734</v>
      </c>
      <c r="L1289" s="31"/>
      <c r="M1289" s="31"/>
      <c r="N1289" s="31"/>
      <c r="O1289" s="2" t="s">
        <v>425</v>
      </c>
    </row>
    <row r="1290" spans="1:15">
      <c r="A1290" s="3">
        <f t="shared" si="21"/>
        <v>1289</v>
      </c>
      <c r="B1290" s="42" t="s">
        <v>2323</v>
      </c>
      <c r="C1290" s="2">
        <v>9676396695</v>
      </c>
      <c r="D1290" s="6"/>
      <c r="E1290" s="17" t="s">
        <v>2324</v>
      </c>
      <c r="F1290" s="42" t="s">
        <v>1975</v>
      </c>
      <c r="G1290" s="2" t="s">
        <v>295</v>
      </c>
      <c r="H1290" s="2" t="s">
        <v>815</v>
      </c>
      <c r="I1290" s="37" t="s">
        <v>88</v>
      </c>
      <c r="J1290" s="31">
        <v>45720</v>
      </c>
      <c r="K1290" s="31">
        <v>45734</v>
      </c>
      <c r="L1290" s="31">
        <v>45741</v>
      </c>
      <c r="M1290" s="31">
        <v>45797</v>
      </c>
      <c r="N1290" s="31"/>
      <c r="O1290" s="2" t="s">
        <v>297</v>
      </c>
    </row>
    <row r="1291" spans="1:15">
      <c r="A1291" s="3">
        <f t="shared" si="21"/>
        <v>1290</v>
      </c>
      <c r="B1291" s="42" t="s">
        <v>2325</v>
      </c>
      <c r="C1291" s="2">
        <v>9666694542</v>
      </c>
      <c r="D1291" s="6"/>
      <c r="E1291" s="63" t="s">
        <v>2326</v>
      </c>
      <c r="F1291" s="42" t="s">
        <v>2327</v>
      </c>
      <c r="G1291" s="2" t="s">
        <v>295</v>
      </c>
      <c r="H1291" s="2" t="s">
        <v>815</v>
      </c>
      <c r="I1291" s="37" t="s">
        <v>88</v>
      </c>
      <c r="J1291" s="31">
        <v>45720</v>
      </c>
      <c r="K1291" s="31">
        <v>45978</v>
      </c>
      <c r="L1291" s="31">
        <v>45987</v>
      </c>
      <c r="M1291" s="31">
        <v>46037</v>
      </c>
      <c r="N1291" s="31"/>
      <c r="O1291" s="2" t="s">
        <v>297</v>
      </c>
    </row>
    <row r="1292" spans="1:15">
      <c r="A1292" s="3">
        <f t="shared" si="21"/>
        <v>1291</v>
      </c>
      <c r="B1292" s="42" t="s">
        <v>2328</v>
      </c>
      <c r="C1292" s="2">
        <v>9347459614</v>
      </c>
      <c r="D1292" s="6"/>
      <c r="E1292" s="3" t="s">
        <v>79</v>
      </c>
      <c r="F1292" s="42" t="s">
        <v>1312</v>
      </c>
      <c r="G1292" s="2" t="s">
        <v>424</v>
      </c>
      <c r="H1292" s="2" t="s">
        <v>77</v>
      </c>
      <c r="I1292" s="37" t="s">
        <v>42</v>
      </c>
      <c r="J1292" s="31">
        <v>45720</v>
      </c>
      <c r="K1292" s="31">
        <v>45722</v>
      </c>
      <c r="L1292" s="31"/>
      <c r="M1292" s="31"/>
      <c r="N1292" s="31"/>
      <c r="O1292" s="2" t="s">
        <v>749</v>
      </c>
    </row>
    <row r="1293" spans="1:15">
      <c r="A1293" s="3">
        <f t="shared" si="21"/>
        <v>1292</v>
      </c>
      <c r="B1293" s="108" t="s">
        <v>2329</v>
      </c>
      <c r="C1293" s="2">
        <v>7978769811</v>
      </c>
      <c r="D1293" s="6">
        <v>8093878190</v>
      </c>
      <c r="E1293" s="3" t="s">
        <v>79</v>
      </c>
      <c r="F1293" s="42" t="s">
        <v>2330</v>
      </c>
      <c r="G1293" s="2" t="s">
        <v>16</v>
      </c>
      <c r="H1293" s="2" t="s">
        <v>77</v>
      </c>
      <c r="I1293" s="37" t="s">
        <v>42</v>
      </c>
      <c r="J1293" s="31">
        <v>45720</v>
      </c>
      <c r="K1293" s="31">
        <v>45722</v>
      </c>
      <c r="L1293" s="31">
        <v>45741</v>
      </c>
      <c r="M1293" s="31">
        <v>45778</v>
      </c>
      <c r="N1293" s="31">
        <v>45778</v>
      </c>
      <c r="O1293" s="2" t="s">
        <v>297</v>
      </c>
    </row>
    <row r="1294" spans="1:15">
      <c r="A1294" s="3">
        <f t="shared" si="21"/>
        <v>1293</v>
      </c>
      <c r="B1294" s="42" t="s">
        <v>2331</v>
      </c>
      <c r="C1294" s="2">
        <v>9676480222</v>
      </c>
      <c r="D1294" s="6"/>
      <c r="E1294" s="3" t="s">
        <v>1023</v>
      </c>
      <c r="F1294" s="42" t="s">
        <v>303</v>
      </c>
      <c r="G1294" s="2" t="s">
        <v>424</v>
      </c>
      <c r="H1294" s="2" t="s">
        <v>77</v>
      </c>
      <c r="I1294" s="37" t="s">
        <v>42</v>
      </c>
      <c r="J1294" s="31">
        <v>45720</v>
      </c>
      <c r="K1294" s="31">
        <v>45722</v>
      </c>
      <c r="L1294" s="31"/>
      <c r="M1294" s="31"/>
      <c r="N1294" s="31"/>
      <c r="O1294" s="2" t="s">
        <v>749</v>
      </c>
    </row>
    <row r="1295" spans="1:15">
      <c r="A1295" s="3">
        <f t="shared" si="21"/>
        <v>1294</v>
      </c>
      <c r="B1295" s="42" t="s">
        <v>2332</v>
      </c>
      <c r="C1295" s="2">
        <v>9182609560</v>
      </c>
      <c r="D1295" s="6"/>
      <c r="E1295" s="3" t="s">
        <v>1023</v>
      </c>
      <c r="F1295" s="42" t="s">
        <v>303</v>
      </c>
      <c r="G1295" s="2" t="s">
        <v>16</v>
      </c>
      <c r="H1295" s="2" t="s">
        <v>77</v>
      </c>
      <c r="I1295" s="37" t="s">
        <v>42</v>
      </c>
      <c r="J1295" s="31">
        <v>45720</v>
      </c>
      <c r="K1295" s="31">
        <v>45722</v>
      </c>
      <c r="L1295" s="31">
        <v>45723</v>
      </c>
      <c r="M1295" s="31">
        <v>45754</v>
      </c>
      <c r="N1295" s="31">
        <v>45740</v>
      </c>
      <c r="O1295" s="2" t="s">
        <v>297</v>
      </c>
    </row>
    <row r="1296" spans="1:15">
      <c r="A1296" s="3">
        <f t="shared" si="21"/>
        <v>1295</v>
      </c>
      <c r="B1296" s="42" t="s">
        <v>2333</v>
      </c>
      <c r="C1296" s="2">
        <v>9573618452</v>
      </c>
      <c r="D1296" s="6"/>
      <c r="E1296" s="3" t="s">
        <v>1023</v>
      </c>
      <c r="F1296" s="42" t="s">
        <v>303</v>
      </c>
      <c r="G1296" s="2" t="s">
        <v>416</v>
      </c>
      <c r="H1296" s="2" t="s">
        <v>77</v>
      </c>
      <c r="I1296" s="37" t="s">
        <v>42</v>
      </c>
      <c r="J1296" s="31">
        <v>45720</v>
      </c>
      <c r="K1296" s="31">
        <v>45722</v>
      </c>
      <c r="L1296" s="31"/>
      <c r="M1296" s="31"/>
      <c r="N1296" s="31"/>
      <c r="O1296" s="2" t="s">
        <v>297</v>
      </c>
    </row>
    <row r="1297" spans="1:15">
      <c r="A1297" s="3">
        <f t="shared" si="21"/>
        <v>1296</v>
      </c>
      <c r="B1297" s="42" t="s">
        <v>2334</v>
      </c>
      <c r="C1297" s="2">
        <v>9955095328</v>
      </c>
      <c r="D1297" s="6"/>
      <c r="E1297" s="3" t="s">
        <v>1023</v>
      </c>
      <c r="F1297" s="42" t="s">
        <v>490</v>
      </c>
      <c r="G1297" s="2" t="s">
        <v>16</v>
      </c>
      <c r="H1297" s="2" t="s">
        <v>77</v>
      </c>
      <c r="I1297" s="37" t="s">
        <v>42</v>
      </c>
      <c r="J1297" s="31">
        <v>45720</v>
      </c>
      <c r="K1297" s="31">
        <v>45722</v>
      </c>
      <c r="L1297" s="31">
        <v>45723</v>
      </c>
      <c r="M1297" s="31">
        <v>45761</v>
      </c>
      <c r="N1297" s="31">
        <v>45761</v>
      </c>
      <c r="O1297" s="2" t="s">
        <v>297</v>
      </c>
    </row>
    <row r="1298" spans="1:15">
      <c r="A1298" s="3">
        <f t="shared" si="21"/>
        <v>1297</v>
      </c>
      <c r="B1298" s="108" t="s">
        <v>2335</v>
      </c>
      <c r="C1298" s="2">
        <v>9705604273</v>
      </c>
      <c r="D1298" s="6"/>
      <c r="E1298" s="3" t="s">
        <v>79</v>
      </c>
      <c r="F1298" s="42" t="s">
        <v>2336</v>
      </c>
      <c r="G1298" s="2" t="s">
        <v>16</v>
      </c>
      <c r="H1298" s="2" t="s">
        <v>77</v>
      </c>
      <c r="I1298" s="37" t="s">
        <v>42</v>
      </c>
      <c r="J1298" s="31">
        <v>45720</v>
      </c>
      <c r="K1298" s="31">
        <v>45722</v>
      </c>
      <c r="L1298" s="31">
        <v>45729</v>
      </c>
      <c r="M1298" s="31">
        <v>45761</v>
      </c>
      <c r="N1298" s="31">
        <v>45757</v>
      </c>
      <c r="O1298" s="2" t="s">
        <v>297</v>
      </c>
    </row>
    <row r="1299" spans="1:15">
      <c r="A1299" s="3">
        <f t="shared" si="21"/>
        <v>1298</v>
      </c>
      <c r="B1299" s="42" t="s">
        <v>2337</v>
      </c>
      <c r="C1299" s="2">
        <v>9121026884</v>
      </c>
      <c r="D1299" s="6"/>
      <c r="E1299" s="3" t="s">
        <v>75</v>
      </c>
      <c r="F1299" s="42" t="s">
        <v>310</v>
      </c>
      <c r="G1299" s="2" t="s">
        <v>330</v>
      </c>
      <c r="H1299" s="2" t="s">
        <v>77</v>
      </c>
      <c r="I1299" s="37" t="s">
        <v>42</v>
      </c>
      <c r="J1299" s="31">
        <v>45720</v>
      </c>
      <c r="K1299" s="31">
        <v>45722</v>
      </c>
      <c r="L1299" s="31">
        <v>45723</v>
      </c>
      <c r="M1299" s="31">
        <v>45754</v>
      </c>
      <c r="N1299" s="31">
        <v>45754</v>
      </c>
      <c r="O1299" s="2" t="s">
        <v>297</v>
      </c>
    </row>
    <row r="1300" spans="1:15">
      <c r="A1300" s="3">
        <f t="shared" si="21"/>
        <v>1299</v>
      </c>
      <c r="B1300" s="42" t="s">
        <v>2338</v>
      </c>
      <c r="C1300" s="2">
        <v>9010492288</v>
      </c>
      <c r="D1300" s="6"/>
      <c r="E1300" s="3" t="s">
        <v>1032</v>
      </c>
      <c r="F1300" s="42" t="s">
        <v>972</v>
      </c>
      <c r="G1300" s="2" t="s">
        <v>16</v>
      </c>
      <c r="H1300" s="2" t="s">
        <v>41</v>
      </c>
      <c r="I1300" s="37" t="s">
        <v>42</v>
      </c>
      <c r="J1300" s="31">
        <v>45720</v>
      </c>
      <c r="K1300" s="31">
        <v>45721</v>
      </c>
      <c r="L1300" s="31">
        <v>45736</v>
      </c>
      <c r="M1300" s="31">
        <v>45768</v>
      </c>
      <c r="N1300" s="31">
        <v>45748</v>
      </c>
      <c r="O1300" s="2" t="s">
        <v>297</v>
      </c>
    </row>
    <row r="1301" spans="1:15">
      <c r="A1301" s="3">
        <f t="shared" si="21"/>
        <v>1300</v>
      </c>
      <c r="B1301" s="41" t="s">
        <v>2339</v>
      </c>
      <c r="C1301" s="3">
        <v>8897017118</v>
      </c>
      <c r="D1301" s="6"/>
      <c r="E1301" s="3" t="s">
        <v>107</v>
      </c>
      <c r="F1301" s="67" t="s">
        <v>2340</v>
      </c>
      <c r="G1301" s="2" t="s">
        <v>424</v>
      </c>
      <c r="H1301" s="22" t="s">
        <v>102</v>
      </c>
      <c r="I1301" s="37" t="s">
        <v>42</v>
      </c>
      <c r="J1301" s="31">
        <v>45721</v>
      </c>
      <c r="K1301" s="31">
        <v>45782</v>
      </c>
      <c r="L1301" s="31"/>
      <c r="M1301" s="31"/>
      <c r="N1301" s="31"/>
      <c r="O1301" s="2" t="s">
        <v>749</v>
      </c>
    </row>
    <row r="1302" spans="1:15">
      <c r="A1302" s="3">
        <f t="shared" si="21"/>
        <v>1301</v>
      </c>
      <c r="B1302" s="41" t="s">
        <v>2341</v>
      </c>
      <c r="C1302" s="3">
        <v>7095707041</v>
      </c>
      <c r="D1302" s="6"/>
      <c r="E1302" s="3" t="s">
        <v>107</v>
      </c>
      <c r="F1302" s="67" t="s">
        <v>2340</v>
      </c>
      <c r="G1302" s="2" t="s">
        <v>764</v>
      </c>
      <c r="H1302" s="22" t="s">
        <v>102</v>
      </c>
      <c r="I1302" s="37" t="s">
        <v>42</v>
      </c>
      <c r="J1302" s="31">
        <v>45721</v>
      </c>
      <c r="K1302" s="31">
        <v>45721</v>
      </c>
      <c r="L1302" s="31"/>
      <c r="M1302" s="31"/>
      <c r="N1302" s="31"/>
      <c r="O1302" s="2" t="s">
        <v>425</v>
      </c>
    </row>
    <row r="1303" spans="1:15">
      <c r="A1303" s="3">
        <f t="shared" si="21"/>
        <v>1302</v>
      </c>
      <c r="B1303" s="41" t="s">
        <v>2342</v>
      </c>
      <c r="C1303" s="3">
        <v>9865173153</v>
      </c>
      <c r="D1303" s="6"/>
      <c r="E1303" s="3" t="s">
        <v>48</v>
      </c>
      <c r="F1303" s="80" t="s">
        <v>2148</v>
      </c>
      <c r="G1303" s="2" t="s">
        <v>424</v>
      </c>
      <c r="H1303" s="2" t="s">
        <v>660</v>
      </c>
      <c r="I1303" s="37" t="s">
        <v>42</v>
      </c>
      <c r="J1303" s="31">
        <v>45721</v>
      </c>
      <c r="K1303" s="31">
        <v>45722</v>
      </c>
      <c r="L1303" s="31"/>
      <c r="M1303" s="31"/>
      <c r="N1303" s="31"/>
      <c r="O1303" s="2" t="s">
        <v>425</v>
      </c>
    </row>
    <row r="1304" spans="1:15">
      <c r="A1304" s="3">
        <f t="shared" si="21"/>
        <v>1303</v>
      </c>
      <c r="B1304" s="41" t="s">
        <v>2343</v>
      </c>
      <c r="C1304" s="3">
        <v>7570001918</v>
      </c>
      <c r="D1304" s="6"/>
      <c r="E1304" s="3" t="s">
        <v>48</v>
      </c>
      <c r="F1304" s="80" t="s">
        <v>2148</v>
      </c>
      <c r="G1304" s="2" t="s">
        <v>424</v>
      </c>
      <c r="H1304" s="2" t="s">
        <v>660</v>
      </c>
      <c r="I1304" s="37" t="s">
        <v>42</v>
      </c>
      <c r="J1304" s="31">
        <v>45721</v>
      </c>
      <c r="K1304" s="31">
        <v>45753</v>
      </c>
      <c r="L1304" s="31"/>
      <c r="M1304" s="31"/>
      <c r="N1304" s="31"/>
      <c r="O1304" s="2" t="s">
        <v>425</v>
      </c>
    </row>
    <row r="1305" spans="1:15">
      <c r="A1305" s="3">
        <f t="shared" si="21"/>
        <v>1304</v>
      </c>
      <c r="B1305" s="41" t="s">
        <v>2344</v>
      </c>
      <c r="C1305" s="3">
        <v>7702505186</v>
      </c>
      <c r="D1305" s="6">
        <v>8380027354</v>
      </c>
      <c r="E1305" s="3" t="s">
        <v>48</v>
      </c>
      <c r="F1305" s="81" t="s">
        <v>2148</v>
      </c>
      <c r="G1305" s="2" t="s">
        <v>424</v>
      </c>
      <c r="H1305" s="2" t="s">
        <v>660</v>
      </c>
      <c r="I1305" s="37" t="s">
        <v>42</v>
      </c>
      <c r="J1305" s="31">
        <v>45721</v>
      </c>
      <c r="K1305" s="31">
        <v>45734</v>
      </c>
      <c r="L1305" s="31"/>
      <c r="M1305" s="31"/>
      <c r="N1305" s="31"/>
      <c r="O1305" s="2" t="s">
        <v>749</v>
      </c>
    </row>
    <row r="1306" spans="1:15">
      <c r="A1306" s="3">
        <f t="shared" si="21"/>
        <v>1305</v>
      </c>
      <c r="B1306" s="41" t="s">
        <v>2345</v>
      </c>
      <c r="C1306" s="3">
        <v>9494638119</v>
      </c>
      <c r="D1306" s="6"/>
      <c r="E1306" s="3" t="s">
        <v>56</v>
      </c>
      <c r="F1306" s="81" t="s">
        <v>2346</v>
      </c>
      <c r="G1306" s="2" t="s">
        <v>424</v>
      </c>
      <c r="H1306" s="2" t="s">
        <v>660</v>
      </c>
      <c r="I1306" s="37" t="s">
        <v>42</v>
      </c>
      <c r="J1306" s="31">
        <v>45721</v>
      </c>
      <c r="K1306" s="31">
        <v>45722</v>
      </c>
      <c r="L1306" s="31"/>
      <c r="M1306" s="31"/>
      <c r="N1306" s="31"/>
      <c r="O1306" s="2" t="s">
        <v>425</v>
      </c>
    </row>
    <row r="1307" spans="1:15">
      <c r="A1307" s="3">
        <f t="shared" si="21"/>
        <v>1306</v>
      </c>
      <c r="B1307" s="41" t="s">
        <v>2347</v>
      </c>
      <c r="C1307" s="3">
        <v>8639435616</v>
      </c>
      <c r="D1307" s="6">
        <v>8179890253</v>
      </c>
      <c r="E1307" s="3" t="s">
        <v>59</v>
      </c>
      <c r="F1307" s="81" t="s">
        <v>1669</v>
      </c>
      <c r="G1307" s="2" t="s">
        <v>424</v>
      </c>
      <c r="H1307" s="2" t="s">
        <v>660</v>
      </c>
      <c r="I1307" s="37" t="s">
        <v>42</v>
      </c>
      <c r="J1307" s="31">
        <v>45721</v>
      </c>
      <c r="K1307" s="31">
        <v>45722</v>
      </c>
      <c r="L1307" s="31"/>
      <c r="M1307" s="31"/>
      <c r="N1307" s="31"/>
      <c r="O1307" s="2" t="s">
        <v>425</v>
      </c>
    </row>
    <row r="1308" spans="1:15">
      <c r="A1308" s="3">
        <f t="shared" si="21"/>
        <v>1307</v>
      </c>
      <c r="B1308" s="41" t="s">
        <v>2348</v>
      </c>
      <c r="C1308" s="3">
        <v>8249758817</v>
      </c>
      <c r="D1308" s="6"/>
      <c r="E1308" s="3" t="s">
        <v>59</v>
      </c>
      <c r="F1308" s="80" t="s">
        <v>2349</v>
      </c>
      <c r="G1308" s="2" t="s">
        <v>708</v>
      </c>
      <c r="H1308" s="2" t="s">
        <v>660</v>
      </c>
      <c r="I1308" s="37" t="s">
        <v>42</v>
      </c>
      <c r="J1308" s="31">
        <v>45721</v>
      </c>
      <c r="K1308" s="31">
        <v>45722</v>
      </c>
      <c r="L1308" s="31"/>
      <c r="M1308" s="31"/>
      <c r="N1308" s="31"/>
      <c r="O1308" s="2" t="s">
        <v>297</v>
      </c>
    </row>
    <row r="1309" spans="1:15">
      <c r="A1309" s="3">
        <f t="shared" si="21"/>
        <v>1308</v>
      </c>
      <c r="B1309" s="82" t="s">
        <v>2350</v>
      </c>
      <c r="C1309" s="46">
        <v>7305392537</v>
      </c>
      <c r="D1309" s="6"/>
      <c r="E1309" s="36" t="s">
        <v>110</v>
      </c>
      <c r="F1309" s="82" t="s">
        <v>2351</v>
      </c>
      <c r="G1309" s="2" t="s">
        <v>16</v>
      </c>
      <c r="H1309" s="22" t="s">
        <v>102</v>
      </c>
      <c r="I1309" s="37" t="s">
        <v>42</v>
      </c>
      <c r="J1309" s="31">
        <v>45722</v>
      </c>
      <c r="K1309" s="31">
        <v>45723</v>
      </c>
      <c r="L1309" s="31">
        <v>45729</v>
      </c>
      <c r="M1309" s="31">
        <v>45769</v>
      </c>
      <c r="N1309" s="31">
        <v>45772</v>
      </c>
      <c r="O1309" s="2" t="s">
        <v>297</v>
      </c>
    </row>
    <row r="1310" spans="1:15">
      <c r="A1310" s="3">
        <f t="shared" si="21"/>
        <v>1309</v>
      </c>
      <c r="B1310" s="82" t="s">
        <v>2352</v>
      </c>
      <c r="C1310" s="46">
        <v>9985641483</v>
      </c>
      <c r="D1310" s="6"/>
      <c r="E1310" s="36" t="s">
        <v>110</v>
      </c>
      <c r="F1310" s="82" t="s">
        <v>333</v>
      </c>
      <c r="G1310" s="2" t="s">
        <v>16</v>
      </c>
      <c r="H1310" s="22" t="s">
        <v>102</v>
      </c>
      <c r="I1310" s="37" t="s">
        <v>42</v>
      </c>
      <c r="J1310" s="31">
        <v>45722</v>
      </c>
      <c r="K1310" s="31">
        <v>45723</v>
      </c>
      <c r="L1310" s="31">
        <v>45729</v>
      </c>
      <c r="M1310" s="31">
        <v>45757</v>
      </c>
      <c r="N1310" s="31">
        <v>45758</v>
      </c>
      <c r="O1310" s="2" t="s">
        <v>297</v>
      </c>
    </row>
    <row r="1311" spans="1:15">
      <c r="A1311" s="3">
        <f t="shared" si="21"/>
        <v>1310</v>
      </c>
      <c r="B1311" s="82" t="s">
        <v>2353</v>
      </c>
      <c r="C1311" s="46">
        <v>9698428806</v>
      </c>
      <c r="D1311" s="6">
        <v>7904372858</v>
      </c>
      <c r="E1311" s="3" t="s">
        <v>104</v>
      </c>
      <c r="F1311" s="82" t="s">
        <v>2354</v>
      </c>
      <c r="G1311" s="2" t="s">
        <v>764</v>
      </c>
      <c r="H1311" s="22" t="s">
        <v>102</v>
      </c>
      <c r="I1311" s="37" t="s">
        <v>42</v>
      </c>
      <c r="J1311" s="31">
        <v>45722</v>
      </c>
      <c r="K1311" s="31">
        <v>45723</v>
      </c>
      <c r="L1311" s="31"/>
      <c r="M1311" s="31"/>
      <c r="N1311" s="31"/>
      <c r="O1311" s="2" t="s">
        <v>425</v>
      </c>
    </row>
    <row r="1312" spans="1:15">
      <c r="A1312" s="3">
        <f t="shared" si="21"/>
        <v>1311</v>
      </c>
      <c r="B1312" s="82" t="s">
        <v>2355</v>
      </c>
      <c r="C1312" s="46">
        <v>9600437885</v>
      </c>
      <c r="D1312" s="6"/>
      <c r="E1312" s="36" t="s">
        <v>110</v>
      </c>
      <c r="F1312" s="82" t="s">
        <v>1918</v>
      </c>
      <c r="G1312" s="2" t="s">
        <v>16</v>
      </c>
      <c r="H1312" s="22" t="s">
        <v>102</v>
      </c>
      <c r="I1312" s="37" t="s">
        <v>42</v>
      </c>
      <c r="J1312" s="31">
        <v>45722</v>
      </c>
      <c r="K1312" s="31">
        <v>45723</v>
      </c>
      <c r="L1312" s="31">
        <v>45729</v>
      </c>
      <c r="M1312" s="31">
        <v>45769</v>
      </c>
      <c r="N1312" s="31">
        <v>45772</v>
      </c>
      <c r="O1312" s="2" t="s">
        <v>297</v>
      </c>
    </row>
    <row r="1313" spans="1:15">
      <c r="A1313" s="3">
        <f t="shared" si="21"/>
        <v>1312</v>
      </c>
      <c r="B1313" s="82" t="s">
        <v>2356</v>
      </c>
      <c r="C1313" s="48">
        <v>9182923699</v>
      </c>
      <c r="D1313" s="6"/>
      <c r="E1313" s="36" t="s">
        <v>110</v>
      </c>
      <c r="F1313" s="82" t="s">
        <v>2357</v>
      </c>
      <c r="G1313" s="2" t="s">
        <v>16</v>
      </c>
      <c r="H1313" s="22" t="s">
        <v>102</v>
      </c>
      <c r="I1313" s="37" t="s">
        <v>42</v>
      </c>
      <c r="J1313" s="31">
        <v>45722</v>
      </c>
      <c r="K1313" s="31">
        <v>45723</v>
      </c>
      <c r="L1313" s="31">
        <v>45741</v>
      </c>
      <c r="M1313" s="31">
        <v>45773</v>
      </c>
      <c r="N1313" s="31">
        <v>45758</v>
      </c>
      <c r="O1313" s="2" t="s">
        <v>297</v>
      </c>
    </row>
    <row r="1314" spans="1:15">
      <c r="A1314" s="3">
        <f t="shared" si="21"/>
        <v>1313</v>
      </c>
      <c r="B1314" s="82" t="s">
        <v>2358</v>
      </c>
      <c r="C1314" s="46">
        <v>6370488053</v>
      </c>
      <c r="D1314" s="6"/>
      <c r="E1314" s="36" t="s">
        <v>113</v>
      </c>
      <c r="F1314" s="82" t="s">
        <v>1060</v>
      </c>
      <c r="G1314" s="2" t="s">
        <v>16</v>
      </c>
      <c r="H1314" s="22" t="s">
        <v>102</v>
      </c>
      <c r="I1314" s="37" t="s">
        <v>42</v>
      </c>
      <c r="J1314" s="31">
        <v>45722</v>
      </c>
      <c r="K1314" s="31">
        <v>45723</v>
      </c>
      <c r="L1314" s="31">
        <v>45729</v>
      </c>
      <c r="M1314" s="31">
        <v>45772</v>
      </c>
      <c r="N1314" s="31">
        <v>45758</v>
      </c>
      <c r="O1314" s="2" t="s">
        <v>297</v>
      </c>
    </row>
    <row r="1315" spans="1:15">
      <c r="A1315" s="3">
        <f t="shared" si="21"/>
        <v>1314</v>
      </c>
      <c r="B1315" s="82" t="s">
        <v>2359</v>
      </c>
      <c r="C1315" s="46">
        <v>7907255749</v>
      </c>
      <c r="D1315" s="6">
        <v>8682030310</v>
      </c>
      <c r="E1315" s="3" t="s">
        <v>107</v>
      </c>
      <c r="F1315" s="82" t="s">
        <v>2360</v>
      </c>
      <c r="G1315" s="2" t="s">
        <v>16</v>
      </c>
      <c r="H1315" s="22" t="s">
        <v>102</v>
      </c>
      <c r="I1315" s="37" t="s">
        <v>42</v>
      </c>
      <c r="J1315" s="31">
        <v>45722</v>
      </c>
      <c r="K1315" s="31">
        <v>45723</v>
      </c>
      <c r="L1315" s="31">
        <v>45731</v>
      </c>
      <c r="M1315" s="31">
        <v>45772</v>
      </c>
      <c r="N1315" s="31">
        <v>45772</v>
      </c>
      <c r="O1315" s="2" t="s">
        <v>297</v>
      </c>
    </row>
    <row r="1316" spans="1:15">
      <c r="A1316" s="3">
        <f t="shared" si="21"/>
        <v>1315</v>
      </c>
      <c r="B1316" s="82" t="s">
        <v>2361</v>
      </c>
      <c r="C1316" s="46">
        <v>9370885026</v>
      </c>
      <c r="D1316" s="6"/>
      <c r="E1316" s="3" t="s">
        <v>90</v>
      </c>
      <c r="F1316" s="82" t="s">
        <v>277</v>
      </c>
      <c r="G1316" s="3" t="s">
        <v>330</v>
      </c>
      <c r="H1316" s="3" t="s">
        <v>1432</v>
      </c>
      <c r="I1316" s="37" t="s">
        <v>42</v>
      </c>
      <c r="J1316" s="31">
        <v>45722</v>
      </c>
      <c r="K1316" s="31">
        <v>45727</v>
      </c>
      <c r="L1316" s="31">
        <v>45731</v>
      </c>
      <c r="M1316" s="31">
        <v>45735</v>
      </c>
      <c r="N1316" s="31">
        <v>45735</v>
      </c>
      <c r="O1316" s="2" t="s">
        <v>297</v>
      </c>
    </row>
    <row r="1317" spans="1:15">
      <c r="A1317" s="3">
        <f t="shared" si="21"/>
        <v>1316</v>
      </c>
      <c r="B1317" s="82" t="s">
        <v>2362</v>
      </c>
      <c r="C1317" s="46">
        <v>7993590927</v>
      </c>
      <c r="D1317" s="6"/>
      <c r="E1317" s="3" t="s">
        <v>90</v>
      </c>
      <c r="F1317" s="82" t="s">
        <v>294</v>
      </c>
      <c r="G1317" s="2" t="s">
        <v>424</v>
      </c>
      <c r="H1317" s="3" t="s">
        <v>1432</v>
      </c>
      <c r="I1317" s="37" t="s">
        <v>42</v>
      </c>
      <c r="J1317" s="31">
        <v>45722</v>
      </c>
      <c r="K1317" s="31">
        <v>45727</v>
      </c>
      <c r="L1317" s="31"/>
      <c r="M1317" s="31"/>
      <c r="N1317" s="31"/>
      <c r="O1317" s="2" t="s">
        <v>749</v>
      </c>
    </row>
    <row r="1318" spans="1:15">
      <c r="A1318" s="3">
        <f t="shared" si="21"/>
        <v>1317</v>
      </c>
      <c r="B1318" s="82" t="s">
        <v>2363</v>
      </c>
      <c r="C1318" s="46">
        <v>8328419668</v>
      </c>
      <c r="D1318" s="6"/>
      <c r="E1318" s="3" t="s">
        <v>90</v>
      </c>
      <c r="F1318" s="82" t="s">
        <v>277</v>
      </c>
      <c r="G1318" s="2" t="s">
        <v>424</v>
      </c>
      <c r="H1318" s="3" t="s">
        <v>1432</v>
      </c>
      <c r="I1318" s="37" t="s">
        <v>42</v>
      </c>
      <c r="J1318" s="31">
        <v>45722</v>
      </c>
      <c r="K1318" s="31">
        <v>45727</v>
      </c>
      <c r="L1318" s="31"/>
      <c r="M1318" s="31"/>
      <c r="N1318" s="31"/>
      <c r="O1318" s="2" t="s">
        <v>425</v>
      </c>
    </row>
    <row r="1319" spans="1:15">
      <c r="A1319" s="3">
        <f t="shared" si="21"/>
        <v>1318</v>
      </c>
      <c r="B1319" s="82" t="s">
        <v>1775</v>
      </c>
      <c r="C1319" s="46">
        <v>9391163320</v>
      </c>
      <c r="D1319" s="6"/>
      <c r="E1319" s="46" t="s">
        <v>1771</v>
      </c>
      <c r="F1319" s="82"/>
      <c r="G1319" s="2" t="s">
        <v>16</v>
      </c>
      <c r="H1319" s="22" t="s">
        <v>2364</v>
      </c>
      <c r="I1319" s="37" t="s">
        <v>88</v>
      </c>
      <c r="J1319" s="31">
        <v>45722</v>
      </c>
      <c r="K1319" s="31">
        <v>45723</v>
      </c>
      <c r="L1319" s="31">
        <v>45736</v>
      </c>
      <c r="M1319" s="31">
        <v>45809</v>
      </c>
      <c r="N1319" s="31">
        <v>45809</v>
      </c>
      <c r="O1319" s="2" t="s">
        <v>297</v>
      </c>
    </row>
    <row r="1320" spans="1:15">
      <c r="A1320" s="3">
        <f t="shared" si="21"/>
        <v>1319</v>
      </c>
      <c r="B1320" s="82" t="s">
        <v>2365</v>
      </c>
      <c r="C1320" s="46">
        <v>6301447418</v>
      </c>
      <c r="D1320" s="6"/>
      <c r="E1320" s="46" t="s">
        <v>2366</v>
      </c>
      <c r="F1320" s="82" t="s">
        <v>2367</v>
      </c>
      <c r="G1320" s="2" t="s">
        <v>416</v>
      </c>
      <c r="H1320" s="22" t="s">
        <v>2368</v>
      </c>
      <c r="I1320" s="37" t="s">
        <v>88</v>
      </c>
      <c r="J1320" s="31">
        <v>45723</v>
      </c>
      <c r="K1320" s="31">
        <v>45761</v>
      </c>
      <c r="L1320" s="31"/>
      <c r="M1320" s="31"/>
      <c r="N1320" s="31"/>
      <c r="O1320" s="2" t="s">
        <v>297</v>
      </c>
    </row>
    <row r="1321" spans="1:15">
      <c r="A1321" s="3">
        <f t="shared" si="21"/>
        <v>1320</v>
      </c>
      <c r="B1321" s="65" t="s">
        <v>2369</v>
      </c>
      <c r="C1321" s="1">
        <v>9576229763</v>
      </c>
      <c r="D1321" s="6"/>
      <c r="E1321" s="17" t="s">
        <v>2370</v>
      </c>
      <c r="F1321" s="65" t="s">
        <v>616</v>
      </c>
      <c r="G1321" s="2" t="s">
        <v>424</v>
      </c>
      <c r="H1321" s="21" t="s">
        <v>1096</v>
      </c>
      <c r="I1321" s="37" t="s">
        <v>94</v>
      </c>
      <c r="J1321" s="31">
        <v>45723</v>
      </c>
      <c r="K1321" s="31">
        <v>45731</v>
      </c>
      <c r="L1321" s="31"/>
      <c r="M1321" s="31"/>
      <c r="N1321" s="31"/>
      <c r="O1321" s="2" t="s">
        <v>749</v>
      </c>
    </row>
    <row r="1322" spans="1:15">
      <c r="A1322" s="3">
        <f t="shared" si="21"/>
        <v>1321</v>
      </c>
      <c r="B1322" s="65" t="s">
        <v>2371</v>
      </c>
      <c r="C1322" s="1">
        <v>9131614936</v>
      </c>
      <c r="D1322" s="6"/>
      <c r="E1322" s="17" t="s">
        <v>2370</v>
      </c>
      <c r="F1322" s="65" t="s">
        <v>616</v>
      </c>
      <c r="G1322" s="2" t="s">
        <v>424</v>
      </c>
      <c r="H1322" s="21" t="s">
        <v>1096</v>
      </c>
      <c r="I1322" s="37" t="s">
        <v>94</v>
      </c>
      <c r="J1322" s="31">
        <v>45723</v>
      </c>
      <c r="K1322" s="31">
        <v>45731</v>
      </c>
      <c r="L1322" s="31"/>
      <c r="M1322" s="31"/>
      <c r="N1322" s="31"/>
      <c r="O1322" s="2" t="s">
        <v>749</v>
      </c>
    </row>
    <row r="1323" spans="1:15">
      <c r="A1323" s="3">
        <f t="shared" si="21"/>
        <v>1322</v>
      </c>
      <c r="B1323" s="65" t="s">
        <v>2372</v>
      </c>
      <c r="C1323" s="1">
        <v>7007372450</v>
      </c>
      <c r="D1323" s="6"/>
      <c r="E1323" s="17" t="s">
        <v>2373</v>
      </c>
      <c r="F1323" s="65" t="s">
        <v>616</v>
      </c>
      <c r="G1323" s="2" t="s">
        <v>424</v>
      </c>
      <c r="H1323" s="21" t="s">
        <v>1096</v>
      </c>
      <c r="I1323" s="37" t="s">
        <v>94</v>
      </c>
      <c r="J1323" s="31">
        <v>45723</v>
      </c>
      <c r="K1323" s="31">
        <v>45732</v>
      </c>
      <c r="L1323" s="31"/>
      <c r="M1323" s="31"/>
      <c r="N1323" s="31"/>
      <c r="O1323" s="2" t="s">
        <v>425</v>
      </c>
    </row>
    <row r="1324" spans="1:15">
      <c r="A1324" s="3">
        <f t="shared" si="21"/>
        <v>1323</v>
      </c>
      <c r="B1324" s="65" t="s">
        <v>2374</v>
      </c>
      <c r="C1324" s="1">
        <v>6392706848</v>
      </c>
      <c r="D1324" s="6"/>
      <c r="E1324" s="17" t="s">
        <v>2375</v>
      </c>
      <c r="F1324" s="65" t="s">
        <v>616</v>
      </c>
      <c r="G1324" s="2" t="s">
        <v>16</v>
      </c>
      <c r="H1324" s="21" t="s">
        <v>1096</v>
      </c>
      <c r="I1324" s="37" t="s">
        <v>94</v>
      </c>
      <c r="J1324" s="31">
        <v>45723</v>
      </c>
      <c r="K1324" s="31">
        <v>45731</v>
      </c>
      <c r="L1324" s="31">
        <v>45798</v>
      </c>
      <c r="M1324" s="31">
        <v>45836</v>
      </c>
      <c r="N1324" s="31">
        <v>45837</v>
      </c>
      <c r="O1324" s="2" t="s">
        <v>297</v>
      </c>
    </row>
    <row r="1325" spans="1:15">
      <c r="A1325" s="3">
        <f t="shared" si="21"/>
        <v>1324</v>
      </c>
      <c r="B1325" s="65" t="s">
        <v>2376</v>
      </c>
      <c r="C1325" s="1">
        <v>7272902913</v>
      </c>
      <c r="D1325" s="6"/>
      <c r="E1325" s="17" t="s">
        <v>1500</v>
      </c>
      <c r="F1325" s="65" t="s">
        <v>329</v>
      </c>
      <c r="G1325" s="2" t="s">
        <v>16</v>
      </c>
      <c r="H1325" s="3" t="s">
        <v>913</v>
      </c>
      <c r="I1325" s="37" t="s">
        <v>94</v>
      </c>
      <c r="J1325" s="31">
        <v>45723</v>
      </c>
      <c r="K1325" s="31">
        <v>45726</v>
      </c>
      <c r="L1325" s="31">
        <v>45731</v>
      </c>
      <c r="M1325" s="31">
        <v>45741</v>
      </c>
      <c r="N1325" s="31">
        <v>45743</v>
      </c>
      <c r="O1325" s="2" t="s">
        <v>297</v>
      </c>
    </row>
    <row r="1326" spans="1:15">
      <c r="A1326" s="3">
        <f t="shared" si="21"/>
        <v>1325</v>
      </c>
      <c r="B1326" s="65" t="s">
        <v>2377</v>
      </c>
      <c r="C1326" s="1">
        <v>6392096290</v>
      </c>
      <c r="D1326" s="6"/>
      <c r="E1326" s="17" t="s">
        <v>1500</v>
      </c>
      <c r="F1326" s="65" t="s">
        <v>329</v>
      </c>
      <c r="G1326" s="2" t="s">
        <v>330</v>
      </c>
      <c r="H1326" s="3" t="s">
        <v>913</v>
      </c>
      <c r="I1326" s="37" t="s">
        <v>94</v>
      </c>
      <c r="J1326" s="31">
        <v>45723</v>
      </c>
      <c r="K1326" s="31">
        <v>45726</v>
      </c>
      <c r="L1326" s="31">
        <v>45728</v>
      </c>
      <c r="M1326" s="31">
        <v>45735</v>
      </c>
      <c r="N1326" s="31">
        <v>45738</v>
      </c>
      <c r="O1326" s="2" t="s">
        <v>297</v>
      </c>
    </row>
    <row r="1327" spans="1:15">
      <c r="A1327" s="3">
        <f t="shared" si="21"/>
        <v>1326</v>
      </c>
      <c r="B1327" s="65" t="s">
        <v>2378</v>
      </c>
      <c r="C1327" s="1">
        <v>9800685084</v>
      </c>
      <c r="D1327" s="6"/>
      <c r="E1327" s="17" t="s">
        <v>346</v>
      </c>
      <c r="F1327" s="65" t="s">
        <v>277</v>
      </c>
      <c r="G1327" s="2" t="s">
        <v>424</v>
      </c>
      <c r="H1327" s="2" t="s">
        <v>296</v>
      </c>
      <c r="I1327" s="37" t="s">
        <v>94</v>
      </c>
      <c r="J1327" s="31">
        <v>45723</v>
      </c>
      <c r="K1327" s="31">
        <v>45729</v>
      </c>
      <c r="L1327" s="31"/>
      <c r="M1327" s="31"/>
      <c r="N1327" s="31"/>
      <c r="O1327" s="2" t="s">
        <v>425</v>
      </c>
    </row>
    <row r="1328" spans="1:15">
      <c r="A1328" s="3">
        <f t="shared" si="21"/>
        <v>1327</v>
      </c>
      <c r="B1328" s="65" t="s">
        <v>2379</v>
      </c>
      <c r="C1328" s="1">
        <v>9752966944</v>
      </c>
      <c r="D1328" s="6"/>
      <c r="E1328" s="17" t="s">
        <v>2380</v>
      </c>
      <c r="F1328" s="65" t="s">
        <v>277</v>
      </c>
      <c r="G1328" s="2" t="s">
        <v>295</v>
      </c>
      <c r="H1328" s="2" t="s">
        <v>296</v>
      </c>
      <c r="I1328" s="37" t="s">
        <v>94</v>
      </c>
      <c r="J1328" s="31">
        <v>45723</v>
      </c>
      <c r="K1328" s="31">
        <v>45724</v>
      </c>
      <c r="L1328" s="31">
        <v>45728</v>
      </c>
      <c r="M1328" s="31">
        <v>45759</v>
      </c>
      <c r="N1328" s="31"/>
      <c r="O1328" s="2" t="s">
        <v>297</v>
      </c>
    </row>
    <row r="1329" spans="1:15">
      <c r="A1329" s="3">
        <f t="shared" si="21"/>
        <v>1328</v>
      </c>
      <c r="B1329" s="65" t="s">
        <v>2381</v>
      </c>
      <c r="C1329" s="1">
        <v>9797311395</v>
      </c>
      <c r="D1329" s="6">
        <v>8499846303</v>
      </c>
      <c r="E1329" s="17" t="s">
        <v>2382</v>
      </c>
      <c r="F1329" s="65" t="s">
        <v>1535</v>
      </c>
      <c r="G1329" s="2" t="s">
        <v>16</v>
      </c>
      <c r="H1329" s="2" t="s">
        <v>88</v>
      </c>
      <c r="I1329" s="37" t="s">
        <v>88</v>
      </c>
      <c r="J1329" s="31">
        <v>45723</v>
      </c>
      <c r="K1329" s="31">
        <v>45736</v>
      </c>
      <c r="L1329" s="31">
        <v>45736</v>
      </c>
      <c r="M1329" s="31">
        <v>45768</v>
      </c>
      <c r="N1329" s="31">
        <v>45768</v>
      </c>
      <c r="O1329" s="2" t="s">
        <v>297</v>
      </c>
    </row>
    <row r="1330" spans="1:15">
      <c r="A1330" s="3">
        <f t="shared" si="21"/>
        <v>1329</v>
      </c>
      <c r="B1330" s="65" t="s">
        <v>2383</v>
      </c>
      <c r="C1330" s="1">
        <v>9133166055</v>
      </c>
      <c r="D1330" s="6"/>
      <c r="E1330" s="17" t="s">
        <v>2384</v>
      </c>
      <c r="F1330" s="65" t="s">
        <v>1535</v>
      </c>
      <c r="G1330" s="2" t="s">
        <v>16</v>
      </c>
      <c r="H1330" s="2" t="s">
        <v>88</v>
      </c>
      <c r="I1330" s="37" t="s">
        <v>88</v>
      </c>
      <c r="J1330" s="31">
        <v>45723</v>
      </c>
      <c r="K1330" s="31">
        <v>45729</v>
      </c>
      <c r="L1330" s="31">
        <v>45729</v>
      </c>
      <c r="M1330" s="31">
        <v>45763</v>
      </c>
      <c r="N1330" s="31">
        <v>45763</v>
      </c>
      <c r="O1330" s="2" t="s">
        <v>297</v>
      </c>
    </row>
    <row r="1331" spans="1:15">
      <c r="A1331" s="3">
        <f t="shared" si="21"/>
        <v>1330</v>
      </c>
      <c r="B1331" s="65" t="s">
        <v>2385</v>
      </c>
      <c r="C1331" s="1">
        <v>9728651540</v>
      </c>
      <c r="D1331" s="6"/>
      <c r="E1331" s="17" t="s">
        <v>448</v>
      </c>
      <c r="F1331" s="65" t="s">
        <v>443</v>
      </c>
      <c r="G1331" s="2" t="s">
        <v>18</v>
      </c>
      <c r="H1331" s="2" t="s">
        <v>296</v>
      </c>
      <c r="I1331" s="37" t="s">
        <v>94</v>
      </c>
      <c r="J1331" s="31">
        <v>45723</v>
      </c>
      <c r="K1331" s="31">
        <v>45736</v>
      </c>
      <c r="L1331" s="31"/>
      <c r="M1331" s="31"/>
      <c r="N1331" s="31"/>
      <c r="O1331" s="2" t="s">
        <v>297</v>
      </c>
    </row>
    <row r="1332" spans="1:15">
      <c r="A1332" s="3">
        <f t="shared" si="21"/>
        <v>1331</v>
      </c>
      <c r="B1332" s="65" t="s">
        <v>2386</v>
      </c>
      <c r="C1332" s="1">
        <v>7903232435</v>
      </c>
      <c r="D1332" s="6"/>
      <c r="E1332" s="17" t="s">
        <v>448</v>
      </c>
      <c r="F1332" s="65" t="s">
        <v>443</v>
      </c>
      <c r="G1332" s="2" t="s">
        <v>416</v>
      </c>
      <c r="H1332" s="2" t="s">
        <v>296</v>
      </c>
      <c r="I1332" s="37" t="s">
        <v>94</v>
      </c>
      <c r="J1332" s="31">
        <v>45723</v>
      </c>
      <c r="K1332" s="31">
        <v>45749</v>
      </c>
      <c r="L1332" s="31"/>
      <c r="M1332" s="31"/>
      <c r="N1332" s="31"/>
      <c r="O1332" s="2" t="s">
        <v>297</v>
      </c>
    </row>
    <row r="1333" spans="1:15">
      <c r="A1333" s="3">
        <f t="shared" si="21"/>
        <v>1332</v>
      </c>
      <c r="B1333" s="65" t="s">
        <v>2387</v>
      </c>
      <c r="C1333" s="1">
        <v>7392996861</v>
      </c>
      <c r="D1333" s="6"/>
      <c r="E1333" s="17" t="s">
        <v>448</v>
      </c>
      <c r="F1333" s="65" t="s">
        <v>443</v>
      </c>
      <c r="G1333" s="3" t="s">
        <v>295</v>
      </c>
      <c r="H1333" s="2" t="s">
        <v>296</v>
      </c>
      <c r="I1333" s="37" t="s">
        <v>94</v>
      </c>
      <c r="J1333" s="31">
        <v>45723</v>
      </c>
      <c r="K1333" s="31">
        <v>45736</v>
      </c>
      <c r="L1333" s="31">
        <v>45741</v>
      </c>
      <c r="M1333" s="31">
        <v>45789</v>
      </c>
      <c r="N1333" s="31"/>
      <c r="O1333" s="2" t="s">
        <v>297</v>
      </c>
    </row>
    <row r="1334" spans="1:15">
      <c r="A1334" s="3">
        <f t="shared" si="21"/>
        <v>1333</v>
      </c>
      <c r="B1334" s="65" t="s">
        <v>2388</v>
      </c>
      <c r="C1334" s="1">
        <v>8617440789</v>
      </c>
      <c r="D1334" s="6"/>
      <c r="E1334" s="17" t="s">
        <v>2389</v>
      </c>
      <c r="F1334" s="65" t="s">
        <v>2390</v>
      </c>
      <c r="G1334" s="2" t="s">
        <v>16</v>
      </c>
      <c r="H1334" s="2" t="s">
        <v>296</v>
      </c>
      <c r="I1334" s="37" t="s">
        <v>94</v>
      </c>
      <c r="J1334" s="31">
        <v>45723</v>
      </c>
      <c r="K1334" s="31">
        <v>45730</v>
      </c>
      <c r="L1334" s="31">
        <v>45734</v>
      </c>
      <c r="M1334" s="31">
        <v>45749</v>
      </c>
      <c r="N1334" s="31">
        <v>45752</v>
      </c>
      <c r="O1334" s="2" t="s">
        <v>297</v>
      </c>
    </row>
    <row r="1335" spans="1:15">
      <c r="A1335" s="3">
        <f t="shared" si="21"/>
        <v>1334</v>
      </c>
      <c r="B1335" s="65" t="s">
        <v>2391</v>
      </c>
      <c r="C1335" s="1">
        <v>7077174490</v>
      </c>
      <c r="D1335" s="6"/>
      <c r="E1335" s="17" t="s">
        <v>2392</v>
      </c>
      <c r="F1335" s="65" t="s">
        <v>2393</v>
      </c>
      <c r="G1335" s="2" t="s">
        <v>424</v>
      </c>
      <c r="H1335" s="2" t="s">
        <v>296</v>
      </c>
      <c r="I1335" s="37" t="s">
        <v>94</v>
      </c>
      <c r="J1335" s="31">
        <v>45723</v>
      </c>
      <c r="K1335" s="31">
        <v>45730</v>
      </c>
      <c r="L1335" s="31"/>
      <c r="M1335" s="31"/>
      <c r="N1335" s="31"/>
      <c r="O1335" s="2" t="s">
        <v>425</v>
      </c>
    </row>
    <row r="1336" spans="1:15">
      <c r="A1336" s="3">
        <f t="shared" si="21"/>
        <v>1335</v>
      </c>
      <c r="B1336" s="65" t="s">
        <v>1803</v>
      </c>
      <c r="C1336" s="1">
        <v>9709060912</v>
      </c>
      <c r="D1336" s="6"/>
      <c r="E1336" s="17" t="s">
        <v>2392</v>
      </c>
      <c r="F1336" s="65" t="s">
        <v>294</v>
      </c>
      <c r="G1336" s="2" t="s">
        <v>16</v>
      </c>
      <c r="H1336" s="2" t="s">
        <v>296</v>
      </c>
      <c r="I1336" s="37" t="s">
        <v>94</v>
      </c>
      <c r="J1336" s="31">
        <v>45723</v>
      </c>
      <c r="K1336" s="31">
        <v>45730</v>
      </c>
      <c r="L1336" s="31">
        <v>45734</v>
      </c>
      <c r="M1336" s="31">
        <v>45741</v>
      </c>
      <c r="N1336" s="31">
        <v>45743</v>
      </c>
      <c r="O1336" s="2" t="s">
        <v>297</v>
      </c>
    </row>
    <row r="1337" spans="1:15">
      <c r="A1337" s="3">
        <f t="shared" si="21"/>
        <v>1336</v>
      </c>
      <c r="B1337" s="65" t="s">
        <v>2394</v>
      </c>
      <c r="C1337" s="1">
        <v>9007855437</v>
      </c>
      <c r="D1337" s="6"/>
      <c r="E1337" s="17" t="s">
        <v>2392</v>
      </c>
      <c r="F1337" s="65" t="s">
        <v>2395</v>
      </c>
      <c r="G1337" s="3" t="s">
        <v>295</v>
      </c>
      <c r="H1337" s="2" t="s">
        <v>296</v>
      </c>
      <c r="I1337" s="37" t="s">
        <v>94</v>
      </c>
      <c r="J1337" s="31">
        <v>45723</v>
      </c>
      <c r="K1337" s="31">
        <v>45730</v>
      </c>
      <c r="L1337" s="31">
        <v>45734</v>
      </c>
      <c r="M1337" s="31">
        <v>45765</v>
      </c>
      <c r="N1337" s="31"/>
      <c r="O1337" s="2" t="s">
        <v>297</v>
      </c>
    </row>
    <row r="1338" spans="1:15">
      <c r="A1338" s="3">
        <f t="shared" ref="A1338:A1398" si="22">ROW()-1</f>
        <v>1337</v>
      </c>
      <c r="B1338" s="65" t="s">
        <v>2396</v>
      </c>
      <c r="C1338" s="1">
        <v>8483826771</v>
      </c>
      <c r="D1338" s="6"/>
      <c r="E1338" s="17" t="s">
        <v>2392</v>
      </c>
      <c r="F1338" s="65" t="s">
        <v>644</v>
      </c>
      <c r="G1338" s="2" t="s">
        <v>424</v>
      </c>
      <c r="H1338" s="2" t="s">
        <v>296</v>
      </c>
      <c r="I1338" s="37" t="s">
        <v>94</v>
      </c>
      <c r="J1338" s="31">
        <v>45723</v>
      </c>
      <c r="K1338" s="31">
        <v>45730</v>
      </c>
      <c r="L1338" s="31"/>
      <c r="M1338" s="31"/>
      <c r="N1338" s="31"/>
      <c r="O1338" s="2" t="s">
        <v>425</v>
      </c>
    </row>
    <row r="1339" spans="1:15">
      <c r="A1339" s="3">
        <f t="shared" si="22"/>
        <v>1338</v>
      </c>
      <c r="B1339" s="65" t="s">
        <v>2397</v>
      </c>
      <c r="C1339" s="1">
        <v>8642899108</v>
      </c>
      <c r="D1339" s="6"/>
      <c r="E1339" s="17" t="s">
        <v>2392</v>
      </c>
      <c r="F1339" s="65" t="s">
        <v>294</v>
      </c>
      <c r="G1339" s="2" t="s">
        <v>424</v>
      </c>
      <c r="H1339" s="2" t="s">
        <v>296</v>
      </c>
      <c r="I1339" s="37" t="s">
        <v>94</v>
      </c>
      <c r="J1339" s="31">
        <v>45723</v>
      </c>
      <c r="K1339" s="31">
        <v>45730</v>
      </c>
      <c r="L1339" s="31"/>
      <c r="M1339" s="31"/>
      <c r="N1339" s="31"/>
      <c r="O1339" s="2" t="s">
        <v>425</v>
      </c>
    </row>
    <row r="1340" spans="1:15">
      <c r="A1340" s="3">
        <f t="shared" si="22"/>
        <v>1339</v>
      </c>
      <c r="B1340" s="65" t="s">
        <v>2398</v>
      </c>
      <c r="C1340" s="1">
        <v>8101623820</v>
      </c>
      <c r="D1340" s="6"/>
      <c r="E1340" s="17" t="s">
        <v>643</v>
      </c>
      <c r="F1340" s="65" t="s">
        <v>294</v>
      </c>
      <c r="G1340" s="2" t="s">
        <v>16</v>
      </c>
      <c r="H1340" s="2" t="s">
        <v>296</v>
      </c>
      <c r="I1340" s="37" t="s">
        <v>94</v>
      </c>
      <c r="J1340" s="31">
        <v>45723</v>
      </c>
      <c r="K1340" s="31">
        <v>45724</v>
      </c>
      <c r="L1340" s="31">
        <v>45734</v>
      </c>
      <c r="M1340" s="31">
        <v>45755</v>
      </c>
      <c r="N1340" s="31">
        <v>45758</v>
      </c>
      <c r="O1340" s="2" t="s">
        <v>297</v>
      </c>
    </row>
    <row r="1341" spans="1:15">
      <c r="A1341" s="3">
        <f t="shared" si="22"/>
        <v>1340</v>
      </c>
      <c r="B1341" s="65" t="s">
        <v>2399</v>
      </c>
      <c r="C1341" s="1">
        <v>8517926089</v>
      </c>
      <c r="D1341" s="6"/>
      <c r="E1341" s="17" t="s">
        <v>2392</v>
      </c>
      <c r="F1341" s="65" t="s">
        <v>644</v>
      </c>
      <c r="G1341" s="2" t="s">
        <v>424</v>
      </c>
      <c r="H1341" s="2" t="s">
        <v>296</v>
      </c>
      <c r="I1341" s="37" t="s">
        <v>94</v>
      </c>
      <c r="J1341" s="31">
        <v>45723</v>
      </c>
      <c r="K1341" s="31">
        <v>45730</v>
      </c>
      <c r="L1341" s="31"/>
      <c r="M1341" s="31"/>
      <c r="N1341" s="31"/>
      <c r="O1341" s="2" t="s">
        <v>425</v>
      </c>
    </row>
    <row r="1342" spans="1:15">
      <c r="A1342" s="3">
        <f t="shared" si="22"/>
        <v>1341</v>
      </c>
      <c r="B1342" s="65" t="s">
        <v>2400</v>
      </c>
      <c r="C1342" s="1">
        <v>9440522915</v>
      </c>
      <c r="D1342" s="6"/>
      <c r="E1342" s="17" t="s">
        <v>2242</v>
      </c>
      <c r="F1342" s="65" t="s">
        <v>333</v>
      </c>
      <c r="G1342" s="2" t="s">
        <v>764</v>
      </c>
      <c r="H1342" s="2" t="s">
        <v>1186</v>
      </c>
      <c r="I1342" s="37" t="s">
        <v>94</v>
      </c>
      <c r="J1342" s="31">
        <v>45723</v>
      </c>
      <c r="K1342" s="31">
        <v>45729</v>
      </c>
      <c r="L1342" s="31"/>
      <c r="M1342" s="31"/>
      <c r="N1342" s="31"/>
      <c r="O1342" s="2" t="s">
        <v>425</v>
      </c>
    </row>
    <row r="1343" spans="1:15">
      <c r="A1343" s="3">
        <f t="shared" si="22"/>
        <v>1342</v>
      </c>
      <c r="B1343" s="65" t="s">
        <v>2401</v>
      </c>
      <c r="C1343" s="1">
        <v>9963246259</v>
      </c>
      <c r="D1343" s="6"/>
      <c r="E1343" s="17" t="s">
        <v>2242</v>
      </c>
      <c r="F1343" s="65" t="s">
        <v>333</v>
      </c>
      <c r="G1343" s="3" t="s">
        <v>1175</v>
      </c>
      <c r="H1343" s="2" t="s">
        <v>1186</v>
      </c>
      <c r="I1343" s="37" t="s">
        <v>94</v>
      </c>
      <c r="J1343" s="31">
        <v>45723</v>
      </c>
      <c r="K1343" s="31"/>
      <c r="L1343" s="31"/>
      <c r="M1343" s="31"/>
      <c r="N1343" s="31"/>
      <c r="O1343" s="2" t="s">
        <v>1004</v>
      </c>
    </row>
    <row r="1344" spans="1:15">
      <c r="A1344" s="3">
        <f t="shared" si="22"/>
        <v>1343</v>
      </c>
      <c r="B1344" s="65" t="s">
        <v>2402</v>
      </c>
      <c r="C1344" s="1">
        <v>9959520682</v>
      </c>
      <c r="D1344" s="6"/>
      <c r="E1344" s="17" t="s">
        <v>2242</v>
      </c>
      <c r="F1344" s="65" t="s">
        <v>333</v>
      </c>
      <c r="G1344" s="3" t="s">
        <v>1175</v>
      </c>
      <c r="H1344" s="2" t="s">
        <v>1186</v>
      </c>
      <c r="I1344" s="37" t="s">
        <v>94</v>
      </c>
      <c r="J1344" s="31">
        <v>45723</v>
      </c>
      <c r="K1344" s="31"/>
      <c r="L1344" s="31"/>
      <c r="M1344" s="31"/>
      <c r="N1344" s="31"/>
      <c r="O1344" s="2" t="s">
        <v>1004</v>
      </c>
    </row>
    <row r="1345" spans="1:15">
      <c r="A1345" s="3">
        <f t="shared" si="22"/>
        <v>1344</v>
      </c>
      <c r="B1345" s="65" t="s">
        <v>2403</v>
      </c>
      <c r="C1345" s="1">
        <v>9177416504</v>
      </c>
      <c r="D1345" s="6"/>
      <c r="E1345" s="17" t="s">
        <v>2404</v>
      </c>
      <c r="F1345" s="65" t="s">
        <v>308</v>
      </c>
      <c r="G1345" s="2" t="s">
        <v>424</v>
      </c>
      <c r="H1345" s="2" t="s">
        <v>1186</v>
      </c>
      <c r="I1345" s="37" t="s">
        <v>94</v>
      </c>
      <c r="J1345" s="31">
        <v>45723</v>
      </c>
      <c r="K1345" s="31">
        <v>45729</v>
      </c>
      <c r="L1345" s="31"/>
      <c r="M1345" s="31"/>
      <c r="N1345" s="31"/>
      <c r="O1345" s="2" t="s">
        <v>425</v>
      </c>
    </row>
    <row r="1346" spans="1:15">
      <c r="A1346" s="3">
        <f t="shared" si="22"/>
        <v>1345</v>
      </c>
      <c r="B1346" s="41" t="s">
        <v>2405</v>
      </c>
      <c r="C1346" s="3">
        <v>8791720762</v>
      </c>
      <c r="D1346" s="6"/>
      <c r="E1346" s="36" t="s">
        <v>350</v>
      </c>
      <c r="F1346" s="67" t="s">
        <v>384</v>
      </c>
      <c r="G1346" s="2" t="s">
        <v>16</v>
      </c>
      <c r="H1346" s="2" t="s">
        <v>352</v>
      </c>
      <c r="I1346" s="37" t="s">
        <v>94</v>
      </c>
      <c r="J1346" s="31">
        <v>45718</v>
      </c>
      <c r="K1346" s="31">
        <v>45718</v>
      </c>
      <c r="L1346" s="31">
        <v>45723</v>
      </c>
      <c r="M1346" s="31">
        <v>45731</v>
      </c>
      <c r="N1346" s="31">
        <v>45740</v>
      </c>
      <c r="O1346" s="2" t="s">
        <v>297</v>
      </c>
    </row>
    <row r="1347" spans="1:15">
      <c r="A1347" s="3">
        <f t="shared" si="22"/>
        <v>1346</v>
      </c>
      <c r="B1347" s="41" t="s">
        <v>2406</v>
      </c>
      <c r="C1347" s="3">
        <v>9398031344</v>
      </c>
      <c r="D1347" s="6"/>
      <c r="E1347" s="36" t="s">
        <v>2198</v>
      </c>
      <c r="F1347" s="67" t="s">
        <v>2407</v>
      </c>
      <c r="G1347" s="2" t="s">
        <v>295</v>
      </c>
      <c r="H1347" s="2" t="s">
        <v>815</v>
      </c>
      <c r="I1347" s="4" t="s">
        <v>94</v>
      </c>
      <c r="J1347" s="31">
        <v>45718</v>
      </c>
      <c r="K1347" s="31">
        <v>45718</v>
      </c>
      <c r="L1347" s="31">
        <v>45723</v>
      </c>
      <c r="M1347" s="31">
        <v>45787</v>
      </c>
      <c r="N1347" s="31"/>
      <c r="O1347" s="2" t="s">
        <v>297</v>
      </c>
    </row>
    <row r="1348" spans="1:15">
      <c r="A1348" s="3">
        <f t="shared" si="22"/>
        <v>1347</v>
      </c>
      <c r="B1348" s="113" t="s">
        <v>2408</v>
      </c>
      <c r="C1348" s="51">
        <v>6305814410</v>
      </c>
      <c r="D1348" s="6"/>
      <c r="E1348" s="36" t="s">
        <v>2081</v>
      </c>
      <c r="F1348" s="65"/>
      <c r="G1348" s="2" t="s">
        <v>1175</v>
      </c>
      <c r="H1348" s="3" t="s">
        <v>785</v>
      </c>
      <c r="I1348" s="37" t="s">
        <v>88</v>
      </c>
      <c r="J1348" s="31">
        <v>45723</v>
      </c>
      <c r="K1348" s="31"/>
      <c r="L1348" s="31"/>
      <c r="M1348" s="31"/>
      <c r="N1348" s="31"/>
      <c r="O1348" s="2" t="s">
        <v>1004</v>
      </c>
    </row>
    <row r="1349" spans="1:15">
      <c r="A1349" s="3">
        <f t="shared" si="22"/>
        <v>1348</v>
      </c>
      <c r="B1349" s="113" t="s">
        <v>2409</v>
      </c>
      <c r="C1349" s="51">
        <v>9381855311</v>
      </c>
      <c r="D1349" s="6"/>
      <c r="E1349" s="36" t="s">
        <v>2081</v>
      </c>
      <c r="F1349" s="65"/>
      <c r="G1349" s="2" t="s">
        <v>1175</v>
      </c>
      <c r="H1349" s="3" t="s">
        <v>785</v>
      </c>
      <c r="I1349" s="37" t="s">
        <v>88</v>
      </c>
      <c r="J1349" s="31">
        <v>45723</v>
      </c>
      <c r="K1349" s="31"/>
      <c r="L1349" s="31"/>
      <c r="M1349" s="31"/>
      <c r="N1349" s="31"/>
      <c r="O1349" s="2" t="s">
        <v>1004</v>
      </c>
    </row>
    <row r="1350" spans="1:15">
      <c r="A1350" s="3">
        <f t="shared" si="22"/>
        <v>1349</v>
      </c>
      <c r="B1350" s="113" t="s">
        <v>2410</v>
      </c>
      <c r="C1350" s="51">
        <v>9553340025</v>
      </c>
      <c r="D1350" s="6"/>
      <c r="E1350" s="17" t="s">
        <v>2411</v>
      </c>
      <c r="F1350" s="65" t="s">
        <v>569</v>
      </c>
      <c r="G1350" s="2" t="s">
        <v>18</v>
      </c>
      <c r="H1350" s="2" t="s">
        <v>1186</v>
      </c>
      <c r="I1350" s="4" t="s">
        <v>94</v>
      </c>
      <c r="J1350" s="31">
        <v>45723</v>
      </c>
      <c r="K1350" s="31">
        <v>45728</v>
      </c>
      <c r="L1350" s="31">
        <v>45735</v>
      </c>
      <c r="M1350" s="31">
        <v>45797</v>
      </c>
      <c r="N1350" s="31"/>
      <c r="O1350" s="2" t="s">
        <v>297</v>
      </c>
    </row>
    <row r="1351" spans="1:15">
      <c r="A1351" s="3">
        <f t="shared" si="22"/>
        <v>1350</v>
      </c>
      <c r="B1351" s="113" t="s">
        <v>2412</v>
      </c>
      <c r="C1351" s="51">
        <v>8790856003</v>
      </c>
      <c r="D1351" s="6"/>
      <c r="E1351" s="36" t="s">
        <v>2413</v>
      </c>
      <c r="F1351" s="65" t="s">
        <v>2113</v>
      </c>
      <c r="G1351" s="3" t="s">
        <v>1175</v>
      </c>
      <c r="H1351" s="2" t="s">
        <v>1186</v>
      </c>
      <c r="I1351" s="37" t="s">
        <v>88</v>
      </c>
      <c r="J1351" s="31">
        <v>45723</v>
      </c>
      <c r="K1351" s="31"/>
      <c r="L1351" s="31"/>
      <c r="M1351" s="31"/>
      <c r="N1351" s="31"/>
      <c r="O1351" s="2" t="s">
        <v>1004</v>
      </c>
    </row>
    <row r="1352" spans="1:15">
      <c r="A1352" s="3">
        <f t="shared" si="22"/>
        <v>1351</v>
      </c>
      <c r="B1352" s="113" t="s">
        <v>2414</v>
      </c>
      <c r="C1352" s="51">
        <v>9948509108</v>
      </c>
      <c r="D1352" s="6"/>
      <c r="E1352" s="36" t="s">
        <v>1301</v>
      </c>
      <c r="F1352" s="65" t="s">
        <v>569</v>
      </c>
      <c r="G1352" s="2" t="s">
        <v>416</v>
      </c>
      <c r="H1352" s="2" t="s">
        <v>1186</v>
      </c>
      <c r="I1352" s="37" t="s">
        <v>88</v>
      </c>
      <c r="J1352" s="31">
        <v>45723</v>
      </c>
      <c r="K1352" s="31">
        <v>45728</v>
      </c>
      <c r="L1352" s="31"/>
      <c r="M1352" s="31"/>
      <c r="N1352" s="31"/>
      <c r="O1352" s="2" t="s">
        <v>297</v>
      </c>
    </row>
    <row r="1353" spans="1:15">
      <c r="A1353" s="3">
        <f t="shared" si="22"/>
        <v>1352</v>
      </c>
      <c r="B1353" s="113" t="s">
        <v>2415</v>
      </c>
      <c r="C1353" s="51">
        <v>8756970045</v>
      </c>
      <c r="D1353" s="6"/>
      <c r="E1353" s="36" t="s">
        <v>2416</v>
      </c>
      <c r="F1353" s="65" t="s">
        <v>2417</v>
      </c>
      <c r="G1353" s="2" t="s">
        <v>16</v>
      </c>
      <c r="H1353" s="2" t="s">
        <v>1186</v>
      </c>
      <c r="I1353" s="37" t="s">
        <v>88</v>
      </c>
      <c r="J1353" s="31">
        <v>45723</v>
      </c>
      <c r="K1353" s="31">
        <v>45728</v>
      </c>
      <c r="L1353" s="31">
        <v>45730</v>
      </c>
      <c r="M1353" s="31">
        <v>45761</v>
      </c>
      <c r="N1353" s="31">
        <v>45761</v>
      </c>
      <c r="O1353" s="2" t="s">
        <v>297</v>
      </c>
    </row>
    <row r="1354" spans="1:15">
      <c r="A1354" s="3">
        <f t="shared" si="22"/>
        <v>1353</v>
      </c>
      <c r="B1354" s="113" t="s">
        <v>2418</v>
      </c>
      <c r="C1354" s="51">
        <v>9032488258</v>
      </c>
      <c r="D1354" s="6"/>
      <c r="E1354" s="36" t="s">
        <v>2419</v>
      </c>
      <c r="F1354" s="65" t="s">
        <v>2420</v>
      </c>
      <c r="G1354" s="2" t="s">
        <v>295</v>
      </c>
      <c r="H1354" s="3" t="s">
        <v>2421</v>
      </c>
      <c r="I1354" s="37" t="s">
        <v>88</v>
      </c>
      <c r="J1354" s="31">
        <v>45719</v>
      </c>
      <c r="K1354" s="31">
        <v>45721</v>
      </c>
      <c r="L1354" s="31">
        <v>45723</v>
      </c>
      <c r="M1354" s="31">
        <v>45754</v>
      </c>
      <c r="N1354" s="31"/>
      <c r="O1354" s="2" t="s">
        <v>297</v>
      </c>
    </row>
    <row r="1355" spans="1:15">
      <c r="A1355" s="3">
        <f t="shared" si="22"/>
        <v>1354</v>
      </c>
      <c r="B1355" s="113" t="s">
        <v>2422</v>
      </c>
      <c r="C1355" s="51">
        <v>6300355748</v>
      </c>
      <c r="D1355" s="6"/>
      <c r="E1355" s="36" t="s">
        <v>2423</v>
      </c>
      <c r="F1355" s="65" t="s">
        <v>2424</v>
      </c>
      <c r="G1355" s="2" t="s">
        <v>16</v>
      </c>
      <c r="H1355" s="3" t="s">
        <v>2425</v>
      </c>
      <c r="I1355" s="37" t="s">
        <v>42</v>
      </c>
      <c r="J1355" s="31">
        <v>45719</v>
      </c>
      <c r="K1355" s="31">
        <v>45723</v>
      </c>
      <c r="L1355" s="31">
        <v>45723</v>
      </c>
      <c r="M1355" s="31">
        <v>45754</v>
      </c>
      <c r="N1355" s="31">
        <v>45726</v>
      </c>
      <c r="O1355" s="2" t="s">
        <v>297</v>
      </c>
    </row>
    <row r="1356" spans="1:15">
      <c r="A1356" s="3">
        <f t="shared" si="22"/>
        <v>1355</v>
      </c>
      <c r="B1356" s="113" t="s">
        <v>2426</v>
      </c>
      <c r="C1356" s="51">
        <v>9002459116</v>
      </c>
      <c r="D1356" s="6"/>
      <c r="E1356" s="36" t="s">
        <v>2427</v>
      </c>
      <c r="F1356" s="65" t="s">
        <v>412</v>
      </c>
      <c r="G1356" s="2" t="s">
        <v>295</v>
      </c>
      <c r="H1356" s="3" t="s">
        <v>788</v>
      </c>
      <c r="I1356" s="37" t="s">
        <v>42</v>
      </c>
      <c r="J1356" s="31">
        <v>45719</v>
      </c>
      <c r="K1356" s="31">
        <v>45723</v>
      </c>
      <c r="L1356" s="31">
        <v>45723</v>
      </c>
      <c r="M1356" s="31">
        <v>45754</v>
      </c>
      <c r="N1356" s="31"/>
      <c r="O1356" s="2" t="s">
        <v>297</v>
      </c>
    </row>
    <row r="1357" spans="1:15">
      <c r="A1357" s="3">
        <f t="shared" si="22"/>
        <v>1356</v>
      </c>
      <c r="B1357" s="113" t="s">
        <v>2428</v>
      </c>
      <c r="C1357" s="51">
        <v>7679819059</v>
      </c>
      <c r="D1357" s="6"/>
      <c r="E1357" s="36" t="s">
        <v>2427</v>
      </c>
      <c r="F1357" s="65" t="s">
        <v>412</v>
      </c>
      <c r="G1357" s="2" t="s">
        <v>295</v>
      </c>
      <c r="H1357" s="3" t="s">
        <v>788</v>
      </c>
      <c r="I1357" s="37" t="s">
        <v>42</v>
      </c>
      <c r="J1357" s="31">
        <v>45719</v>
      </c>
      <c r="K1357" s="31">
        <v>45723</v>
      </c>
      <c r="L1357" s="31">
        <v>45723</v>
      </c>
      <c r="M1357" s="31">
        <v>45754</v>
      </c>
      <c r="N1357" s="31"/>
      <c r="O1357" s="2" t="s">
        <v>297</v>
      </c>
    </row>
    <row r="1358" spans="1:15">
      <c r="A1358" s="3">
        <f t="shared" si="22"/>
        <v>1357</v>
      </c>
      <c r="B1358" s="113" t="s">
        <v>2429</v>
      </c>
      <c r="C1358" s="51">
        <v>9301522092</v>
      </c>
      <c r="D1358" s="6"/>
      <c r="E1358" s="36" t="s">
        <v>2427</v>
      </c>
      <c r="F1358" s="65" t="s">
        <v>412</v>
      </c>
      <c r="G1358" s="2" t="s">
        <v>295</v>
      </c>
      <c r="H1358" s="3" t="s">
        <v>788</v>
      </c>
      <c r="I1358" s="37" t="s">
        <v>42</v>
      </c>
      <c r="J1358" s="31">
        <v>45719</v>
      </c>
      <c r="K1358" s="31">
        <v>45723</v>
      </c>
      <c r="L1358" s="31">
        <v>45723</v>
      </c>
      <c r="M1358" s="31">
        <v>45754</v>
      </c>
      <c r="N1358" s="31"/>
      <c r="O1358" s="2" t="s">
        <v>297</v>
      </c>
    </row>
    <row r="1359" spans="1:15">
      <c r="A1359" s="3">
        <f t="shared" si="22"/>
        <v>1358</v>
      </c>
      <c r="B1359" s="113" t="s">
        <v>2430</v>
      </c>
      <c r="C1359" s="51">
        <v>9174188015</v>
      </c>
      <c r="D1359" s="6"/>
      <c r="E1359" s="36" t="s">
        <v>2427</v>
      </c>
      <c r="F1359" s="65" t="s">
        <v>412</v>
      </c>
      <c r="G1359" s="2" t="s">
        <v>295</v>
      </c>
      <c r="H1359" s="3" t="s">
        <v>788</v>
      </c>
      <c r="I1359" s="37" t="s">
        <v>42</v>
      </c>
      <c r="J1359" s="31">
        <v>45719</v>
      </c>
      <c r="K1359" s="31">
        <v>45723</v>
      </c>
      <c r="L1359" s="31">
        <v>45723</v>
      </c>
      <c r="M1359" s="31">
        <v>45754</v>
      </c>
      <c r="N1359" s="31"/>
      <c r="O1359" s="2" t="s">
        <v>297</v>
      </c>
    </row>
    <row r="1360" spans="1:15">
      <c r="A1360" s="3">
        <f t="shared" si="22"/>
        <v>1359</v>
      </c>
      <c r="B1360" s="113" t="s">
        <v>2431</v>
      </c>
      <c r="C1360" s="51">
        <v>8051659485</v>
      </c>
      <c r="D1360" s="6"/>
      <c r="E1360" s="36" t="s">
        <v>2427</v>
      </c>
      <c r="F1360" s="65" t="s">
        <v>412</v>
      </c>
      <c r="G1360" s="2" t="s">
        <v>295</v>
      </c>
      <c r="H1360" s="3" t="s">
        <v>788</v>
      </c>
      <c r="I1360" s="37" t="s">
        <v>42</v>
      </c>
      <c r="J1360" s="31">
        <v>45719</v>
      </c>
      <c r="K1360" s="31">
        <v>45723</v>
      </c>
      <c r="L1360" s="31">
        <v>45723</v>
      </c>
      <c r="M1360" s="31">
        <v>45754</v>
      </c>
      <c r="N1360" s="31"/>
      <c r="O1360" s="2" t="s">
        <v>297</v>
      </c>
    </row>
    <row r="1361" spans="1:15">
      <c r="A1361" s="3">
        <f t="shared" si="22"/>
        <v>1360</v>
      </c>
      <c r="B1361" s="113" t="s">
        <v>2432</v>
      </c>
      <c r="C1361" s="51">
        <v>9083009062</v>
      </c>
      <c r="D1361" s="6"/>
      <c r="E1361" s="36" t="s">
        <v>2427</v>
      </c>
      <c r="F1361" s="65" t="s">
        <v>412</v>
      </c>
      <c r="G1361" s="2" t="s">
        <v>295</v>
      </c>
      <c r="H1361" s="3" t="s">
        <v>788</v>
      </c>
      <c r="I1361" s="37" t="s">
        <v>42</v>
      </c>
      <c r="J1361" s="31">
        <v>45719</v>
      </c>
      <c r="K1361" s="31">
        <v>45723</v>
      </c>
      <c r="L1361" s="31">
        <v>45723</v>
      </c>
      <c r="M1361" s="31">
        <v>45754</v>
      </c>
      <c r="N1361" s="31"/>
      <c r="O1361" s="2" t="s">
        <v>297</v>
      </c>
    </row>
    <row r="1362" spans="1:15">
      <c r="A1362" s="3">
        <f t="shared" si="22"/>
        <v>1361</v>
      </c>
      <c r="B1362" s="113" t="s">
        <v>2433</v>
      </c>
      <c r="C1362" s="51">
        <v>7003502823</v>
      </c>
      <c r="D1362" s="6"/>
      <c r="E1362" s="36" t="s">
        <v>2427</v>
      </c>
      <c r="F1362" s="65" t="s">
        <v>412</v>
      </c>
      <c r="G1362" s="2" t="s">
        <v>295</v>
      </c>
      <c r="H1362" s="3" t="s">
        <v>788</v>
      </c>
      <c r="I1362" s="37" t="s">
        <v>42</v>
      </c>
      <c r="J1362" s="31">
        <v>45719</v>
      </c>
      <c r="K1362" s="31">
        <v>45723</v>
      </c>
      <c r="L1362" s="31">
        <v>45723</v>
      </c>
      <c r="M1362" s="31">
        <v>45754</v>
      </c>
      <c r="N1362" s="31"/>
      <c r="O1362" s="2" t="s">
        <v>297</v>
      </c>
    </row>
    <row r="1363" spans="1:15">
      <c r="A1363" s="3">
        <f t="shared" si="22"/>
        <v>1362</v>
      </c>
      <c r="B1363" s="114" t="s">
        <v>2434</v>
      </c>
      <c r="C1363" s="1">
        <v>9328091050</v>
      </c>
      <c r="D1363" s="6"/>
      <c r="E1363" s="17" t="s">
        <v>85</v>
      </c>
      <c r="F1363" s="65" t="s">
        <v>748</v>
      </c>
      <c r="G1363" s="2" t="s">
        <v>295</v>
      </c>
      <c r="H1363" s="2" t="s">
        <v>77</v>
      </c>
      <c r="I1363" s="37" t="s">
        <v>42</v>
      </c>
      <c r="J1363" s="31">
        <v>45723</v>
      </c>
      <c r="K1363" s="31">
        <v>45726</v>
      </c>
      <c r="L1363" s="31">
        <v>45737</v>
      </c>
      <c r="M1363" s="31">
        <v>45775</v>
      </c>
      <c r="N1363" s="31"/>
      <c r="O1363" s="2" t="s">
        <v>297</v>
      </c>
    </row>
    <row r="1364" spans="1:15">
      <c r="A1364" s="3">
        <f t="shared" si="22"/>
        <v>1363</v>
      </c>
      <c r="B1364" s="65" t="s">
        <v>2435</v>
      </c>
      <c r="C1364" s="1">
        <v>9989882442</v>
      </c>
      <c r="D1364" s="6"/>
      <c r="E1364" s="3" t="s">
        <v>56</v>
      </c>
      <c r="F1364" s="65" t="s">
        <v>2436</v>
      </c>
      <c r="G1364" s="2" t="s">
        <v>16</v>
      </c>
      <c r="H1364" s="2" t="s">
        <v>660</v>
      </c>
      <c r="I1364" s="37" t="s">
        <v>42</v>
      </c>
      <c r="J1364" s="31">
        <v>45723</v>
      </c>
      <c r="K1364" s="31">
        <v>45742</v>
      </c>
      <c r="L1364" s="31">
        <v>45744</v>
      </c>
      <c r="M1364" s="31">
        <v>45775</v>
      </c>
      <c r="N1364" s="31">
        <v>45770</v>
      </c>
      <c r="O1364" s="2" t="s">
        <v>297</v>
      </c>
    </row>
    <row r="1365" spans="1:15">
      <c r="A1365" s="3">
        <f t="shared" si="22"/>
        <v>1364</v>
      </c>
      <c r="B1365" s="65" t="s">
        <v>2437</v>
      </c>
      <c r="C1365" s="1">
        <v>7702347004</v>
      </c>
      <c r="D1365" s="6"/>
      <c r="E1365" s="3" t="s">
        <v>75</v>
      </c>
      <c r="F1365" s="65" t="s">
        <v>2438</v>
      </c>
      <c r="G1365" s="2" t="s">
        <v>16</v>
      </c>
      <c r="H1365" s="2" t="s">
        <v>77</v>
      </c>
      <c r="I1365" s="37" t="s">
        <v>42</v>
      </c>
      <c r="J1365" s="31">
        <v>45723</v>
      </c>
      <c r="K1365" s="31">
        <v>45726</v>
      </c>
      <c r="L1365" s="31">
        <v>45736</v>
      </c>
      <c r="M1365" s="31">
        <v>45778</v>
      </c>
      <c r="N1365" s="31">
        <v>45778</v>
      </c>
      <c r="O1365" s="2" t="s">
        <v>297</v>
      </c>
    </row>
    <row r="1366" spans="1:15">
      <c r="A1366" s="3">
        <f t="shared" si="22"/>
        <v>1365</v>
      </c>
      <c r="B1366" s="114" t="s">
        <v>2439</v>
      </c>
      <c r="C1366" s="1">
        <v>7977595787</v>
      </c>
      <c r="D1366" s="6"/>
      <c r="E1366" s="17" t="s">
        <v>85</v>
      </c>
      <c r="F1366" s="65" t="s">
        <v>748</v>
      </c>
      <c r="G1366" s="2" t="s">
        <v>16</v>
      </c>
      <c r="H1366" s="2" t="s">
        <v>77</v>
      </c>
      <c r="I1366" s="37" t="s">
        <v>42</v>
      </c>
      <c r="J1366" s="31">
        <v>45723</v>
      </c>
      <c r="K1366" s="31">
        <v>45726</v>
      </c>
      <c r="L1366" s="31">
        <v>45729</v>
      </c>
      <c r="M1366" s="31">
        <v>45768</v>
      </c>
      <c r="N1366" s="31">
        <v>45737</v>
      </c>
      <c r="O1366" s="2" t="s">
        <v>297</v>
      </c>
    </row>
    <row r="1367" spans="1:15">
      <c r="A1367" s="3">
        <f t="shared" si="22"/>
        <v>1366</v>
      </c>
      <c r="B1367" s="114" t="s">
        <v>2440</v>
      </c>
      <c r="C1367" s="1">
        <v>6300423217</v>
      </c>
      <c r="D1367" s="6"/>
      <c r="E1367" s="3" t="s">
        <v>79</v>
      </c>
      <c r="F1367" s="65" t="s">
        <v>748</v>
      </c>
      <c r="G1367" s="2" t="s">
        <v>16</v>
      </c>
      <c r="H1367" s="2" t="s">
        <v>77</v>
      </c>
      <c r="I1367" s="37" t="s">
        <v>42</v>
      </c>
      <c r="J1367" s="31">
        <v>45723</v>
      </c>
      <c r="K1367" s="31">
        <v>45727</v>
      </c>
      <c r="L1367" s="31">
        <v>45729</v>
      </c>
      <c r="M1367" s="31">
        <v>45738</v>
      </c>
      <c r="N1367" s="31">
        <v>45739</v>
      </c>
      <c r="O1367" s="2" t="s">
        <v>297</v>
      </c>
    </row>
    <row r="1368" spans="1:15">
      <c r="A1368" s="3">
        <f t="shared" si="22"/>
        <v>1367</v>
      </c>
      <c r="B1368" s="65" t="s">
        <v>2441</v>
      </c>
      <c r="C1368" s="1">
        <v>9731018194</v>
      </c>
      <c r="D1368" s="6"/>
      <c r="E1368" s="3" t="s">
        <v>67</v>
      </c>
      <c r="F1368" s="65" t="s">
        <v>2442</v>
      </c>
      <c r="G1368" s="2" t="s">
        <v>330</v>
      </c>
      <c r="H1368" s="2" t="s">
        <v>77</v>
      </c>
      <c r="I1368" s="37" t="s">
        <v>42</v>
      </c>
      <c r="J1368" s="31">
        <v>45723</v>
      </c>
      <c r="K1368" s="31">
        <v>45726</v>
      </c>
      <c r="L1368" s="31">
        <v>45729</v>
      </c>
      <c r="M1368" s="31">
        <v>45752</v>
      </c>
      <c r="N1368" s="31">
        <v>45748</v>
      </c>
      <c r="O1368" s="2" t="s">
        <v>297</v>
      </c>
    </row>
    <row r="1369" spans="1:15">
      <c r="A1369" s="3">
        <f t="shared" si="22"/>
        <v>1368</v>
      </c>
      <c r="B1369" s="65" t="s">
        <v>2443</v>
      </c>
      <c r="C1369" s="1">
        <v>7569964634</v>
      </c>
      <c r="D1369" s="6"/>
      <c r="E1369" s="3" t="s">
        <v>79</v>
      </c>
      <c r="F1369" s="65" t="s">
        <v>748</v>
      </c>
      <c r="G1369" s="2" t="s">
        <v>416</v>
      </c>
      <c r="H1369" s="2" t="s">
        <v>77</v>
      </c>
      <c r="I1369" s="37" t="s">
        <v>42</v>
      </c>
      <c r="J1369" s="31">
        <v>45723</v>
      </c>
      <c r="K1369" s="31">
        <v>45728</v>
      </c>
      <c r="L1369" s="31"/>
      <c r="M1369" s="31"/>
      <c r="N1369" s="31"/>
      <c r="O1369" s="2" t="s">
        <v>297</v>
      </c>
    </row>
    <row r="1370" spans="1:15">
      <c r="A1370" s="3">
        <f t="shared" si="22"/>
        <v>1369</v>
      </c>
      <c r="B1370" s="65" t="s">
        <v>2444</v>
      </c>
      <c r="C1370" s="1">
        <v>8787674817</v>
      </c>
      <c r="D1370" s="6"/>
      <c r="E1370" s="3" t="s">
        <v>59</v>
      </c>
      <c r="F1370" s="65" t="s">
        <v>1669</v>
      </c>
      <c r="G1370" s="2" t="s">
        <v>764</v>
      </c>
      <c r="H1370" s="2" t="s">
        <v>660</v>
      </c>
      <c r="I1370" s="37" t="s">
        <v>42</v>
      </c>
      <c r="J1370" s="31">
        <v>45723</v>
      </c>
      <c r="K1370" s="31">
        <v>45745</v>
      </c>
      <c r="L1370" s="31"/>
      <c r="M1370" s="31"/>
      <c r="N1370" s="31"/>
      <c r="O1370" s="2" t="s">
        <v>425</v>
      </c>
    </row>
    <row r="1371" spans="1:15">
      <c r="A1371" s="3">
        <f t="shared" si="22"/>
        <v>1370</v>
      </c>
      <c r="B1371" s="65" t="s">
        <v>2445</v>
      </c>
      <c r="C1371" s="1">
        <v>9177776538</v>
      </c>
      <c r="D1371" s="6"/>
      <c r="E1371" s="3" t="s">
        <v>72</v>
      </c>
      <c r="F1371" s="65" t="s">
        <v>2446</v>
      </c>
      <c r="G1371" s="2" t="s">
        <v>16</v>
      </c>
      <c r="H1371" s="2" t="s">
        <v>77</v>
      </c>
      <c r="I1371" s="37" t="s">
        <v>42</v>
      </c>
      <c r="J1371" s="31">
        <v>45723</v>
      </c>
      <c r="K1371" s="31">
        <v>45728</v>
      </c>
      <c r="L1371" s="31">
        <v>45737</v>
      </c>
      <c r="M1371" s="31">
        <v>45747</v>
      </c>
      <c r="N1371" s="31">
        <v>45747</v>
      </c>
      <c r="O1371" s="2" t="s">
        <v>297</v>
      </c>
    </row>
    <row r="1372" spans="1:15">
      <c r="A1372" s="3">
        <f t="shared" si="22"/>
        <v>1371</v>
      </c>
      <c r="B1372" s="65" t="s">
        <v>2447</v>
      </c>
      <c r="C1372" s="1">
        <v>8919940025</v>
      </c>
      <c r="D1372" s="6">
        <v>9912317570</v>
      </c>
      <c r="E1372" s="3" t="s">
        <v>72</v>
      </c>
      <c r="F1372" s="65" t="s">
        <v>2448</v>
      </c>
      <c r="G1372" s="2" t="s">
        <v>424</v>
      </c>
      <c r="H1372" s="2" t="s">
        <v>77</v>
      </c>
      <c r="I1372" s="37" t="s">
        <v>42</v>
      </c>
      <c r="J1372" s="31">
        <v>45723</v>
      </c>
      <c r="K1372" s="31">
        <v>45728</v>
      </c>
      <c r="L1372" s="31"/>
      <c r="M1372" s="31"/>
      <c r="N1372" s="31"/>
      <c r="O1372" s="2" t="s">
        <v>425</v>
      </c>
    </row>
    <row r="1373" spans="1:15">
      <c r="A1373" s="3">
        <f t="shared" si="22"/>
        <v>1372</v>
      </c>
      <c r="B1373" s="65" t="s">
        <v>2449</v>
      </c>
      <c r="C1373" s="1">
        <v>7384489307</v>
      </c>
      <c r="D1373" s="6"/>
      <c r="E1373" s="3" t="s">
        <v>90</v>
      </c>
      <c r="F1373" s="65" t="s">
        <v>2450</v>
      </c>
      <c r="G1373" s="2" t="s">
        <v>424</v>
      </c>
      <c r="H1373" s="3" t="s">
        <v>1432</v>
      </c>
      <c r="I1373" s="37" t="s">
        <v>42</v>
      </c>
      <c r="J1373" s="31">
        <v>45723</v>
      </c>
      <c r="K1373" s="31">
        <v>45727</v>
      </c>
      <c r="L1373" s="31"/>
      <c r="M1373" s="31"/>
      <c r="N1373" s="31"/>
      <c r="O1373" s="2" t="s">
        <v>749</v>
      </c>
    </row>
    <row r="1374" spans="1:15">
      <c r="A1374" s="3">
        <f t="shared" si="22"/>
        <v>1373</v>
      </c>
      <c r="B1374" s="65" t="s">
        <v>2451</v>
      </c>
      <c r="C1374" s="1">
        <v>9701473731</v>
      </c>
      <c r="D1374" s="6"/>
      <c r="E1374" s="3" t="s">
        <v>90</v>
      </c>
      <c r="F1374" s="65" t="s">
        <v>644</v>
      </c>
      <c r="G1374" s="2" t="s">
        <v>424</v>
      </c>
      <c r="H1374" s="3" t="s">
        <v>1432</v>
      </c>
      <c r="I1374" s="37" t="s">
        <v>42</v>
      </c>
      <c r="J1374" s="31">
        <v>45723</v>
      </c>
      <c r="K1374" s="31">
        <v>45727</v>
      </c>
      <c r="L1374" s="31"/>
      <c r="M1374" s="31"/>
      <c r="N1374" s="31"/>
      <c r="O1374" s="2" t="s">
        <v>749</v>
      </c>
    </row>
    <row r="1375" spans="1:15">
      <c r="A1375" s="3">
        <f t="shared" si="22"/>
        <v>1374</v>
      </c>
      <c r="B1375" s="114" t="s">
        <v>2452</v>
      </c>
      <c r="C1375" s="1">
        <v>8167640880</v>
      </c>
      <c r="D1375" s="6"/>
      <c r="E1375" s="3" t="s">
        <v>79</v>
      </c>
      <c r="F1375" s="65" t="s">
        <v>308</v>
      </c>
      <c r="G1375" s="2" t="s">
        <v>16</v>
      </c>
      <c r="H1375" s="2" t="s">
        <v>77</v>
      </c>
      <c r="I1375" s="37" t="s">
        <v>42</v>
      </c>
      <c r="J1375" s="31">
        <v>45723</v>
      </c>
      <c r="K1375" s="31">
        <v>45728</v>
      </c>
      <c r="L1375" s="31">
        <v>45731</v>
      </c>
      <c r="M1375" s="31">
        <v>45751</v>
      </c>
      <c r="N1375" s="31">
        <v>45750</v>
      </c>
      <c r="O1375" s="2" t="s">
        <v>297</v>
      </c>
    </row>
    <row r="1376" spans="1:15">
      <c r="A1376" s="3">
        <f t="shared" si="22"/>
        <v>1375</v>
      </c>
      <c r="B1376" s="114" t="s">
        <v>2453</v>
      </c>
      <c r="C1376" s="1">
        <v>8422050251</v>
      </c>
      <c r="D1376" s="6"/>
      <c r="E1376" s="3" t="s">
        <v>79</v>
      </c>
      <c r="F1376" s="65" t="s">
        <v>748</v>
      </c>
      <c r="G1376" s="2" t="s">
        <v>16</v>
      </c>
      <c r="H1376" s="2" t="s">
        <v>77</v>
      </c>
      <c r="I1376" s="37" t="s">
        <v>42</v>
      </c>
      <c r="J1376" s="31">
        <v>45723</v>
      </c>
      <c r="K1376" s="31">
        <v>45728</v>
      </c>
      <c r="L1376" s="31">
        <v>45730</v>
      </c>
      <c r="M1376" s="31">
        <v>45763</v>
      </c>
      <c r="N1376" s="31">
        <v>45763</v>
      </c>
      <c r="O1376" s="2" t="s">
        <v>297</v>
      </c>
    </row>
    <row r="1377" spans="1:15">
      <c r="A1377" s="3">
        <f t="shared" si="22"/>
        <v>1376</v>
      </c>
      <c r="B1377" s="65" t="s">
        <v>2454</v>
      </c>
      <c r="C1377" s="1">
        <v>9493232993</v>
      </c>
      <c r="D1377" s="6"/>
      <c r="E1377" s="3" t="s">
        <v>67</v>
      </c>
      <c r="F1377" s="65" t="s">
        <v>2455</v>
      </c>
      <c r="G1377" s="2" t="s">
        <v>16</v>
      </c>
      <c r="H1377" s="2" t="s">
        <v>77</v>
      </c>
      <c r="I1377" s="37" t="s">
        <v>42</v>
      </c>
      <c r="J1377" s="31">
        <v>45723</v>
      </c>
      <c r="K1377" s="31">
        <v>45728</v>
      </c>
      <c r="L1377" s="31">
        <v>45730</v>
      </c>
      <c r="M1377" s="31">
        <v>45765</v>
      </c>
      <c r="N1377" s="31">
        <v>45765</v>
      </c>
      <c r="O1377" s="2" t="s">
        <v>297</v>
      </c>
    </row>
    <row r="1378" spans="1:15">
      <c r="A1378" s="3">
        <f t="shared" si="22"/>
        <v>1377</v>
      </c>
      <c r="B1378" s="65" t="s">
        <v>2456</v>
      </c>
      <c r="C1378" s="1">
        <v>7989048213</v>
      </c>
      <c r="D1378" s="6">
        <v>6305900583</v>
      </c>
      <c r="E1378" s="3" t="s">
        <v>56</v>
      </c>
      <c r="F1378" s="65" t="s">
        <v>2457</v>
      </c>
      <c r="G1378" s="2" t="s">
        <v>16</v>
      </c>
      <c r="H1378" s="2" t="s">
        <v>660</v>
      </c>
      <c r="I1378" s="37" t="s">
        <v>42</v>
      </c>
      <c r="J1378" s="31">
        <v>45723</v>
      </c>
      <c r="K1378" s="31">
        <v>45730</v>
      </c>
      <c r="L1378" s="31">
        <v>45736</v>
      </c>
      <c r="M1378" s="31">
        <v>45780</v>
      </c>
      <c r="N1378" s="31">
        <v>45780</v>
      </c>
      <c r="O1378" s="2" t="s">
        <v>297</v>
      </c>
    </row>
    <row r="1379" spans="1:15">
      <c r="A1379" s="3">
        <f t="shared" si="22"/>
        <v>1378</v>
      </c>
      <c r="B1379" s="65" t="s">
        <v>2458</v>
      </c>
      <c r="C1379" s="1">
        <v>9704723900</v>
      </c>
      <c r="D1379" s="6">
        <v>8660466203</v>
      </c>
      <c r="E1379" s="3" t="s">
        <v>56</v>
      </c>
      <c r="F1379" s="65" t="s">
        <v>2459</v>
      </c>
      <c r="G1379" s="2" t="s">
        <v>424</v>
      </c>
      <c r="H1379" s="2" t="s">
        <v>660</v>
      </c>
      <c r="I1379" s="37" t="s">
        <v>42</v>
      </c>
      <c r="J1379" s="31">
        <v>45723</v>
      </c>
      <c r="K1379" s="31">
        <v>45730</v>
      </c>
      <c r="L1379" s="31"/>
      <c r="M1379" s="31"/>
      <c r="N1379" s="31"/>
      <c r="O1379" s="2" t="s">
        <v>425</v>
      </c>
    </row>
    <row r="1380" spans="1:15">
      <c r="A1380" s="3">
        <f t="shared" si="22"/>
        <v>1379</v>
      </c>
      <c r="B1380" s="65" t="s">
        <v>2460</v>
      </c>
      <c r="C1380" s="1">
        <v>9490860112</v>
      </c>
      <c r="D1380" s="6"/>
      <c r="E1380" s="3" t="s">
        <v>67</v>
      </c>
      <c r="F1380" s="65" t="s">
        <v>774</v>
      </c>
      <c r="G1380" s="2" t="s">
        <v>16</v>
      </c>
      <c r="H1380" s="2" t="s">
        <v>77</v>
      </c>
      <c r="I1380" s="37" t="s">
        <v>42</v>
      </c>
      <c r="J1380" s="31">
        <v>45723</v>
      </c>
      <c r="K1380" s="31">
        <v>45728</v>
      </c>
      <c r="L1380" s="31">
        <v>45730</v>
      </c>
      <c r="M1380" s="31">
        <v>45765</v>
      </c>
      <c r="N1380" s="31">
        <v>45761</v>
      </c>
      <c r="O1380" s="2" t="s">
        <v>297</v>
      </c>
    </row>
    <row r="1381" spans="1:15">
      <c r="A1381" s="3">
        <f t="shared" si="22"/>
        <v>1380</v>
      </c>
      <c r="B1381" s="65" t="s">
        <v>2461</v>
      </c>
      <c r="C1381" s="1">
        <v>9494844290</v>
      </c>
      <c r="D1381" s="6">
        <v>8328015409</v>
      </c>
      <c r="E1381" s="3" t="s">
        <v>67</v>
      </c>
      <c r="F1381" s="65" t="s">
        <v>972</v>
      </c>
      <c r="G1381" s="2" t="s">
        <v>295</v>
      </c>
      <c r="H1381" s="2" t="s">
        <v>660</v>
      </c>
      <c r="I1381" s="37" t="s">
        <v>42</v>
      </c>
      <c r="J1381" s="31">
        <v>45723</v>
      </c>
      <c r="K1381" s="31">
        <v>45730</v>
      </c>
      <c r="L1381" s="31">
        <v>45736</v>
      </c>
      <c r="M1381" s="31">
        <v>45768</v>
      </c>
      <c r="N1381" s="31"/>
      <c r="O1381" s="2" t="s">
        <v>297</v>
      </c>
    </row>
    <row r="1382" spans="1:15">
      <c r="A1382" s="3">
        <f t="shared" si="22"/>
        <v>1381</v>
      </c>
      <c r="B1382" s="65" t="s">
        <v>2462</v>
      </c>
      <c r="C1382" s="1">
        <v>6301946585</v>
      </c>
      <c r="D1382" s="6"/>
      <c r="E1382" s="3" t="s">
        <v>104</v>
      </c>
      <c r="F1382" s="65" t="s">
        <v>2463</v>
      </c>
      <c r="G1382" s="2" t="s">
        <v>764</v>
      </c>
      <c r="H1382" s="22" t="s">
        <v>102</v>
      </c>
      <c r="I1382" s="37" t="s">
        <v>42</v>
      </c>
      <c r="J1382" s="31">
        <v>45723</v>
      </c>
      <c r="K1382" s="31">
        <v>45728</v>
      </c>
      <c r="L1382" s="31"/>
      <c r="M1382" s="31"/>
      <c r="N1382" s="31"/>
      <c r="O1382" s="2" t="s">
        <v>425</v>
      </c>
    </row>
    <row r="1383" spans="1:15">
      <c r="A1383" s="3">
        <f t="shared" si="22"/>
        <v>1382</v>
      </c>
      <c r="B1383" s="114" t="s">
        <v>2464</v>
      </c>
      <c r="C1383" s="1">
        <v>9642793920</v>
      </c>
      <c r="D1383" s="6"/>
      <c r="E1383" s="3" t="s">
        <v>79</v>
      </c>
      <c r="F1383" s="65" t="s">
        <v>748</v>
      </c>
      <c r="G1383" s="2" t="s">
        <v>16</v>
      </c>
      <c r="H1383" s="2" t="s">
        <v>77</v>
      </c>
      <c r="I1383" s="37" t="s">
        <v>42</v>
      </c>
      <c r="J1383" s="31">
        <v>45723</v>
      </c>
      <c r="K1383" s="31">
        <v>45728</v>
      </c>
      <c r="L1383" s="31">
        <v>45731</v>
      </c>
      <c r="M1383" s="31">
        <v>45768</v>
      </c>
      <c r="N1383" s="31">
        <v>45769</v>
      </c>
      <c r="O1383" s="2" t="s">
        <v>297</v>
      </c>
    </row>
    <row r="1384" spans="1:15">
      <c r="A1384" s="3">
        <f t="shared" si="22"/>
        <v>1383</v>
      </c>
      <c r="B1384" s="115" t="s">
        <v>2465</v>
      </c>
      <c r="C1384" s="1">
        <v>9121959192</v>
      </c>
      <c r="D1384" s="6">
        <v>7569595057</v>
      </c>
      <c r="E1384" s="3" t="s">
        <v>72</v>
      </c>
      <c r="F1384" s="65" t="s">
        <v>2466</v>
      </c>
      <c r="G1384" s="2" t="s">
        <v>330</v>
      </c>
      <c r="H1384" s="2" t="s">
        <v>77</v>
      </c>
      <c r="I1384" s="37" t="s">
        <v>42</v>
      </c>
      <c r="J1384" s="31">
        <v>45723</v>
      </c>
      <c r="K1384" s="31">
        <v>45728</v>
      </c>
      <c r="L1384" s="31">
        <v>45730</v>
      </c>
      <c r="M1384" s="31">
        <v>45768</v>
      </c>
      <c r="N1384" s="31">
        <v>45763</v>
      </c>
      <c r="O1384" s="2" t="s">
        <v>297</v>
      </c>
    </row>
    <row r="1385" spans="1:15">
      <c r="A1385" s="3">
        <f t="shared" si="22"/>
        <v>1384</v>
      </c>
      <c r="B1385" s="65" t="s">
        <v>2467</v>
      </c>
      <c r="C1385" s="1">
        <v>7661053428</v>
      </c>
      <c r="D1385" s="6">
        <v>9704347943</v>
      </c>
      <c r="E1385" s="17" t="s">
        <v>2012</v>
      </c>
      <c r="F1385" s="65" t="s">
        <v>388</v>
      </c>
      <c r="G1385" s="2" t="s">
        <v>16</v>
      </c>
      <c r="H1385" s="2" t="s">
        <v>357</v>
      </c>
      <c r="I1385" s="37" t="s">
        <v>94</v>
      </c>
      <c r="J1385" s="31">
        <v>45719</v>
      </c>
      <c r="K1385" s="31">
        <v>45719</v>
      </c>
      <c r="L1385" s="31">
        <v>45721</v>
      </c>
      <c r="M1385" s="31">
        <v>45735</v>
      </c>
      <c r="N1385" s="31">
        <v>45737</v>
      </c>
      <c r="O1385" s="2" t="s">
        <v>297</v>
      </c>
    </row>
    <row r="1386" spans="1:15">
      <c r="A1386" s="3">
        <f t="shared" si="22"/>
        <v>1385</v>
      </c>
      <c r="B1386" s="65" t="s">
        <v>2468</v>
      </c>
      <c r="C1386" s="1">
        <v>9505701777</v>
      </c>
      <c r="D1386" s="6"/>
      <c r="E1386" s="17" t="s">
        <v>1506</v>
      </c>
      <c r="F1386" s="65" t="s">
        <v>2469</v>
      </c>
      <c r="G1386" s="2" t="s">
        <v>16</v>
      </c>
      <c r="H1386" s="2" t="s">
        <v>361</v>
      </c>
      <c r="I1386" s="37" t="s">
        <v>94</v>
      </c>
      <c r="J1386" s="31">
        <v>45719</v>
      </c>
      <c r="K1386" s="31">
        <v>45719</v>
      </c>
      <c r="L1386" s="31">
        <v>45721</v>
      </c>
      <c r="M1386" s="31">
        <v>45729</v>
      </c>
      <c r="N1386" s="31">
        <v>45731</v>
      </c>
      <c r="O1386" s="2" t="s">
        <v>297</v>
      </c>
    </row>
    <row r="1387" spans="1:15">
      <c r="A1387" s="3">
        <f t="shared" si="22"/>
        <v>1386</v>
      </c>
      <c r="B1387" s="65" t="s">
        <v>2470</v>
      </c>
      <c r="C1387" s="1">
        <v>9199239999</v>
      </c>
      <c r="D1387" s="6"/>
      <c r="E1387" s="17" t="s">
        <v>2471</v>
      </c>
      <c r="F1387" s="65" t="s">
        <v>294</v>
      </c>
      <c r="G1387" s="2" t="s">
        <v>295</v>
      </c>
      <c r="H1387" s="2" t="s">
        <v>296</v>
      </c>
      <c r="I1387" s="37" t="s">
        <v>94</v>
      </c>
      <c r="J1387" s="31">
        <v>45719</v>
      </c>
      <c r="K1387" s="31">
        <v>45719</v>
      </c>
      <c r="L1387" s="31">
        <v>45721</v>
      </c>
      <c r="M1387" s="31">
        <v>45765</v>
      </c>
      <c r="N1387" s="31"/>
      <c r="O1387" s="2" t="s">
        <v>297</v>
      </c>
    </row>
    <row r="1388" spans="1:15">
      <c r="A1388" s="3">
        <f t="shared" si="22"/>
        <v>1387</v>
      </c>
      <c r="B1388" s="65" t="s">
        <v>2472</v>
      </c>
      <c r="C1388" s="1">
        <v>9618797172</v>
      </c>
      <c r="D1388" s="6">
        <v>8125267295</v>
      </c>
      <c r="E1388" s="17" t="s">
        <v>932</v>
      </c>
      <c r="F1388" s="65" t="s">
        <v>2473</v>
      </c>
      <c r="G1388" s="2" t="s">
        <v>330</v>
      </c>
      <c r="H1388" s="2" t="s">
        <v>913</v>
      </c>
      <c r="I1388" s="37" t="s">
        <v>94</v>
      </c>
      <c r="J1388" s="31">
        <v>45719</v>
      </c>
      <c r="K1388" s="31">
        <v>45719</v>
      </c>
      <c r="L1388" s="31">
        <v>45721</v>
      </c>
      <c r="M1388" s="31">
        <v>45790</v>
      </c>
      <c r="N1388" s="31">
        <v>45767</v>
      </c>
      <c r="O1388" s="2" t="s">
        <v>297</v>
      </c>
    </row>
    <row r="1389" spans="1:15">
      <c r="A1389" s="3">
        <f t="shared" si="22"/>
        <v>1388</v>
      </c>
      <c r="B1389" s="65" t="s">
        <v>2474</v>
      </c>
      <c r="C1389" s="1">
        <v>9182113233</v>
      </c>
      <c r="D1389" s="6"/>
      <c r="E1389" s="17" t="s">
        <v>2475</v>
      </c>
      <c r="F1389" s="65" t="s">
        <v>1467</v>
      </c>
      <c r="G1389" s="2" t="s">
        <v>16</v>
      </c>
      <c r="H1389" s="2" t="s">
        <v>487</v>
      </c>
      <c r="I1389" s="37" t="s">
        <v>88</v>
      </c>
      <c r="J1389" s="31">
        <v>45726</v>
      </c>
      <c r="K1389" s="31">
        <v>45727</v>
      </c>
      <c r="L1389" s="31">
        <v>45729</v>
      </c>
      <c r="M1389" s="31">
        <v>45762</v>
      </c>
      <c r="N1389" s="31">
        <v>45762</v>
      </c>
      <c r="O1389" s="2" t="s">
        <v>297</v>
      </c>
    </row>
    <row r="1390" spans="1:15">
      <c r="A1390" s="3">
        <f t="shared" si="22"/>
        <v>1389</v>
      </c>
      <c r="B1390" s="65" t="s">
        <v>881</v>
      </c>
      <c r="C1390" s="1">
        <v>6350168634</v>
      </c>
      <c r="D1390" s="6"/>
      <c r="E1390" s="17" t="s">
        <v>2476</v>
      </c>
      <c r="F1390" s="65" t="s">
        <v>1467</v>
      </c>
      <c r="G1390" s="2" t="s">
        <v>16</v>
      </c>
      <c r="H1390" s="2" t="s">
        <v>487</v>
      </c>
      <c r="I1390" s="37" t="s">
        <v>88</v>
      </c>
      <c r="J1390" s="31">
        <v>45726</v>
      </c>
      <c r="K1390" s="31">
        <v>45727</v>
      </c>
      <c r="L1390" s="31">
        <v>45727</v>
      </c>
      <c r="M1390" s="31">
        <v>45758</v>
      </c>
      <c r="N1390" s="31">
        <v>45758</v>
      </c>
      <c r="O1390" s="2" t="s">
        <v>297</v>
      </c>
    </row>
    <row r="1391" spans="1:15">
      <c r="A1391" s="3">
        <f t="shared" si="22"/>
        <v>1390</v>
      </c>
      <c r="B1391" s="65" t="s">
        <v>2477</v>
      </c>
      <c r="C1391" s="1">
        <v>9515095745</v>
      </c>
      <c r="D1391" s="6">
        <v>9515520683</v>
      </c>
      <c r="E1391" s="17" t="s">
        <v>2260</v>
      </c>
      <c r="F1391" s="65" t="s">
        <v>2261</v>
      </c>
      <c r="G1391" s="2" t="s">
        <v>16</v>
      </c>
      <c r="H1391" s="2" t="s">
        <v>487</v>
      </c>
      <c r="I1391" s="37" t="s">
        <v>88</v>
      </c>
      <c r="J1391" s="31">
        <v>45726</v>
      </c>
      <c r="K1391" s="31">
        <v>45727</v>
      </c>
      <c r="L1391" s="31">
        <v>45727</v>
      </c>
      <c r="M1391" s="31">
        <v>45759</v>
      </c>
      <c r="N1391" s="31">
        <v>45759</v>
      </c>
      <c r="O1391" s="2" t="s">
        <v>297</v>
      </c>
    </row>
    <row r="1392" spans="1:15">
      <c r="A1392" s="3">
        <f t="shared" si="22"/>
        <v>1391</v>
      </c>
      <c r="B1392" s="65" t="s">
        <v>2478</v>
      </c>
      <c r="C1392" s="1">
        <v>9666491490</v>
      </c>
      <c r="D1392" s="6"/>
      <c r="E1392" s="17" t="s">
        <v>2413</v>
      </c>
      <c r="F1392" s="65" t="s">
        <v>1312</v>
      </c>
      <c r="G1392" s="2" t="s">
        <v>424</v>
      </c>
      <c r="H1392" s="2" t="s">
        <v>1186</v>
      </c>
      <c r="I1392" s="37" t="s">
        <v>88</v>
      </c>
      <c r="J1392" s="31">
        <v>45726</v>
      </c>
      <c r="K1392" s="31">
        <v>45740</v>
      </c>
      <c r="L1392" s="31"/>
      <c r="M1392" s="31"/>
      <c r="N1392" s="31"/>
      <c r="O1392" s="2" t="s">
        <v>425</v>
      </c>
    </row>
    <row r="1393" spans="1:15">
      <c r="A1393" s="3">
        <f t="shared" si="22"/>
        <v>1392</v>
      </c>
      <c r="B1393" s="65" t="s">
        <v>2479</v>
      </c>
      <c r="C1393" s="1">
        <v>8978894818</v>
      </c>
      <c r="D1393" s="6"/>
      <c r="E1393" s="17" t="s">
        <v>2413</v>
      </c>
      <c r="F1393" s="65" t="s">
        <v>569</v>
      </c>
      <c r="G1393" s="2" t="s">
        <v>424</v>
      </c>
      <c r="H1393" s="2" t="s">
        <v>1186</v>
      </c>
      <c r="I1393" s="37" t="s">
        <v>88</v>
      </c>
      <c r="J1393" s="31">
        <v>45726</v>
      </c>
      <c r="K1393" s="31">
        <v>45740</v>
      </c>
      <c r="L1393" s="31"/>
      <c r="M1393" s="31"/>
      <c r="N1393" s="31"/>
      <c r="O1393" s="2" t="s">
        <v>425</v>
      </c>
    </row>
    <row r="1394" spans="1:15">
      <c r="A1394" s="3">
        <f t="shared" si="22"/>
        <v>1393</v>
      </c>
      <c r="B1394" s="65" t="s">
        <v>2480</v>
      </c>
      <c r="C1394" s="1">
        <v>7095413750</v>
      </c>
      <c r="D1394" s="6"/>
      <c r="E1394" s="17" t="s">
        <v>2481</v>
      </c>
      <c r="F1394" s="65" t="s">
        <v>2482</v>
      </c>
      <c r="G1394" s="2" t="s">
        <v>424</v>
      </c>
      <c r="H1394" s="2" t="s">
        <v>1186</v>
      </c>
      <c r="I1394" s="37" t="s">
        <v>88</v>
      </c>
      <c r="J1394" s="31">
        <v>45726</v>
      </c>
      <c r="K1394" s="31">
        <v>45740</v>
      </c>
      <c r="L1394" s="31"/>
      <c r="M1394" s="31"/>
      <c r="N1394" s="31"/>
      <c r="O1394" s="2" t="s">
        <v>425</v>
      </c>
    </row>
    <row r="1395" spans="1:15">
      <c r="A1395" s="3">
        <f t="shared" si="22"/>
        <v>1394</v>
      </c>
      <c r="B1395" s="65" t="s">
        <v>2483</v>
      </c>
      <c r="C1395" s="1">
        <v>7388034842</v>
      </c>
      <c r="D1395" s="6"/>
      <c r="E1395" s="17" t="s">
        <v>1558</v>
      </c>
      <c r="F1395" s="65" t="s">
        <v>2484</v>
      </c>
      <c r="G1395" s="2" t="s">
        <v>16</v>
      </c>
      <c r="H1395" s="2" t="s">
        <v>815</v>
      </c>
      <c r="I1395" s="37" t="s">
        <v>94</v>
      </c>
      <c r="J1395" s="31">
        <v>45724</v>
      </c>
      <c r="K1395" s="31">
        <v>45724</v>
      </c>
      <c r="L1395" s="31">
        <v>45727</v>
      </c>
      <c r="M1395" s="31">
        <v>45752</v>
      </c>
      <c r="N1395" s="31">
        <v>45751</v>
      </c>
      <c r="O1395" s="2" t="s">
        <v>297</v>
      </c>
    </row>
    <row r="1396" spans="1:15">
      <c r="A1396" s="3">
        <f t="shared" si="22"/>
        <v>1395</v>
      </c>
      <c r="B1396" s="65" t="s">
        <v>2485</v>
      </c>
      <c r="C1396" s="1">
        <v>6295291282</v>
      </c>
      <c r="D1396" s="6">
        <v>9733363866</v>
      </c>
      <c r="E1396" s="17" t="s">
        <v>1108</v>
      </c>
      <c r="F1396" s="65" t="s">
        <v>825</v>
      </c>
      <c r="G1396" s="2" t="s">
        <v>16</v>
      </c>
      <c r="H1396" s="2" t="s">
        <v>815</v>
      </c>
      <c r="I1396" s="37" t="s">
        <v>94</v>
      </c>
      <c r="J1396" s="31">
        <v>45724</v>
      </c>
      <c r="K1396" s="31">
        <v>45724</v>
      </c>
      <c r="L1396" s="31">
        <v>45727</v>
      </c>
      <c r="M1396" s="31">
        <v>45772</v>
      </c>
      <c r="N1396" s="31">
        <v>45772</v>
      </c>
      <c r="O1396" s="2" t="s">
        <v>297</v>
      </c>
    </row>
    <row r="1397" spans="1:15">
      <c r="A1397" s="3">
        <f t="shared" si="22"/>
        <v>1396</v>
      </c>
      <c r="B1397" s="65" t="s">
        <v>2486</v>
      </c>
      <c r="C1397" s="1">
        <v>6389073995</v>
      </c>
      <c r="D1397" s="6"/>
      <c r="E1397" s="17" t="s">
        <v>2487</v>
      </c>
      <c r="F1397" s="65" t="s">
        <v>272</v>
      </c>
      <c r="G1397" s="2" t="s">
        <v>16</v>
      </c>
      <c r="H1397" s="2" t="s">
        <v>815</v>
      </c>
      <c r="I1397" s="37" t="s">
        <v>94</v>
      </c>
      <c r="J1397" s="31">
        <v>45724</v>
      </c>
      <c r="K1397" s="31">
        <v>45724</v>
      </c>
      <c r="L1397" s="31">
        <v>45728</v>
      </c>
      <c r="M1397" s="31">
        <v>45748</v>
      </c>
      <c r="N1397" s="31">
        <v>45736</v>
      </c>
      <c r="O1397" s="2" t="s">
        <v>297</v>
      </c>
    </row>
    <row r="1398" spans="1:15">
      <c r="A1398" s="3">
        <f t="shared" si="22"/>
        <v>1397</v>
      </c>
      <c r="B1398" s="65" t="s">
        <v>2488</v>
      </c>
      <c r="C1398" s="1">
        <v>8790096264</v>
      </c>
      <c r="D1398" s="6"/>
      <c r="E1398" s="3" t="s">
        <v>79</v>
      </c>
      <c r="F1398" s="65" t="s">
        <v>308</v>
      </c>
      <c r="G1398" s="2" t="s">
        <v>424</v>
      </c>
      <c r="H1398" s="2" t="s">
        <v>1436</v>
      </c>
      <c r="I1398" s="37" t="s">
        <v>42</v>
      </c>
      <c r="J1398" s="31">
        <v>45727</v>
      </c>
      <c r="K1398" s="31">
        <v>45731</v>
      </c>
      <c r="L1398" s="31"/>
      <c r="M1398" s="31"/>
      <c r="N1398" s="31"/>
      <c r="O1398" s="2" t="s">
        <v>425</v>
      </c>
    </row>
    <row r="1399" spans="1:15">
      <c r="A1399" s="3">
        <f t="shared" ref="A1399:A1458" si="23">ROW()-1</f>
        <v>1398</v>
      </c>
      <c r="B1399" s="65" t="s">
        <v>2489</v>
      </c>
      <c r="C1399" s="1">
        <v>7904010080</v>
      </c>
      <c r="D1399" s="6"/>
      <c r="E1399" s="3" t="s">
        <v>79</v>
      </c>
      <c r="F1399" s="65" t="s">
        <v>308</v>
      </c>
      <c r="G1399" s="2" t="s">
        <v>18</v>
      </c>
      <c r="H1399" s="2" t="s">
        <v>1436</v>
      </c>
      <c r="I1399" s="37" t="s">
        <v>42</v>
      </c>
      <c r="J1399" s="31">
        <v>45727</v>
      </c>
      <c r="K1399" s="31">
        <v>45731</v>
      </c>
      <c r="L1399" s="31"/>
      <c r="M1399" s="31"/>
      <c r="N1399" s="31"/>
      <c r="O1399" s="2" t="s">
        <v>297</v>
      </c>
    </row>
    <row r="1400" spans="1:15">
      <c r="A1400" s="3">
        <f t="shared" si="23"/>
        <v>1399</v>
      </c>
      <c r="B1400" s="65" t="s">
        <v>2490</v>
      </c>
      <c r="C1400" s="1">
        <v>7396022467</v>
      </c>
      <c r="D1400" s="6"/>
      <c r="E1400" s="3" t="s">
        <v>1023</v>
      </c>
      <c r="F1400" s="65" t="s">
        <v>2491</v>
      </c>
      <c r="G1400" s="2" t="s">
        <v>18</v>
      </c>
      <c r="H1400" s="2" t="s">
        <v>1436</v>
      </c>
      <c r="I1400" s="37" t="s">
        <v>42</v>
      </c>
      <c r="J1400" s="31">
        <v>45727</v>
      </c>
      <c r="K1400" s="31">
        <v>45731</v>
      </c>
      <c r="L1400" s="31"/>
      <c r="M1400" s="31"/>
      <c r="N1400" s="31"/>
      <c r="O1400" s="2" t="s">
        <v>297</v>
      </c>
    </row>
    <row r="1401" spans="1:15">
      <c r="A1401" s="3">
        <f t="shared" si="23"/>
        <v>1400</v>
      </c>
      <c r="B1401" s="115" t="s">
        <v>2492</v>
      </c>
      <c r="C1401" s="1">
        <v>7095345230</v>
      </c>
      <c r="D1401" s="6"/>
      <c r="E1401" s="3" t="s">
        <v>72</v>
      </c>
      <c r="F1401" s="65" t="s">
        <v>333</v>
      </c>
      <c r="G1401" s="2" t="s">
        <v>16</v>
      </c>
      <c r="H1401" s="2" t="s">
        <v>1436</v>
      </c>
      <c r="I1401" s="37" t="s">
        <v>42</v>
      </c>
      <c r="J1401" s="31">
        <v>45727</v>
      </c>
      <c r="K1401" s="31">
        <v>45731</v>
      </c>
      <c r="L1401" s="31">
        <v>45737</v>
      </c>
      <c r="M1401" s="31">
        <v>45796</v>
      </c>
      <c r="N1401" s="31">
        <v>45811</v>
      </c>
      <c r="O1401" s="2" t="s">
        <v>297</v>
      </c>
    </row>
    <row r="1402" spans="1:15">
      <c r="A1402" s="3">
        <f t="shared" si="23"/>
        <v>1401</v>
      </c>
      <c r="B1402" s="65" t="s">
        <v>2493</v>
      </c>
      <c r="C1402" s="1">
        <v>8008314066</v>
      </c>
      <c r="D1402" s="6"/>
      <c r="E1402" s="3" t="s">
        <v>79</v>
      </c>
      <c r="F1402" s="65" t="s">
        <v>1001</v>
      </c>
      <c r="G1402" s="2" t="s">
        <v>424</v>
      </c>
      <c r="H1402" s="2" t="s">
        <v>1436</v>
      </c>
      <c r="I1402" s="37" t="s">
        <v>42</v>
      </c>
      <c r="J1402" s="31">
        <v>45727</v>
      </c>
      <c r="K1402" s="31">
        <v>45731</v>
      </c>
      <c r="L1402" s="31"/>
      <c r="M1402" s="31"/>
      <c r="N1402" s="31"/>
      <c r="O1402" s="2" t="s">
        <v>425</v>
      </c>
    </row>
    <row r="1403" spans="1:15">
      <c r="A1403" s="3">
        <f t="shared" si="23"/>
        <v>1402</v>
      </c>
      <c r="B1403" s="65" t="s">
        <v>2494</v>
      </c>
      <c r="C1403" s="1">
        <v>7488910869</v>
      </c>
      <c r="D1403" s="6"/>
      <c r="E1403" s="3" t="s">
        <v>90</v>
      </c>
      <c r="F1403" s="65" t="s">
        <v>277</v>
      </c>
      <c r="G1403" s="2" t="s">
        <v>16</v>
      </c>
      <c r="H1403" s="2" t="s">
        <v>1436</v>
      </c>
      <c r="I1403" s="37" t="s">
        <v>42</v>
      </c>
      <c r="J1403" s="31">
        <v>45727</v>
      </c>
      <c r="K1403" s="31">
        <v>45731</v>
      </c>
      <c r="L1403" s="31">
        <v>45749</v>
      </c>
      <c r="M1403" s="31">
        <v>45768</v>
      </c>
      <c r="N1403" s="31">
        <v>45770</v>
      </c>
      <c r="O1403" s="2" t="s">
        <v>297</v>
      </c>
    </row>
    <row r="1404" spans="1:15">
      <c r="A1404" s="3">
        <f t="shared" si="23"/>
        <v>1403</v>
      </c>
      <c r="B1404" s="65" t="s">
        <v>2495</v>
      </c>
      <c r="C1404" s="1">
        <v>7095890895</v>
      </c>
      <c r="D1404" s="6"/>
      <c r="E1404" s="3" t="s">
        <v>107</v>
      </c>
      <c r="F1404" s="65" t="s">
        <v>308</v>
      </c>
      <c r="G1404" s="2" t="s">
        <v>764</v>
      </c>
      <c r="H1404" s="2" t="s">
        <v>102</v>
      </c>
      <c r="I1404" s="37" t="s">
        <v>42</v>
      </c>
      <c r="J1404" s="31">
        <v>45727</v>
      </c>
      <c r="K1404" s="31">
        <v>45728</v>
      </c>
      <c r="L1404" s="31"/>
      <c r="M1404" s="31"/>
      <c r="N1404" s="31"/>
      <c r="O1404" s="2" t="s">
        <v>425</v>
      </c>
    </row>
    <row r="1405" spans="1:15">
      <c r="A1405" s="3">
        <f t="shared" si="23"/>
        <v>1404</v>
      </c>
      <c r="B1405" s="65" t="s">
        <v>2496</v>
      </c>
      <c r="C1405" s="1">
        <v>9347726462</v>
      </c>
      <c r="D1405" s="6">
        <v>8177826462</v>
      </c>
      <c r="E1405" s="3" t="s">
        <v>107</v>
      </c>
      <c r="F1405" s="65" t="s">
        <v>2497</v>
      </c>
      <c r="G1405" s="2" t="s">
        <v>764</v>
      </c>
      <c r="H1405" s="2" t="s">
        <v>102</v>
      </c>
      <c r="I1405" s="37" t="s">
        <v>42</v>
      </c>
      <c r="J1405" s="31">
        <v>45727</v>
      </c>
      <c r="K1405" s="31">
        <v>45727</v>
      </c>
      <c r="L1405" s="31"/>
      <c r="M1405" s="31"/>
      <c r="N1405" s="31"/>
      <c r="O1405" s="2" t="s">
        <v>425</v>
      </c>
    </row>
    <row r="1406" spans="1:15">
      <c r="A1406" s="3">
        <f t="shared" si="23"/>
        <v>1405</v>
      </c>
      <c r="B1406" s="65" t="s">
        <v>2498</v>
      </c>
      <c r="C1406" s="1">
        <v>9337600461</v>
      </c>
      <c r="D1406" s="6"/>
      <c r="E1406" s="36" t="s">
        <v>113</v>
      </c>
      <c r="F1406" s="65" t="s">
        <v>2499</v>
      </c>
      <c r="G1406" s="2" t="s">
        <v>16</v>
      </c>
      <c r="H1406" s="2" t="s">
        <v>102</v>
      </c>
      <c r="I1406" s="37" t="s">
        <v>42</v>
      </c>
      <c r="J1406" s="31">
        <v>45727</v>
      </c>
      <c r="K1406" s="31">
        <v>45727</v>
      </c>
      <c r="L1406" s="31">
        <v>45729</v>
      </c>
      <c r="M1406" s="31">
        <v>45740</v>
      </c>
      <c r="N1406" s="31">
        <v>45740</v>
      </c>
      <c r="O1406" s="2" t="s">
        <v>297</v>
      </c>
    </row>
    <row r="1407" spans="1:15">
      <c r="A1407" s="3">
        <f t="shared" si="23"/>
        <v>1406</v>
      </c>
      <c r="B1407" s="65" t="s">
        <v>2500</v>
      </c>
      <c r="C1407" s="1">
        <v>7606859291</v>
      </c>
      <c r="D1407" s="6"/>
      <c r="E1407" s="36" t="s">
        <v>110</v>
      </c>
      <c r="F1407" s="65" t="s">
        <v>2501</v>
      </c>
      <c r="G1407" s="2" t="s">
        <v>18</v>
      </c>
      <c r="H1407" s="2" t="s">
        <v>102</v>
      </c>
      <c r="I1407" s="37" t="s">
        <v>42</v>
      </c>
      <c r="J1407" s="31">
        <v>45727</v>
      </c>
      <c r="K1407" s="31">
        <v>45727</v>
      </c>
      <c r="L1407" s="31"/>
      <c r="M1407" s="31"/>
      <c r="N1407" s="31"/>
      <c r="O1407" s="2" t="s">
        <v>297</v>
      </c>
    </row>
    <row r="1408" spans="1:15">
      <c r="A1408" s="3">
        <f t="shared" si="23"/>
        <v>1407</v>
      </c>
      <c r="B1408" s="65" t="s">
        <v>2502</v>
      </c>
      <c r="C1408" s="1">
        <v>7674858376</v>
      </c>
      <c r="D1408" s="6"/>
      <c r="E1408" s="46" t="s">
        <v>110</v>
      </c>
      <c r="F1408" s="65" t="s">
        <v>2501</v>
      </c>
      <c r="G1408" s="2" t="s">
        <v>16</v>
      </c>
      <c r="H1408" s="2" t="s">
        <v>102</v>
      </c>
      <c r="I1408" s="37" t="s">
        <v>42</v>
      </c>
      <c r="J1408" s="31">
        <v>45727</v>
      </c>
      <c r="K1408" s="31">
        <v>45727</v>
      </c>
      <c r="L1408" s="31">
        <v>45729</v>
      </c>
      <c r="M1408" s="31">
        <v>45757</v>
      </c>
      <c r="N1408" s="31">
        <v>45740</v>
      </c>
      <c r="O1408" s="2" t="s">
        <v>297</v>
      </c>
    </row>
    <row r="1409" spans="1:15">
      <c r="A1409" s="3">
        <f t="shared" si="23"/>
        <v>1408</v>
      </c>
      <c r="B1409" s="65" t="s">
        <v>2503</v>
      </c>
      <c r="C1409" s="1">
        <v>8331801520</v>
      </c>
      <c r="D1409" s="6">
        <v>9493535418</v>
      </c>
      <c r="E1409" s="3" t="s">
        <v>52</v>
      </c>
      <c r="F1409" s="65" t="s">
        <v>972</v>
      </c>
      <c r="G1409" s="2" t="s">
        <v>764</v>
      </c>
      <c r="H1409" s="2" t="s">
        <v>660</v>
      </c>
      <c r="I1409" s="37" t="s">
        <v>42</v>
      </c>
      <c r="J1409" s="31">
        <v>45727</v>
      </c>
      <c r="K1409" s="31">
        <v>45745</v>
      </c>
      <c r="L1409" s="31"/>
      <c r="M1409" s="31"/>
      <c r="N1409" s="31"/>
      <c r="O1409" s="2" t="s">
        <v>425</v>
      </c>
    </row>
    <row r="1410" spans="1:15">
      <c r="A1410" s="3">
        <f t="shared" si="23"/>
        <v>1409</v>
      </c>
      <c r="B1410" s="65" t="s">
        <v>2504</v>
      </c>
      <c r="C1410" s="1">
        <v>9177634275</v>
      </c>
      <c r="D1410" s="6"/>
      <c r="E1410" s="3" t="s">
        <v>52</v>
      </c>
      <c r="F1410" s="65" t="s">
        <v>673</v>
      </c>
      <c r="G1410" s="2" t="s">
        <v>764</v>
      </c>
      <c r="H1410" s="2" t="s">
        <v>660</v>
      </c>
      <c r="I1410" s="37" t="s">
        <v>42</v>
      </c>
      <c r="J1410" s="31">
        <v>45727</v>
      </c>
      <c r="K1410" s="31">
        <v>45745</v>
      </c>
      <c r="L1410" s="31"/>
      <c r="M1410" s="31"/>
      <c r="N1410" s="31"/>
      <c r="O1410" s="2" t="s">
        <v>425</v>
      </c>
    </row>
    <row r="1411" spans="1:15">
      <c r="A1411" s="3">
        <f t="shared" si="23"/>
        <v>1410</v>
      </c>
      <c r="B1411" s="65" t="s">
        <v>2505</v>
      </c>
      <c r="C1411" s="1">
        <v>9959168211</v>
      </c>
      <c r="D1411" s="6"/>
      <c r="E1411" s="3" t="s">
        <v>52</v>
      </c>
      <c r="F1411" s="65" t="s">
        <v>2506</v>
      </c>
      <c r="G1411" s="2" t="s">
        <v>764</v>
      </c>
      <c r="H1411" s="2" t="s">
        <v>660</v>
      </c>
      <c r="I1411" s="37" t="s">
        <v>42</v>
      </c>
      <c r="J1411" s="31">
        <v>45727</v>
      </c>
      <c r="K1411" s="31">
        <v>45737</v>
      </c>
      <c r="L1411" s="31"/>
      <c r="M1411" s="31"/>
      <c r="N1411" s="31"/>
      <c r="O1411" s="2" t="s">
        <v>425</v>
      </c>
    </row>
    <row r="1412" spans="1:15">
      <c r="A1412" s="3">
        <f t="shared" si="23"/>
        <v>1411</v>
      </c>
      <c r="B1412" s="65" t="s">
        <v>2507</v>
      </c>
      <c r="C1412" s="1">
        <v>9940720309</v>
      </c>
      <c r="D1412" s="6"/>
      <c r="E1412" s="3" t="s">
        <v>59</v>
      </c>
      <c r="F1412" s="65" t="s">
        <v>1669</v>
      </c>
      <c r="G1412" s="2" t="s">
        <v>764</v>
      </c>
      <c r="H1412" s="2" t="s">
        <v>660</v>
      </c>
      <c r="I1412" s="37" t="s">
        <v>42</v>
      </c>
      <c r="J1412" s="31">
        <v>45727</v>
      </c>
      <c r="K1412" s="31">
        <v>45793</v>
      </c>
      <c r="L1412" s="31"/>
      <c r="M1412" s="31"/>
      <c r="N1412" s="31"/>
      <c r="O1412" s="2" t="s">
        <v>425</v>
      </c>
    </row>
    <row r="1413" spans="1:15">
      <c r="A1413" s="3">
        <f t="shared" si="23"/>
        <v>1412</v>
      </c>
      <c r="B1413" s="65" t="s">
        <v>2508</v>
      </c>
      <c r="C1413" s="1">
        <v>7780619803</v>
      </c>
      <c r="D1413" s="6">
        <v>7032423449</v>
      </c>
      <c r="E1413" s="3" t="s">
        <v>56</v>
      </c>
      <c r="F1413" s="65" t="s">
        <v>1364</v>
      </c>
      <c r="G1413" s="2" t="s">
        <v>424</v>
      </c>
      <c r="H1413" s="2" t="s">
        <v>660</v>
      </c>
      <c r="I1413" s="37" t="s">
        <v>42</v>
      </c>
      <c r="J1413" s="31">
        <v>45727</v>
      </c>
      <c r="K1413" s="31">
        <v>45733</v>
      </c>
      <c r="L1413" s="31"/>
      <c r="M1413" s="31"/>
      <c r="N1413" s="31"/>
      <c r="O1413" s="2" t="s">
        <v>425</v>
      </c>
    </row>
    <row r="1414" spans="1:15">
      <c r="A1414" s="3">
        <f t="shared" si="23"/>
        <v>1413</v>
      </c>
      <c r="B1414" s="65" t="s">
        <v>2509</v>
      </c>
      <c r="C1414" s="1">
        <v>9033778833</v>
      </c>
      <c r="D1414" s="6"/>
      <c r="E1414" s="3" t="s">
        <v>59</v>
      </c>
      <c r="F1414" s="65" t="s">
        <v>1669</v>
      </c>
      <c r="G1414" s="2" t="s">
        <v>764</v>
      </c>
      <c r="H1414" s="2" t="s">
        <v>660</v>
      </c>
      <c r="I1414" s="37" t="s">
        <v>42</v>
      </c>
      <c r="J1414" s="31">
        <v>45727</v>
      </c>
      <c r="K1414" s="31">
        <v>45737</v>
      </c>
      <c r="L1414" s="31"/>
      <c r="M1414" s="31"/>
      <c r="N1414" s="31"/>
      <c r="O1414" s="2" t="s">
        <v>425</v>
      </c>
    </row>
    <row r="1415" spans="1:15">
      <c r="A1415" s="3">
        <f t="shared" si="23"/>
        <v>1414</v>
      </c>
      <c r="B1415" s="65" t="s">
        <v>2510</v>
      </c>
      <c r="C1415" s="1">
        <v>9989820755</v>
      </c>
      <c r="D1415" s="6"/>
      <c r="E1415" s="14" t="s">
        <v>170</v>
      </c>
      <c r="F1415" s="83" t="s">
        <v>2511</v>
      </c>
      <c r="G1415" s="2" t="s">
        <v>16</v>
      </c>
      <c r="H1415" s="3" t="s">
        <v>162</v>
      </c>
      <c r="I1415" s="37" t="s">
        <v>42</v>
      </c>
      <c r="J1415" s="31">
        <v>45727</v>
      </c>
      <c r="K1415" s="31">
        <v>45727</v>
      </c>
      <c r="L1415" s="31">
        <v>45729</v>
      </c>
      <c r="M1415" s="31">
        <v>45738</v>
      </c>
      <c r="N1415" s="31">
        <v>45740</v>
      </c>
      <c r="O1415" s="2" t="s">
        <v>297</v>
      </c>
    </row>
    <row r="1416" spans="1:15">
      <c r="A1416" s="3">
        <f t="shared" si="23"/>
        <v>1415</v>
      </c>
      <c r="B1416" s="65" t="s">
        <v>2512</v>
      </c>
      <c r="C1416" s="1">
        <v>9926411088</v>
      </c>
      <c r="D1416" s="6">
        <v>9131356043</v>
      </c>
      <c r="E1416" s="17" t="s">
        <v>1148</v>
      </c>
      <c r="F1416" s="65" t="s">
        <v>1935</v>
      </c>
      <c r="G1416" s="2" t="s">
        <v>16</v>
      </c>
      <c r="H1416" s="2" t="s">
        <v>352</v>
      </c>
      <c r="I1416" s="37" t="s">
        <v>94</v>
      </c>
      <c r="J1416" s="31">
        <v>45727</v>
      </c>
      <c r="K1416" s="31">
        <v>45727</v>
      </c>
      <c r="L1416" s="31">
        <v>45731</v>
      </c>
      <c r="M1416" s="31">
        <v>45752</v>
      </c>
      <c r="N1416" s="31">
        <v>45740</v>
      </c>
      <c r="O1416" s="2" t="s">
        <v>297</v>
      </c>
    </row>
    <row r="1417" spans="1:15">
      <c r="A1417" s="3">
        <f t="shared" si="23"/>
        <v>1416</v>
      </c>
      <c r="B1417" s="65" t="s">
        <v>2513</v>
      </c>
      <c r="C1417" s="1">
        <v>9584380322</v>
      </c>
      <c r="D1417" s="6"/>
      <c r="E1417" s="17" t="s">
        <v>1148</v>
      </c>
      <c r="F1417" s="65" t="s">
        <v>2514</v>
      </c>
      <c r="G1417" s="2" t="s">
        <v>16</v>
      </c>
      <c r="H1417" s="2" t="s">
        <v>352</v>
      </c>
      <c r="I1417" s="37" t="s">
        <v>94</v>
      </c>
      <c r="J1417" s="31">
        <v>45727</v>
      </c>
      <c r="K1417" s="31">
        <v>45727</v>
      </c>
      <c r="L1417" s="31">
        <v>45734</v>
      </c>
      <c r="M1417" s="31">
        <v>45768</v>
      </c>
      <c r="N1417" s="31">
        <v>45768</v>
      </c>
      <c r="O1417" s="2" t="s">
        <v>297</v>
      </c>
    </row>
    <row r="1418" spans="1:15">
      <c r="A1418" s="3">
        <f t="shared" si="23"/>
        <v>1417</v>
      </c>
      <c r="B1418" s="65" t="s">
        <v>2515</v>
      </c>
      <c r="C1418" s="1">
        <v>8878091835</v>
      </c>
      <c r="D1418" s="6"/>
      <c r="E1418" s="17" t="s">
        <v>980</v>
      </c>
      <c r="F1418" s="65" t="s">
        <v>1935</v>
      </c>
      <c r="G1418" s="2" t="s">
        <v>16</v>
      </c>
      <c r="H1418" s="2" t="s">
        <v>352</v>
      </c>
      <c r="I1418" s="37" t="s">
        <v>94</v>
      </c>
      <c r="J1418" s="31">
        <v>45727</v>
      </c>
      <c r="K1418" s="31">
        <v>45727</v>
      </c>
      <c r="L1418" s="31">
        <v>45729</v>
      </c>
      <c r="M1418" s="31">
        <v>45750</v>
      </c>
      <c r="N1418" s="31">
        <v>45741</v>
      </c>
      <c r="O1418" s="2" t="s">
        <v>297</v>
      </c>
    </row>
    <row r="1419" spans="1:15">
      <c r="A1419" s="3">
        <f t="shared" si="23"/>
        <v>1418</v>
      </c>
      <c r="B1419" s="65" t="s">
        <v>2516</v>
      </c>
      <c r="C1419" s="1">
        <v>7999645551</v>
      </c>
      <c r="D1419" s="6"/>
      <c r="E1419" s="17" t="s">
        <v>350</v>
      </c>
      <c r="F1419" s="65" t="s">
        <v>1935</v>
      </c>
      <c r="G1419" s="2" t="s">
        <v>16</v>
      </c>
      <c r="H1419" s="2" t="s">
        <v>352</v>
      </c>
      <c r="I1419" s="37" t="s">
        <v>94</v>
      </c>
      <c r="J1419" s="31">
        <v>45727</v>
      </c>
      <c r="K1419" s="31">
        <v>45727</v>
      </c>
      <c r="L1419" s="31">
        <v>45731</v>
      </c>
      <c r="M1419" s="31">
        <v>45738</v>
      </c>
      <c r="N1419" s="31">
        <v>45742</v>
      </c>
      <c r="O1419" s="2" t="s">
        <v>297</v>
      </c>
    </row>
    <row r="1420" spans="1:15">
      <c r="A1420" s="3">
        <f t="shared" si="23"/>
        <v>1419</v>
      </c>
      <c r="B1420" s="65" t="s">
        <v>2517</v>
      </c>
      <c r="C1420" s="1">
        <v>9966153858</v>
      </c>
      <c r="D1420" s="6"/>
      <c r="E1420" s="17" t="s">
        <v>2518</v>
      </c>
      <c r="F1420" s="65" t="s">
        <v>406</v>
      </c>
      <c r="G1420" s="2" t="s">
        <v>424</v>
      </c>
      <c r="H1420" s="2" t="s">
        <v>815</v>
      </c>
      <c r="I1420" s="37" t="s">
        <v>88</v>
      </c>
      <c r="J1420" s="31">
        <v>45727</v>
      </c>
      <c r="K1420" s="31">
        <v>45743</v>
      </c>
      <c r="L1420" s="31"/>
      <c r="M1420" s="31"/>
      <c r="N1420" s="31"/>
      <c r="O1420" s="2" t="s">
        <v>425</v>
      </c>
    </row>
    <row r="1421" spans="1:15">
      <c r="A1421" s="3">
        <f t="shared" si="23"/>
        <v>1420</v>
      </c>
      <c r="B1421" s="65" t="s">
        <v>2519</v>
      </c>
      <c r="C1421" s="1">
        <v>8886106120</v>
      </c>
      <c r="D1421" s="6"/>
      <c r="E1421" s="17" t="s">
        <v>2481</v>
      </c>
      <c r="F1421" s="65" t="s">
        <v>308</v>
      </c>
      <c r="G1421" s="2" t="s">
        <v>424</v>
      </c>
      <c r="H1421" s="2" t="s">
        <v>1186</v>
      </c>
      <c r="I1421" s="37" t="s">
        <v>88</v>
      </c>
      <c r="J1421" s="31">
        <v>45727</v>
      </c>
      <c r="K1421" s="31">
        <v>45730</v>
      </c>
      <c r="L1421" s="31"/>
      <c r="M1421" s="31"/>
      <c r="N1421" s="31"/>
      <c r="O1421" s="2" t="s">
        <v>425</v>
      </c>
    </row>
    <row r="1422" spans="1:15">
      <c r="A1422" s="3">
        <f t="shared" si="23"/>
        <v>1421</v>
      </c>
      <c r="B1422" s="65" t="s">
        <v>2520</v>
      </c>
      <c r="C1422" s="1">
        <v>8143242562</v>
      </c>
      <c r="D1422" s="6"/>
      <c r="E1422" s="17" t="s">
        <v>1795</v>
      </c>
      <c r="F1422" s="65" t="s">
        <v>451</v>
      </c>
      <c r="G1422" s="2" t="s">
        <v>16</v>
      </c>
      <c r="H1422" s="2" t="s">
        <v>1186</v>
      </c>
      <c r="I1422" s="37" t="s">
        <v>88</v>
      </c>
      <c r="J1422" s="31">
        <v>45727</v>
      </c>
      <c r="K1422" s="31">
        <v>45730</v>
      </c>
      <c r="L1422" s="31">
        <v>45735</v>
      </c>
      <c r="M1422" s="31">
        <v>45854</v>
      </c>
      <c r="N1422" s="31">
        <v>45854</v>
      </c>
      <c r="O1422" s="2" t="s">
        <v>297</v>
      </c>
    </row>
    <row r="1423" spans="1:15">
      <c r="A1423" s="3">
        <f t="shared" si="23"/>
        <v>1422</v>
      </c>
      <c r="B1423" s="65" t="s">
        <v>2521</v>
      </c>
      <c r="C1423" s="1">
        <v>8886121770</v>
      </c>
      <c r="D1423" s="6"/>
      <c r="E1423" s="17" t="s">
        <v>2413</v>
      </c>
      <c r="F1423" s="65" t="s">
        <v>569</v>
      </c>
      <c r="G1423" s="2" t="s">
        <v>16</v>
      </c>
      <c r="H1423" s="2" t="s">
        <v>1186</v>
      </c>
      <c r="I1423" s="37" t="s">
        <v>88</v>
      </c>
      <c r="J1423" s="31">
        <v>45727</v>
      </c>
      <c r="K1423" s="31">
        <v>45729</v>
      </c>
      <c r="L1423" s="31">
        <v>45735</v>
      </c>
      <c r="M1423" s="31">
        <v>45901</v>
      </c>
      <c r="N1423" s="31">
        <v>45901</v>
      </c>
      <c r="O1423" s="2" t="s">
        <v>297</v>
      </c>
    </row>
    <row r="1424" spans="1:15">
      <c r="A1424" s="3">
        <f t="shared" si="23"/>
        <v>1423</v>
      </c>
      <c r="B1424" s="65" t="s">
        <v>2522</v>
      </c>
      <c r="C1424" s="1">
        <v>9963722727</v>
      </c>
      <c r="D1424" s="6"/>
      <c r="E1424" s="17" t="s">
        <v>2413</v>
      </c>
      <c r="F1424" s="65" t="s">
        <v>569</v>
      </c>
      <c r="G1424" s="2" t="s">
        <v>424</v>
      </c>
      <c r="H1424" s="2" t="s">
        <v>1186</v>
      </c>
      <c r="I1424" s="37" t="s">
        <v>88</v>
      </c>
      <c r="J1424" s="31">
        <v>45727</v>
      </c>
      <c r="K1424" s="31">
        <v>45730</v>
      </c>
      <c r="L1424" s="31"/>
      <c r="M1424" s="31"/>
      <c r="N1424" s="31"/>
      <c r="O1424" s="2" t="s">
        <v>425</v>
      </c>
    </row>
    <row r="1425" spans="1:15">
      <c r="A1425" s="3">
        <f t="shared" si="23"/>
        <v>1424</v>
      </c>
      <c r="B1425" s="65" t="s">
        <v>2523</v>
      </c>
      <c r="C1425" s="1">
        <v>8332921503</v>
      </c>
      <c r="D1425" s="6"/>
      <c r="E1425" s="17" t="s">
        <v>2413</v>
      </c>
      <c r="F1425" s="65" t="s">
        <v>2473</v>
      </c>
      <c r="G1425" s="2" t="s">
        <v>295</v>
      </c>
      <c r="H1425" s="2" t="s">
        <v>1186</v>
      </c>
      <c r="I1425" s="37" t="s">
        <v>88</v>
      </c>
      <c r="J1425" s="31">
        <v>45727</v>
      </c>
      <c r="K1425" s="31">
        <v>45730</v>
      </c>
      <c r="L1425" s="31">
        <v>45736</v>
      </c>
      <c r="M1425" s="31">
        <v>45854</v>
      </c>
      <c r="N1425" s="31"/>
      <c r="O1425" s="2" t="s">
        <v>297</v>
      </c>
    </row>
    <row r="1426" spans="1:15">
      <c r="A1426" s="3">
        <f t="shared" si="23"/>
        <v>1425</v>
      </c>
      <c r="B1426" s="65" t="s">
        <v>2524</v>
      </c>
      <c r="C1426" s="1">
        <v>7893488466</v>
      </c>
      <c r="D1426" s="6"/>
      <c r="E1426" s="17" t="s">
        <v>2413</v>
      </c>
      <c r="F1426" s="65" t="s">
        <v>569</v>
      </c>
      <c r="G1426" s="2" t="s">
        <v>424</v>
      </c>
      <c r="H1426" s="2" t="s">
        <v>1186</v>
      </c>
      <c r="I1426" s="37" t="s">
        <v>88</v>
      </c>
      <c r="J1426" s="31">
        <v>45727</v>
      </c>
      <c r="K1426" s="31">
        <v>45730</v>
      </c>
      <c r="L1426" s="31"/>
      <c r="M1426" s="31"/>
      <c r="N1426" s="31"/>
      <c r="O1426" s="2" t="s">
        <v>425</v>
      </c>
    </row>
    <row r="1427" spans="1:15">
      <c r="A1427" s="3">
        <f t="shared" si="23"/>
        <v>1426</v>
      </c>
      <c r="B1427" s="65" t="s">
        <v>2525</v>
      </c>
      <c r="C1427" s="1">
        <v>9893538788</v>
      </c>
      <c r="D1427" s="6"/>
      <c r="E1427" s="17" t="s">
        <v>971</v>
      </c>
      <c r="F1427" s="65" t="s">
        <v>2526</v>
      </c>
      <c r="G1427" s="2" t="s">
        <v>424</v>
      </c>
      <c r="H1427" s="2" t="s">
        <v>41</v>
      </c>
      <c r="I1427" s="37" t="s">
        <v>42</v>
      </c>
      <c r="J1427" s="31">
        <v>45724</v>
      </c>
      <c r="K1427" s="31">
        <v>45724</v>
      </c>
      <c r="L1427" s="31"/>
      <c r="M1427" s="31"/>
      <c r="N1427" s="31"/>
      <c r="O1427" s="2" t="s">
        <v>425</v>
      </c>
    </row>
    <row r="1428" spans="1:15">
      <c r="A1428" s="3">
        <f t="shared" si="23"/>
        <v>1427</v>
      </c>
      <c r="B1428" s="65" t="s">
        <v>2527</v>
      </c>
      <c r="C1428" s="1">
        <v>8074597419</v>
      </c>
      <c r="D1428" s="6"/>
      <c r="E1428" s="17" t="s">
        <v>1074</v>
      </c>
      <c r="F1428" s="65" t="s">
        <v>275</v>
      </c>
      <c r="G1428" s="2" t="s">
        <v>416</v>
      </c>
      <c r="H1428" s="2" t="s">
        <v>41</v>
      </c>
      <c r="I1428" s="37" t="s">
        <v>42</v>
      </c>
      <c r="J1428" s="31">
        <v>45724</v>
      </c>
      <c r="K1428" s="31">
        <v>45724</v>
      </c>
      <c r="L1428" s="31"/>
      <c r="M1428" s="31"/>
      <c r="N1428" s="31"/>
      <c r="O1428" s="2" t="s">
        <v>297</v>
      </c>
    </row>
    <row r="1429" spans="1:15">
      <c r="A1429" s="3">
        <f t="shared" si="23"/>
        <v>1428</v>
      </c>
      <c r="B1429" s="65" t="s">
        <v>2465</v>
      </c>
      <c r="C1429" s="1">
        <v>9502527875</v>
      </c>
      <c r="D1429" s="6"/>
      <c r="E1429" s="17" t="s">
        <v>1074</v>
      </c>
      <c r="F1429" s="65" t="s">
        <v>275</v>
      </c>
      <c r="G1429" s="2" t="s">
        <v>330</v>
      </c>
      <c r="H1429" s="2" t="s">
        <v>41</v>
      </c>
      <c r="I1429" s="4" t="s">
        <v>94</v>
      </c>
      <c r="J1429" s="31">
        <v>45724</v>
      </c>
      <c r="K1429" s="31">
        <v>45724</v>
      </c>
      <c r="L1429" s="31">
        <v>45793</v>
      </c>
      <c r="M1429" s="31">
        <v>45842</v>
      </c>
      <c r="N1429" s="31"/>
      <c r="O1429" s="2" t="s">
        <v>297</v>
      </c>
    </row>
    <row r="1430" spans="1:15">
      <c r="A1430" s="3">
        <f t="shared" si="23"/>
        <v>1429</v>
      </c>
      <c r="B1430" s="65" t="s">
        <v>2528</v>
      </c>
      <c r="C1430" s="1">
        <v>7729896300</v>
      </c>
      <c r="D1430" s="6"/>
      <c r="E1430" s="36" t="s">
        <v>110</v>
      </c>
      <c r="F1430" s="65" t="s">
        <v>2463</v>
      </c>
      <c r="G1430" s="2" t="s">
        <v>416</v>
      </c>
      <c r="H1430" s="2" t="s">
        <v>102</v>
      </c>
      <c r="I1430" s="37" t="s">
        <v>42</v>
      </c>
      <c r="J1430" s="31">
        <v>45728</v>
      </c>
      <c r="K1430" s="31">
        <v>45728</v>
      </c>
      <c r="L1430" s="31"/>
      <c r="M1430" s="31"/>
      <c r="N1430" s="31"/>
      <c r="O1430" s="2" t="s">
        <v>297</v>
      </c>
    </row>
    <row r="1431" spans="1:15">
      <c r="A1431" s="3">
        <f t="shared" si="23"/>
        <v>1430</v>
      </c>
      <c r="B1431" s="65" t="s">
        <v>2529</v>
      </c>
      <c r="C1431" s="1">
        <v>9692010493</v>
      </c>
      <c r="D1431" s="6"/>
      <c r="E1431" s="36" t="s">
        <v>113</v>
      </c>
      <c r="F1431" s="65" t="s">
        <v>2530</v>
      </c>
      <c r="G1431" s="2" t="s">
        <v>16</v>
      </c>
      <c r="H1431" s="2" t="s">
        <v>102</v>
      </c>
      <c r="I1431" s="37" t="s">
        <v>42</v>
      </c>
      <c r="J1431" s="31">
        <v>45728</v>
      </c>
      <c r="K1431" s="31">
        <v>45728</v>
      </c>
      <c r="L1431" s="31">
        <v>45737</v>
      </c>
      <c r="M1431" s="31">
        <v>45758</v>
      </c>
      <c r="N1431" s="31">
        <v>45758</v>
      </c>
      <c r="O1431" s="2" t="s">
        <v>297</v>
      </c>
    </row>
    <row r="1432" spans="1:15">
      <c r="A1432" s="3">
        <f t="shared" si="23"/>
        <v>1431</v>
      </c>
      <c r="B1432" s="65" t="s">
        <v>2531</v>
      </c>
      <c r="C1432" s="1">
        <v>7286066892</v>
      </c>
      <c r="D1432" s="6"/>
      <c r="E1432" s="3" t="s">
        <v>82</v>
      </c>
      <c r="F1432" s="65" t="s">
        <v>319</v>
      </c>
      <c r="G1432" s="2" t="s">
        <v>416</v>
      </c>
      <c r="H1432" s="2" t="s">
        <v>1436</v>
      </c>
      <c r="I1432" s="37" t="s">
        <v>42</v>
      </c>
      <c r="J1432" s="31">
        <v>45728</v>
      </c>
      <c r="K1432" s="31">
        <v>45751</v>
      </c>
      <c r="L1432" s="31"/>
      <c r="M1432" s="31"/>
      <c r="N1432" s="31"/>
      <c r="O1432" s="2" t="s">
        <v>297</v>
      </c>
    </row>
    <row r="1433" spans="1:15">
      <c r="A1433" s="3">
        <f t="shared" si="23"/>
        <v>1432</v>
      </c>
      <c r="B1433" s="114" t="s">
        <v>2532</v>
      </c>
      <c r="C1433" s="1">
        <v>9949102378</v>
      </c>
      <c r="D1433" s="6">
        <v>8464993811</v>
      </c>
      <c r="E1433" s="17" t="s">
        <v>85</v>
      </c>
      <c r="F1433" s="65" t="s">
        <v>308</v>
      </c>
      <c r="G1433" s="2" t="s">
        <v>295</v>
      </c>
      <c r="H1433" s="2" t="s">
        <v>1436</v>
      </c>
      <c r="I1433" s="37" t="s">
        <v>42</v>
      </c>
      <c r="J1433" s="31">
        <v>45728</v>
      </c>
      <c r="K1433" s="31">
        <v>45734</v>
      </c>
      <c r="L1433" s="31">
        <v>45741</v>
      </c>
      <c r="M1433" s="31">
        <v>45782</v>
      </c>
      <c r="N1433" s="31"/>
      <c r="O1433" s="2" t="s">
        <v>297</v>
      </c>
    </row>
    <row r="1434" spans="1:15">
      <c r="A1434" s="3">
        <f t="shared" si="23"/>
        <v>1433</v>
      </c>
      <c r="B1434" s="116" t="s">
        <v>2533</v>
      </c>
      <c r="C1434" s="1">
        <v>8328221287</v>
      </c>
      <c r="D1434" s="6"/>
      <c r="E1434" s="17" t="s">
        <v>573</v>
      </c>
      <c r="F1434" s="65" t="s">
        <v>2534</v>
      </c>
      <c r="G1434" s="2" t="s">
        <v>330</v>
      </c>
      <c r="H1434" s="2" t="s">
        <v>2535</v>
      </c>
      <c r="I1434" s="37" t="s">
        <v>94</v>
      </c>
      <c r="J1434" s="31">
        <v>45728</v>
      </c>
      <c r="K1434" s="31">
        <v>45729</v>
      </c>
      <c r="L1434" s="31">
        <v>45736</v>
      </c>
      <c r="M1434" s="31">
        <v>45768</v>
      </c>
      <c r="N1434" s="31">
        <v>45770</v>
      </c>
      <c r="O1434" s="2" t="s">
        <v>297</v>
      </c>
    </row>
    <row r="1435" spans="1:15">
      <c r="A1435" s="3">
        <f t="shared" si="23"/>
        <v>1434</v>
      </c>
      <c r="B1435" s="65" t="s">
        <v>2536</v>
      </c>
      <c r="C1435" s="1">
        <v>9009658152</v>
      </c>
      <c r="D1435" s="6"/>
      <c r="E1435" s="3" t="s">
        <v>1023</v>
      </c>
      <c r="F1435" s="65" t="s">
        <v>2534</v>
      </c>
      <c r="G1435" s="2" t="s">
        <v>16</v>
      </c>
      <c r="H1435" s="2" t="s">
        <v>2535</v>
      </c>
      <c r="I1435" s="37" t="s">
        <v>94</v>
      </c>
      <c r="J1435" s="31">
        <v>45728</v>
      </c>
      <c r="K1435" s="31">
        <v>45729</v>
      </c>
      <c r="L1435" s="31">
        <v>45744</v>
      </c>
      <c r="M1435" s="31">
        <v>45792</v>
      </c>
      <c r="N1435" s="31">
        <v>45777</v>
      </c>
      <c r="O1435" s="2" t="s">
        <v>297</v>
      </c>
    </row>
    <row r="1436" spans="1:15">
      <c r="A1436" s="3">
        <f t="shared" si="23"/>
        <v>1435</v>
      </c>
      <c r="B1436" s="116" t="s">
        <v>2537</v>
      </c>
      <c r="C1436" s="1">
        <v>9424975428</v>
      </c>
      <c r="D1436" s="6"/>
      <c r="E1436" s="17" t="s">
        <v>573</v>
      </c>
      <c r="F1436" s="65" t="s">
        <v>2538</v>
      </c>
      <c r="G1436" s="3" t="s">
        <v>295</v>
      </c>
      <c r="H1436" s="2" t="s">
        <v>2535</v>
      </c>
      <c r="I1436" s="37" t="s">
        <v>94</v>
      </c>
      <c r="J1436" s="31">
        <v>45728</v>
      </c>
      <c r="K1436" s="31">
        <v>45729</v>
      </c>
      <c r="L1436" s="31">
        <v>45765</v>
      </c>
      <c r="M1436" s="31">
        <v>45786</v>
      </c>
      <c r="N1436" s="31"/>
      <c r="O1436" s="2" t="s">
        <v>297</v>
      </c>
    </row>
    <row r="1437" spans="1:15">
      <c r="A1437" s="3">
        <f t="shared" si="23"/>
        <v>1436</v>
      </c>
      <c r="B1437" s="116" t="s">
        <v>2539</v>
      </c>
      <c r="C1437" s="1">
        <v>8052662029</v>
      </c>
      <c r="D1437" s="6"/>
      <c r="E1437" s="17" t="s">
        <v>573</v>
      </c>
      <c r="F1437" s="65" t="s">
        <v>2538</v>
      </c>
      <c r="G1437" s="2" t="s">
        <v>16</v>
      </c>
      <c r="H1437" s="2" t="s">
        <v>2535</v>
      </c>
      <c r="I1437" s="37" t="s">
        <v>94</v>
      </c>
      <c r="J1437" s="31">
        <v>45728</v>
      </c>
      <c r="K1437" s="31">
        <v>45729</v>
      </c>
      <c r="L1437" s="31">
        <v>45744</v>
      </c>
      <c r="M1437" s="31">
        <v>45798</v>
      </c>
      <c r="N1437" s="31">
        <v>45800</v>
      </c>
      <c r="O1437" s="2" t="s">
        <v>297</v>
      </c>
    </row>
    <row r="1438" spans="1:15">
      <c r="A1438" s="3">
        <f t="shared" si="23"/>
        <v>1437</v>
      </c>
      <c r="B1438" s="116" t="s">
        <v>2540</v>
      </c>
      <c r="C1438" s="1">
        <v>6387117991</v>
      </c>
      <c r="D1438" s="6"/>
      <c r="E1438" s="3" t="s">
        <v>622</v>
      </c>
      <c r="F1438" s="65" t="s">
        <v>2534</v>
      </c>
      <c r="G1438" s="2" t="s">
        <v>16</v>
      </c>
      <c r="H1438" s="2" t="s">
        <v>2535</v>
      </c>
      <c r="I1438" s="37" t="s">
        <v>94</v>
      </c>
      <c r="J1438" s="31">
        <v>45728</v>
      </c>
      <c r="K1438" s="31">
        <v>45729</v>
      </c>
      <c r="L1438" s="31">
        <v>45736</v>
      </c>
      <c r="M1438" s="31">
        <v>45768</v>
      </c>
      <c r="N1438" s="31">
        <v>45770</v>
      </c>
      <c r="O1438" s="2" t="s">
        <v>297</v>
      </c>
    </row>
    <row r="1439" spans="1:15">
      <c r="A1439" s="3">
        <f t="shared" si="23"/>
        <v>1438</v>
      </c>
      <c r="B1439" s="65" t="s">
        <v>2541</v>
      </c>
      <c r="C1439" s="1">
        <v>9981107030</v>
      </c>
      <c r="D1439" s="6"/>
      <c r="E1439" s="17" t="s">
        <v>607</v>
      </c>
      <c r="F1439" s="65" t="s">
        <v>612</v>
      </c>
      <c r="G1439" s="2" t="s">
        <v>330</v>
      </c>
      <c r="H1439" s="2" t="s">
        <v>2535</v>
      </c>
      <c r="I1439" s="37" t="s">
        <v>94</v>
      </c>
      <c r="J1439" s="31">
        <v>45728</v>
      </c>
      <c r="K1439" s="31">
        <v>45729</v>
      </c>
      <c r="L1439" s="31">
        <v>45765</v>
      </c>
      <c r="M1439" s="31">
        <v>45772</v>
      </c>
      <c r="N1439" s="31">
        <v>45775</v>
      </c>
      <c r="O1439" s="32" t="s">
        <v>297</v>
      </c>
    </row>
    <row r="1440" spans="1:15">
      <c r="A1440" s="3">
        <f t="shared" si="23"/>
        <v>1439</v>
      </c>
      <c r="B1440" s="65" t="s">
        <v>2542</v>
      </c>
      <c r="C1440" s="1">
        <v>9748112913</v>
      </c>
      <c r="D1440" s="6"/>
      <c r="E1440" s="17" t="s">
        <v>573</v>
      </c>
      <c r="F1440" s="65" t="s">
        <v>2538</v>
      </c>
      <c r="G1440" s="2" t="s">
        <v>416</v>
      </c>
      <c r="H1440" s="2" t="s">
        <v>2535</v>
      </c>
      <c r="I1440" s="37" t="s">
        <v>94</v>
      </c>
      <c r="J1440" s="31">
        <v>45728</v>
      </c>
      <c r="K1440" s="31">
        <v>45729</v>
      </c>
      <c r="L1440" s="31"/>
      <c r="M1440" s="31"/>
      <c r="N1440" s="31"/>
      <c r="O1440" s="2" t="s">
        <v>297</v>
      </c>
    </row>
    <row r="1441" spans="1:15">
      <c r="A1441" s="3">
        <f t="shared" si="23"/>
        <v>1440</v>
      </c>
      <c r="B1441" s="65" t="s">
        <v>2543</v>
      </c>
      <c r="C1441" s="1">
        <v>9691613519</v>
      </c>
      <c r="D1441" s="6"/>
      <c r="E1441" s="17" t="s">
        <v>573</v>
      </c>
      <c r="F1441" s="65" t="s">
        <v>2534</v>
      </c>
      <c r="G1441" s="2" t="s">
        <v>424</v>
      </c>
      <c r="H1441" s="2" t="s">
        <v>2535</v>
      </c>
      <c r="I1441" s="37" t="s">
        <v>94</v>
      </c>
      <c r="J1441" s="31">
        <v>45728</v>
      </c>
      <c r="K1441" s="31">
        <v>45729</v>
      </c>
      <c r="L1441" s="31"/>
      <c r="M1441" s="31"/>
      <c r="N1441" s="31"/>
      <c r="O1441" s="2" t="s">
        <v>425</v>
      </c>
    </row>
    <row r="1442" spans="1:15">
      <c r="A1442" s="3">
        <f t="shared" si="23"/>
        <v>1441</v>
      </c>
      <c r="B1442" s="65" t="s">
        <v>2544</v>
      </c>
      <c r="C1442" s="1">
        <v>9949472235</v>
      </c>
      <c r="D1442" s="6"/>
      <c r="E1442" s="17" t="s">
        <v>2413</v>
      </c>
      <c r="F1442" s="65" t="s">
        <v>569</v>
      </c>
      <c r="G1442" s="2" t="s">
        <v>295</v>
      </c>
      <c r="H1442" s="2" t="s">
        <v>1186</v>
      </c>
      <c r="I1442" s="37" t="s">
        <v>88</v>
      </c>
      <c r="J1442" s="31">
        <v>45728</v>
      </c>
      <c r="K1442" s="31">
        <v>45736</v>
      </c>
      <c r="L1442" s="31">
        <v>45758</v>
      </c>
      <c r="M1442" s="31">
        <v>45853</v>
      </c>
      <c r="N1442" s="31"/>
      <c r="O1442" s="2" t="s">
        <v>297</v>
      </c>
    </row>
    <row r="1443" spans="1:15">
      <c r="A1443" s="3">
        <f t="shared" si="23"/>
        <v>1442</v>
      </c>
      <c r="B1443" s="65" t="s">
        <v>2545</v>
      </c>
      <c r="C1443" s="1">
        <v>8499839384</v>
      </c>
      <c r="D1443" s="6"/>
      <c r="E1443" s="17" t="s">
        <v>2413</v>
      </c>
      <c r="F1443" s="65" t="s">
        <v>569</v>
      </c>
      <c r="G1443" s="2" t="s">
        <v>16</v>
      </c>
      <c r="H1443" s="2" t="s">
        <v>1186</v>
      </c>
      <c r="I1443" s="37" t="s">
        <v>88</v>
      </c>
      <c r="J1443" s="31">
        <v>45728</v>
      </c>
      <c r="K1443" s="31">
        <v>45730</v>
      </c>
      <c r="L1443" s="31">
        <v>45758</v>
      </c>
      <c r="M1443" s="31">
        <v>45853</v>
      </c>
      <c r="N1443" s="31">
        <v>45853</v>
      </c>
      <c r="O1443" s="2" t="s">
        <v>297</v>
      </c>
    </row>
    <row r="1444" spans="1:15">
      <c r="A1444" s="3">
        <f t="shared" si="23"/>
        <v>1443</v>
      </c>
      <c r="B1444" s="65" t="s">
        <v>2546</v>
      </c>
      <c r="C1444" s="1">
        <v>9177060875</v>
      </c>
      <c r="D1444" s="6"/>
      <c r="E1444" s="17" t="s">
        <v>2547</v>
      </c>
      <c r="F1444" s="65"/>
      <c r="G1444" s="2" t="s">
        <v>14</v>
      </c>
      <c r="H1444" s="2" t="s">
        <v>1296</v>
      </c>
      <c r="I1444" s="37" t="s">
        <v>88</v>
      </c>
      <c r="J1444" s="31">
        <v>45728</v>
      </c>
      <c r="K1444" s="31">
        <v>45728</v>
      </c>
      <c r="L1444" s="31"/>
      <c r="M1444" s="31"/>
      <c r="N1444" s="31"/>
      <c r="O1444" s="2" t="s">
        <v>297</v>
      </c>
    </row>
    <row r="1445" spans="1:15">
      <c r="A1445" s="3">
        <f t="shared" si="23"/>
        <v>1444</v>
      </c>
      <c r="B1445" s="65" t="s">
        <v>2548</v>
      </c>
      <c r="C1445" s="1">
        <v>9391987053</v>
      </c>
      <c r="D1445" s="6"/>
      <c r="E1445" s="17" t="s">
        <v>2416</v>
      </c>
      <c r="F1445" s="65" t="s">
        <v>308</v>
      </c>
      <c r="G1445" s="2" t="s">
        <v>16</v>
      </c>
      <c r="H1445" s="2" t="s">
        <v>788</v>
      </c>
      <c r="I1445" s="37" t="s">
        <v>88</v>
      </c>
      <c r="J1445" s="31">
        <v>45728</v>
      </c>
      <c r="K1445" s="31">
        <v>45728</v>
      </c>
      <c r="L1445" s="31">
        <v>45765</v>
      </c>
      <c r="M1445" s="31">
        <v>45818</v>
      </c>
      <c r="N1445" s="31">
        <v>45818</v>
      </c>
      <c r="O1445" s="2" t="s">
        <v>297</v>
      </c>
    </row>
    <row r="1446" spans="1:15">
      <c r="A1446" s="3">
        <f t="shared" si="23"/>
        <v>1445</v>
      </c>
      <c r="B1446" s="65" t="s">
        <v>2549</v>
      </c>
      <c r="C1446" s="1">
        <v>8332841979</v>
      </c>
      <c r="D1446" s="6"/>
      <c r="E1446" s="17" t="s">
        <v>148</v>
      </c>
      <c r="F1446" s="65" t="s">
        <v>2550</v>
      </c>
      <c r="G1446" s="2" t="s">
        <v>16</v>
      </c>
      <c r="H1446" s="2" t="s">
        <v>42</v>
      </c>
      <c r="I1446" s="37" t="s">
        <v>42</v>
      </c>
      <c r="J1446" s="31">
        <v>45728</v>
      </c>
      <c r="K1446" s="31">
        <v>45728</v>
      </c>
      <c r="L1446" s="31">
        <v>45730</v>
      </c>
      <c r="M1446" s="31">
        <v>45730</v>
      </c>
      <c r="N1446" s="31">
        <v>45730</v>
      </c>
      <c r="O1446" s="2" t="s">
        <v>297</v>
      </c>
    </row>
    <row r="1447" spans="1:15">
      <c r="A1447" s="3">
        <f t="shared" si="23"/>
        <v>1446</v>
      </c>
      <c r="B1447" s="65" t="s">
        <v>2551</v>
      </c>
      <c r="C1447" s="1">
        <v>9000082028</v>
      </c>
      <c r="D1447" s="6"/>
      <c r="E1447" s="17" t="s">
        <v>148</v>
      </c>
      <c r="F1447" s="65" t="s">
        <v>2552</v>
      </c>
      <c r="G1447" s="2" t="s">
        <v>16</v>
      </c>
      <c r="H1447" s="2" t="s">
        <v>2553</v>
      </c>
      <c r="I1447" s="37" t="s">
        <v>42</v>
      </c>
      <c r="J1447" s="31">
        <v>45728</v>
      </c>
      <c r="K1447" s="31">
        <v>45728</v>
      </c>
      <c r="L1447" s="31">
        <v>45733</v>
      </c>
      <c r="M1447" s="31">
        <v>45765</v>
      </c>
      <c r="N1447" s="31">
        <v>45765</v>
      </c>
      <c r="O1447" s="2" t="s">
        <v>297</v>
      </c>
    </row>
    <row r="1448" spans="1:15">
      <c r="A1448" s="3">
        <f t="shared" si="23"/>
        <v>1447</v>
      </c>
      <c r="B1448" s="65" t="s">
        <v>2554</v>
      </c>
      <c r="C1448" s="1">
        <v>9928489290</v>
      </c>
      <c r="D1448" s="6"/>
      <c r="E1448" s="17" t="s">
        <v>2392</v>
      </c>
      <c r="F1448" s="65" t="s">
        <v>294</v>
      </c>
      <c r="G1448" s="3" t="s">
        <v>295</v>
      </c>
      <c r="H1448" s="2" t="s">
        <v>296</v>
      </c>
      <c r="I1448" s="37" t="s">
        <v>94</v>
      </c>
      <c r="J1448" s="31">
        <v>45729</v>
      </c>
      <c r="K1448" s="31">
        <v>45749</v>
      </c>
      <c r="L1448" s="31">
        <v>45751</v>
      </c>
      <c r="M1448" s="31">
        <v>45771</v>
      </c>
      <c r="N1448" s="31"/>
      <c r="O1448" s="2" t="s">
        <v>297</v>
      </c>
    </row>
    <row r="1449" spans="1:15">
      <c r="A1449" s="3">
        <f t="shared" si="23"/>
        <v>1448</v>
      </c>
      <c r="B1449" s="65" t="s">
        <v>1144</v>
      </c>
      <c r="C1449" s="1">
        <v>8081346502</v>
      </c>
      <c r="D1449" s="6"/>
      <c r="E1449" s="17" t="s">
        <v>2389</v>
      </c>
      <c r="F1449" s="65" t="s">
        <v>294</v>
      </c>
      <c r="G1449" s="2" t="s">
        <v>16</v>
      </c>
      <c r="H1449" s="2" t="s">
        <v>296</v>
      </c>
      <c r="I1449" s="37" t="s">
        <v>94</v>
      </c>
      <c r="J1449" s="31">
        <v>45729</v>
      </c>
      <c r="K1449" s="31">
        <v>45736</v>
      </c>
      <c r="L1449" s="31">
        <v>45744</v>
      </c>
      <c r="M1449" s="31">
        <v>45788</v>
      </c>
      <c r="N1449" s="31">
        <v>45788</v>
      </c>
      <c r="O1449" s="2" t="s">
        <v>297</v>
      </c>
    </row>
    <row r="1450" spans="1:15">
      <c r="A1450" s="3">
        <f t="shared" si="23"/>
        <v>1449</v>
      </c>
      <c r="B1450" s="65" t="s">
        <v>2555</v>
      </c>
      <c r="C1450" s="1">
        <v>7063347403</v>
      </c>
      <c r="D1450" s="6">
        <v>9382969578</v>
      </c>
      <c r="E1450" s="17" t="s">
        <v>2389</v>
      </c>
      <c r="F1450" s="65" t="s">
        <v>294</v>
      </c>
      <c r="G1450" s="2" t="s">
        <v>424</v>
      </c>
      <c r="H1450" s="2" t="s">
        <v>296</v>
      </c>
      <c r="I1450" s="37" t="s">
        <v>94</v>
      </c>
      <c r="J1450" s="31">
        <v>45729</v>
      </c>
      <c r="K1450" s="31">
        <v>45748</v>
      </c>
      <c r="L1450" s="31"/>
      <c r="M1450" s="31"/>
      <c r="N1450" s="31"/>
      <c r="O1450" s="2" t="s">
        <v>425</v>
      </c>
    </row>
    <row r="1451" spans="1:15">
      <c r="A1451" s="3">
        <f t="shared" si="23"/>
        <v>1450</v>
      </c>
      <c r="B1451" s="65" t="s">
        <v>2556</v>
      </c>
      <c r="C1451" s="1">
        <v>9398462925</v>
      </c>
      <c r="D1451" s="6"/>
      <c r="E1451" s="17" t="s">
        <v>2389</v>
      </c>
      <c r="F1451" s="65" t="s">
        <v>294</v>
      </c>
      <c r="G1451" s="2" t="s">
        <v>424</v>
      </c>
      <c r="H1451" s="2" t="s">
        <v>296</v>
      </c>
      <c r="I1451" s="37" t="s">
        <v>94</v>
      </c>
      <c r="J1451" s="31">
        <v>45729</v>
      </c>
      <c r="K1451" s="31">
        <v>45748</v>
      </c>
      <c r="L1451" s="31"/>
      <c r="M1451" s="31"/>
      <c r="N1451" s="31"/>
      <c r="O1451" s="2" t="s">
        <v>425</v>
      </c>
    </row>
    <row r="1452" spans="1:15">
      <c r="A1452" s="3">
        <f t="shared" si="23"/>
        <v>1451</v>
      </c>
      <c r="B1452" s="65" t="s">
        <v>2557</v>
      </c>
      <c r="C1452" s="1">
        <v>9971074927</v>
      </c>
      <c r="D1452" s="6"/>
      <c r="E1452" s="17" t="s">
        <v>2389</v>
      </c>
      <c r="F1452" s="65" t="s">
        <v>294</v>
      </c>
      <c r="G1452" s="2" t="s">
        <v>416</v>
      </c>
      <c r="H1452" s="2" t="s">
        <v>296</v>
      </c>
      <c r="I1452" s="37" t="s">
        <v>94</v>
      </c>
      <c r="J1452" s="31">
        <v>45729</v>
      </c>
      <c r="K1452" s="31">
        <v>45748</v>
      </c>
      <c r="L1452" s="31"/>
      <c r="M1452" s="31"/>
      <c r="N1452" s="31"/>
      <c r="O1452" s="2" t="s">
        <v>297</v>
      </c>
    </row>
    <row r="1453" spans="1:15">
      <c r="A1453" s="3">
        <f t="shared" si="23"/>
        <v>1452</v>
      </c>
      <c r="B1453" s="65" t="s">
        <v>2558</v>
      </c>
      <c r="C1453" s="1">
        <v>8877770204</v>
      </c>
      <c r="D1453" s="6">
        <v>7979807593</v>
      </c>
      <c r="E1453" s="17" t="s">
        <v>522</v>
      </c>
      <c r="F1453" s="65" t="s">
        <v>461</v>
      </c>
      <c r="G1453" s="2" t="s">
        <v>330</v>
      </c>
      <c r="H1453" s="2" t="s">
        <v>361</v>
      </c>
      <c r="I1453" s="37" t="s">
        <v>94</v>
      </c>
      <c r="J1453" s="31">
        <v>45729</v>
      </c>
      <c r="K1453" s="31">
        <v>45743</v>
      </c>
      <c r="L1453" s="31">
        <v>45748</v>
      </c>
      <c r="M1453" s="31">
        <v>45768</v>
      </c>
      <c r="N1453" s="31">
        <v>45768</v>
      </c>
      <c r="O1453" s="2" t="s">
        <v>297</v>
      </c>
    </row>
    <row r="1454" spans="1:15">
      <c r="A1454" s="3">
        <f t="shared" si="23"/>
        <v>1453</v>
      </c>
      <c r="B1454" s="65" t="s">
        <v>2559</v>
      </c>
      <c r="C1454" s="1">
        <v>6205710053</v>
      </c>
      <c r="D1454" s="6"/>
      <c r="E1454" s="3" t="s">
        <v>520</v>
      </c>
      <c r="F1454" s="65" t="s">
        <v>461</v>
      </c>
      <c r="G1454" s="2" t="s">
        <v>16</v>
      </c>
      <c r="H1454" s="2" t="s">
        <v>361</v>
      </c>
      <c r="I1454" s="37" t="s">
        <v>94</v>
      </c>
      <c r="J1454" s="31">
        <v>45729</v>
      </c>
      <c r="K1454" s="31">
        <v>45743</v>
      </c>
      <c r="L1454" s="31">
        <v>45748</v>
      </c>
      <c r="M1454" s="31">
        <v>45762</v>
      </c>
      <c r="N1454" s="31">
        <v>45761</v>
      </c>
      <c r="O1454" s="2" t="s">
        <v>297</v>
      </c>
    </row>
    <row r="1455" spans="1:15">
      <c r="A1455" s="3">
        <f t="shared" si="23"/>
        <v>1454</v>
      </c>
      <c r="B1455" s="65" t="s">
        <v>2560</v>
      </c>
      <c r="C1455" s="1">
        <v>6290308491</v>
      </c>
      <c r="D1455" s="6"/>
      <c r="E1455" s="17" t="s">
        <v>522</v>
      </c>
      <c r="F1455" s="65" t="s">
        <v>461</v>
      </c>
      <c r="G1455" s="2" t="s">
        <v>18</v>
      </c>
      <c r="H1455" s="2" t="s">
        <v>361</v>
      </c>
      <c r="I1455" s="37" t="s">
        <v>94</v>
      </c>
      <c r="J1455" s="31">
        <v>45729</v>
      </c>
      <c r="K1455" s="31">
        <v>45743</v>
      </c>
      <c r="L1455" s="31"/>
      <c r="M1455" s="31"/>
      <c r="N1455" s="31"/>
      <c r="O1455" s="2" t="s">
        <v>297</v>
      </c>
    </row>
    <row r="1456" spans="1:15">
      <c r="A1456" s="3">
        <f t="shared" si="23"/>
        <v>1455</v>
      </c>
      <c r="B1456" s="65" t="s">
        <v>2561</v>
      </c>
      <c r="C1456" s="1">
        <v>9667985415</v>
      </c>
      <c r="D1456" s="6"/>
      <c r="E1456" s="17" t="s">
        <v>2562</v>
      </c>
      <c r="F1456" s="65" t="s">
        <v>461</v>
      </c>
      <c r="G1456" s="2" t="s">
        <v>295</v>
      </c>
      <c r="H1456" s="2" t="s">
        <v>361</v>
      </c>
      <c r="I1456" s="37" t="s">
        <v>94</v>
      </c>
      <c r="J1456" s="31">
        <v>45729</v>
      </c>
      <c r="K1456" s="31">
        <v>45743</v>
      </c>
      <c r="L1456" s="31">
        <v>45748</v>
      </c>
      <c r="M1456" s="31">
        <v>45810</v>
      </c>
      <c r="N1456" s="31"/>
      <c r="O1456" s="2" t="s">
        <v>297</v>
      </c>
    </row>
    <row r="1457" spans="1:15">
      <c r="A1457" s="3">
        <f t="shared" si="23"/>
        <v>1456</v>
      </c>
      <c r="B1457" s="65" t="s">
        <v>2563</v>
      </c>
      <c r="C1457" s="1">
        <v>9610346875</v>
      </c>
      <c r="D1457" s="6"/>
      <c r="E1457" s="17" t="s">
        <v>2562</v>
      </c>
      <c r="F1457" s="65" t="s">
        <v>461</v>
      </c>
      <c r="G1457" s="2" t="s">
        <v>18</v>
      </c>
      <c r="H1457" s="2" t="s">
        <v>361</v>
      </c>
      <c r="I1457" s="37" t="s">
        <v>94</v>
      </c>
      <c r="J1457" s="31">
        <v>45729</v>
      </c>
      <c r="K1457" s="31">
        <v>45741</v>
      </c>
      <c r="L1457" s="31"/>
      <c r="M1457" s="31"/>
      <c r="N1457" s="31"/>
      <c r="O1457" s="2" t="s">
        <v>297</v>
      </c>
    </row>
    <row r="1458" spans="1:15">
      <c r="A1458" s="3">
        <f t="shared" si="23"/>
        <v>1457</v>
      </c>
      <c r="B1458" s="65" t="s">
        <v>2564</v>
      </c>
      <c r="C1458" s="1">
        <v>6202871864</v>
      </c>
      <c r="D1458" s="6"/>
      <c r="E1458" s="17" t="s">
        <v>2487</v>
      </c>
      <c r="F1458" s="65" t="s">
        <v>1564</v>
      </c>
      <c r="G1458" s="2" t="s">
        <v>764</v>
      </c>
      <c r="H1458" s="2" t="s">
        <v>815</v>
      </c>
      <c r="I1458" s="37" t="s">
        <v>94</v>
      </c>
      <c r="J1458" s="31">
        <v>45729</v>
      </c>
      <c r="K1458" s="31">
        <v>45743</v>
      </c>
      <c r="L1458" s="31"/>
      <c r="M1458" s="31"/>
      <c r="N1458" s="31"/>
      <c r="O1458" s="2" t="s">
        <v>425</v>
      </c>
    </row>
    <row r="1459" spans="1:15">
      <c r="A1459" s="3">
        <f t="shared" ref="A1459:A1522" si="24">ROW()-1</f>
        <v>1458</v>
      </c>
      <c r="B1459" s="65" t="s">
        <v>2565</v>
      </c>
      <c r="C1459" s="1">
        <v>6291493294</v>
      </c>
      <c r="D1459" s="6"/>
      <c r="E1459" s="17" t="s">
        <v>2487</v>
      </c>
      <c r="F1459" s="65" t="s">
        <v>1564</v>
      </c>
      <c r="G1459" s="2" t="s">
        <v>424</v>
      </c>
      <c r="H1459" s="2" t="s">
        <v>815</v>
      </c>
      <c r="I1459" s="37" t="s">
        <v>94</v>
      </c>
      <c r="J1459" s="31">
        <v>45729</v>
      </c>
      <c r="K1459" s="31">
        <v>45743</v>
      </c>
      <c r="L1459" s="31"/>
      <c r="M1459" s="31"/>
      <c r="N1459" s="31"/>
      <c r="O1459" s="2" t="s">
        <v>425</v>
      </c>
    </row>
    <row r="1460" spans="1:15">
      <c r="A1460" s="3">
        <f t="shared" si="24"/>
        <v>1459</v>
      </c>
      <c r="B1460" s="65" t="s">
        <v>2566</v>
      </c>
      <c r="C1460" s="1">
        <v>9663936844</v>
      </c>
      <c r="D1460" s="6"/>
      <c r="E1460" s="17" t="s">
        <v>2567</v>
      </c>
      <c r="F1460" s="65" t="s">
        <v>1109</v>
      </c>
      <c r="G1460" s="2" t="s">
        <v>18</v>
      </c>
      <c r="H1460" s="2" t="s">
        <v>815</v>
      </c>
      <c r="I1460" s="37" t="s">
        <v>94</v>
      </c>
      <c r="J1460" s="31">
        <v>45729</v>
      </c>
      <c r="K1460" s="31">
        <v>45743</v>
      </c>
      <c r="L1460" s="31">
        <v>45909</v>
      </c>
      <c r="M1460" s="31">
        <v>45924</v>
      </c>
      <c r="N1460" s="31"/>
      <c r="O1460" s="2" t="s">
        <v>297</v>
      </c>
    </row>
    <row r="1461" spans="1:15">
      <c r="A1461" s="3">
        <f t="shared" si="24"/>
        <v>1460</v>
      </c>
      <c r="B1461" s="65" t="s">
        <v>2568</v>
      </c>
      <c r="C1461" s="1">
        <v>7566355995</v>
      </c>
      <c r="D1461" s="6"/>
      <c r="E1461" s="17" t="s">
        <v>1558</v>
      </c>
      <c r="F1461" s="65" t="s">
        <v>1555</v>
      </c>
      <c r="G1461" s="2" t="s">
        <v>416</v>
      </c>
      <c r="H1461" s="2" t="s">
        <v>815</v>
      </c>
      <c r="I1461" s="37" t="s">
        <v>94</v>
      </c>
      <c r="J1461" s="31">
        <v>45729</v>
      </c>
      <c r="K1461" s="31">
        <v>45743</v>
      </c>
      <c r="L1461" s="31"/>
      <c r="M1461" s="31"/>
      <c r="N1461" s="31"/>
      <c r="O1461" s="2" t="s">
        <v>297</v>
      </c>
    </row>
    <row r="1462" spans="1:15">
      <c r="A1462" s="3">
        <f t="shared" si="24"/>
        <v>1461</v>
      </c>
      <c r="B1462" s="65" t="s">
        <v>2569</v>
      </c>
      <c r="C1462" s="1">
        <v>9078114329</v>
      </c>
      <c r="D1462" s="6"/>
      <c r="E1462" s="17" t="s">
        <v>1558</v>
      </c>
      <c r="F1462" s="65" t="s">
        <v>1555</v>
      </c>
      <c r="G1462" s="2" t="s">
        <v>424</v>
      </c>
      <c r="H1462" s="2" t="s">
        <v>815</v>
      </c>
      <c r="I1462" s="37" t="s">
        <v>94</v>
      </c>
      <c r="J1462" s="31">
        <v>45729</v>
      </c>
      <c r="K1462" s="31">
        <v>45743</v>
      </c>
      <c r="L1462" s="31"/>
      <c r="M1462" s="31"/>
      <c r="N1462" s="31"/>
      <c r="O1462" s="2" t="s">
        <v>425</v>
      </c>
    </row>
    <row r="1463" spans="1:15">
      <c r="A1463" s="3">
        <f t="shared" si="24"/>
        <v>1462</v>
      </c>
      <c r="B1463" s="65" t="s">
        <v>2570</v>
      </c>
      <c r="C1463" s="1">
        <v>8107545087</v>
      </c>
      <c r="D1463" s="6"/>
      <c r="E1463" s="17" t="s">
        <v>1497</v>
      </c>
      <c r="F1463" s="65" t="s">
        <v>569</v>
      </c>
      <c r="G1463" s="2" t="s">
        <v>16</v>
      </c>
      <c r="H1463" s="2" t="s">
        <v>913</v>
      </c>
      <c r="I1463" s="37" t="s">
        <v>94</v>
      </c>
      <c r="J1463" s="31">
        <v>45729</v>
      </c>
      <c r="K1463" s="31">
        <v>45763</v>
      </c>
      <c r="L1463" s="31">
        <v>45765</v>
      </c>
      <c r="M1463" s="31">
        <v>45789</v>
      </c>
      <c r="N1463" s="31">
        <v>45788</v>
      </c>
      <c r="O1463" s="2" t="s">
        <v>297</v>
      </c>
    </row>
    <row r="1464" spans="1:15">
      <c r="A1464" s="3">
        <f t="shared" si="24"/>
        <v>1463</v>
      </c>
      <c r="B1464" s="65" t="s">
        <v>2571</v>
      </c>
      <c r="C1464" s="1">
        <v>6386153209</v>
      </c>
      <c r="D1464" s="6"/>
      <c r="E1464" s="17" t="s">
        <v>1497</v>
      </c>
      <c r="F1464" s="65" t="s">
        <v>569</v>
      </c>
      <c r="G1464" s="3" t="s">
        <v>295</v>
      </c>
      <c r="H1464" s="2" t="s">
        <v>913</v>
      </c>
      <c r="I1464" s="37" t="s">
        <v>94</v>
      </c>
      <c r="J1464" s="31">
        <v>45729</v>
      </c>
      <c r="K1464" s="31">
        <v>45763</v>
      </c>
      <c r="L1464" s="31">
        <v>45770</v>
      </c>
      <c r="M1464" s="31">
        <v>45800</v>
      </c>
      <c r="N1464" s="31"/>
      <c r="O1464" s="2" t="s">
        <v>297</v>
      </c>
    </row>
    <row r="1465" spans="1:15">
      <c r="A1465" s="3">
        <f t="shared" si="24"/>
        <v>1464</v>
      </c>
      <c r="B1465" s="65" t="s">
        <v>2572</v>
      </c>
      <c r="C1465" s="1">
        <v>8651863412</v>
      </c>
      <c r="D1465" s="6"/>
      <c r="E1465" s="17" t="s">
        <v>1619</v>
      </c>
      <c r="F1465" s="65" t="s">
        <v>308</v>
      </c>
      <c r="G1465" s="2" t="s">
        <v>424</v>
      </c>
      <c r="H1465" s="2" t="s">
        <v>1186</v>
      </c>
      <c r="I1465" s="37" t="s">
        <v>94</v>
      </c>
      <c r="J1465" s="31">
        <v>45729</v>
      </c>
      <c r="K1465" s="31">
        <v>45736</v>
      </c>
      <c r="L1465" s="31"/>
      <c r="M1465" s="31"/>
      <c r="N1465" s="31"/>
      <c r="O1465" s="2" t="s">
        <v>425</v>
      </c>
    </row>
    <row r="1466" spans="1:15">
      <c r="A1466" s="3">
        <f t="shared" si="24"/>
        <v>1465</v>
      </c>
      <c r="B1466" s="65" t="s">
        <v>2573</v>
      </c>
      <c r="C1466" s="1">
        <v>8084793811</v>
      </c>
      <c r="D1466" s="6"/>
      <c r="E1466" s="17" t="s">
        <v>1619</v>
      </c>
      <c r="F1466" s="65" t="s">
        <v>308</v>
      </c>
      <c r="G1466" s="2" t="s">
        <v>424</v>
      </c>
      <c r="H1466" s="2" t="s">
        <v>1186</v>
      </c>
      <c r="I1466" s="37" t="s">
        <v>94</v>
      </c>
      <c r="J1466" s="31">
        <v>45729</v>
      </c>
      <c r="K1466" s="31">
        <v>45735</v>
      </c>
      <c r="L1466" s="31"/>
      <c r="M1466" s="31"/>
      <c r="N1466" s="31"/>
      <c r="O1466" s="2" t="s">
        <v>425</v>
      </c>
    </row>
    <row r="1467" spans="1:15">
      <c r="A1467" s="3">
        <f t="shared" si="24"/>
        <v>1466</v>
      </c>
      <c r="B1467" s="65" t="s">
        <v>2574</v>
      </c>
      <c r="C1467" s="1">
        <v>9569553937</v>
      </c>
      <c r="D1467" s="6"/>
      <c r="E1467" s="17" t="s">
        <v>2575</v>
      </c>
      <c r="F1467" s="65" t="s">
        <v>308</v>
      </c>
      <c r="G1467" s="2" t="s">
        <v>424</v>
      </c>
      <c r="H1467" s="2" t="s">
        <v>1186</v>
      </c>
      <c r="I1467" s="37" t="s">
        <v>94</v>
      </c>
      <c r="J1467" s="31">
        <v>45729</v>
      </c>
      <c r="K1467" s="31">
        <v>45733</v>
      </c>
      <c r="L1467" s="31"/>
      <c r="M1467" s="31"/>
      <c r="N1467" s="31"/>
      <c r="O1467" s="2" t="s">
        <v>425</v>
      </c>
    </row>
    <row r="1468" spans="1:15">
      <c r="A1468" s="3">
        <f t="shared" si="24"/>
        <v>1467</v>
      </c>
      <c r="B1468" s="65" t="s">
        <v>2576</v>
      </c>
      <c r="C1468" s="1">
        <v>9794042949</v>
      </c>
      <c r="D1468" s="6"/>
      <c r="E1468" s="17" t="s">
        <v>2575</v>
      </c>
      <c r="F1468" s="65" t="s">
        <v>308</v>
      </c>
      <c r="G1468" s="2" t="s">
        <v>424</v>
      </c>
      <c r="H1468" s="2" t="s">
        <v>1186</v>
      </c>
      <c r="I1468" s="37" t="s">
        <v>94</v>
      </c>
      <c r="J1468" s="31">
        <v>45729</v>
      </c>
      <c r="K1468" s="31">
        <v>45735</v>
      </c>
      <c r="L1468" s="31"/>
      <c r="M1468" s="31"/>
      <c r="N1468" s="31"/>
      <c r="O1468" s="2" t="s">
        <v>425</v>
      </c>
    </row>
    <row r="1469" spans="1:15">
      <c r="A1469" s="3">
        <f t="shared" si="24"/>
        <v>1468</v>
      </c>
      <c r="B1469" s="65" t="s">
        <v>2577</v>
      </c>
      <c r="C1469" s="1">
        <v>7551021737</v>
      </c>
      <c r="D1469" s="6"/>
      <c r="E1469" s="17" t="s">
        <v>2575</v>
      </c>
      <c r="F1469" s="65" t="s">
        <v>308</v>
      </c>
      <c r="G1469" s="2" t="s">
        <v>424</v>
      </c>
      <c r="H1469" s="2" t="s">
        <v>1186</v>
      </c>
      <c r="I1469" s="37" t="s">
        <v>94</v>
      </c>
      <c r="J1469" s="31">
        <v>45729</v>
      </c>
      <c r="K1469" s="31">
        <v>45735</v>
      </c>
      <c r="L1469" s="31"/>
      <c r="M1469" s="31"/>
      <c r="N1469" s="31"/>
      <c r="O1469" s="2" t="s">
        <v>425</v>
      </c>
    </row>
    <row r="1470" spans="1:15">
      <c r="A1470" s="3">
        <f t="shared" si="24"/>
        <v>1469</v>
      </c>
      <c r="B1470" s="65" t="s">
        <v>2578</v>
      </c>
      <c r="C1470" s="1">
        <v>8515890604</v>
      </c>
      <c r="D1470" s="6"/>
      <c r="E1470" s="17" t="s">
        <v>2575</v>
      </c>
      <c r="F1470" s="65" t="s">
        <v>308</v>
      </c>
      <c r="G1470" s="2" t="s">
        <v>424</v>
      </c>
      <c r="H1470" s="2" t="s">
        <v>1186</v>
      </c>
      <c r="I1470" s="37" t="s">
        <v>94</v>
      </c>
      <c r="J1470" s="31">
        <v>45729</v>
      </c>
      <c r="K1470" s="31">
        <v>45735</v>
      </c>
      <c r="L1470" s="31"/>
      <c r="M1470" s="31"/>
      <c r="N1470" s="31"/>
      <c r="O1470" s="2" t="s">
        <v>425</v>
      </c>
    </row>
    <row r="1471" spans="1:15">
      <c r="A1471" s="3">
        <f t="shared" si="24"/>
        <v>1470</v>
      </c>
      <c r="B1471" s="65" t="s">
        <v>2579</v>
      </c>
      <c r="C1471" s="1">
        <v>6370907873</v>
      </c>
      <c r="D1471" s="6"/>
      <c r="E1471" s="17" t="s">
        <v>2575</v>
      </c>
      <c r="F1471" s="65" t="s">
        <v>308</v>
      </c>
      <c r="G1471" s="2" t="s">
        <v>424</v>
      </c>
      <c r="H1471" s="2" t="s">
        <v>1186</v>
      </c>
      <c r="I1471" s="37" t="s">
        <v>94</v>
      </c>
      <c r="J1471" s="31">
        <v>45729</v>
      </c>
      <c r="K1471" s="31">
        <v>45735</v>
      </c>
      <c r="L1471" s="31"/>
      <c r="M1471" s="31"/>
      <c r="N1471" s="31"/>
      <c r="O1471" s="2" t="s">
        <v>425</v>
      </c>
    </row>
    <row r="1472" spans="1:15">
      <c r="A1472" s="3">
        <f t="shared" si="24"/>
        <v>1471</v>
      </c>
      <c r="B1472" s="65" t="s">
        <v>2580</v>
      </c>
      <c r="C1472" s="1">
        <v>9985093316</v>
      </c>
      <c r="D1472" s="6"/>
      <c r="E1472" s="17" t="s">
        <v>1619</v>
      </c>
      <c r="F1472" s="65" t="s">
        <v>308</v>
      </c>
      <c r="G1472" s="3" t="s">
        <v>1175</v>
      </c>
      <c r="H1472" s="2" t="s">
        <v>1186</v>
      </c>
      <c r="I1472" s="37" t="s">
        <v>94</v>
      </c>
      <c r="J1472" s="31">
        <v>45729</v>
      </c>
      <c r="K1472" s="31"/>
      <c r="L1472" s="31"/>
      <c r="M1472" s="31"/>
      <c r="N1472" s="31"/>
      <c r="O1472" s="2" t="s">
        <v>1004</v>
      </c>
    </row>
    <row r="1473" spans="1:15">
      <c r="A1473" s="3">
        <f t="shared" si="24"/>
        <v>1472</v>
      </c>
      <c r="B1473" s="65" t="s">
        <v>2581</v>
      </c>
      <c r="C1473" s="1">
        <v>9036687814</v>
      </c>
      <c r="D1473" s="6"/>
      <c r="E1473" s="17" t="s">
        <v>2582</v>
      </c>
      <c r="F1473" s="65" t="s">
        <v>333</v>
      </c>
      <c r="G1473" s="2" t="s">
        <v>424</v>
      </c>
      <c r="H1473" s="2" t="s">
        <v>1186</v>
      </c>
      <c r="I1473" s="37" t="s">
        <v>94</v>
      </c>
      <c r="J1473" s="31">
        <v>45729</v>
      </c>
      <c r="K1473" s="31">
        <v>45733</v>
      </c>
      <c r="L1473" s="31"/>
      <c r="M1473" s="31"/>
      <c r="N1473" s="31"/>
      <c r="O1473" s="2" t="s">
        <v>425</v>
      </c>
    </row>
    <row r="1474" spans="1:15">
      <c r="A1474" s="3">
        <f t="shared" si="24"/>
        <v>1473</v>
      </c>
      <c r="B1474" s="65" t="s">
        <v>2583</v>
      </c>
      <c r="C1474" s="1">
        <v>7981850212</v>
      </c>
      <c r="D1474" s="6"/>
      <c r="E1474" s="17" t="s">
        <v>2582</v>
      </c>
      <c r="F1474" s="65" t="s">
        <v>333</v>
      </c>
      <c r="G1474" s="2" t="s">
        <v>424</v>
      </c>
      <c r="H1474" s="2" t="s">
        <v>1186</v>
      </c>
      <c r="I1474" s="37" t="s">
        <v>94</v>
      </c>
      <c r="J1474" s="31">
        <v>45729</v>
      </c>
      <c r="K1474" s="31">
        <v>45733</v>
      </c>
      <c r="L1474" s="31"/>
      <c r="M1474" s="31"/>
      <c r="N1474" s="31"/>
      <c r="O1474" s="2" t="s">
        <v>425</v>
      </c>
    </row>
    <row r="1475" spans="1:15">
      <c r="A1475" s="3">
        <f t="shared" si="24"/>
        <v>1474</v>
      </c>
      <c r="B1475" s="65" t="s">
        <v>2584</v>
      </c>
      <c r="C1475" s="1">
        <v>9676725899</v>
      </c>
      <c r="D1475" s="6"/>
      <c r="E1475" s="17" t="s">
        <v>2582</v>
      </c>
      <c r="F1475" s="65" t="s">
        <v>333</v>
      </c>
      <c r="G1475" s="3" t="s">
        <v>1175</v>
      </c>
      <c r="H1475" s="2" t="s">
        <v>1186</v>
      </c>
      <c r="I1475" s="37" t="s">
        <v>94</v>
      </c>
      <c r="J1475" s="31">
        <v>45729</v>
      </c>
      <c r="K1475" s="31"/>
      <c r="L1475" s="31"/>
      <c r="M1475" s="31"/>
      <c r="N1475" s="31"/>
      <c r="O1475" s="2" t="s">
        <v>1004</v>
      </c>
    </row>
    <row r="1476" spans="1:15">
      <c r="A1476" s="3">
        <f t="shared" si="24"/>
        <v>1475</v>
      </c>
      <c r="B1476" s="65" t="s">
        <v>2585</v>
      </c>
      <c r="C1476" s="1">
        <v>6304963455</v>
      </c>
      <c r="D1476" s="6"/>
      <c r="E1476" s="17" t="s">
        <v>2582</v>
      </c>
      <c r="F1476" s="65" t="s">
        <v>333</v>
      </c>
      <c r="G1476" s="2" t="s">
        <v>424</v>
      </c>
      <c r="H1476" s="2" t="s">
        <v>1186</v>
      </c>
      <c r="I1476" s="37" t="s">
        <v>94</v>
      </c>
      <c r="J1476" s="31">
        <v>45729</v>
      </c>
      <c r="K1476" s="31">
        <v>45733</v>
      </c>
      <c r="L1476" s="31"/>
      <c r="M1476" s="31"/>
      <c r="N1476" s="31"/>
      <c r="O1476" s="2" t="s">
        <v>425</v>
      </c>
    </row>
    <row r="1477" spans="1:15">
      <c r="A1477" s="3">
        <f t="shared" si="24"/>
        <v>1476</v>
      </c>
      <c r="B1477" s="65" t="s">
        <v>2586</v>
      </c>
      <c r="C1477" s="1">
        <v>8074520606</v>
      </c>
      <c r="D1477" s="6"/>
      <c r="E1477" s="17" t="s">
        <v>2582</v>
      </c>
      <c r="F1477" s="65" t="s">
        <v>333</v>
      </c>
      <c r="G1477" s="2" t="s">
        <v>424</v>
      </c>
      <c r="H1477" s="2" t="s">
        <v>1186</v>
      </c>
      <c r="I1477" s="37" t="s">
        <v>94</v>
      </c>
      <c r="J1477" s="31">
        <v>45729</v>
      </c>
      <c r="K1477" s="31">
        <v>45733</v>
      </c>
      <c r="L1477" s="31"/>
      <c r="M1477" s="31"/>
      <c r="N1477" s="31"/>
      <c r="O1477" s="2" t="s">
        <v>425</v>
      </c>
    </row>
    <row r="1478" spans="1:15">
      <c r="A1478" s="3">
        <f t="shared" si="24"/>
        <v>1477</v>
      </c>
      <c r="B1478" s="65" t="s">
        <v>2587</v>
      </c>
      <c r="C1478" s="1">
        <v>9000412407</v>
      </c>
      <c r="D1478" s="6"/>
      <c r="E1478" s="17" t="s">
        <v>2582</v>
      </c>
      <c r="F1478" s="65" t="s">
        <v>333</v>
      </c>
      <c r="G1478" s="2" t="s">
        <v>424</v>
      </c>
      <c r="H1478" s="2" t="s">
        <v>1186</v>
      </c>
      <c r="I1478" s="37" t="s">
        <v>94</v>
      </c>
      <c r="J1478" s="31">
        <v>45729</v>
      </c>
      <c r="K1478" s="31">
        <v>45733</v>
      </c>
      <c r="L1478" s="31"/>
      <c r="M1478" s="31"/>
      <c r="N1478" s="31"/>
      <c r="O1478" s="2" t="s">
        <v>425</v>
      </c>
    </row>
    <row r="1479" spans="1:15">
      <c r="A1479" s="3">
        <f t="shared" si="24"/>
        <v>1478</v>
      </c>
      <c r="B1479" s="65" t="s">
        <v>2588</v>
      </c>
      <c r="C1479" s="1">
        <v>9704979612</v>
      </c>
      <c r="D1479" s="6"/>
      <c r="E1479" s="17" t="s">
        <v>971</v>
      </c>
      <c r="F1479" s="65" t="s">
        <v>972</v>
      </c>
      <c r="G1479" s="2" t="s">
        <v>424</v>
      </c>
      <c r="H1479" s="2" t="s">
        <v>1186</v>
      </c>
      <c r="I1479" s="37" t="s">
        <v>42</v>
      </c>
      <c r="J1479" s="31">
        <v>45729</v>
      </c>
      <c r="K1479" s="31">
        <v>45729</v>
      </c>
      <c r="L1479" s="31"/>
      <c r="M1479" s="31"/>
      <c r="N1479" s="31"/>
      <c r="O1479" s="2" t="s">
        <v>749</v>
      </c>
    </row>
    <row r="1480" spans="1:15">
      <c r="A1480" s="3">
        <f t="shared" si="24"/>
        <v>1479</v>
      </c>
      <c r="B1480" s="65" t="s">
        <v>2589</v>
      </c>
      <c r="C1480" s="1">
        <v>7095457308</v>
      </c>
      <c r="D1480" s="6"/>
      <c r="E1480" s="17" t="s">
        <v>971</v>
      </c>
      <c r="F1480" s="65" t="s">
        <v>972</v>
      </c>
      <c r="G1480" s="2" t="s">
        <v>416</v>
      </c>
      <c r="H1480" s="2" t="s">
        <v>1186</v>
      </c>
      <c r="I1480" s="37" t="s">
        <v>42</v>
      </c>
      <c r="J1480" s="31">
        <v>45729</v>
      </c>
      <c r="K1480" s="31">
        <v>45731</v>
      </c>
      <c r="L1480" s="31"/>
      <c r="M1480" s="31"/>
      <c r="N1480" s="31"/>
      <c r="O1480" s="2" t="s">
        <v>297</v>
      </c>
    </row>
    <row r="1481" spans="1:15">
      <c r="A1481" s="3">
        <f t="shared" si="24"/>
        <v>1480</v>
      </c>
      <c r="B1481" s="65" t="s">
        <v>2590</v>
      </c>
      <c r="C1481" s="1">
        <v>9849833190</v>
      </c>
      <c r="D1481" s="6"/>
      <c r="E1481" s="17" t="s">
        <v>1074</v>
      </c>
      <c r="F1481" s="65" t="s">
        <v>275</v>
      </c>
      <c r="G1481" s="2" t="s">
        <v>424</v>
      </c>
      <c r="H1481" s="2" t="s">
        <v>1186</v>
      </c>
      <c r="I1481" s="37" t="s">
        <v>42</v>
      </c>
      <c r="J1481" s="31">
        <v>45728</v>
      </c>
      <c r="K1481" s="31">
        <v>45728</v>
      </c>
      <c r="L1481" s="31"/>
      <c r="M1481" s="31"/>
      <c r="N1481" s="31"/>
      <c r="O1481" s="2" t="s">
        <v>425</v>
      </c>
    </row>
    <row r="1482" spans="1:15">
      <c r="A1482" s="3">
        <f t="shared" si="24"/>
        <v>1481</v>
      </c>
      <c r="B1482" s="65" t="s">
        <v>2591</v>
      </c>
      <c r="C1482" s="1">
        <v>7780306570</v>
      </c>
      <c r="D1482" s="6">
        <v>9014300000</v>
      </c>
      <c r="E1482" s="17" t="s">
        <v>2592</v>
      </c>
      <c r="F1482" s="65" t="s">
        <v>2593</v>
      </c>
      <c r="G1482" s="2" t="s">
        <v>16</v>
      </c>
      <c r="H1482" s="2" t="s">
        <v>357</v>
      </c>
      <c r="I1482" s="37" t="s">
        <v>88</v>
      </c>
      <c r="J1482" s="31">
        <v>45729</v>
      </c>
      <c r="K1482" s="31">
        <v>45729</v>
      </c>
      <c r="L1482" s="31">
        <v>45730</v>
      </c>
      <c r="M1482" s="31">
        <v>45777</v>
      </c>
      <c r="N1482" s="31">
        <v>45777</v>
      </c>
      <c r="O1482" s="2" t="s">
        <v>297</v>
      </c>
    </row>
    <row r="1483" spans="1:15">
      <c r="A1483" s="3">
        <f t="shared" si="24"/>
        <v>1482</v>
      </c>
      <c r="B1483" s="65" t="s">
        <v>2594</v>
      </c>
      <c r="C1483" s="1">
        <v>9866520456</v>
      </c>
      <c r="D1483" s="6"/>
      <c r="E1483" s="17" t="s">
        <v>2595</v>
      </c>
      <c r="F1483" s="65" t="s">
        <v>2596</v>
      </c>
      <c r="G1483" s="3" t="s">
        <v>1175</v>
      </c>
      <c r="H1483" s="2" t="s">
        <v>2597</v>
      </c>
      <c r="I1483" s="37" t="s">
        <v>88</v>
      </c>
      <c r="J1483" s="31">
        <v>45729</v>
      </c>
      <c r="K1483" s="31"/>
      <c r="L1483" s="31"/>
      <c r="M1483" s="31"/>
      <c r="N1483" s="31"/>
      <c r="O1483" s="2" t="s">
        <v>1004</v>
      </c>
    </row>
    <row r="1484" spans="1:15">
      <c r="A1484" s="3">
        <f t="shared" si="24"/>
        <v>1483</v>
      </c>
      <c r="B1484" s="65" t="s">
        <v>2598</v>
      </c>
      <c r="C1484" s="1">
        <v>8919210387</v>
      </c>
      <c r="D1484" s="6"/>
      <c r="E1484" s="17" t="s">
        <v>2481</v>
      </c>
      <c r="F1484" s="65" t="s">
        <v>2006</v>
      </c>
      <c r="G1484" s="2" t="s">
        <v>16</v>
      </c>
      <c r="H1484" s="2" t="s">
        <v>1186</v>
      </c>
      <c r="I1484" s="37" t="s">
        <v>88</v>
      </c>
      <c r="J1484" s="31">
        <v>45729</v>
      </c>
      <c r="K1484" s="31">
        <v>45735</v>
      </c>
      <c r="L1484" s="31">
        <v>45758</v>
      </c>
      <c r="M1484" s="31">
        <v>45853</v>
      </c>
      <c r="N1484" s="31">
        <v>45853</v>
      </c>
      <c r="O1484" s="2" t="s">
        <v>297</v>
      </c>
    </row>
    <row r="1485" spans="1:15">
      <c r="A1485" s="3">
        <f t="shared" si="24"/>
        <v>1484</v>
      </c>
      <c r="B1485" s="65" t="s">
        <v>2599</v>
      </c>
      <c r="C1485" s="1">
        <v>9666044419</v>
      </c>
      <c r="D1485" s="6"/>
      <c r="E1485" s="17" t="s">
        <v>2481</v>
      </c>
      <c r="F1485" s="65" t="s">
        <v>308</v>
      </c>
      <c r="G1485" s="2" t="s">
        <v>424</v>
      </c>
      <c r="H1485" s="2" t="s">
        <v>1186</v>
      </c>
      <c r="I1485" s="37" t="s">
        <v>88</v>
      </c>
      <c r="J1485" s="31">
        <v>45729</v>
      </c>
      <c r="K1485" s="31">
        <v>45735</v>
      </c>
      <c r="L1485" s="31"/>
      <c r="M1485" s="31"/>
      <c r="N1485" s="31"/>
      <c r="O1485" s="2" t="s">
        <v>425</v>
      </c>
    </row>
    <row r="1486" spans="1:15">
      <c r="A1486" s="3">
        <f t="shared" si="24"/>
        <v>1485</v>
      </c>
      <c r="B1486" s="65" t="s">
        <v>2600</v>
      </c>
      <c r="C1486" s="1">
        <v>8070410241</v>
      </c>
      <c r="D1486" s="6"/>
      <c r="E1486" s="17" t="s">
        <v>2413</v>
      </c>
      <c r="F1486" s="65" t="s">
        <v>451</v>
      </c>
      <c r="G1486" s="2" t="s">
        <v>424</v>
      </c>
      <c r="H1486" s="2" t="s">
        <v>1186</v>
      </c>
      <c r="I1486" s="37" t="s">
        <v>88</v>
      </c>
      <c r="J1486" s="31">
        <v>45729</v>
      </c>
      <c r="K1486" s="31">
        <v>45740</v>
      </c>
      <c r="L1486" s="31"/>
      <c r="M1486" s="31"/>
      <c r="N1486" s="31"/>
      <c r="O1486" s="2" t="s">
        <v>749</v>
      </c>
    </row>
    <row r="1487" spans="1:15">
      <c r="A1487" s="3">
        <f t="shared" si="24"/>
        <v>1486</v>
      </c>
      <c r="B1487" s="65" t="s">
        <v>2601</v>
      </c>
      <c r="C1487" s="1">
        <v>8297245140</v>
      </c>
      <c r="D1487" s="6"/>
      <c r="E1487" s="17" t="s">
        <v>2416</v>
      </c>
      <c r="F1487" s="65" t="s">
        <v>2602</v>
      </c>
      <c r="G1487" s="2" t="s">
        <v>424</v>
      </c>
      <c r="H1487" s="2" t="s">
        <v>1186</v>
      </c>
      <c r="I1487" s="37" t="s">
        <v>88</v>
      </c>
      <c r="J1487" s="31">
        <v>45729</v>
      </c>
      <c r="K1487" s="31">
        <v>45736</v>
      </c>
      <c r="L1487" s="31"/>
      <c r="M1487" s="31"/>
      <c r="N1487" s="31"/>
      <c r="O1487" s="2" t="s">
        <v>425</v>
      </c>
    </row>
    <row r="1488" spans="1:15">
      <c r="A1488" s="3">
        <f t="shared" si="24"/>
        <v>1487</v>
      </c>
      <c r="B1488" s="65" t="s">
        <v>2603</v>
      </c>
      <c r="C1488" s="1">
        <v>6303959721</v>
      </c>
      <c r="D1488" s="6"/>
      <c r="E1488" s="17" t="s">
        <v>2416</v>
      </c>
      <c r="F1488" s="65" t="s">
        <v>1312</v>
      </c>
      <c r="G1488" s="2" t="s">
        <v>424</v>
      </c>
      <c r="H1488" s="2" t="s">
        <v>1186</v>
      </c>
      <c r="I1488" s="37" t="s">
        <v>88</v>
      </c>
      <c r="J1488" s="31">
        <v>45729</v>
      </c>
      <c r="K1488" s="31">
        <v>45735</v>
      </c>
      <c r="L1488" s="31"/>
      <c r="M1488" s="31"/>
      <c r="N1488" s="31"/>
      <c r="O1488" s="2" t="s">
        <v>425</v>
      </c>
    </row>
    <row r="1489" spans="1:15">
      <c r="A1489" s="3">
        <f t="shared" si="24"/>
        <v>1488</v>
      </c>
      <c r="B1489" s="65" t="s">
        <v>2604</v>
      </c>
      <c r="C1489" s="1">
        <v>9666715756</v>
      </c>
      <c r="D1489" s="6"/>
      <c r="E1489" s="17" t="s">
        <v>1301</v>
      </c>
      <c r="F1489" s="65" t="s">
        <v>569</v>
      </c>
      <c r="G1489" s="2" t="s">
        <v>424</v>
      </c>
      <c r="H1489" s="2" t="s">
        <v>1186</v>
      </c>
      <c r="I1489" s="37" t="s">
        <v>88</v>
      </c>
      <c r="J1489" s="31">
        <v>45729</v>
      </c>
      <c r="K1489" s="31">
        <v>45736</v>
      </c>
      <c r="L1489" s="31"/>
      <c r="M1489" s="31"/>
      <c r="N1489" s="31"/>
      <c r="O1489" s="2" t="s">
        <v>425</v>
      </c>
    </row>
    <row r="1490" spans="1:15">
      <c r="A1490" s="3">
        <f t="shared" si="24"/>
        <v>1489</v>
      </c>
      <c r="B1490" s="65" t="s">
        <v>2605</v>
      </c>
      <c r="C1490" s="1">
        <v>9603351524</v>
      </c>
      <c r="D1490" s="6"/>
      <c r="E1490" s="17" t="s">
        <v>2416</v>
      </c>
      <c r="F1490" s="65" t="s">
        <v>2511</v>
      </c>
      <c r="G1490" s="2" t="s">
        <v>295</v>
      </c>
      <c r="H1490" s="2" t="s">
        <v>1186</v>
      </c>
      <c r="I1490" s="37" t="s">
        <v>88</v>
      </c>
      <c r="J1490" s="31">
        <v>45729</v>
      </c>
      <c r="K1490" s="31">
        <v>45736</v>
      </c>
      <c r="L1490" s="31">
        <v>45751</v>
      </c>
      <c r="M1490" s="31">
        <v>45883</v>
      </c>
      <c r="N1490" s="31"/>
      <c r="O1490" s="2" t="s">
        <v>297</v>
      </c>
    </row>
    <row r="1491" spans="1:15">
      <c r="A1491" s="3">
        <f t="shared" si="24"/>
        <v>1490</v>
      </c>
      <c r="B1491" s="65" t="s">
        <v>2606</v>
      </c>
      <c r="C1491" s="1">
        <v>9515830522</v>
      </c>
      <c r="D1491" s="6">
        <v>7997128583</v>
      </c>
      <c r="E1491" s="3" t="s">
        <v>107</v>
      </c>
      <c r="F1491" s="65" t="s">
        <v>2463</v>
      </c>
      <c r="G1491" s="2" t="s">
        <v>416</v>
      </c>
      <c r="H1491" s="2" t="s">
        <v>102</v>
      </c>
      <c r="I1491" s="37" t="s">
        <v>42</v>
      </c>
      <c r="J1491" s="31">
        <v>45730</v>
      </c>
      <c r="K1491" s="31">
        <v>45731</v>
      </c>
      <c r="L1491" s="31"/>
      <c r="M1491" s="31"/>
      <c r="N1491" s="31"/>
      <c r="O1491" s="2" t="s">
        <v>297</v>
      </c>
    </row>
    <row r="1492" spans="1:15">
      <c r="A1492" s="3">
        <f t="shared" si="24"/>
        <v>1491</v>
      </c>
      <c r="B1492" s="65" t="s">
        <v>2607</v>
      </c>
      <c r="C1492" s="1">
        <v>9502146944</v>
      </c>
      <c r="D1492" s="6">
        <v>7817000000</v>
      </c>
      <c r="E1492" s="3" t="s">
        <v>104</v>
      </c>
      <c r="F1492" s="65" t="s">
        <v>2608</v>
      </c>
      <c r="G1492" s="2" t="s">
        <v>764</v>
      </c>
      <c r="H1492" s="2" t="s">
        <v>102</v>
      </c>
      <c r="I1492" s="37" t="s">
        <v>42</v>
      </c>
      <c r="J1492" s="31">
        <v>45730</v>
      </c>
      <c r="K1492" s="31">
        <v>45731</v>
      </c>
      <c r="L1492" s="31"/>
      <c r="M1492" s="31"/>
      <c r="N1492" s="31"/>
      <c r="O1492" s="2" t="s">
        <v>425</v>
      </c>
    </row>
    <row r="1493" spans="1:15">
      <c r="A1493" s="3">
        <f t="shared" si="24"/>
        <v>1492</v>
      </c>
      <c r="B1493" s="65" t="s">
        <v>2609</v>
      </c>
      <c r="C1493" s="1">
        <v>6305436961</v>
      </c>
      <c r="D1493" s="6"/>
      <c r="E1493" s="3" t="s">
        <v>104</v>
      </c>
      <c r="F1493" s="65" t="s">
        <v>2360</v>
      </c>
      <c r="G1493" s="2" t="s">
        <v>416</v>
      </c>
      <c r="H1493" s="2" t="s">
        <v>102</v>
      </c>
      <c r="I1493" s="37" t="s">
        <v>42</v>
      </c>
      <c r="J1493" s="31">
        <v>45730</v>
      </c>
      <c r="K1493" s="31">
        <v>45731</v>
      </c>
      <c r="L1493" s="31"/>
      <c r="M1493" s="31"/>
      <c r="N1493" s="31"/>
      <c r="O1493" s="2" t="s">
        <v>297</v>
      </c>
    </row>
    <row r="1494" spans="1:15">
      <c r="A1494" s="3">
        <f t="shared" si="24"/>
        <v>1493</v>
      </c>
      <c r="B1494" s="65" t="s">
        <v>2610</v>
      </c>
      <c r="C1494" s="1">
        <v>9000156566</v>
      </c>
      <c r="D1494" s="6">
        <v>9490686327</v>
      </c>
      <c r="E1494" s="36" t="s">
        <v>110</v>
      </c>
      <c r="F1494" s="65" t="s">
        <v>333</v>
      </c>
      <c r="G1494" s="2" t="s">
        <v>16</v>
      </c>
      <c r="H1494" s="2" t="s">
        <v>102</v>
      </c>
      <c r="I1494" s="37" t="s">
        <v>42</v>
      </c>
      <c r="J1494" s="31">
        <v>45730</v>
      </c>
      <c r="K1494" s="31">
        <v>45731</v>
      </c>
      <c r="L1494" s="31">
        <v>45737</v>
      </c>
      <c r="M1494" s="31">
        <v>45769</v>
      </c>
      <c r="N1494" s="31">
        <v>45747</v>
      </c>
      <c r="O1494" s="2" t="s">
        <v>297</v>
      </c>
    </row>
    <row r="1495" spans="1:15">
      <c r="A1495" s="3">
        <f t="shared" si="24"/>
        <v>1494</v>
      </c>
      <c r="B1495" s="65" t="s">
        <v>2611</v>
      </c>
      <c r="C1495" s="1">
        <v>7844933167</v>
      </c>
      <c r="D1495" s="6"/>
      <c r="E1495" s="17" t="s">
        <v>2612</v>
      </c>
      <c r="F1495" s="65" t="s">
        <v>2613</v>
      </c>
      <c r="G1495" s="2" t="s">
        <v>16</v>
      </c>
      <c r="H1495" s="3" t="s">
        <v>94</v>
      </c>
      <c r="I1495" s="37" t="s">
        <v>94</v>
      </c>
      <c r="J1495" s="31">
        <v>45665</v>
      </c>
      <c r="K1495" s="31">
        <v>45665</v>
      </c>
      <c r="L1495" s="31">
        <v>45665</v>
      </c>
      <c r="M1495" s="31">
        <v>45679</v>
      </c>
      <c r="N1495" s="31">
        <v>45679</v>
      </c>
      <c r="O1495" s="2" t="s">
        <v>297</v>
      </c>
    </row>
    <row r="1496" spans="1:15">
      <c r="A1496" s="3">
        <f t="shared" si="24"/>
        <v>1495</v>
      </c>
      <c r="B1496" s="65" t="s">
        <v>2614</v>
      </c>
      <c r="C1496" s="1">
        <v>8839507716</v>
      </c>
      <c r="D1496" s="6"/>
      <c r="E1496" s="17" t="s">
        <v>2615</v>
      </c>
      <c r="F1496" s="65" t="s">
        <v>2616</v>
      </c>
      <c r="G1496" s="2" t="s">
        <v>16</v>
      </c>
      <c r="H1496" s="3" t="s">
        <v>94</v>
      </c>
      <c r="I1496" s="37" t="s">
        <v>94</v>
      </c>
      <c r="J1496" s="31">
        <v>45724</v>
      </c>
      <c r="K1496" s="31">
        <v>45724</v>
      </c>
      <c r="L1496" s="31">
        <v>45689</v>
      </c>
      <c r="M1496" s="31">
        <v>45689</v>
      </c>
      <c r="N1496" s="31">
        <v>45689</v>
      </c>
      <c r="O1496" s="2" t="s">
        <v>297</v>
      </c>
    </row>
    <row r="1497" spans="1:15">
      <c r="A1497" s="3">
        <f t="shared" si="24"/>
        <v>1496</v>
      </c>
      <c r="B1497" s="65" t="s">
        <v>2617</v>
      </c>
      <c r="C1497" s="1">
        <v>7013513955</v>
      </c>
      <c r="D1497" s="6"/>
      <c r="E1497" s="17" t="s">
        <v>2163</v>
      </c>
      <c r="F1497" s="65" t="s">
        <v>142</v>
      </c>
      <c r="G1497" s="2" t="s">
        <v>16</v>
      </c>
      <c r="H1497" s="3" t="s">
        <v>94</v>
      </c>
      <c r="I1497" s="37" t="s">
        <v>94</v>
      </c>
      <c r="J1497" s="31">
        <v>45724</v>
      </c>
      <c r="K1497" s="31">
        <v>45731</v>
      </c>
      <c r="L1497" s="31">
        <v>45731</v>
      </c>
      <c r="M1497" s="31">
        <v>45747</v>
      </c>
      <c r="N1497" s="31">
        <v>45750</v>
      </c>
      <c r="O1497" s="2" t="s">
        <v>297</v>
      </c>
    </row>
    <row r="1498" spans="1:15">
      <c r="A1498" s="3">
        <f t="shared" si="24"/>
        <v>1497</v>
      </c>
      <c r="B1498" s="65" t="s">
        <v>2618</v>
      </c>
      <c r="C1498" s="1">
        <v>7330634893</v>
      </c>
      <c r="D1498" s="6"/>
      <c r="E1498" s="3" t="s">
        <v>151</v>
      </c>
      <c r="F1498" s="65" t="s">
        <v>142</v>
      </c>
      <c r="G1498" s="2" t="s">
        <v>16</v>
      </c>
      <c r="H1498" s="3" t="s">
        <v>94</v>
      </c>
      <c r="I1498" s="37" t="s">
        <v>42</v>
      </c>
      <c r="J1498" s="31">
        <v>45724</v>
      </c>
      <c r="K1498" s="31">
        <v>45731</v>
      </c>
      <c r="L1498" s="31">
        <v>45731</v>
      </c>
      <c r="M1498" s="31">
        <v>45747</v>
      </c>
      <c r="N1498" s="31">
        <v>45747</v>
      </c>
      <c r="O1498" s="2" t="s">
        <v>297</v>
      </c>
    </row>
    <row r="1499" spans="1:15">
      <c r="A1499" s="3">
        <f t="shared" si="24"/>
        <v>1498</v>
      </c>
      <c r="B1499" s="65" t="s">
        <v>2619</v>
      </c>
      <c r="C1499" s="1">
        <v>9752270399</v>
      </c>
      <c r="D1499" s="6"/>
      <c r="E1499" s="17" t="s">
        <v>929</v>
      </c>
      <c r="F1499" s="65" t="s">
        <v>2004</v>
      </c>
      <c r="G1499" s="2" t="s">
        <v>16</v>
      </c>
      <c r="H1499" s="2" t="s">
        <v>913</v>
      </c>
      <c r="I1499" s="37" t="s">
        <v>94</v>
      </c>
      <c r="J1499" s="31">
        <v>45726</v>
      </c>
      <c r="K1499" s="31">
        <v>45726</v>
      </c>
      <c r="L1499" s="31">
        <v>45730</v>
      </c>
      <c r="M1499" s="31">
        <v>45747</v>
      </c>
      <c r="N1499" s="31">
        <v>45745</v>
      </c>
      <c r="O1499" s="2" t="s">
        <v>297</v>
      </c>
    </row>
    <row r="1500" spans="1:15">
      <c r="A1500" s="3">
        <f t="shared" si="24"/>
        <v>1499</v>
      </c>
      <c r="B1500" s="115" t="s">
        <v>2620</v>
      </c>
      <c r="C1500" s="1">
        <v>7989064231</v>
      </c>
      <c r="D1500" s="6"/>
      <c r="E1500" s="3" t="s">
        <v>72</v>
      </c>
      <c r="F1500" s="65" t="s">
        <v>2621</v>
      </c>
      <c r="G1500" s="2" t="s">
        <v>16</v>
      </c>
      <c r="H1500" s="2" t="s">
        <v>77</v>
      </c>
      <c r="I1500" s="37" t="s">
        <v>42</v>
      </c>
      <c r="J1500" s="31">
        <v>45731</v>
      </c>
      <c r="K1500" s="31">
        <v>45735</v>
      </c>
      <c r="L1500" s="31">
        <v>45751</v>
      </c>
      <c r="M1500" s="31">
        <v>45772</v>
      </c>
      <c r="N1500" s="31">
        <v>45761</v>
      </c>
      <c r="O1500" s="2" t="s">
        <v>297</v>
      </c>
    </row>
    <row r="1501" spans="1:15">
      <c r="A1501" s="3">
        <f t="shared" si="24"/>
        <v>1500</v>
      </c>
      <c r="B1501" s="65" t="s">
        <v>2622</v>
      </c>
      <c r="C1501" s="1">
        <v>9505193206</v>
      </c>
      <c r="D1501" s="6"/>
      <c r="E1501" s="3" t="s">
        <v>85</v>
      </c>
      <c r="F1501" s="65" t="s">
        <v>2623</v>
      </c>
      <c r="G1501" s="2" t="s">
        <v>16</v>
      </c>
      <c r="H1501" s="2" t="s">
        <v>77</v>
      </c>
      <c r="I1501" s="37" t="s">
        <v>42</v>
      </c>
      <c r="J1501" s="31">
        <v>45731</v>
      </c>
      <c r="K1501" s="31">
        <v>45735</v>
      </c>
      <c r="L1501" s="31">
        <v>45749</v>
      </c>
      <c r="M1501" s="31">
        <v>45773</v>
      </c>
      <c r="N1501" s="31">
        <v>45773</v>
      </c>
      <c r="O1501" s="2" t="s">
        <v>297</v>
      </c>
    </row>
    <row r="1502" spans="1:15">
      <c r="A1502" s="3">
        <f t="shared" si="24"/>
        <v>1501</v>
      </c>
      <c r="B1502" s="115" t="s">
        <v>2624</v>
      </c>
      <c r="C1502" s="1">
        <v>9701759170</v>
      </c>
      <c r="D1502" s="6"/>
      <c r="E1502" s="3" t="s">
        <v>72</v>
      </c>
      <c r="F1502" s="65" t="s">
        <v>2621</v>
      </c>
      <c r="G1502" s="2" t="s">
        <v>16</v>
      </c>
      <c r="H1502" s="2" t="s">
        <v>77</v>
      </c>
      <c r="I1502" s="37" t="s">
        <v>42</v>
      </c>
      <c r="J1502" s="31">
        <v>45731</v>
      </c>
      <c r="K1502" s="31">
        <v>45736</v>
      </c>
      <c r="L1502" s="31">
        <v>45741</v>
      </c>
      <c r="M1502" s="31">
        <v>45765</v>
      </c>
      <c r="N1502" s="31">
        <v>45761</v>
      </c>
      <c r="O1502" s="2" t="s">
        <v>297</v>
      </c>
    </row>
    <row r="1503" spans="1:15">
      <c r="A1503" s="3">
        <f t="shared" si="24"/>
        <v>1502</v>
      </c>
      <c r="B1503" s="65" t="s">
        <v>2625</v>
      </c>
      <c r="C1503" s="1">
        <v>9705040847</v>
      </c>
      <c r="D1503" s="6"/>
      <c r="E1503" s="3" t="s">
        <v>85</v>
      </c>
      <c r="F1503" s="65" t="s">
        <v>2626</v>
      </c>
      <c r="G1503" s="2" t="s">
        <v>416</v>
      </c>
      <c r="H1503" s="2" t="s">
        <v>77</v>
      </c>
      <c r="I1503" s="37" t="s">
        <v>42</v>
      </c>
      <c r="J1503" s="31">
        <v>45731</v>
      </c>
      <c r="K1503" s="31">
        <v>45736</v>
      </c>
      <c r="L1503" s="31"/>
      <c r="M1503" s="31"/>
      <c r="N1503" s="31"/>
      <c r="O1503" s="2" t="s">
        <v>297</v>
      </c>
    </row>
    <row r="1504" spans="1:15">
      <c r="A1504" s="3">
        <f t="shared" si="24"/>
        <v>1503</v>
      </c>
      <c r="B1504" s="117" t="s">
        <v>2627</v>
      </c>
      <c r="C1504" s="1">
        <v>7032806524</v>
      </c>
      <c r="D1504" s="6"/>
      <c r="E1504" s="3" t="s">
        <v>85</v>
      </c>
      <c r="F1504" s="65" t="s">
        <v>2626</v>
      </c>
      <c r="G1504" s="2" t="s">
        <v>16</v>
      </c>
      <c r="H1504" s="2" t="s">
        <v>77</v>
      </c>
      <c r="I1504" s="37" t="s">
        <v>42</v>
      </c>
      <c r="J1504" s="31">
        <v>45731</v>
      </c>
      <c r="K1504" s="31">
        <v>45736</v>
      </c>
      <c r="L1504" s="31">
        <v>45743</v>
      </c>
      <c r="M1504" s="31">
        <v>45763</v>
      </c>
      <c r="N1504" s="31">
        <v>45763</v>
      </c>
      <c r="O1504" s="2" t="s">
        <v>297</v>
      </c>
    </row>
    <row r="1505" spans="1:15">
      <c r="A1505" s="3">
        <f t="shared" si="24"/>
        <v>1504</v>
      </c>
      <c r="B1505" s="115" t="s">
        <v>2628</v>
      </c>
      <c r="C1505" s="1">
        <v>8790091552</v>
      </c>
      <c r="D1505" s="6"/>
      <c r="E1505" s="3" t="s">
        <v>72</v>
      </c>
      <c r="F1505" s="65" t="s">
        <v>333</v>
      </c>
      <c r="G1505" s="2" t="s">
        <v>16</v>
      </c>
      <c r="H1505" s="2" t="s">
        <v>77</v>
      </c>
      <c r="I1505" s="37" t="s">
        <v>42</v>
      </c>
      <c r="J1505" s="31">
        <v>45731</v>
      </c>
      <c r="K1505" s="31">
        <v>45736</v>
      </c>
      <c r="L1505" s="31">
        <v>45741</v>
      </c>
      <c r="M1505" s="31">
        <v>45794</v>
      </c>
      <c r="N1505" s="31">
        <v>45766</v>
      </c>
      <c r="O1505" s="2" t="s">
        <v>297</v>
      </c>
    </row>
    <row r="1506" spans="1:15">
      <c r="A1506" s="3">
        <f t="shared" si="24"/>
        <v>1505</v>
      </c>
      <c r="B1506" s="65" t="s">
        <v>2629</v>
      </c>
      <c r="C1506" s="1">
        <v>7799292838</v>
      </c>
      <c r="D1506" s="6"/>
      <c r="E1506" s="17" t="s">
        <v>440</v>
      </c>
      <c r="F1506" s="65" t="s">
        <v>2630</v>
      </c>
      <c r="G1506" s="2" t="s">
        <v>16</v>
      </c>
      <c r="H1506" s="1" t="s">
        <v>296</v>
      </c>
      <c r="I1506" s="37" t="s">
        <v>94</v>
      </c>
      <c r="J1506" s="31">
        <v>45726</v>
      </c>
      <c r="K1506" s="31">
        <v>45726</v>
      </c>
      <c r="L1506" s="31">
        <v>45730</v>
      </c>
      <c r="M1506" s="31">
        <v>45735</v>
      </c>
      <c r="N1506" s="31">
        <v>45737</v>
      </c>
      <c r="O1506" s="2" t="s">
        <v>297</v>
      </c>
    </row>
    <row r="1507" spans="1:15">
      <c r="A1507" s="3">
        <f t="shared" si="24"/>
        <v>1506</v>
      </c>
      <c r="B1507" s="65" t="s">
        <v>2631</v>
      </c>
      <c r="C1507" s="1">
        <v>7601080829</v>
      </c>
      <c r="D1507" s="6"/>
      <c r="E1507" s="3" t="s">
        <v>2632</v>
      </c>
      <c r="F1507" s="65" t="s">
        <v>463</v>
      </c>
      <c r="G1507" s="2" t="s">
        <v>16</v>
      </c>
      <c r="H1507" s="1" t="s">
        <v>296</v>
      </c>
      <c r="I1507" s="37" t="s">
        <v>94</v>
      </c>
      <c r="J1507" s="31">
        <v>45726</v>
      </c>
      <c r="K1507" s="31">
        <v>45726</v>
      </c>
      <c r="L1507" s="31">
        <v>45730</v>
      </c>
      <c r="M1507" s="31">
        <v>45735</v>
      </c>
      <c r="N1507" s="31">
        <v>45736</v>
      </c>
      <c r="O1507" s="2" t="s">
        <v>297</v>
      </c>
    </row>
    <row r="1508" spans="1:15">
      <c r="A1508" s="3">
        <f t="shared" si="24"/>
        <v>1507</v>
      </c>
      <c r="B1508" s="65" t="s">
        <v>2633</v>
      </c>
      <c r="C1508" s="1">
        <v>8638248638</v>
      </c>
      <c r="D1508" s="6"/>
      <c r="E1508" s="3" t="s">
        <v>2634</v>
      </c>
      <c r="F1508" s="65" t="s">
        <v>2635</v>
      </c>
      <c r="G1508" s="2" t="s">
        <v>16</v>
      </c>
      <c r="H1508" s="1" t="s">
        <v>296</v>
      </c>
      <c r="I1508" s="37" t="s">
        <v>94</v>
      </c>
      <c r="J1508" s="31">
        <v>45726</v>
      </c>
      <c r="K1508" s="31">
        <v>45726</v>
      </c>
      <c r="L1508" s="31">
        <v>45730</v>
      </c>
      <c r="M1508" s="31">
        <v>45735</v>
      </c>
      <c r="N1508" s="31">
        <v>45733</v>
      </c>
      <c r="O1508" s="2" t="s">
        <v>297</v>
      </c>
    </row>
    <row r="1509" spans="1:15">
      <c r="A1509" s="3">
        <f t="shared" si="24"/>
        <v>1508</v>
      </c>
      <c r="B1509" s="65" t="s">
        <v>2636</v>
      </c>
      <c r="C1509" s="1">
        <v>8008580776</v>
      </c>
      <c r="D1509" s="6"/>
      <c r="E1509" s="17" t="s">
        <v>2166</v>
      </c>
      <c r="F1509" s="65" t="s">
        <v>2637</v>
      </c>
      <c r="G1509" s="2" t="s">
        <v>18</v>
      </c>
      <c r="H1509" s="2" t="s">
        <v>42</v>
      </c>
      <c r="I1509" s="37" t="s">
        <v>94</v>
      </c>
      <c r="J1509" s="31">
        <v>45731</v>
      </c>
      <c r="K1509" s="31">
        <v>45846</v>
      </c>
      <c r="L1509" s="31">
        <v>45846</v>
      </c>
      <c r="M1509" s="31">
        <v>45852</v>
      </c>
      <c r="N1509" s="31"/>
      <c r="O1509" s="2" t="s">
        <v>297</v>
      </c>
    </row>
    <row r="1510" spans="1:15">
      <c r="A1510" s="3">
        <f t="shared" si="24"/>
        <v>1509</v>
      </c>
      <c r="B1510" s="65" t="s">
        <v>2638</v>
      </c>
      <c r="C1510" s="1">
        <v>7780323776</v>
      </c>
      <c r="D1510" s="6"/>
      <c r="E1510" s="17" t="s">
        <v>159</v>
      </c>
      <c r="F1510" s="65" t="s">
        <v>2639</v>
      </c>
      <c r="G1510" s="2" t="s">
        <v>330</v>
      </c>
      <c r="H1510" s="2" t="s">
        <v>94</v>
      </c>
      <c r="I1510" s="37" t="s">
        <v>42</v>
      </c>
      <c r="J1510" s="31">
        <v>45731</v>
      </c>
      <c r="K1510" s="31">
        <v>45751</v>
      </c>
      <c r="L1510" s="31">
        <v>45751</v>
      </c>
      <c r="M1510" s="31">
        <v>45775</v>
      </c>
      <c r="N1510" s="31">
        <v>45776</v>
      </c>
      <c r="O1510" s="2" t="s">
        <v>297</v>
      </c>
    </row>
    <row r="1511" spans="1:15">
      <c r="A1511" s="3">
        <f t="shared" si="24"/>
        <v>1510</v>
      </c>
      <c r="B1511" s="65" t="s">
        <v>2640</v>
      </c>
      <c r="C1511" s="1">
        <v>8919494454</v>
      </c>
      <c r="D1511" s="6"/>
      <c r="E1511" s="17" t="s">
        <v>1173</v>
      </c>
      <c r="F1511" s="65" t="s">
        <v>333</v>
      </c>
      <c r="G1511" s="2" t="s">
        <v>18</v>
      </c>
      <c r="H1511" s="2" t="s">
        <v>1186</v>
      </c>
      <c r="I1511" s="37" t="s">
        <v>94</v>
      </c>
      <c r="J1511" s="31">
        <v>45731</v>
      </c>
      <c r="K1511" s="31">
        <v>45818</v>
      </c>
      <c r="L1511" s="31">
        <v>45821</v>
      </c>
      <c r="M1511" s="31">
        <v>45866</v>
      </c>
      <c r="N1511" s="31"/>
      <c r="O1511" s="2" t="s">
        <v>297</v>
      </c>
    </row>
    <row r="1512" spans="1:15">
      <c r="A1512" s="3">
        <f t="shared" si="24"/>
        <v>1511</v>
      </c>
      <c r="B1512" s="65" t="s">
        <v>2641</v>
      </c>
      <c r="C1512" s="1">
        <v>9553517483</v>
      </c>
      <c r="D1512" s="6"/>
      <c r="E1512" s="17" t="s">
        <v>1635</v>
      </c>
      <c r="F1512" s="65" t="s">
        <v>333</v>
      </c>
      <c r="G1512" s="2" t="s">
        <v>330</v>
      </c>
      <c r="H1512" s="2" t="s">
        <v>1186</v>
      </c>
      <c r="I1512" s="37" t="s">
        <v>94</v>
      </c>
      <c r="J1512" s="31">
        <v>45731</v>
      </c>
      <c r="K1512" s="31">
        <v>45740</v>
      </c>
      <c r="L1512" s="31">
        <v>45744</v>
      </c>
      <c r="M1512" s="31">
        <v>45759</v>
      </c>
      <c r="N1512" s="31">
        <v>45759</v>
      </c>
      <c r="O1512" s="2" t="s">
        <v>297</v>
      </c>
    </row>
    <row r="1513" spans="1:15">
      <c r="A1513" s="3">
        <f t="shared" si="24"/>
        <v>1512</v>
      </c>
      <c r="B1513" s="65" t="s">
        <v>2385</v>
      </c>
      <c r="C1513" s="1">
        <v>6005849966</v>
      </c>
      <c r="D1513" s="6"/>
      <c r="E1513" s="3" t="s">
        <v>167</v>
      </c>
      <c r="F1513" s="65" t="s">
        <v>2642</v>
      </c>
      <c r="G1513" s="2" t="s">
        <v>416</v>
      </c>
      <c r="H1513" s="3" t="s">
        <v>162</v>
      </c>
      <c r="I1513" s="37" t="s">
        <v>42</v>
      </c>
      <c r="J1513" s="31">
        <v>45731</v>
      </c>
      <c r="K1513" s="31">
        <v>45736</v>
      </c>
      <c r="L1513" s="31"/>
      <c r="M1513" s="31"/>
      <c r="N1513" s="31"/>
      <c r="O1513" s="2" t="s">
        <v>297</v>
      </c>
    </row>
    <row r="1514" spans="1:15">
      <c r="A1514" s="3">
        <f t="shared" si="24"/>
        <v>1513</v>
      </c>
      <c r="B1514" s="65" t="s">
        <v>2643</v>
      </c>
      <c r="C1514" s="1">
        <v>9494237356</v>
      </c>
      <c r="D1514" s="6"/>
      <c r="E1514" s="3" t="s">
        <v>167</v>
      </c>
      <c r="F1514" s="65" t="s">
        <v>569</v>
      </c>
      <c r="G1514" s="2" t="s">
        <v>16</v>
      </c>
      <c r="H1514" s="3" t="s">
        <v>162</v>
      </c>
      <c r="I1514" s="37" t="s">
        <v>42</v>
      </c>
      <c r="J1514" s="31">
        <v>45731</v>
      </c>
      <c r="K1514" s="31">
        <v>45736</v>
      </c>
      <c r="L1514" s="31">
        <v>45741</v>
      </c>
      <c r="M1514" s="31">
        <v>45779</v>
      </c>
      <c r="N1514" s="31">
        <v>45779</v>
      </c>
      <c r="O1514" s="2" t="s">
        <v>297</v>
      </c>
    </row>
    <row r="1515" spans="1:15">
      <c r="A1515" s="3">
        <f t="shared" si="24"/>
        <v>1514</v>
      </c>
      <c r="B1515" s="65" t="s">
        <v>2644</v>
      </c>
      <c r="C1515" s="1">
        <v>6304743360</v>
      </c>
      <c r="D1515" s="6"/>
      <c r="E1515" s="14" t="s">
        <v>170</v>
      </c>
      <c r="F1515" s="65" t="s">
        <v>308</v>
      </c>
      <c r="G1515" s="2" t="s">
        <v>16</v>
      </c>
      <c r="H1515" s="3" t="s">
        <v>162</v>
      </c>
      <c r="I1515" s="37" t="s">
        <v>42</v>
      </c>
      <c r="J1515" s="31">
        <v>45731</v>
      </c>
      <c r="K1515" s="31">
        <v>45736</v>
      </c>
      <c r="L1515" s="31">
        <v>45751</v>
      </c>
      <c r="M1515" s="31">
        <v>45782</v>
      </c>
      <c r="N1515" s="31">
        <v>45782</v>
      </c>
      <c r="O1515" s="2" t="s">
        <v>297</v>
      </c>
    </row>
    <row r="1516" spans="1:15">
      <c r="A1516" s="3">
        <f t="shared" si="24"/>
        <v>1515</v>
      </c>
      <c r="B1516" s="65" t="s">
        <v>2645</v>
      </c>
      <c r="C1516" s="1">
        <v>9010165252</v>
      </c>
      <c r="D1516" s="6"/>
      <c r="E1516" s="3" t="s">
        <v>167</v>
      </c>
      <c r="F1516" s="65" t="s">
        <v>543</v>
      </c>
      <c r="G1516" s="2" t="s">
        <v>424</v>
      </c>
      <c r="H1516" s="3" t="s">
        <v>162</v>
      </c>
      <c r="I1516" s="37" t="s">
        <v>42</v>
      </c>
      <c r="J1516" s="31">
        <v>45731</v>
      </c>
      <c r="K1516" s="31">
        <v>45736</v>
      </c>
      <c r="L1516" s="31"/>
      <c r="M1516" s="31"/>
      <c r="N1516" s="31"/>
      <c r="O1516" s="2" t="s">
        <v>425</v>
      </c>
    </row>
    <row r="1517" spans="1:15">
      <c r="A1517" s="3">
        <f t="shared" si="24"/>
        <v>1516</v>
      </c>
      <c r="B1517" s="65" t="s">
        <v>2646</v>
      </c>
      <c r="C1517" s="1">
        <v>7032060335</v>
      </c>
      <c r="D1517" s="6"/>
      <c r="E1517" s="3" t="s">
        <v>135</v>
      </c>
      <c r="F1517" s="65" t="s">
        <v>2407</v>
      </c>
      <c r="G1517" s="2" t="s">
        <v>16</v>
      </c>
      <c r="H1517" s="3" t="s">
        <v>815</v>
      </c>
      <c r="I1517" s="37" t="s">
        <v>42</v>
      </c>
      <c r="J1517" s="31">
        <v>45731</v>
      </c>
      <c r="K1517" s="31">
        <v>45736</v>
      </c>
      <c r="L1517" s="31">
        <v>45737</v>
      </c>
      <c r="M1517" s="31">
        <v>45754</v>
      </c>
      <c r="N1517" s="31">
        <v>45754</v>
      </c>
      <c r="O1517" s="2" t="s">
        <v>297</v>
      </c>
    </row>
    <row r="1518" spans="1:15">
      <c r="A1518" s="3">
        <f t="shared" si="24"/>
        <v>1517</v>
      </c>
      <c r="B1518" s="65" t="s">
        <v>2647</v>
      </c>
      <c r="C1518" s="1">
        <v>7008597286</v>
      </c>
      <c r="D1518" s="6"/>
      <c r="E1518" s="3" t="s">
        <v>135</v>
      </c>
      <c r="F1518" s="65" t="s">
        <v>2648</v>
      </c>
      <c r="G1518" s="2" t="s">
        <v>16</v>
      </c>
      <c r="H1518" s="3" t="s">
        <v>815</v>
      </c>
      <c r="I1518" s="37" t="s">
        <v>42</v>
      </c>
      <c r="J1518" s="31">
        <v>45731</v>
      </c>
      <c r="K1518" s="31">
        <v>45741</v>
      </c>
      <c r="L1518" s="31">
        <v>45741</v>
      </c>
      <c r="M1518" s="31">
        <v>45773</v>
      </c>
      <c r="N1518" s="31">
        <v>45773</v>
      </c>
      <c r="O1518" s="2" t="s">
        <v>297</v>
      </c>
    </row>
    <row r="1519" spans="1:15">
      <c r="A1519" s="3">
        <f t="shared" si="24"/>
        <v>1518</v>
      </c>
      <c r="B1519" s="65" t="s">
        <v>2649</v>
      </c>
      <c r="C1519" s="1">
        <v>8919999670</v>
      </c>
      <c r="D1519" s="6"/>
      <c r="E1519" s="3" t="s">
        <v>138</v>
      </c>
      <c r="F1519" s="65" t="s">
        <v>2650</v>
      </c>
      <c r="G1519" s="2" t="s">
        <v>16</v>
      </c>
      <c r="H1519" s="3" t="s">
        <v>815</v>
      </c>
      <c r="I1519" s="37" t="s">
        <v>88</v>
      </c>
      <c r="J1519" s="31">
        <v>45731</v>
      </c>
      <c r="K1519" s="31">
        <v>45736</v>
      </c>
      <c r="L1519" s="31">
        <v>45751</v>
      </c>
      <c r="M1519" s="31">
        <v>45828</v>
      </c>
      <c r="N1519" s="31">
        <v>45828</v>
      </c>
      <c r="O1519" s="2" t="s">
        <v>297</v>
      </c>
    </row>
    <row r="1520" spans="1:15">
      <c r="A1520" s="3">
        <f t="shared" si="24"/>
        <v>1519</v>
      </c>
      <c r="B1520" s="65" t="s">
        <v>2651</v>
      </c>
      <c r="C1520" s="1">
        <v>9573211109</v>
      </c>
      <c r="D1520" s="6"/>
      <c r="E1520" s="3" t="s">
        <v>135</v>
      </c>
      <c r="F1520" s="65" t="s">
        <v>2407</v>
      </c>
      <c r="G1520" s="2" t="s">
        <v>416</v>
      </c>
      <c r="H1520" s="3" t="s">
        <v>815</v>
      </c>
      <c r="I1520" s="37" t="s">
        <v>42</v>
      </c>
      <c r="J1520" s="31">
        <v>45731</v>
      </c>
      <c r="K1520" s="31">
        <v>45736</v>
      </c>
      <c r="L1520" s="31"/>
      <c r="M1520" s="31"/>
      <c r="N1520" s="31"/>
      <c r="O1520" s="2" t="s">
        <v>297</v>
      </c>
    </row>
    <row r="1521" spans="1:15">
      <c r="A1521" s="3">
        <f t="shared" si="24"/>
        <v>1520</v>
      </c>
      <c r="B1521" s="65" t="s">
        <v>2652</v>
      </c>
      <c r="C1521" s="1">
        <v>9848649245</v>
      </c>
      <c r="D1521" s="6"/>
      <c r="E1521" s="3" t="s">
        <v>135</v>
      </c>
      <c r="F1521" s="65" t="s">
        <v>2407</v>
      </c>
      <c r="G1521" s="2" t="s">
        <v>424</v>
      </c>
      <c r="H1521" s="3" t="s">
        <v>815</v>
      </c>
      <c r="I1521" s="37" t="s">
        <v>42</v>
      </c>
      <c r="J1521" s="31">
        <v>45731</v>
      </c>
      <c r="K1521" s="31">
        <v>45736</v>
      </c>
      <c r="L1521" s="31"/>
      <c r="M1521" s="31"/>
      <c r="N1521" s="31"/>
      <c r="O1521" s="2" t="s">
        <v>425</v>
      </c>
    </row>
    <row r="1522" spans="1:15">
      <c r="A1522" s="3">
        <f t="shared" si="24"/>
        <v>1521</v>
      </c>
      <c r="B1522" s="65" t="s">
        <v>2653</v>
      </c>
      <c r="C1522" s="1">
        <v>8978098808</v>
      </c>
      <c r="D1522" s="6"/>
      <c r="E1522" s="3" t="s">
        <v>138</v>
      </c>
      <c r="F1522" s="65" t="s">
        <v>821</v>
      </c>
      <c r="G1522" s="2" t="s">
        <v>295</v>
      </c>
      <c r="H1522" s="3" t="s">
        <v>815</v>
      </c>
      <c r="I1522" s="37" t="s">
        <v>42</v>
      </c>
      <c r="J1522" s="31">
        <v>45731</v>
      </c>
      <c r="K1522" s="31">
        <v>45736</v>
      </c>
      <c r="L1522" s="31">
        <v>45737</v>
      </c>
      <c r="M1522" s="31">
        <v>45795</v>
      </c>
      <c r="N1522" s="31"/>
      <c r="O1522" s="2" t="s">
        <v>297</v>
      </c>
    </row>
    <row r="1523" spans="1:15">
      <c r="A1523" s="3">
        <f t="shared" ref="A1523:A1586" si="25">ROW()-1</f>
        <v>1522</v>
      </c>
      <c r="B1523" s="65" t="s">
        <v>2654</v>
      </c>
      <c r="C1523" s="1">
        <v>7893364510</v>
      </c>
      <c r="D1523" s="6"/>
      <c r="E1523" s="3" t="s">
        <v>138</v>
      </c>
      <c r="F1523" s="65" t="s">
        <v>825</v>
      </c>
      <c r="G1523" s="2" t="s">
        <v>416</v>
      </c>
      <c r="H1523" s="3" t="s">
        <v>815</v>
      </c>
      <c r="I1523" s="37" t="s">
        <v>42</v>
      </c>
      <c r="J1523" s="31">
        <v>45731</v>
      </c>
      <c r="K1523" s="31">
        <v>45736</v>
      </c>
      <c r="L1523" s="31"/>
      <c r="M1523" s="31"/>
      <c r="N1523" s="31"/>
      <c r="O1523" s="2" t="s">
        <v>297</v>
      </c>
    </row>
    <row r="1524" spans="1:15">
      <c r="A1524" s="3">
        <f t="shared" si="25"/>
        <v>1523</v>
      </c>
      <c r="B1524" s="65" t="s">
        <v>2655</v>
      </c>
      <c r="C1524" s="1">
        <v>8328664496</v>
      </c>
      <c r="D1524" s="6"/>
      <c r="E1524" s="3" t="s">
        <v>141</v>
      </c>
      <c r="F1524" s="65" t="s">
        <v>1827</v>
      </c>
      <c r="G1524" s="2" t="s">
        <v>16</v>
      </c>
      <c r="H1524" s="3" t="s">
        <v>815</v>
      </c>
      <c r="I1524" s="37" t="s">
        <v>42</v>
      </c>
      <c r="J1524" s="31">
        <v>45731</v>
      </c>
      <c r="K1524" s="31">
        <v>45736</v>
      </c>
      <c r="L1524" s="31">
        <v>45751</v>
      </c>
      <c r="M1524" s="31">
        <v>45761</v>
      </c>
      <c r="N1524" s="31">
        <v>45761</v>
      </c>
      <c r="O1524" s="2" t="s">
        <v>297</v>
      </c>
    </row>
    <row r="1525" spans="1:15">
      <c r="A1525" s="3">
        <f t="shared" si="25"/>
        <v>1524</v>
      </c>
      <c r="B1525" s="65" t="s">
        <v>2656</v>
      </c>
      <c r="C1525" s="1">
        <v>9713258710</v>
      </c>
      <c r="D1525" s="6"/>
      <c r="E1525" s="3" t="s">
        <v>138</v>
      </c>
      <c r="F1525" s="65" t="s">
        <v>2657</v>
      </c>
      <c r="G1525" s="2" t="s">
        <v>424</v>
      </c>
      <c r="H1525" s="3" t="s">
        <v>815</v>
      </c>
      <c r="I1525" s="37" t="s">
        <v>42</v>
      </c>
      <c r="J1525" s="31">
        <v>45731</v>
      </c>
      <c r="K1525" s="31">
        <v>45736</v>
      </c>
      <c r="L1525" s="31"/>
      <c r="M1525" s="31"/>
      <c r="N1525" s="31"/>
      <c r="O1525" s="2" t="s">
        <v>425</v>
      </c>
    </row>
    <row r="1526" spans="1:15">
      <c r="A1526" s="3">
        <f t="shared" si="25"/>
        <v>1525</v>
      </c>
      <c r="B1526" s="65" t="s">
        <v>2658</v>
      </c>
      <c r="C1526" s="1">
        <v>9640850688</v>
      </c>
      <c r="D1526" s="6"/>
      <c r="E1526" s="3" t="s">
        <v>99</v>
      </c>
      <c r="F1526" s="65" t="s">
        <v>2659</v>
      </c>
      <c r="G1526" s="2" t="s">
        <v>424</v>
      </c>
      <c r="H1526" s="3" t="s">
        <v>361</v>
      </c>
      <c r="I1526" s="37" t="s">
        <v>42</v>
      </c>
      <c r="J1526" s="31">
        <v>45731</v>
      </c>
      <c r="K1526" s="31">
        <v>45743</v>
      </c>
      <c r="L1526" s="31"/>
      <c r="M1526" s="31"/>
      <c r="N1526" s="31"/>
      <c r="O1526" s="2" t="s">
        <v>425</v>
      </c>
    </row>
    <row r="1527" spans="1:15">
      <c r="A1527" s="3">
        <f t="shared" si="25"/>
        <v>1526</v>
      </c>
      <c r="B1527" s="65" t="s">
        <v>2660</v>
      </c>
      <c r="C1527" s="1">
        <v>9052381900</v>
      </c>
      <c r="D1527" s="6"/>
      <c r="E1527" s="3" t="s">
        <v>99</v>
      </c>
      <c r="F1527" s="65" t="s">
        <v>360</v>
      </c>
      <c r="G1527" s="2" t="s">
        <v>424</v>
      </c>
      <c r="H1527" s="3" t="s">
        <v>361</v>
      </c>
      <c r="I1527" s="37" t="s">
        <v>42</v>
      </c>
      <c r="J1527" s="31">
        <v>45731</v>
      </c>
      <c r="K1527" s="31">
        <v>45743</v>
      </c>
      <c r="L1527" s="31"/>
      <c r="M1527" s="31"/>
      <c r="N1527" s="31"/>
      <c r="O1527" s="2" t="s">
        <v>425</v>
      </c>
    </row>
    <row r="1528" spans="1:15">
      <c r="A1528" s="3">
        <f t="shared" si="25"/>
        <v>1527</v>
      </c>
      <c r="B1528" s="65" t="s">
        <v>2661</v>
      </c>
      <c r="C1528" s="1">
        <v>9966936263</v>
      </c>
      <c r="D1528" s="6"/>
      <c r="E1528" s="17" t="s">
        <v>72</v>
      </c>
      <c r="F1528" s="65" t="s">
        <v>2662</v>
      </c>
      <c r="G1528" s="2" t="s">
        <v>16</v>
      </c>
      <c r="H1528" s="3" t="s">
        <v>1436</v>
      </c>
      <c r="I1528" s="37" t="s">
        <v>42</v>
      </c>
      <c r="J1528" s="31">
        <v>45731</v>
      </c>
      <c r="K1528" s="31">
        <v>45751</v>
      </c>
      <c r="L1528" s="31">
        <v>45758</v>
      </c>
      <c r="M1528" s="31">
        <v>45788</v>
      </c>
      <c r="N1528" s="31">
        <v>45791</v>
      </c>
      <c r="O1528" s="2" t="s">
        <v>297</v>
      </c>
    </row>
    <row r="1529" spans="1:15">
      <c r="A1529" s="3">
        <f t="shared" si="25"/>
        <v>1528</v>
      </c>
      <c r="B1529" s="65" t="s">
        <v>2663</v>
      </c>
      <c r="C1529" s="1">
        <v>6300230550</v>
      </c>
      <c r="D1529" s="6">
        <v>8978344475</v>
      </c>
      <c r="E1529" s="17" t="s">
        <v>72</v>
      </c>
      <c r="F1529" s="65" t="s">
        <v>2662</v>
      </c>
      <c r="G1529" s="2" t="s">
        <v>424</v>
      </c>
      <c r="H1529" s="3" t="s">
        <v>1436</v>
      </c>
      <c r="I1529" s="37" t="s">
        <v>42</v>
      </c>
      <c r="J1529" s="31">
        <v>45731</v>
      </c>
      <c r="K1529" s="31">
        <v>45734</v>
      </c>
      <c r="L1529" s="31"/>
      <c r="M1529" s="31"/>
      <c r="N1529" s="31"/>
      <c r="O1529" s="2" t="s">
        <v>425</v>
      </c>
    </row>
    <row r="1530" spans="1:15">
      <c r="A1530" s="3">
        <f t="shared" si="25"/>
        <v>1529</v>
      </c>
      <c r="B1530" s="65" t="s">
        <v>2664</v>
      </c>
      <c r="C1530" s="1">
        <v>8813962241</v>
      </c>
      <c r="D1530" s="6"/>
      <c r="E1530" s="3" t="s">
        <v>107</v>
      </c>
      <c r="F1530" s="65" t="s">
        <v>333</v>
      </c>
      <c r="G1530" s="2" t="s">
        <v>764</v>
      </c>
      <c r="H1530" s="3" t="s">
        <v>102</v>
      </c>
      <c r="I1530" s="37" t="s">
        <v>42</v>
      </c>
      <c r="J1530" s="31">
        <v>45731</v>
      </c>
      <c r="K1530" s="31">
        <v>45734</v>
      </c>
      <c r="L1530" s="31"/>
      <c r="M1530" s="31"/>
      <c r="N1530" s="31"/>
      <c r="O1530" s="2" t="s">
        <v>425</v>
      </c>
    </row>
    <row r="1531" spans="1:15">
      <c r="A1531" s="3">
        <f t="shared" si="25"/>
        <v>1530</v>
      </c>
      <c r="B1531" s="65" t="s">
        <v>2665</v>
      </c>
      <c r="C1531" s="1">
        <v>9368928898</v>
      </c>
      <c r="D1531" s="6"/>
      <c r="E1531" s="36" t="s">
        <v>110</v>
      </c>
      <c r="F1531" s="65" t="s">
        <v>920</v>
      </c>
      <c r="G1531" s="2" t="s">
        <v>764</v>
      </c>
      <c r="H1531" s="3" t="s">
        <v>102</v>
      </c>
      <c r="I1531" s="37" t="s">
        <v>42</v>
      </c>
      <c r="J1531" s="31">
        <v>45731</v>
      </c>
      <c r="K1531" s="31">
        <v>45733</v>
      </c>
      <c r="L1531" s="31"/>
      <c r="M1531" s="31"/>
      <c r="N1531" s="31"/>
      <c r="O1531" s="2" t="s">
        <v>425</v>
      </c>
    </row>
    <row r="1532" spans="1:15">
      <c r="A1532" s="3">
        <f t="shared" si="25"/>
        <v>1531</v>
      </c>
      <c r="B1532" s="65" t="s">
        <v>2666</v>
      </c>
      <c r="C1532" s="1">
        <v>8332927412</v>
      </c>
      <c r="D1532" s="6"/>
      <c r="E1532" s="3" t="s">
        <v>107</v>
      </c>
      <c r="F1532" s="65" t="s">
        <v>333</v>
      </c>
      <c r="G1532" s="2" t="s">
        <v>764</v>
      </c>
      <c r="H1532" s="3" t="s">
        <v>102</v>
      </c>
      <c r="I1532" s="37" t="s">
        <v>42</v>
      </c>
      <c r="J1532" s="31">
        <v>45731</v>
      </c>
      <c r="K1532" s="31">
        <v>45733</v>
      </c>
      <c r="L1532" s="31"/>
      <c r="M1532" s="31"/>
      <c r="N1532" s="31"/>
      <c r="O1532" s="2" t="s">
        <v>425</v>
      </c>
    </row>
    <row r="1533" spans="1:15">
      <c r="A1533" s="3">
        <f t="shared" si="25"/>
        <v>1532</v>
      </c>
      <c r="B1533" s="65" t="s">
        <v>2667</v>
      </c>
      <c r="C1533" s="1">
        <v>7993799949</v>
      </c>
      <c r="D1533" s="6"/>
      <c r="E1533" s="3" t="s">
        <v>107</v>
      </c>
      <c r="F1533" s="65" t="s">
        <v>333</v>
      </c>
      <c r="G1533" s="2" t="s">
        <v>764</v>
      </c>
      <c r="H1533" s="3" t="s">
        <v>102</v>
      </c>
      <c r="I1533" s="37" t="s">
        <v>42</v>
      </c>
      <c r="J1533" s="31">
        <v>45731</v>
      </c>
      <c r="K1533" s="31">
        <v>45734</v>
      </c>
      <c r="L1533" s="31"/>
      <c r="M1533" s="31"/>
      <c r="N1533" s="31"/>
      <c r="O1533" s="2" t="s">
        <v>425</v>
      </c>
    </row>
    <row r="1534" spans="1:15">
      <c r="A1534" s="3">
        <f t="shared" si="25"/>
        <v>1533</v>
      </c>
      <c r="B1534" s="65" t="s">
        <v>2668</v>
      </c>
      <c r="C1534" s="1">
        <v>7330971201</v>
      </c>
      <c r="D1534" s="6"/>
      <c r="E1534" s="36" t="s">
        <v>110</v>
      </c>
      <c r="F1534" s="65" t="s">
        <v>419</v>
      </c>
      <c r="G1534" s="2" t="s">
        <v>764</v>
      </c>
      <c r="H1534" s="3" t="s">
        <v>102</v>
      </c>
      <c r="I1534" s="37" t="s">
        <v>42</v>
      </c>
      <c r="J1534" s="31">
        <v>45731</v>
      </c>
      <c r="K1534" s="31">
        <v>45733</v>
      </c>
      <c r="L1534" s="31"/>
      <c r="M1534" s="31"/>
      <c r="N1534" s="31"/>
      <c r="O1534" s="2" t="s">
        <v>425</v>
      </c>
    </row>
    <row r="1535" spans="1:15">
      <c r="A1535" s="3">
        <f t="shared" si="25"/>
        <v>1534</v>
      </c>
      <c r="B1535" s="65" t="s">
        <v>2669</v>
      </c>
      <c r="C1535" s="1">
        <v>9647131338</v>
      </c>
      <c r="D1535" s="6"/>
      <c r="E1535" s="36" t="s">
        <v>110</v>
      </c>
      <c r="F1535" s="65" t="s">
        <v>308</v>
      </c>
      <c r="G1535" s="2" t="s">
        <v>764</v>
      </c>
      <c r="H1535" s="3" t="s">
        <v>102</v>
      </c>
      <c r="I1535" s="37" t="s">
        <v>42</v>
      </c>
      <c r="J1535" s="31">
        <v>45731</v>
      </c>
      <c r="K1535" s="31">
        <v>45733</v>
      </c>
      <c r="L1535" s="31"/>
      <c r="M1535" s="31"/>
      <c r="N1535" s="31"/>
      <c r="O1535" s="2" t="s">
        <v>425</v>
      </c>
    </row>
    <row r="1536" spans="1:15">
      <c r="A1536" s="3">
        <f t="shared" si="25"/>
        <v>1535</v>
      </c>
      <c r="B1536" s="65" t="s">
        <v>2670</v>
      </c>
      <c r="C1536" s="1">
        <v>7032649627</v>
      </c>
      <c r="D1536" s="6"/>
      <c r="E1536" s="3" t="s">
        <v>56</v>
      </c>
      <c r="F1536" s="65" t="s">
        <v>2671</v>
      </c>
      <c r="G1536" s="2" t="s">
        <v>764</v>
      </c>
      <c r="H1536" s="3" t="s">
        <v>660</v>
      </c>
      <c r="I1536" s="37" t="s">
        <v>42</v>
      </c>
      <c r="J1536" s="31">
        <v>45731</v>
      </c>
      <c r="K1536" s="31">
        <v>45737</v>
      </c>
      <c r="L1536" s="31"/>
      <c r="M1536" s="31"/>
      <c r="N1536" s="31"/>
      <c r="O1536" s="2" t="s">
        <v>425</v>
      </c>
    </row>
    <row r="1537" spans="1:15">
      <c r="A1537" s="3">
        <f t="shared" si="25"/>
        <v>1536</v>
      </c>
      <c r="B1537" s="65" t="s">
        <v>2672</v>
      </c>
      <c r="C1537" s="1">
        <v>9686770103</v>
      </c>
      <c r="D1537" s="6"/>
      <c r="E1537" s="3" t="s">
        <v>59</v>
      </c>
      <c r="F1537" s="65" t="s">
        <v>2673</v>
      </c>
      <c r="G1537" s="2" t="s">
        <v>764</v>
      </c>
      <c r="H1537" s="3" t="s">
        <v>660</v>
      </c>
      <c r="I1537" s="37" t="s">
        <v>42</v>
      </c>
      <c r="J1537" s="31">
        <v>45731</v>
      </c>
      <c r="K1537" s="31">
        <v>45737</v>
      </c>
      <c r="L1537" s="31"/>
      <c r="M1537" s="31"/>
      <c r="N1537" s="31"/>
      <c r="O1537" s="2" t="s">
        <v>425</v>
      </c>
    </row>
    <row r="1538" spans="1:15">
      <c r="A1538" s="3">
        <f t="shared" si="25"/>
        <v>1537</v>
      </c>
      <c r="B1538" s="118" t="s">
        <v>2674</v>
      </c>
      <c r="C1538" s="6">
        <v>9652592895</v>
      </c>
      <c r="D1538" s="6"/>
      <c r="E1538" s="3" t="s">
        <v>104</v>
      </c>
      <c r="F1538" s="80" t="s">
        <v>1199</v>
      </c>
      <c r="G1538" s="2" t="s">
        <v>764</v>
      </c>
      <c r="H1538" s="3" t="s">
        <v>660</v>
      </c>
      <c r="I1538" s="37" t="s">
        <v>42</v>
      </c>
      <c r="J1538" s="31">
        <v>45731</v>
      </c>
      <c r="K1538" s="31">
        <v>45744</v>
      </c>
      <c r="L1538" s="31"/>
      <c r="M1538" s="31"/>
      <c r="N1538" s="31"/>
      <c r="O1538" s="2" t="s">
        <v>425</v>
      </c>
    </row>
    <row r="1539" spans="1:15">
      <c r="A1539" s="3">
        <f t="shared" si="25"/>
        <v>1538</v>
      </c>
      <c r="B1539" s="118" t="s">
        <v>2675</v>
      </c>
      <c r="C1539" s="6">
        <v>9340162540</v>
      </c>
      <c r="D1539" s="6"/>
      <c r="E1539" s="3" t="s">
        <v>104</v>
      </c>
      <c r="F1539" s="80" t="s">
        <v>687</v>
      </c>
      <c r="G1539" s="2" t="s">
        <v>764</v>
      </c>
      <c r="H1539" s="3" t="s">
        <v>660</v>
      </c>
      <c r="I1539" s="37" t="s">
        <v>42</v>
      </c>
      <c r="J1539" s="31">
        <v>45731</v>
      </c>
      <c r="K1539" s="31">
        <v>45745</v>
      </c>
      <c r="L1539" s="31"/>
      <c r="M1539" s="31"/>
      <c r="N1539" s="31"/>
      <c r="O1539" s="2" t="s">
        <v>425</v>
      </c>
    </row>
    <row r="1540" spans="1:15">
      <c r="A1540" s="3">
        <f t="shared" si="25"/>
        <v>1539</v>
      </c>
      <c r="B1540" s="118" t="s">
        <v>2676</v>
      </c>
      <c r="C1540" s="6">
        <v>8886901676</v>
      </c>
      <c r="D1540" s="6"/>
      <c r="E1540" s="3" t="s">
        <v>104</v>
      </c>
      <c r="F1540" s="80" t="s">
        <v>1199</v>
      </c>
      <c r="G1540" s="2" t="s">
        <v>764</v>
      </c>
      <c r="H1540" s="3" t="s">
        <v>660</v>
      </c>
      <c r="I1540" s="37" t="s">
        <v>42</v>
      </c>
      <c r="J1540" s="31">
        <v>45731</v>
      </c>
      <c r="K1540" s="31">
        <v>45745</v>
      </c>
      <c r="L1540" s="31"/>
      <c r="M1540" s="31"/>
      <c r="N1540" s="31"/>
      <c r="O1540" s="2" t="s">
        <v>425</v>
      </c>
    </row>
    <row r="1541" spans="1:15">
      <c r="A1541" s="3">
        <f t="shared" si="25"/>
        <v>1540</v>
      </c>
      <c r="B1541" s="118" t="s">
        <v>2677</v>
      </c>
      <c r="C1541" s="6">
        <v>9490636016</v>
      </c>
      <c r="D1541" s="6"/>
      <c r="E1541" s="3" t="s">
        <v>104</v>
      </c>
      <c r="F1541" s="80" t="s">
        <v>710</v>
      </c>
      <c r="G1541" s="2" t="s">
        <v>764</v>
      </c>
      <c r="H1541" s="3" t="s">
        <v>660</v>
      </c>
      <c r="I1541" s="37" t="s">
        <v>42</v>
      </c>
      <c r="J1541" s="31">
        <v>45731</v>
      </c>
      <c r="K1541" s="31">
        <v>45744</v>
      </c>
      <c r="L1541" s="31"/>
      <c r="M1541" s="31"/>
      <c r="N1541" s="31"/>
      <c r="O1541" s="2" t="s">
        <v>425</v>
      </c>
    </row>
    <row r="1542" spans="1:15">
      <c r="A1542" s="3">
        <f t="shared" si="25"/>
        <v>1541</v>
      </c>
      <c r="B1542" s="82" t="s">
        <v>2678</v>
      </c>
      <c r="C1542" s="46">
        <v>9676987609</v>
      </c>
      <c r="D1542" s="6"/>
      <c r="E1542" s="3" t="s">
        <v>104</v>
      </c>
      <c r="F1542" s="81" t="s">
        <v>2679</v>
      </c>
      <c r="G1542" s="2" t="s">
        <v>16</v>
      </c>
      <c r="H1542" s="3" t="s">
        <v>660</v>
      </c>
      <c r="I1542" s="37" t="s">
        <v>42</v>
      </c>
      <c r="J1542" s="31">
        <v>45731</v>
      </c>
      <c r="K1542" s="31">
        <v>45741</v>
      </c>
      <c r="L1542" s="31">
        <v>45741</v>
      </c>
      <c r="M1542" s="31">
        <v>45773</v>
      </c>
      <c r="N1542" s="31">
        <v>45770</v>
      </c>
      <c r="O1542" s="2" t="s">
        <v>297</v>
      </c>
    </row>
    <row r="1543" spans="1:15">
      <c r="A1543" s="3">
        <f t="shared" si="25"/>
        <v>1542</v>
      </c>
      <c r="B1543" s="118" t="s">
        <v>2680</v>
      </c>
      <c r="C1543" s="6">
        <v>7760525653</v>
      </c>
      <c r="D1543" s="6"/>
      <c r="E1543" s="3" t="s">
        <v>104</v>
      </c>
      <c r="F1543" s="80" t="s">
        <v>2681</v>
      </c>
      <c r="G1543" s="2" t="s">
        <v>764</v>
      </c>
      <c r="H1543" s="3" t="s">
        <v>660</v>
      </c>
      <c r="I1543" s="37" t="s">
        <v>42</v>
      </c>
      <c r="J1543" s="31">
        <v>45731</v>
      </c>
      <c r="K1543" s="31">
        <v>45745</v>
      </c>
      <c r="L1543" s="31"/>
      <c r="M1543" s="31"/>
      <c r="N1543" s="31"/>
      <c r="O1543" s="2" t="s">
        <v>425</v>
      </c>
    </row>
    <row r="1544" spans="1:15">
      <c r="A1544" s="3">
        <f t="shared" si="25"/>
        <v>1543</v>
      </c>
      <c r="B1544" s="118" t="s">
        <v>2682</v>
      </c>
      <c r="C1544" s="6">
        <v>9704904678</v>
      </c>
      <c r="D1544" s="6"/>
      <c r="E1544" s="3" t="s">
        <v>104</v>
      </c>
      <c r="F1544" s="80" t="s">
        <v>2683</v>
      </c>
      <c r="G1544" s="2" t="s">
        <v>16</v>
      </c>
      <c r="H1544" s="3" t="s">
        <v>660</v>
      </c>
      <c r="I1544" s="37" t="s">
        <v>42</v>
      </c>
      <c r="J1544" s="31">
        <v>45731</v>
      </c>
      <c r="K1544" s="31">
        <v>45745</v>
      </c>
      <c r="L1544" s="31">
        <v>45750</v>
      </c>
      <c r="M1544" s="31">
        <v>45780</v>
      </c>
      <c r="N1544" s="31">
        <v>45771</v>
      </c>
      <c r="O1544" s="2" t="s">
        <v>297</v>
      </c>
    </row>
    <row r="1545" spans="1:15">
      <c r="A1545" s="3">
        <f t="shared" si="25"/>
        <v>1544</v>
      </c>
      <c r="B1545" s="118" t="s">
        <v>2684</v>
      </c>
      <c r="C1545" s="6">
        <v>9369489464</v>
      </c>
      <c r="D1545" s="6">
        <v>9111115109</v>
      </c>
      <c r="E1545" s="3" t="s">
        <v>104</v>
      </c>
      <c r="F1545" s="80" t="s">
        <v>2685</v>
      </c>
      <c r="G1545" s="2" t="s">
        <v>424</v>
      </c>
      <c r="H1545" s="3" t="s">
        <v>660</v>
      </c>
      <c r="I1545" s="37" t="s">
        <v>42</v>
      </c>
      <c r="J1545" s="31">
        <v>45731</v>
      </c>
      <c r="K1545" s="31">
        <v>45745</v>
      </c>
      <c r="L1545" s="31"/>
      <c r="M1545" s="31"/>
      <c r="N1545" s="31"/>
      <c r="O1545" s="2" t="s">
        <v>425</v>
      </c>
    </row>
    <row r="1546" spans="1:15">
      <c r="A1546" s="3">
        <f t="shared" si="25"/>
        <v>1545</v>
      </c>
      <c r="B1546" s="119" t="s">
        <v>2686</v>
      </c>
      <c r="C1546" s="55">
        <v>9248957777</v>
      </c>
      <c r="D1546" s="6"/>
      <c r="E1546" s="3" t="s">
        <v>104</v>
      </c>
      <c r="F1546" s="84" t="s">
        <v>2687</v>
      </c>
      <c r="G1546" s="2" t="s">
        <v>16</v>
      </c>
      <c r="H1546" s="3" t="s">
        <v>660</v>
      </c>
      <c r="I1546" s="37" t="s">
        <v>42</v>
      </c>
      <c r="J1546" s="31">
        <v>45731</v>
      </c>
      <c r="K1546" s="31">
        <v>45745</v>
      </c>
      <c r="L1546" s="31">
        <v>45749</v>
      </c>
      <c r="M1546" s="31">
        <v>45779</v>
      </c>
      <c r="N1546" s="31">
        <v>45771</v>
      </c>
      <c r="O1546" s="2" t="s">
        <v>297</v>
      </c>
    </row>
    <row r="1547" spans="1:15">
      <c r="A1547" s="3">
        <f t="shared" si="25"/>
        <v>1546</v>
      </c>
      <c r="B1547" s="118" t="s">
        <v>2688</v>
      </c>
      <c r="C1547" s="6">
        <v>8142534812</v>
      </c>
      <c r="D1547" s="6">
        <v>9398079184</v>
      </c>
      <c r="E1547" s="3" t="s">
        <v>104</v>
      </c>
      <c r="F1547" s="80" t="s">
        <v>2689</v>
      </c>
      <c r="G1547" s="2" t="s">
        <v>764</v>
      </c>
      <c r="H1547" s="3" t="s">
        <v>660</v>
      </c>
      <c r="I1547" s="37" t="s">
        <v>42</v>
      </c>
      <c r="J1547" s="31">
        <v>45731</v>
      </c>
      <c r="K1547" s="31">
        <v>45744</v>
      </c>
      <c r="L1547" s="31"/>
      <c r="M1547" s="31"/>
      <c r="N1547" s="31"/>
      <c r="O1547" s="2" t="s">
        <v>425</v>
      </c>
    </row>
    <row r="1548" spans="1:15">
      <c r="A1548" s="3">
        <f t="shared" si="25"/>
        <v>1547</v>
      </c>
      <c r="B1548" s="118" t="s">
        <v>2690</v>
      </c>
      <c r="C1548" s="6">
        <v>8008477991</v>
      </c>
      <c r="D1548" s="6"/>
      <c r="E1548" s="3" t="s">
        <v>104</v>
      </c>
      <c r="F1548" s="80" t="s">
        <v>2463</v>
      </c>
      <c r="G1548" s="2" t="s">
        <v>764</v>
      </c>
      <c r="H1548" s="3" t="s">
        <v>660</v>
      </c>
      <c r="I1548" s="37" t="s">
        <v>42</v>
      </c>
      <c r="J1548" s="31">
        <v>45731</v>
      </c>
      <c r="K1548" s="31">
        <v>45745</v>
      </c>
      <c r="L1548" s="31"/>
      <c r="M1548" s="31"/>
      <c r="N1548" s="31"/>
      <c r="O1548" s="2" t="s">
        <v>425</v>
      </c>
    </row>
    <row r="1549" spans="1:15">
      <c r="A1549" s="3">
        <f t="shared" si="25"/>
        <v>1548</v>
      </c>
      <c r="B1549" s="118" t="s">
        <v>2691</v>
      </c>
      <c r="C1549" s="6">
        <v>9666588512</v>
      </c>
      <c r="D1549" s="6"/>
      <c r="E1549" s="3" t="s">
        <v>104</v>
      </c>
      <c r="F1549" s="80" t="s">
        <v>710</v>
      </c>
      <c r="G1549" s="2" t="s">
        <v>16</v>
      </c>
      <c r="H1549" s="3" t="s">
        <v>660</v>
      </c>
      <c r="I1549" s="37" t="s">
        <v>42</v>
      </c>
      <c r="J1549" s="31">
        <v>45731</v>
      </c>
      <c r="K1549" s="31">
        <v>45742</v>
      </c>
      <c r="L1549" s="31">
        <v>45743</v>
      </c>
      <c r="M1549" s="31">
        <v>45778</v>
      </c>
      <c r="N1549" s="31">
        <v>45770</v>
      </c>
      <c r="O1549" s="2" t="s">
        <v>297</v>
      </c>
    </row>
    <row r="1550" spans="1:15">
      <c r="A1550" s="3">
        <f t="shared" si="25"/>
        <v>1549</v>
      </c>
      <c r="B1550" s="118" t="s">
        <v>2692</v>
      </c>
      <c r="C1550" s="6">
        <v>8099334848</v>
      </c>
      <c r="D1550" s="6"/>
      <c r="E1550" s="36" t="s">
        <v>156</v>
      </c>
      <c r="F1550" s="80" t="s">
        <v>2693</v>
      </c>
      <c r="G1550" s="2" t="s">
        <v>16</v>
      </c>
      <c r="H1550" s="3" t="s">
        <v>2694</v>
      </c>
      <c r="I1550" s="37" t="s">
        <v>88</v>
      </c>
      <c r="J1550" s="31">
        <v>45733</v>
      </c>
      <c r="K1550" s="31">
        <v>45749</v>
      </c>
      <c r="L1550" s="31">
        <v>45749</v>
      </c>
      <c r="M1550" s="31">
        <v>45779</v>
      </c>
      <c r="N1550" s="31">
        <v>45779</v>
      </c>
      <c r="O1550" s="2" t="s">
        <v>297</v>
      </c>
    </row>
    <row r="1551" spans="1:15">
      <c r="A1551" s="3">
        <f t="shared" si="25"/>
        <v>1550</v>
      </c>
      <c r="B1551" s="118" t="s">
        <v>2695</v>
      </c>
      <c r="C1551" s="6">
        <v>9052848317</v>
      </c>
      <c r="D1551" s="6"/>
      <c r="E1551" s="3" t="s">
        <v>167</v>
      </c>
      <c r="F1551" s="80" t="s">
        <v>1174</v>
      </c>
      <c r="G1551" s="2" t="s">
        <v>16</v>
      </c>
      <c r="H1551" s="3" t="s">
        <v>162</v>
      </c>
      <c r="I1551" s="37" t="s">
        <v>42</v>
      </c>
      <c r="J1551" s="31">
        <v>45733</v>
      </c>
      <c r="K1551" s="31">
        <v>45733</v>
      </c>
      <c r="L1551" s="31">
        <v>45736</v>
      </c>
      <c r="M1551" s="31">
        <v>45768</v>
      </c>
      <c r="N1551" s="31">
        <v>45761</v>
      </c>
      <c r="O1551" s="2" t="s">
        <v>297</v>
      </c>
    </row>
    <row r="1552" spans="1:15">
      <c r="A1552" s="3">
        <f t="shared" si="25"/>
        <v>1551</v>
      </c>
      <c r="B1552" s="118" t="s">
        <v>2696</v>
      </c>
      <c r="C1552" s="6">
        <v>8617828399</v>
      </c>
      <c r="D1552" s="6"/>
      <c r="E1552" s="36" t="s">
        <v>550</v>
      </c>
      <c r="F1552" s="80" t="s">
        <v>333</v>
      </c>
      <c r="G1552" s="3" t="s">
        <v>295</v>
      </c>
      <c r="H1552" s="3" t="s">
        <v>752</v>
      </c>
      <c r="I1552" s="37" t="s">
        <v>94</v>
      </c>
      <c r="J1552" s="31">
        <v>45710</v>
      </c>
      <c r="K1552" s="31">
        <v>45733</v>
      </c>
      <c r="L1552" s="31">
        <v>45743</v>
      </c>
      <c r="M1552" s="31">
        <v>45773</v>
      </c>
      <c r="N1552" s="31"/>
      <c r="O1552" s="2" t="s">
        <v>297</v>
      </c>
    </row>
    <row r="1553" spans="1:15">
      <c r="A1553" s="3">
        <f t="shared" si="25"/>
        <v>1552</v>
      </c>
      <c r="B1553" s="118" t="s">
        <v>2698</v>
      </c>
      <c r="C1553" s="6">
        <v>7908970396</v>
      </c>
      <c r="D1553" s="6"/>
      <c r="E1553" s="36" t="s">
        <v>328</v>
      </c>
      <c r="F1553" s="80" t="s">
        <v>333</v>
      </c>
      <c r="G1553" s="2" t="s">
        <v>424</v>
      </c>
      <c r="H1553" s="3" t="s">
        <v>752</v>
      </c>
      <c r="I1553" s="37" t="s">
        <v>94</v>
      </c>
      <c r="J1553" s="31">
        <v>45710</v>
      </c>
      <c r="K1553" s="31">
        <v>45733</v>
      </c>
      <c r="L1553" s="31"/>
      <c r="M1553" s="31"/>
      <c r="N1553" s="31"/>
      <c r="O1553" s="2" t="s">
        <v>749</v>
      </c>
    </row>
    <row r="1554" spans="1:15">
      <c r="A1554" s="3">
        <f t="shared" si="25"/>
        <v>1553</v>
      </c>
      <c r="B1554" s="118" t="s">
        <v>2699</v>
      </c>
      <c r="C1554" s="6">
        <v>9079703046</v>
      </c>
      <c r="D1554" s="6"/>
      <c r="E1554" s="36" t="s">
        <v>328</v>
      </c>
      <c r="F1554" s="80" t="s">
        <v>333</v>
      </c>
      <c r="G1554" s="2" t="s">
        <v>18</v>
      </c>
      <c r="H1554" s="3" t="s">
        <v>752</v>
      </c>
      <c r="I1554" s="37" t="s">
        <v>94</v>
      </c>
      <c r="J1554" s="31">
        <v>45710</v>
      </c>
      <c r="K1554" s="31">
        <v>45733</v>
      </c>
      <c r="L1554" s="31"/>
      <c r="M1554" s="31"/>
      <c r="N1554" s="31"/>
      <c r="O1554" s="2" t="s">
        <v>297</v>
      </c>
    </row>
    <row r="1555" spans="1:15">
      <c r="A1555" s="3">
        <f t="shared" si="25"/>
        <v>1554</v>
      </c>
      <c r="B1555" s="118" t="s">
        <v>2700</v>
      </c>
      <c r="C1555" s="6">
        <v>9542126810</v>
      </c>
      <c r="D1555" s="6"/>
      <c r="E1555" s="36" t="s">
        <v>332</v>
      </c>
      <c r="F1555" s="80" t="s">
        <v>333</v>
      </c>
      <c r="G1555" s="2" t="s">
        <v>18</v>
      </c>
      <c r="H1555" s="3" t="s">
        <v>752</v>
      </c>
      <c r="I1555" s="37" t="s">
        <v>94</v>
      </c>
      <c r="J1555" s="31">
        <v>45710</v>
      </c>
      <c r="K1555" s="31">
        <v>45733</v>
      </c>
      <c r="L1555" s="31"/>
      <c r="M1555" s="31"/>
      <c r="N1555" s="31"/>
      <c r="O1555" s="2" t="s">
        <v>297</v>
      </c>
    </row>
    <row r="1556" spans="1:15">
      <c r="A1556" s="3">
        <f t="shared" si="25"/>
        <v>1555</v>
      </c>
      <c r="B1556" s="118" t="s">
        <v>457</v>
      </c>
      <c r="C1556" s="6">
        <v>9458427682</v>
      </c>
      <c r="D1556" s="6"/>
      <c r="E1556" s="36" t="s">
        <v>332</v>
      </c>
      <c r="F1556" s="80" t="s">
        <v>333</v>
      </c>
      <c r="G1556" s="3" t="s">
        <v>16</v>
      </c>
      <c r="H1556" s="3" t="s">
        <v>752</v>
      </c>
      <c r="I1556" s="37" t="s">
        <v>94</v>
      </c>
      <c r="J1556" s="31">
        <v>45710</v>
      </c>
      <c r="K1556" s="31">
        <v>45733</v>
      </c>
      <c r="L1556" s="31">
        <v>45743</v>
      </c>
      <c r="M1556" s="31">
        <v>45838</v>
      </c>
      <c r="N1556" s="31">
        <v>45851</v>
      </c>
      <c r="O1556" s="2" t="s">
        <v>297</v>
      </c>
    </row>
    <row r="1557" spans="1:15">
      <c r="A1557" s="3">
        <f t="shared" si="25"/>
        <v>1556</v>
      </c>
      <c r="B1557" s="118" t="s">
        <v>1327</v>
      </c>
      <c r="C1557" s="6">
        <v>7233089606</v>
      </c>
      <c r="D1557" s="6"/>
      <c r="E1557" s="36" t="s">
        <v>332</v>
      </c>
      <c r="F1557" s="80" t="s">
        <v>333</v>
      </c>
      <c r="G1557" s="2" t="s">
        <v>16</v>
      </c>
      <c r="H1557" s="3" t="s">
        <v>752</v>
      </c>
      <c r="I1557" s="37" t="s">
        <v>94</v>
      </c>
      <c r="J1557" s="31">
        <v>45710</v>
      </c>
      <c r="K1557" s="31">
        <v>45733</v>
      </c>
      <c r="L1557" s="31">
        <v>45743</v>
      </c>
      <c r="M1557" s="31">
        <v>45811</v>
      </c>
      <c r="N1557" s="31">
        <v>45857</v>
      </c>
      <c r="O1557" s="2" t="s">
        <v>297</v>
      </c>
    </row>
    <row r="1558" spans="1:15">
      <c r="A1558" s="3">
        <f t="shared" si="25"/>
        <v>1557</v>
      </c>
      <c r="B1558" s="118" t="s">
        <v>2701</v>
      </c>
      <c r="C1558" s="6">
        <v>7566204935</v>
      </c>
      <c r="D1558" s="6">
        <v>9451941243</v>
      </c>
      <c r="E1558" s="36" t="s">
        <v>2702</v>
      </c>
      <c r="F1558" s="80" t="s">
        <v>1450</v>
      </c>
      <c r="G1558" s="2" t="s">
        <v>295</v>
      </c>
      <c r="H1558" s="3" t="s">
        <v>487</v>
      </c>
      <c r="I1558" s="37" t="s">
        <v>88</v>
      </c>
      <c r="J1558" s="31">
        <v>45733</v>
      </c>
      <c r="K1558" s="31">
        <v>45735</v>
      </c>
      <c r="L1558" s="31">
        <v>45736</v>
      </c>
      <c r="M1558" s="31">
        <v>45768</v>
      </c>
      <c r="N1558" s="31"/>
      <c r="O1558" s="2" t="s">
        <v>297</v>
      </c>
    </row>
    <row r="1559" spans="1:15">
      <c r="A1559" s="3">
        <f t="shared" si="25"/>
        <v>1558</v>
      </c>
      <c r="B1559" s="118" t="s">
        <v>2703</v>
      </c>
      <c r="C1559" s="6">
        <v>9122717568</v>
      </c>
      <c r="D1559" s="6">
        <v>9606700000</v>
      </c>
      <c r="E1559" s="36" t="s">
        <v>2702</v>
      </c>
      <c r="F1559" s="80" t="s">
        <v>1450</v>
      </c>
      <c r="G1559" s="2" t="s">
        <v>295</v>
      </c>
      <c r="H1559" s="3" t="s">
        <v>487</v>
      </c>
      <c r="I1559" s="37" t="s">
        <v>88</v>
      </c>
      <c r="J1559" s="31">
        <v>45733</v>
      </c>
      <c r="K1559" s="31">
        <v>45735</v>
      </c>
      <c r="L1559" s="31">
        <v>45736</v>
      </c>
      <c r="M1559" s="31">
        <v>45768</v>
      </c>
      <c r="N1559" s="31"/>
      <c r="O1559" s="2" t="s">
        <v>297</v>
      </c>
    </row>
    <row r="1560" spans="1:15">
      <c r="A1560" s="3">
        <f t="shared" si="25"/>
        <v>1559</v>
      </c>
      <c r="B1560" s="118" t="s">
        <v>2704</v>
      </c>
      <c r="C1560" s="6">
        <v>8427640956</v>
      </c>
      <c r="D1560" s="6"/>
      <c r="E1560" s="36" t="s">
        <v>2702</v>
      </c>
      <c r="F1560" s="80" t="s">
        <v>1450</v>
      </c>
      <c r="G1560" s="2" t="s">
        <v>16</v>
      </c>
      <c r="H1560" s="3" t="s">
        <v>487</v>
      </c>
      <c r="I1560" s="37" t="s">
        <v>88</v>
      </c>
      <c r="J1560" s="31">
        <v>45733</v>
      </c>
      <c r="K1560" s="31">
        <v>45735</v>
      </c>
      <c r="L1560" s="31">
        <v>45736</v>
      </c>
      <c r="M1560" s="31">
        <v>45777</v>
      </c>
      <c r="N1560" s="31">
        <v>45775</v>
      </c>
      <c r="O1560" s="2" t="s">
        <v>297</v>
      </c>
    </row>
    <row r="1561" spans="1:15">
      <c r="A1561" s="3">
        <f t="shared" si="25"/>
        <v>1560</v>
      </c>
      <c r="B1561" s="118" t="s">
        <v>2705</v>
      </c>
      <c r="C1561" s="6">
        <v>7063690307</v>
      </c>
      <c r="D1561" s="6">
        <v>7602930151</v>
      </c>
      <c r="E1561" s="36" t="s">
        <v>2702</v>
      </c>
      <c r="F1561" s="80" t="s">
        <v>1450</v>
      </c>
      <c r="G1561" s="2" t="s">
        <v>764</v>
      </c>
      <c r="H1561" s="3" t="s">
        <v>487</v>
      </c>
      <c r="I1561" s="37" t="s">
        <v>88</v>
      </c>
      <c r="J1561" s="31">
        <v>45733</v>
      </c>
      <c r="K1561" s="31">
        <v>45735</v>
      </c>
      <c r="L1561" s="31"/>
      <c r="M1561" s="31"/>
      <c r="N1561" s="31"/>
      <c r="O1561" s="2" t="s">
        <v>425</v>
      </c>
    </row>
    <row r="1562" spans="1:15">
      <c r="A1562" s="3">
        <f t="shared" si="25"/>
        <v>1561</v>
      </c>
      <c r="B1562" s="118" t="s">
        <v>493</v>
      </c>
      <c r="C1562" s="6">
        <v>9596356915</v>
      </c>
      <c r="D1562" s="6">
        <v>8825015725</v>
      </c>
      <c r="E1562" s="36" t="s">
        <v>2702</v>
      </c>
      <c r="F1562" s="80" t="s">
        <v>1450</v>
      </c>
      <c r="G1562" s="2" t="s">
        <v>295</v>
      </c>
      <c r="H1562" s="3" t="s">
        <v>487</v>
      </c>
      <c r="I1562" s="37" t="s">
        <v>88</v>
      </c>
      <c r="J1562" s="31">
        <v>45733</v>
      </c>
      <c r="K1562" s="31">
        <v>45735</v>
      </c>
      <c r="L1562" s="31">
        <v>45736</v>
      </c>
      <c r="M1562" s="31">
        <v>45777</v>
      </c>
      <c r="N1562" s="31"/>
      <c r="O1562" s="2" t="s">
        <v>297</v>
      </c>
    </row>
    <row r="1563" spans="1:15">
      <c r="A1563" s="3">
        <f t="shared" si="25"/>
        <v>1562</v>
      </c>
      <c r="B1563" s="118" t="s">
        <v>2706</v>
      </c>
      <c r="C1563" s="6">
        <v>9358361753</v>
      </c>
      <c r="D1563" s="6">
        <v>8218865882</v>
      </c>
      <c r="E1563" s="36" t="s">
        <v>2702</v>
      </c>
      <c r="F1563" s="80" t="s">
        <v>1450</v>
      </c>
      <c r="G1563" s="2" t="s">
        <v>16</v>
      </c>
      <c r="H1563" s="3" t="s">
        <v>487</v>
      </c>
      <c r="I1563" s="37" t="s">
        <v>88</v>
      </c>
      <c r="J1563" s="31">
        <v>45733</v>
      </c>
      <c r="K1563" s="31">
        <v>45735</v>
      </c>
      <c r="L1563" s="31">
        <v>45736</v>
      </c>
      <c r="M1563" s="31">
        <v>45815</v>
      </c>
      <c r="N1563" s="31">
        <v>45815</v>
      </c>
      <c r="O1563" s="2" t="s">
        <v>297</v>
      </c>
    </row>
    <row r="1564" spans="1:15">
      <c r="A1564" s="3">
        <f t="shared" si="25"/>
        <v>1563</v>
      </c>
      <c r="B1564" s="118" t="s">
        <v>2707</v>
      </c>
      <c r="C1564" s="6">
        <v>7004737590</v>
      </c>
      <c r="D1564" s="6">
        <v>7033541543</v>
      </c>
      <c r="E1564" s="36" t="s">
        <v>2708</v>
      </c>
      <c r="F1564" s="80" t="s">
        <v>1452</v>
      </c>
      <c r="G1564" s="2" t="s">
        <v>764</v>
      </c>
      <c r="H1564" s="3" t="s">
        <v>487</v>
      </c>
      <c r="I1564" s="37" t="s">
        <v>88</v>
      </c>
      <c r="J1564" s="31">
        <v>45733</v>
      </c>
      <c r="K1564" s="31">
        <v>45735</v>
      </c>
      <c r="L1564" s="31"/>
      <c r="M1564" s="31"/>
      <c r="N1564" s="31"/>
      <c r="O1564" s="2" t="s">
        <v>425</v>
      </c>
    </row>
    <row r="1565" spans="1:15">
      <c r="A1565" s="3">
        <f t="shared" si="25"/>
        <v>1564</v>
      </c>
      <c r="B1565" s="118" t="s">
        <v>2709</v>
      </c>
      <c r="C1565" s="6">
        <v>7702282373</v>
      </c>
      <c r="D1565" s="6"/>
      <c r="E1565" s="36" t="s">
        <v>2271</v>
      </c>
      <c r="F1565" s="80" t="s">
        <v>1452</v>
      </c>
      <c r="G1565" s="2" t="s">
        <v>16</v>
      </c>
      <c r="H1565" s="3" t="s">
        <v>487</v>
      </c>
      <c r="I1565" s="37" t="s">
        <v>88</v>
      </c>
      <c r="J1565" s="31">
        <v>45733</v>
      </c>
      <c r="K1565" s="31">
        <v>45735</v>
      </c>
      <c r="L1565" s="31">
        <v>45741</v>
      </c>
      <c r="M1565" s="31">
        <v>45782</v>
      </c>
      <c r="N1565" s="31">
        <v>45787</v>
      </c>
      <c r="O1565" s="2" t="s">
        <v>297</v>
      </c>
    </row>
    <row r="1566" spans="1:15">
      <c r="A1566" s="3">
        <f t="shared" si="25"/>
        <v>1565</v>
      </c>
      <c r="B1566" s="118" t="s">
        <v>2710</v>
      </c>
      <c r="C1566" s="6">
        <v>9083383048</v>
      </c>
      <c r="D1566" s="6"/>
      <c r="E1566" s="36" t="s">
        <v>2271</v>
      </c>
      <c r="F1566" s="80" t="s">
        <v>1452</v>
      </c>
      <c r="G1566" s="2" t="s">
        <v>295</v>
      </c>
      <c r="H1566" s="3" t="s">
        <v>487</v>
      </c>
      <c r="I1566" s="37" t="s">
        <v>88</v>
      </c>
      <c r="J1566" s="31">
        <v>45733</v>
      </c>
      <c r="K1566" s="31">
        <v>45735</v>
      </c>
      <c r="L1566" s="31">
        <v>45741</v>
      </c>
      <c r="M1566" s="31">
        <v>45773</v>
      </c>
      <c r="N1566" s="31"/>
      <c r="O1566" s="2" t="s">
        <v>297</v>
      </c>
    </row>
    <row r="1567" spans="1:15">
      <c r="A1567" s="3">
        <f t="shared" si="25"/>
        <v>1566</v>
      </c>
      <c r="B1567" s="118" t="s">
        <v>2711</v>
      </c>
      <c r="C1567" s="6">
        <v>9369914313</v>
      </c>
      <c r="D1567" s="6">
        <v>7388312164</v>
      </c>
      <c r="E1567" s="36" t="s">
        <v>2708</v>
      </c>
      <c r="F1567" s="80" t="s">
        <v>1452</v>
      </c>
      <c r="G1567" s="2" t="s">
        <v>16</v>
      </c>
      <c r="H1567" s="3" t="s">
        <v>487</v>
      </c>
      <c r="I1567" s="37" t="s">
        <v>88</v>
      </c>
      <c r="J1567" s="31">
        <v>45733</v>
      </c>
      <c r="K1567" s="31">
        <v>45735</v>
      </c>
      <c r="L1567" s="31">
        <v>45741</v>
      </c>
      <c r="M1567" s="31">
        <v>45777</v>
      </c>
      <c r="N1567" s="31">
        <v>45773</v>
      </c>
      <c r="O1567" s="2" t="s">
        <v>297</v>
      </c>
    </row>
    <row r="1568" spans="1:15">
      <c r="A1568" s="3">
        <f t="shared" si="25"/>
        <v>1567</v>
      </c>
      <c r="B1568" s="118" t="s">
        <v>2712</v>
      </c>
      <c r="C1568" s="6">
        <v>8617505454</v>
      </c>
      <c r="D1568" s="6">
        <v>9083252926</v>
      </c>
      <c r="E1568" s="36" t="s">
        <v>2708</v>
      </c>
      <c r="F1568" s="80" t="s">
        <v>1452</v>
      </c>
      <c r="G1568" s="2" t="s">
        <v>16</v>
      </c>
      <c r="H1568" s="3" t="s">
        <v>487</v>
      </c>
      <c r="I1568" s="37" t="s">
        <v>88</v>
      </c>
      <c r="J1568" s="31">
        <v>45733</v>
      </c>
      <c r="K1568" s="31">
        <v>45735</v>
      </c>
      <c r="L1568" s="31">
        <v>45741</v>
      </c>
      <c r="M1568" s="31">
        <v>45778</v>
      </c>
      <c r="N1568" s="31">
        <v>45779</v>
      </c>
      <c r="O1568" s="2" t="s">
        <v>297</v>
      </c>
    </row>
    <row r="1569" spans="1:15">
      <c r="A1569" s="3">
        <f t="shared" si="25"/>
        <v>1568</v>
      </c>
      <c r="B1569" s="118" t="s">
        <v>2713</v>
      </c>
      <c r="C1569" s="6">
        <v>7992238374</v>
      </c>
      <c r="D1569" s="6"/>
      <c r="E1569" s="36" t="s">
        <v>2714</v>
      </c>
      <c r="F1569" s="80" t="s">
        <v>1452</v>
      </c>
      <c r="G1569" s="2" t="s">
        <v>764</v>
      </c>
      <c r="H1569" s="3" t="s">
        <v>487</v>
      </c>
      <c r="I1569" s="37" t="s">
        <v>88</v>
      </c>
      <c r="J1569" s="31">
        <v>45733</v>
      </c>
      <c r="K1569" s="31">
        <v>45735</v>
      </c>
      <c r="L1569" s="31"/>
      <c r="M1569" s="31"/>
      <c r="N1569" s="31"/>
      <c r="O1569" s="2" t="s">
        <v>425</v>
      </c>
    </row>
    <row r="1570" spans="1:15">
      <c r="A1570" s="3">
        <f t="shared" si="25"/>
        <v>1569</v>
      </c>
      <c r="B1570" s="118" t="s">
        <v>2715</v>
      </c>
      <c r="C1570" s="6">
        <v>9149694383</v>
      </c>
      <c r="D1570" s="6"/>
      <c r="E1570" s="36" t="s">
        <v>2716</v>
      </c>
      <c r="F1570" s="80" t="s">
        <v>2281</v>
      </c>
      <c r="G1570" s="2" t="s">
        <v>16</v>
      </c>
      <c r="H1570" s="3" t="s">
        <v>487</v>
      </c>
      <c r="I1570" s="37" t="s">
        <v>88</v>
      </c>
      <c r="J1570" s="31">
        <v>45733</v>
      </c>
      <c r="K1570" s="31">
        <v>45735</v>
      </c>
      <c r="L1570" s="31">
        <v>45741</v>
      </c>
      <c r="M1570" s="31">
        <v>45773</v>
      </c>
      <c r="N1570" s="31">
        <v>45772</v>
      </c>
      <c r="O1570" s="2" t="s">
        <v>297</v>
      </c>
    </row>
    <row r="1571" spans="1:15">
      <c r="A1571" s="3">
        <f t="shared" si="25"/>
        <v>1570</v>
      </c>
      <c r="B1571" s="118" t="s">
        <v>2717</v>
      </c>
      <c r="C1571" s="6">
        <v>9154737994</v>
      </c>
      <c r="D1571" s="6"/>
      <c r="E1571" s="36" t="s">
        <v>2716</v>
      </c>
      <c r="F1571" s="80" t="s">
        <v>2281</v>
      </c>
      <c r="G1571" s="2" t="s">
        <v>295</v>
      </c>
      <c r="H1571" s="3" t="s">
        <v>487</v>
      </c>
      <c r="I1571" s="37" t="s">
        <v>88</v>
      </c>
      <c r="J1571" s="31">
        <v>45733</v>
      </c>
      <c r="K1571" s="31">
        <v>45735</v>
      </c>
      <c r="L1571" s="31">
        <v>45751</v>
      </c>
      <c r="M1571" s="31">
        <v>45781</v>
      </c>
      <c r="N1571" s="31"/>
      <c r="O1571" s="2" t="s">
        <v>297</v>
      </c>
    </row>
    <row r="1572" spans="1:15">
      <c r="A1572" s="3">
        <f t="shared" si="25"/>
        <v>1571</v>
      </c>
      <c r="B1572" s="118" t="s">
        <v>2718</v>
      </c>
      <c r="C1572" s="6">
        <v>9149659845</v>
      </c>
      <c r="D1572" s="6">
        <v>7051661682</v>
      </c>
      <c r="E1572" s="36" t="s">
        <v>2716</v>
      </c>
      <c r="F1572" s="80" t="s">
        <v>2281</v>
      </c>
      <c r="G1572" s="2" t="s">
        <v>424</v>
      </c>
      <c r="H1572" s="3" t="s">
        <v>487</v>
      </c>
      <c r="I1572" s="37" t="s">
        <v>88</v>
      </c>
      <c r="J1572" s="31">
        <v>45733</v>
      </c>
      <c r="K1572" s="31">
        <v>45735</v>
      </c>
      <c r="L1572" s="31"/>
      <c r="M1572" s="31"/>
      <c r="N1572" s="31"/>
      <c r="O1572" s="2" t="s">
        <v>425</v>
      </c>
    </row>
    <row r="1573" spans="1:15">
      <c r="A1573" s="3">
        <f t="shared" si="25"/>
        <v>1572</v>
      </c>
      <c r="B1573" s="118" t="s">
        <v>2719</v>
      </c>
      <c r="C1573" s="6">
        <v>9137768827</v>
      </c>
      <c r="D1573" s="6"/>
      <c r="E1573" s="36" t="s">
        <v>2708</v>
      </c>
      <c r="F1573" s="80" t="s">
        <v>1452</v>
      </c>
      <c r="G1573" s="2" t="s">
        <v>16</v>
      </c>
      <c r="H1573" s="3" t="s">
        <v>487</v>
      </c>
      <c r="I1573" s="37" t="s">
        <v>88</v>
      </c>
      <c r="J1573" s="31">
        <v>45733</v>
      </c>
      <c r="K1573" s="31">
        <v>45735</v>
      </c>
      <c r="L1573" s="31">
        <v>45741</v>
      </c>
      <c r="M1573" s="31">
        <v>45879</v>
      </c>
      <c r="N1573" s="31">
        <v>45879</v>
      </c>
      <c r="O1573" s="2" t="s">
        <v>297</v>
      </c>
    </row>
    <row r="1574" spans="1:15">
      <c r="A1574" s="3">
        <f t="shared" si="25"/>
        <v>1573</v>
      </c>
      <c r="B1574" s="118" t="s">
        <v>2720</v>
      </c>
      <c r="C1574" s="6">
        <v>8630175582</v>
      </c>
      <c r="D1574" s="6"/>
      <c r="E1574" s="36" t="s">
        <v>898</v>
      </c>
      <c r="F1574" s="80" t="s">
        <v>2281</v>
      </c>
      <c r="G1574" s="2" t="s">
        <v>16</v>
      </c>
      <c r="H1574" s="3" t="s">
        <v>487</v>
      </c>
      <c r="I1574" s="37" t="s">
        <v>42</v>
      </c>
      <c r="J1574" s="31">
        <v>45733</v>
      </c>
      <c r="K1574" s="31">
        <v>45735</v>
      </c>
      <c r="L1574" s="31">
        <v>45772</v>
      </c>
      <c r="M1574" s="31">
        <v>45803</v>
      </c>
      <c r="N1574" s="31">
        <v>45800</v>
      </c>
      <c r="O1574" s="2" t="s">
        <v>297</v>
      </c>
    </row>
    <row r="1575" spans="1:15">
      <c r="A1575" s="3">
        <f t="shared" si="25"/>
        <v>1574</v>
      </c>
      <c r="B1575" s="118" t="s">
        <v>2721</v>
      </c>
      <c r="C1575" s="6">
        <v>7006094141</v>
      </c>
      <c r="D1575" s="6"/>
      <c r="E1575" s="36" t="s">
        <v>2279</v>
      </c>
      <c r="F1575" s="80" t="s">
        <v>2281</v>
      </c>
      <c r="G1575" s="2" t="s">
        <v>416</v>
      </c>
      <c r="H1575" s="3" t="s">
        <v>487</v>
      </c>
      <c r="I1575" s="37" t="s">
        <v>42</v>
      </c>
      <c r="J1575" s="31">
        <v>45733</v>
      </c>
      <c r="K1575" s="31">
        <v>45735</v>
      </c>
      <c r="L1575" s="31"/>
      <c r="M1575" s="31"/>
      <c r="N1575" s="31"/>
      <c r="O1575" s="2" t="s">
        <v>297</v>
      </c>
    </row>
    <row r="1576" spans="1:15">
      <c r="A1576" s="3">
        <f t="shared" si="25"/>
        <v>1575</v>
      </c>
      <c r="B1576" s="65" t="s">
        <v>2722</v>
      </c>
      <c r="C1576" s="1">
        <v>9966477304</v>
      </c>
      <c r="D1576" s="6"/>
      <c r="E1576" s="17" t="s">
        <v>2723</v>
      </c>
      <c r="F1576" s="65"/>
      <c r="G1576" s="2" t="s">
        <v>18</v>
      </c>
      <c r="H1576" s="2" t="s">
        <v>368</v>
      </c>
      <c r="I1576" s="37" t="s">
        <v>94</v>
      </c>
      <c r="J1576" s="31">
        <v>45733</v>
      </c>
      <c r="K1576" s="31">
        <v>45736</v>
      </c>
      <c r="L1576" s="31"/>
      <c r="M1576" s="31"/>
      <c r="N1576" s="31"/>
      <c r="O1576" s="2" t="s">
        <v>297</v>
      </c>
    </row>
    <row r="1577" spans="1:15">
      <c r="A1577" s="3">
        <f t="shared" si="25"/>
        <v>1576</v>
      </c>
      <c r="B1577" s="65" t="s">
        <v>2724</v>
      </c>
      <c r="C1577" s="1">
        <v>9666860146</v>
      </c>
      <c r="D1577" s="6"/>
      <c r="E1577" s="17" t="s">
        <v>2723</v>
      </c>
      <c r="F1577" s="65"/>
      <c r="G1577" s="2" t="s">
        <v>18</v>
      </c>
      <c r="H1577" s="2" t="s">
        <v>368</v>
      </c>
      <c r="I1577" s="37" t="s">
        <v>94</v>
      </c>
      <c r="J1577" s="31">
        <v>45733</v>
      </c>
      <c r="K1577" s="31">
        <v>45735</v>
      </c>
      <c r="L1577" s="31"/>
      <c r="M1577" s="31"/>
      <c r="N1577" s="31"/>
      <c r="O1577" s="2" t="s">
        <v>297</v>
      </c>
    </row>
    <row r="1578" spans="1:15">
      <c r="A1578" s="3">
        <f t="shared" si="25"/>
        <v>1577</v>
      </c>
      <c r="B1578" s="65" t="s">
        <v>2725</v>
      </c>
      <c r="C1578" s="1">
        <v>9346873103</v>
      </c>
      <c r="D1578" s="6"/>
      <c r="E1578" s="17" t="s">
        <v>2723</v>
      </c>
      <c r="F1578" s="65"/>
      <c r="G1578" s="2" t="s">
        <v>424</v>
      </c>
      <c r="H1578" s="2" t="s">
        <v>368</v>
      </c>
      <c r="I1578" s="37" t="s">
        <v>94</v>
      </c>
      <c r="J1578" s="31">
        <v>45733</v>
      </c>
      <c r="K1578" s="31">
        <v>45735</v>
      </c>
      <c r="L1578" s="31"/>
      <c r="M1578" s="31"/>
      <c r="N1578" s="31"/>
      <c r="O1578" s="2" t="s">
        <v>749</v>
      </c>
    </row>
    <row r="1579" spans="1:15">
      <c r="A1579" s="3">
        <f t="shared" si="25"/>
        <v>1578</v>
      </c>
      <c r="B1579" s="65" t="s">
        <v>2726</v>
      </c>
      <c r="C1579" s="1">
        <v>7010973515</v>
      </c>
      <c r="D1579" s="6"/>
      <c r="E1579" s="17" t="s">
        <v>2723</v>
      </c>
      <c r="F1579" s="65"/>
      <c r="G1579" s="2" t="s">
        <v>416</v>
      </c>
      <c r="H1579" s="2" t="s">
        <v>368</v>
      </c>
      <c r="I1579" s="37" t="s">
        <v>94</v>
      </c>
      <c r="J1579" s="31">
        <v>45733</v>
      </c>
      <c r="K1579" s="31">
        <v>45735</v>
      </c>
      <c r="L1579" s="31"/>
      <c r="M1579" s="31"/>
      <c r="N1579" s="31"/>
      <c r="O1579" s="2" t="s">
        <v>297</v>
      </c>
    </row>
    <row r="1580" spans="1:15">
      <c r="A1580" s="3">
        <f t="shared" si="25"/>
        <v>1579</v>
      </c>
      <c r="B1580" s="65" t="s">
        <v>2727</v>
      </c>
      <c r="C1580" s="1">
        <v>6294327621</v>
      </c>
      <c r="D1580" s="6"/>
      <c r="E1580" s="17" t="s">
        <v>2723</v>
      </c>
      <c r="F1580" s="65"/>
      <c r="G1580" s="2" t="s">
        <v>764</v>
      </c>
      <c r="H1580" s="2" t="s">
        <v>368</v>
      </c>
      <c r="I1580" s="37" t="s">
        <v>94</v>
      </c>
      <c r="J1580" s="31">
        <v>45733</v>
      </c>
      <c r="K1580" s="31">
        <v>45735</v>
      </c>
      <c r="L1580" s="31"/>
      <c r="M1580" s="31"/>
      <c r="N1580" s="31"/>
      <c r="O1580" s="2" t="s">
        <v>425</v>
      </c>
    </row>
    <row r="1581" spans="1:15">
      <c r="A1581" s="3">
        <f t="shared" si="25"/>
        <v>1580</v>
      </c>
      <c r="B1581" s="65" t="s">
        <v>2728</v>
      </c>
      <c r="C1581" s="1">
        <v>7894338800</v>
      </c>
      <c r="D1581" s="6"/>
      <c r="E1581" s="17" t="s">
        <v>2729</v>
      </c>
      <c r="F1581" s="65"/>
      <c r="G1581" s="2" t="s">
        <v>16</v>
      </c>
      <c r="H1581" s="2" t="s">
        <v>368</v>
      </c>
      <c r="I1581" s="37" t="s">
        <v>94</v>
      </c>
      <c r="J1581" s="31">
        <v>45733</v>
      </c>
      <c r="K1581" s="31">
        <v>45735</v>
      </c>
      <c r="L1581" s="31">
        <v>45736</v>
      </c>
      <c r="M1581" s="31">
        <v>45761</v>
      </c>
      <c r="N1581" s="31">
        <v>45765</v>
      </c>
      <c r="O1581" s="2" t="s">
        <v>297</v>
      </c>
    </row>
    <row r="1582" spans="1:15">
      <c r="A1582" s="3">
        <f t="shared" si="25"/>
        <v>1581</v>
      </c>
      <c r="B1582" s="65" t="s">
        <v>2730</v>
      </c>
      <c r="C1582" s="1">
        <v>7893589081</v>
      </c>
      <c r="D1582" s="6"/>
      <c r="E1582" s="17" t="s">
        <v>2729</v>
      </c>
      <c r="F1582" s="65"/>
      <c r="G1582" s="2" t="s">
        <v>424</v>
      </c>
      <c r="H1582" s="2" t="s">
        <v>368</v>
      </c>
      <c r="I1582" s="37" t="s">
        <v>94</v>
      </c>
      <c r="J1582" s="31">
        <v>45733</v>
      </c>
      <c r="K1582" s="31">
        <v>45735</v>
      </c>
      <c r="L1582" s="31"/>
      <c r="M1582" s="31"/>
      <c r="N1582" s="31"/>
      <c r="O1582" s="2" t="s">
        <v>425</v>
      </c>
    </row>
    <row r="1583" spans="1:15">
      <c r="A1583" s="3">
        <f t="shared" si="25"/>
        <v>1582</v>
      </c>
      <c r="B1583" s="65" t="s">
        <v>2731</v>
      </c>
      <c r="C1583" s="1">
        <v>9234132536</v>
      </c>
      <c r="D1583" s="6"/>
      <c r="E1583" s="17" t="s">
        <v>2732</v>
      </c>
      <c r="F1583" s="65"/>
      <c r="G1583" s="2" t="s">
        <v>330</v>
      </c>
      <c r="H1583" s="2" t="s">
        <v>815</v>
      </c>
      <c r="I1583" s="37" t="s">
        <v>94</v>
      </c>
      <c r="J1583" s="31">
        <v>45733</v>
      </c>
      <c r="K1583" s="31">
        <v>45735</v>
      </c>
      <c r="L1583" s="31">
        <v>45741</v>
      </c>
      <c r="M1583" s="31">
        <v>45773</v>
      </c>
      <c r="N1583" s="31">
        <v>45779</v>
      </c>
      <c r="O1583" s="2" t="s">
        <v>297</v>
      </c>
    </row>
    <row r="1584" spans="1:15">
      <c r="A1584" s="3">
        <f t="shared" si="25"/>
        <v>1583</v>
      </c>
      <c r="B1584" s="65" t="s">
        <v>2733</v>
      </c>
      <c r="C1584" s="1">
        <v>8080994258</v>
      </c>
      <c r="D1584" s="6"/>
      <c r="E1584" s="17" t="s">
        <v>2732</v>
      </c>
      <c r="F1584" s="65"/>
      <c r="G1584" s="2" t="s">
        <v>416</v>
      </c>
      <c r="H1584" s="2" t="s">
        <v>815</v>
      </c>
      <c r="I1584" s="37" t="s">
        <v>94</v>
      </c>
      <c r="J1584" s="31">
        <v>45733</v>
      </c>
      <c r="K1584" s="31">
        <v>45735</v>
      </c>
      <c r="L1584" s="31"/>
      <c r="M1584" s="31"/>
      <c r="N1584" s="31"/>
      <c r="O1584" s="2" t="s">
        <v>297</v>
      </c>
    </row>
    <row r="1585" spans="1:15">
      <c r="A1585" s="3">
        <f t="shared" si="25"/>
        <v>1584</v>
      </c>
      <c r="B1585" s="65" t="s">
        <v>2734</v>
      </c>
      <c r="C1585" s="1">
        <v>6376655902</v>
      </c>
      <c r="D1585" s="6"/>
      <c r="E1585" s="17" t="s">
        <v>2735</v>
      </c>
      <c r="F1585" s="65"/>
      <c r="G1585" s="2" t="s">
        <v>424</v>
      </c>
      <c r="H1585" s="2" t="s">
        <v>815</v>
      </c>
      <c r="I1585" s="37" t="s">
        <v>94</v>
      </c>
      <c r="J1585" s="31">
        <v>45733</v>
      </c>
      <c r="K1585" s="31">
        <v>45735</v>
      </c>
      <c r="L1585" s="31"/>
      <c r="M1585" s="31"/>
      <c r="N1585" s="31"/>
      <c r="O1585" s="2" t="s">
        <v>425</v>
      </c>
    </row>
    <row r="1586" spans="1:15">
      <c r="A1586" s="3">
        <f t="shared" si="25"/>
        <v>1585</v>
      </c>
      <c r="B1586" s="65" t="s">
        <v>2736</v>
      </c>
      <c r="C1586" s="1">
        <v>9440692153</v>
      </c>
      <c r="D1586" s="6">
        <v>8919530058</v>
      </c>
      <c r="E1586" s="3" t="s">
        <v>90</v>
      </c>
      <c r="F1586" s="65"/>
      <c r="G1586" s="3" t="s">
        <v>330</v>
      </c>
      <c r="H1586" s="2" t="s">
        <v>1436</v>
      </c>
      <c r="I1586" s="37" t="s">
        <v>42</v>
      </c>
      <c r="J1586" s="31">
        <v>45733</v>
      </c>
      <c r="K1586" s="31">
        <v>45734</v>
      </c>
      <c r="L1586" s="31">
        <v>45743</v>
      </c>
      <c r="M1586" s="31">
        <v>45755</v>
      </c>
      <c r="N1586" s="31">
        <v>45753</v>
      </c>
      <c r="O1586" s="2" t="s">
        <v>297</v>
      </c>
    </row>
    <row r="1587" spans="1:15">
      <c r="A1587" s="3">
        <f t="shared" ref="A1587:A1650" si="26">ROW()-1</f>
        <v>1586</v>
      </c>
      <c r="B1587" s="65" t="s">
        <v>2737</v>
      </c>
      <c r="C1587" s="1">
        <v>9908977452</v>
      </c>
      <c r="D1587" s="6"/>
      <c r="E1587" s="3" t="s">
        <v>90</v>
      </c>
      <c r="F1587" s="65"/>
      <c r="G1587" s="2" t="s">
        <v>424</v>
      </c>
      <c r="H1587" s="2" t="s">
        <v>1436</v>
      </c>
      <c r="I1587" s="37" t="s">
        <v>42</v>
      </c>
      <c r="J1587" s="31">
        <v>45733</v>
      </c>
      <c r="K1587" s="31">
        <v>45734</v>
      </c>
      <c r="L1587" s="31"/>
      <c r="M1587" s="31"/>
      <c r="N1587" s="31"/>
      <c r="O1587" s="2" t="s">
        <v>425</v>
      </c>
    </row>
    <row r="1588" spans="1:15">
      <c r="A1588" s="3">
        <f t="shared" si="26"/>
        <v>1587</v>
      </c>
      <c r="B1588" s="65" t="s">
        <v>2738</v>
      </c>
      <c r="C1588" s="1">
        <v>7013363238</v>
      </c>
      <c r="D1588" s="6"/>
      <c r="E1588" s="3" t="s">
        <v>90</v>
      </c>
      <c r="F1588" s="65"/>
      <c r="G1588" s="2" t="s">
        <v>16</v>
      </c>
      <c r="H1588" s="2" t="s">
        <v>1436</v>
      </c>
      <c r="I1588" s="37" t="s">
        <v>42</v>
      </c>
      <c r="J1588" s="31">
        <v>45733</v>
      </c>
      <c r="K1588" s="31">
        <v>45734</v>
      </c>
      <c r="L1588" s="31">
        <v>45743</v>
      </c>
      <c r="M1588" s="31">
        <v>45759</v>
      </c>
      <c r="N1588" s="31">
        <v>45757</v>
      </c>
      <c r="O1588" s="2" t="s">
        <v>297</v>
      </c>
    </row>
    <row r="1589" spans="1:15">
      <c r="A1589" s="3">
        <f t="shared" si="26"/>
        <v>1588</v>
      </c>
      <c r="B1589" s="65" t="s">
        <v>2739</v>
      </c>
      <c r="C1589" s="1">
        <v>9959460581</v>
      </c>
      <c r="D1589" s="6"/>
      <c r="E1589" s="3" t="s">
        <v>1023</v>
      </c>
      <c r="F1589" s="65"/>
      <c r="G1589" s="2" t="s">
        <v>16</v>
      </c>
      <c r="H1589" s="2" t="s">
        <v>77</v>
      </c>
      <c r="I1589" s="37" t="s">
        <v>42</v>
      </c>
      <c r="J1589" s="31">
        <v>45733</v>
      </c>
      <c r="K1589" s="31">
        <v>45734</v>
      </c>
      <c r="L1589" s="31">
        <v>45737</v>
      </c>
      <c r="M1589" s="31">
        <v>45768</v>
      </c>
      <c r="N1589" s="31">
        <v>45772</v>
      </c>
      <c r="O1589" s="2" t="s">
        <v>297</v>
      </c>
    </row>
    <row r="1590" spans="1:15">
      <c r="A1590" s="3">
        <f t="shared" si="26"/>
        <v>1589</v>
      </c>
      <c r="B1590" s="65" t="s">
        <v>2741</v>
      </c>
      <c r="C1590" s="1">
        <v>9391653757</v>
      </c>
      <c r="D1590" s="57">
        <v>9154367409</v>
      </c>
      <c r="E1590" s="3" t="s">
        <v>75</v>
      </c>
      <c r="F1590" s="65"/>
      <c r="G1590" s="2" t="s">
        <v>16</v>
      </c>
      <c r="H1590" s="2" t="s">
        <v>77</v>
      </c>
      <c r="I1590" s="37" t="s">
        <v>42</v>
      </c>
      <c r="J1590" s="31">
        <v>45733</v>
      </c>
      <c r="K1590" s="31">
        <v>45734</v>
      </c>
      <c r="L1590" s="31">
        <v>45737</v>
      </c>
      <c r="M1590" s="31">
        <v>45777</v>
      </c>
      <c r="N1590" s="31">
        <v>45768</v>
      </c>
      <c r="O1590" s="2" t="s">
        <v>297</v>
      </c>
    </row>
    <row r="1591" spans="1:15">
      <c r="A1591" s="3">
        <f t="shared" si="26"/>
        <v>1590</v>
      </c>
      <c r="B1591" s="115" t="s">
        <v>2742</v>
      </c>
      <c r="C1591" s="1">
        <v>9676250739</v>
      </c>
      <c r="D1591" s="6"/>
      <c r="E1591" s="3" t="s">
        <v>72</v>
      </c>
      <c r="F1591" s="65"/>
      <c r="G1591" s="2" t="s">
        <v>16</v>
      </c>
      <c r="H1591" s="2" t="s">
        <v>77</v>
      </c>
      <c r="I1591" s="37" t="s">
        <v>42</v>
      </c>
      <c r="J1591" s="31">
        <v>45733</v>
      </c>
      <c r="K1591" s="31">
        <v>45734</v>
      </c>
      <c r="L1591" s="31">
        <v>45737</v>
      </c>
      <c r="M1591" s="31">
        <v>45754</v>
      </c>
      <c r="N1591" s="31">
        <v>45750</v>
      </c>
      <c r="O1591" s="2" t="s">
        <v>297</v>
      </c>
    </row>
    <row r="1592" spans="1:15">
      <c r="A1592" s="3">
        <f t="shared" si="26"/>
        <v>1591</v>
      </c>
      <c r="B1592" s="65" t="s">
        <v>2743</v>
      </c>
      <c r="C1592" s="1">
        <v>6300731323</v>
      </c>
      <c r="D1592" s="6"/>
      <c r="E1592" s="3" t="s">
        <v>1023</v>
      </c>
      <c r="F1592" s="65"/>
      <c r="G1592" s="2" t="s">
        <v>16</v>
      </c>
      <c r="H1592" s="2" t="s">
        <v>77</v>
      </c>
      <c r="I1592" s="37" t="s">
        <v>42</v>
      </c>
      <c r="J1592" s="31">
        <v>45733</v>
      </c>
      <c r="K1592" s="31">
        <v>45734</v>
      </c>
      <c r="L1592" s="31">
        <v>45751</v>
      </c>
      <c r="M1592" s="31">
        <v>45762</v>
      </c>
      <c r="N1592" s="31">
        <v>45763</v>
      </c>
      <c r="O1592" s="2" t="s">
        <v>297</v>
      </c>
    </row>
    <row r="1593" spans="1:15">
      <c r="A1593" s="3">
        <f t="shared" si="26"/>
        <v>1592</v>
      </c>
      <c r="B1593" s="115" t="s">
        <v>2744</v>
      </c>
      <c r="C1593" s="1">
        <v>9000270251</v>
      </c>
      <c r="D1593" s="6">
        <v>8330933932</v>
      </c>
      <c r="E1593" s="3" t="s">
        <v>72</v>
      </c>
      <c r="F1593" s="65"/>
      <c r="G1593" s="2" t="s">
        <v>16</v>
      </c>
      <c r="H1593" s="2" t="s">
        <v>77</v>
      </c>
      <c r="I1593" s="37" t="s">
        <v>42</v>
      </c>
      <c r="J1593" s="31">
        <v>45733</v>
      </c>
      <c r="K1593" s="31">
        <v>45734</v>
      </c>
      <c r="L1593" s="31">
        <v>45737</v>
      </c>
      <c r="M1593" s="31">
        <v>45769</v>
      </c>
      <c r="N1593" s="31">
        <v>45755</v>
      </c>
      <c r="O1593" s="2" t="s">
        <v>297</v>
      </c>
    </row>
    <row r="1594" spans="1:15">
      <c r="A1594" s="3">
        <f t="shared" si="26"/>
        <v>1593</v>
      </c>
      <c r="B1594" s="65" t="s">
        <v>2745</v>
      </c>
      <c r="C1594" s="1">
        <v>9502258664</v>
      </c>
      <c r="D1594" s="6"/>
      <c r="E1594" s="36" t="s">
        <v>110</v>
      </c>
      <c r="F1594" s="65"/>
      <c r="G1594" s="2" t="s">
        <v>16</v>
      </c>
      <c r="H1594" s="2" t="s">
        <v>102</v>
      </c>
      <c r="I1594" s="37" t="s">
        <v>42</v>
      </c>
      <c r="J1594" s="31">
        <v>45733</v>
      </c>
      <c r="K1594" s="31">
        <v>45735</v>
      </c>
      <c r="L1594" s="31">
        <v>45737</v>
      </c>
      <c r="M1594" s="31">
        <v>45761</v>
      </c>
      <c r="N1594" s="31">
        <v>45761</v>
      </c>
      <c r="O1594" s="2" t="s">
        <v>297</v>
      </c>
    </row>
    <row r="1595" spans="1:15">
      <c r="A1595" s="3">
        <f t="shared" si="26"/>
        <v>1594</v>
      </c>
      <c r="B1595" s="65" t="s">
        <v>2746</v>
      </c>
      <c r="C1595" s="1">
        <v>9949230792</v>
      </c>
      <c r="D1595" s="6"/>
      <c r="E1595" s="3" t="s">
        <v>104</v>
      </c>
      <c r="F1595" s="65"/>
      <c r="G1595" s="2" t="s">
        <v>416</v>
      </c>
      <c r="H1595" s="2" t="s">
        <v>102</v>
      </c>
      <c r="I1595" s="37" t="s">
        <v>42</v>
      </c>
      <c r="J1595" s="31">
        <v>45733</v>
      </c>
      <c r="K1595" s="31">
        <v>45736</v>
      </c>
      <c r="L1595" s="31"/>
      <c r="M1595" s="31"/>
      <c r="N1595" s="31"/>
      <c r="O1595" s="2" t="s">
        <v>297</v>
      </c>
    </row>
    <row r="1596" spans="1:15">
      <c r="A1596" s="3">
        <f t="shared" si="26"/>
        <v>1595</v>
      </c>
      <c r="B1596" s="65" t="s">
        <v>2747</v>
      </c>
      <c r="C1596" s="1">
        <v>7993804261</v>
      </c>
      <c r="D1596" s="6"/>
      <c r="E1596" s="36" t="s">
        <v>113</v>
      </c>
      <c r="F1596" s="65"/>
      <c r="G1596" s="2" t="s">
        <v>416</v>
      </c>
      <c r="H1596" s="2" t="s">
        <v>102</v>
      </c>
      <c r="I1596" s="37" t="s">
        <v>42</v>
      </c>
      <c r="J1596" s="31">
        <v>45733</v>
      </c>
      <c r="K1596" s="31">
        <v>45735</v>
      </c>
      <c r="L1596" s="31"/>
      <c r="M1596" s="31"/>
      <c r="N1596" s="31"/>
      <c r="O1596" s="2" t="s">
        <v>297</v>
      </c>
    </row>
    <row r="1597" spans="1:15">
      <c r="A1597" s="3">
        <f t="shared" si="26"/>
        <v>1596</v>
      </c>
      <c r="B1597" s="65" t="s">
        <v>2748</v>
      </c>
      <c r="C1597" s="1">
        <v>9030649924</v>
      </c>
      <c r="D1597" s="6"/>
      <c r="E1597" s="17" t="s">
        <v>338</v>
      </c>
      <c r="F1597" s="65"/>
      <c r="G1597" s="2" t="s">
        <v>16</v>
      </c>
      <c r="H1597" s="2" t="s">
        <v>162</v>
      </c>
      <c r="I1597" s="37" t="s">
        <v>94</v>
      </c>
      <c r="J1597" s="31">
        <v>45734</v>
      </c>
      <c r="K1597" s="31">
        <v>45736</v>
      </c>
      <c r="L1597" s="31">
        <v>45741</v>
      </c>
      <c r="M1597" s="31">
        <v>45773</v>
      </c>
      <c r="N1597" s="31">
        <v>45775</v>
      </c>
      <c r="O1597" s="2" t="s">
        <v>297</v>
      </c>
    </row>
    <row r="1598" spans="1:15">
      <c r="A1598" s="3">
        <f t="shared" si="26"/>
        <v>1597</v>
      </c>
      <c r="B1598" s="65" t="s">
        <v>2749</v>
      </c>
      <c r="C1598" s="1">
        <v>9000953130</v>
      </c>
      <c r="D1598" s="6"/>
      <c r="E1598" s="17" t="s">
        <v>723</v>
      </c>
      <c r="F1598" s="65"/>
      <c r="G1598" s="2" t="s">
        <v>16</v>
      </c>
      <c r="H1598" s="2" t="s">
        <v>162</v>
      </c>
      <c r="I1598" s="37" t="s">
        <v>94</v>
      </c>
      <c r="J1598" s="31">
        <v>45734</v>
      </c>
      <c r="K1598" s="31">
        <v>45736</v>
      </c>
      <c r="L1598" s="31">
        <v>45741</v>
      </c>
      <c r="M1598" s="31">
        <v>45773</v>
      </c>
      <c r="N1598" s="31">
        <v>45775</v>
      </c>
      <c r="O1598" s="2" t="s">
        <v>297</v>
      </c>
    </row>
    <row r="1599" spans="1:15">
      <c r="A1599" s="3">
        <f t="shared" si="26"/>
        <v>1598</v>
      </c>
      <c r="B1599" s="65" t="s">
        <v>2750</v>
      </c>
      <c r="C1599" s="1">
        <v>9164571771</v>
      </c>
      <c r="D1599" s="6"/>
      <c r="E1599" s="17" t="s">
        <v>1832</v>
      </c>
      <c r="F1599" s="65" t="s">
        <v>821</v>
      </c>
      <c r="G1599" s="2" t="s">
        <v>330</v>
      </c>
      <c r="H1599" s="2" t="s">
        <v>815</v>
      </c>
      <c r="I1599" s="37" t="s">
        <v>94</v>
      </c>
      <c r="J1599" s="31">
        <v>45734</v>
      </c>
      <c r="K1599" s="31">
        <v>45734</v>
      </c>
      <c r="L1599" s="31">
        <v>45741</v>
      </c>
      <c r="M1599" s="31">
        <v>45757</v>
      </c>
      <c r="N1599" s="31">
        <v>45757</v>
      </c>
      <c r="O1599" s="2" t="s">
        <v>297</v>
      </c>
    </row>
    <row r="1600" spans="1:15">
      <c r="A1600" s="3">
        <f t="shared" si="26"/>
        <v>1599</v>
      </c>
      <c r="B1600" s="65" t="s">
        <v>2751</v>
      </c>
      <c r="C1600" s="1">
        <v>9502957478</v>
      </c>
      <c r="D1600" s="6"/>
      <c r="E1600" s="17" t="s">
        <v>1832</v>
      </c>
      <c r="F1600" s="65" t="s">
        <v>825</v>
      </c>
      <c r="G1600" s="2" t="s">
        <v>424</v>
      </c>
      <c r="H1600" s="2" t="s">
        <v>815</v>
      </c>
      <c r="I1600" s="37" t="s">
        <v>94</v>
      </c>
      <c r="J1600" s="31">
        <v>45734</v>
      </c>
      <c r="K1600" s="31">
        <v>45734</v>
      </c>
      <c r="L1600" s="31"/>
      <c r="M1600" s="31"/>
      <c r="N1600" s="31"/>
      <c r="O1600" s="2" t="s">
        <v>425</v>
      </c>
    </row>
    <row r="1601" spans="1:15">
      <c r="A1601" s="3">
        <f t="shared" si="26"/>
        <v>1600</v>
      </c>
      <c r="B1601" s="65" t="s">
        <v>2752</v>
      </c>
      <c r="C1601" s="1">
        <v>7241149123</v>
      </c>
      <c r="D1601" s="6"/>
      <c r="E1601" s="17" t="s">
        <v>2753</v>
      </c>
      <c r="F1601" s="65" t="s">
        <v>308</v>
      </c>
      <c r="G1601" s="2" t="s">
        <v>416</v>
      </c>
      <c r="H1601" s="2" t="s">
        <v>913</v>
      </c>
      <c r="I1601" s="37" t="s">
        <v>94</v>
      </c>
      <c r="J1601" s="31">
        <v>45734</v>
      </c>
      <c r="K1601" s="31">
        <v>45748</v>
      </c>
      <c r="L1601" s="31"/>
      <c r="M1601" s="31"/>
      <c r="N1601" s="31"/>
      <c r="O1601" s="2" t="s">
        <v>297</v>
      </c>
    </row>
    <row r="1602" spans="1:15">
      <c r="A1602" s="3">
        <f t="shared" si="26"/>
        <v>1601</v>
      </c>
      <c r="B1602" s="65" t="s">
        <v>2754</v>
      </c>
      <c r="C1602" s="1">
        <v>9792650040</v>
      </c>
      <c r="D1602" s="6"/>
      <c r="E1602" s="17" t="s">
        <v>2753</v>
      </c>
      <c r="F1602" s="65" t="s">
        <v>308</v>
      </c>
      <c r="G1602" s="2" t="s">
        <v>424</v>
      </c>
      <c r="H1602" s="2" t="s">
        <v>913</v>
      </c>
      <c r="I1602" s="37" t="s">
        <v>94</v>
      </c>
      <c r="J1602" s="31">
        <v>45734</v>
      </c>
      <c r="K1602" s="31">
        <v>45742</v>
      </c>
      <c r="L1602" s="31"/>
      <c r="M1602" s="31"/>
      <c r="N1602" s="31"/>
      <c r="O1602" s="2" t="s">
        <v>425</v>
      </c>
    </row>
    <row r="1603" spans="1:15">
      <c r="A1603" s="3">
        <f t="shared" si="26"/>
        <v>1602</v>
      </c>
      <c r="B1603" s="65" t="s">
        <v>2755</v>
      </c>
      <c r="C1603" s="1">
        <v>9649930826</v>
      </c>
      <c r="D1603" s="6"/>
      <c r="E1603" s="17" t="s">
        <v>2753</v>
      </c>
      <c r="F1603" s="65" t="s">
        <v>308</v>
      </c>
      <c r="G1603" s="2" t="s">
        <v>424</v>
      </c>
      <c r="H1603" s="2" t="s">
        <v>913</v>
      </c>
      <c r="I1603" s="37" t="s">
        <v>94</v>
      </c>
      <c r="J1603" s="31">
        <v>45734</v>
      </c>
      <c r="K1603" s="31">
        <v>45784</v>
      </c>
      <c r="L1603" s="31"/>
      <c r="M1603" s="31"/>
      <c r="N1603" s="31"/>
      <c r="O1603" s="2" t="s">
        <v>425</v>
      </c>
    </row>
    <row r="1604" spans="1:15">
      <c r="A1604" s="3">
        <f t="shared" si="26"/>
        <v>1603</v>
      </c>
      <c r="B1604" s="65" t="s">
        <v>2756</v>
      </c>
      <c r="C1604" s="1">
        <v>9369492122</v>
      </c>
      <c r="D1604" s="6"/>
      <c r="E1604" s="17" t="s">
        <v>2753</v>
      </c>
      <c r="F1604" s="65" t="s">
        <v>308</v>
      </c>
      <c r="G1604" s="2" t="s">
        <v>424</v>
      </c>
      <c r="H1604" s="2" t="s">
        <v>913</v>
      </c>
      <c r="I1604" s="37" t="s">
        <v>94</v>
      </c>
      <c r="J1604" s="31">
        <v>45734</v>
      </c>
      <c r="K1604" s="31">
        <v>45742</v>
      </c>
      <c r="L1604" s="31"/>
      <c r="M1604" s="31"/>
      <c r="N1604" s="31"/>
      <c r="O1604" s="2" t="s">
        <v>425</v>
      </c>
    </row>
    <row r="1605" spans="1:15">
      <c r="A1605" s="3">
        <f t="shared" si="26"/>
        <v>1604</v>
      </c>
      <c r="B1605" s="65" t="s">
        <v>2757</v>
      </c>
      <c r="C1605" s="1">
        <v>6387155925</v>
      </c>
      <c r="D1605" s="6"/>
      <c r="E1605" s="17" t="s">
        <v>2753</v>
      </c>
      <c r="F1605" s="65" t="s">
        <v>308</v>
      </c>
      <c r="G1605" s="2" t="s">
        <v>424</v>
      </c>
      <c r="H1605" s="2" t="s">
        <v>913</v>
      </c>
      <c r="I1605" s="37" t="s">
        <v>94</v>
      </c>
      <c r="J1605" s="31">
        <v>45734</v>
      </c>
      <c r="K1605" s="31">
        <v>45750</v>
      </c>
      <c r="L1605" s="31"/>
      <c r="M1605" s="31"/>
      <c r="N1605" s="31"/>
      <c r="O1605" s="2" t="s">
        <v>425</v>
      </c>
    </row>
    <row r="1606" spans="1:15">
      <c r="A1606" s="3">
        <f t="shared" si="26"/>
        <v>1605</v>
      </c>
      <c r="B1606" s="65" t="s">
        <v>2758</v>
      </c>
      <c r="C1606" s="1">
        <v>8978036492</v>
      </c>
      <c r="D1606" s="6"/>
      <c r="E1606" s="3" t="s">
        <v>104</v>
      </c>
      <c r="F1606" s="65" t="s">
        <v>2759</v>
      </c>
      <c r="G1606" s="2" t="s">
        <v>764</v>
      </c>
      <c r="H1606" s="2" t="s">
        <v>102</v>
      </c>
      <c r="I1606" s="37" t="s">
        <v>42</v>
      </c>
      <c r="J1606" s="31">
        <v>45734</v>
      </c>
      <c r="K1606" s="31">
        <v>45735</v>
      </c>
      <c r="L1606" s="31"/>
      <c r="M1606" s="31"/>
      <c r="N1606" s="31"/>
      <c r="O1606" s="2" t="s">
        <v>425</v>
      </c>
    </row>
    <row r="1607" spans="1:15">
      <c r="A1607" s="3">
        <f t="shared" si="26"/>
        <v>1606</v>
      </c>
      <c r="B1607" s="65" t="s">
        <v>2760</v>
      </c>
      <c r="C1607" s="1">
        <v>6281649733</v>
      </c>
      <c r="D1607" s="6">
        <v>9441232919</v>
      </c>
      <c r="E1607" s="3" t="s">
        <v>104</v>
      </c>
      <c r="F1607" s="65" t="s">
        <v>2463</v>
      </c>
      <c r="G1607" s="2" t="s">
        <v>764</v>
      </c>
      <c r="H1607" s="2" t="s">
        <v>102</v>
      </c>
      <c r="I1607" s="37" t="s">
        <v>42</v>
      </c>
      <c r="J1607" s="31">
        <v>45734</v>
      </c>
      <c r="K1607" s="31">
        <v>45736</v>
      </c>
      <c r="L1607" s="31"/>
      <c r="M1607" s="31"/>
      <c r="N1607" s="31"/>
      <c r="O1607" s="2" t="s">
        <v>425</v>
      </c>
    </row>
    <row r="1608" spans="1:15">
      <c r="A1608" s="3">
        <f t="shared" si="26"/>
        <v>1607</v>
      </c>
      <c r="B1608" s="65" t="s">
        <v>2761</v>
      </c>
      <c r="C1608" s="1">
        <v>8878235732</v>
      </c>
      <c r="D1608" s="6"/>
      <c r="E1608" s="17" t="s">
        <v>350</v>
      </c>
      <c r="F1608" s="65" t="s">
        <v>2762</v>
      </c>
      <c r="G1608" s="2" t="s">
        <v>16</v>
      </c>
      <c r="H1608" s="2" t="s">
        <v>352</v>
      </c>
      <c r="I1608" s="37" t="s">
        <v>94</v>
      </c>
      <c r="J1608" s="31">
        <v>45734</v>
      </c>
      <c r="K1608" s="31">
        <v>45749</v>
      </c>
      <c r="L1608" s="31">
        <v>45758</v>
      </c>
      <c r="M1608" s="31">
        <v>45788</v>
      </c>
      <c r="N1608" s="31">
        <v>45789</v>
      </c>
      <c r="O1608" s="2" t="s">
        <v>297</v>
      </c>
    </row>
    <row r="1609" spans="1:15">
      <c r="A1609" s="3">
        <f t="shared" si="26"/>
        <v>1608</v>
      </c>
      <c r="B1609" s="65" t="s">
        <v>2763</v>
      </c>
      <c r="C1609" s="1">
        <v>8688586782</v>
      </c>
      <c r="D1609" s="6"/>
      <c r="E1609" s="3" t="s">
        <v>1023</v>
      </c>
      <c r="F1609" s="65"/>
      <c r="G1609" s="2" t="s">
        <v>424</v>
      </c>
      <c r="H1609" s="2" t="s">
        <v>2553</v>
      </c>
      <c r="I1609" s="37" t="s">
        <v>42</v>
      </c>
      <c r="J1609" s="31">
        <v>45734</v>
      </c>
      <c r="K1609" s="31">
        <v>45737</v>
      </c>
      <c r="L1609" s="31"/>
      <c r="M1609" s="31"/>
      <c r="N1609" s="31"/>
      <c r="O1609" s="2" t="s">
        <v>425</v>
      </c>
    </row>
    <row r="1610" spans="1:15">
      <c r="A1610" s="3">
        <f t="shared" si="26"/>
        <v>1609</v>
      </c>
      <c r="B1610" s="65" t="s">
        <v>2764</v>
      </c>
      <c r="C1610" s="1">
        <v>7893868902</v>
      </c>
      <c r="D1610" s="6"/>
      <c r="E1610" s="3" t="s">
        <v>1023</v>
      </c>
      <c r="F1610" s="65"/>
      <c r="G1610" s="2" t="s">
        <v>424</v>
      </c>
      <c r="H1610" s="2" t="s">
        <v>2553</v>
      </c>
      <c r="I1610" s="37" t="s">
        <v>42</v>
      </c>
      <c r="J1610" s="31">
        <v>45734</v>
      </c>
      <c r="K1610" s="31">
        <v>45737</v>
      </c>
      <c r="L1610" s="31"/>
      <c r="M1610" s="31"/>
      <c r="N1610" s="31"/>
      <c r="O1610" s="2" t="s">
        <v>425</v>
      </c>
    </row>
    <row r="1611" spans="1:15">
      <c r="A1611" s="3">
        <f t="shared" si="26"/>
        <v>1610</v>
      </c>
      <c r="B1611" s="65" t="s">
        <v>2765</v>
      </c>
      <c r="C1611" s="1">
        <v>8125486192</v>
      </c>
      <c r="D1611" s="6"/>
      <c r="E1611" s="3" t="s">
        <v>1023</v>
      </c>
      <c r="F1611" s="65"/>
      <c r="G1611" s="2" t="s">
        <v>424</v>
      </c>
      <c r="H1611" s="2" t="s">
        <v>2553</v>
      </c>
      <c r="I1611" s="37" t="s">
        <v>42</v>
      </c>
      <c r="J1611" s="31">
        <v>45734</v>
      </c>
      <c r="K1611" s="31">
        <v>45738</v>
      </c>
      <c r="L1611" s="31"/>
      <c r="M1611" s="31"/>
      <c r="N1611" s="31"/>
      <c r="O1611" s="2" t="s">
        <v>425</v>
      </c>
    </row>
    <row r="1612" spans="1:15">
      <c r="A1612" s="3">
        <f t="shared" si="26"/>
        <v>1611</v>
      </c>
      <c r="B1612" s="65" t="s">
        <v>2766</v>
      </c>
      <c r="C1612" s="1">
        <v>8977052119</v>
      </c>
      <c r="D1612" s="6"/>
      <c r="E1612" s="3" t="s">
        <v>1023</v>
      </c>
      <c r="F1612" s="65"/>
      <c r="G1612" s="2" t="s">
        <v>424</v>
      </c>
      <c r="H1612" s="2" t="s">
        <v>2553</v>
      </c>
      <c r="I1612" s="37" t="s">
        <v>42</v>
      </c>
      <c r="J1612" s="31">
        <v>45734</v>
      </c>
      <c r="K1612" s="31">
        <v>45737</v>
      </c>
      <c r="L1612" s="31"/>
      <c r="M1612" s="31"/>
      <c r="N1612" s="31"/>
      <c r="O1612" s="2" t="s">
        <v>425</v>
      </c>
    </row>
    <row r="1613" spans="1:15">
      <c r="A1613" s="3">
        <f t="shared" si="26"/>
        <v>1612</v>
      </c>
      <c r="B1613" s="65" t="s">
        <v>2767</v>
      </c>
      <c r="C1613" s="1">
        <v>9573917216</v>
      </c>
      <c r="D1613" s="6"/>
      <c r="E1613" s="3" t="s">
        <v>1023</v>
      </c>
      <c r="F1613" s="65"/>
      <c r="G1613" s="2" t="s">
        <v>424</v>
      </c>
      <c r="H1613" s="2" t="s">
        <v>2553</v>
      </c>
      <c r="I1613" s="37" t="s">
        <v>42</v>
      </c>
      <c r="J1613" s="31">
        <v>45734</v>
      </c>
      <c r="K1613" s="31">
        <v>45737</v>
      </c>
      <c r="L1613" s="31"/>
      <c r="M1613" s="31"/>
      <c r="N1613" s="31"/>
      <c r="O1613" s="2" t="s">
        <v>425</v>
      </c>
    </row>
    <row r="1614" spans="1:15">
      <c r="A1614" s="3">
        <f t="shared" si="26"/>
        <v>1613</v>
      </c>
      <c r="B1614" s="65" t="s">
        <v>2768</v>
      </c>
      <c r="C1614" s="1">
        <v>8328027442</v>
      </c>
      <c r="D1614" s="6"/>
      <c r="E1614" s="3" t="s">
        <v>1023</v>
      </c>
      <c r="F1614" s="65"/>
      <c r="G1614" s="2" t="s">
        <v>424</v>
      </c>
      <c r="H1614" s="2" t="s">
        <v>2553</v>
      </c>
      <c r="I1614" s="37" t="s">
        <v>42</v>
      </c>
      <c r="J1614" s="31">
        <v>45734</v>
      </c>
      <c r="K1614" s="31">
        <v>45737</v>
      </c>
      <c r="L1614" s="31"/>
      <c r="M1614" s="31"/>
      <c r="N1614" s="31"/>
      <c r="O1614" s="2" t="s">
        <v>425</v>
      </c>
    </row>
    <row r="1615" spans="1:15">
      <c r="A1615" s="3">
        <f t="shared" si="26"/>
        <v>1614</v>
      </c>
      <c r="B1615" s="65" t="s">
        <v>2769</v>
      </c>
      <c r="C1615" s="1">
        <v>8317622995</v>
      </c>
      <c r="D1615" s="6"/>
      <c r="E1615" s="3" t="s">
        <v>1023</v>
      </c>
      <c r="F1615" s="65"/>
      <c r="G1615" s="2" t="s">
        <v>424</v>
      </c>
      <c r="H1615" s="2" t="s">
        <v>2553</v>
      </c>
      <c r="I1615" s="37" t="s">
        <v>42</v>
      </c>
      <c r="J1615" s="31">
        <v>45734</v>
      </c>
      <c r="K1615" s="31">
        <v>45737</v>
      </c>
      <c r="L1615" s="31"/>
      <c r="M1615" s="31"/>
      <c r="N1615" s="31"/>
      <c r="O1615" s="2" t="s">
        <v>425</v>
      </c>
    </row>
    <row r="1616" spans="1:15">
      <c r="A1616" s="3">
        <f t="shared" si="26"/>
        <v>1615</v>
      </c>
      <c r="B1616" s="65" t="s">
        <v>2770</v>
      </c>
      <c r="C1616" s="1">
        <v>7036052925</v>
      </c>
      <c r="D1616" s="6"/>
      <c r="E1616" s="3" t="s">
        <v>1023</v>
      </c>
      <c r="F1616" s="65"/>
      <c r="G1616" s="2" t="s">
        <v>424</v>
      </c>
      <c r="H1616" s="2" t="s">
        <v>2553</v>
      </c>
      <c r="I1616" s="37" t="s">
        <v>42</v>
      </c>
      <c r="J1616" s="31">
        <v>45734</v>
      </c>
      <c r="K1616" s="31">
        <v>45737</v>
      </c>
      <c r="L1616" s="31"/>
      <c r="M1616" s="31"/>
      <c r="N1616" s="31"/>
      <c r="O1616" s="2" t="s">
        <v>425</v>
      </c>
    </row>
    <row r="1617" spans="1:15">
      <c r="A1617" s="3">
        <f t="shared" si="26"/>
        <v>1616</v>
      </c>
      <c r="B1617" s="65" t="s">
        <v>2771</v>
      </c>
      <c r="C1617" s="1">
        <v>9391562625</v>
      </c>
      <c r="D1617" s="6"/>
      <c r="E1617" s="3" t="s">
        <v>1023</v>
      </c>
      <c r="F1617" s="65"/>
      <c r="G1617" s="2" t="s">
        <v>424</v>
      </c>
      <c r="H1617" s="2" t="s">
        <v>2553</v>
      </c>
      <c r="I1617" s="37" t="s">
        <v>42</v>
      </c>
      <c r="J1617" s="31">
        <v>45734</v>
      </c>
      <c r="K1617" s="31">
        <v>45737</v>
      </c>
      <c r="L1617" s="31"/>
      <c r="M1617" s="31"/>
      <c r="N1617" s="31"/>
      <c r="O1617" s="2" t="s">
        <v>425</v>
      </c>
    </row>
    <row r="1618" spans="1:15">
      <c r="A1618" s="3">
        <f t="shared" si="26"/>
        <v>1617</v>
      </c>
      <c r="B1618" s="65" t="s">
        <v>2772</v>
      </c>
      <c r="C1618" s="1">
        <v>9959362002</v>
      </c>
      <c r="D1618" s="6"/>
      <c r="E1618" s="3" t="s">
        <v>1023</v>
      </c>
      <c r="F1618" s="65"/>
      <c r="G1618" s="2" t="s">
        <v>424</v>
      </c>
      <c r="H1618" s="2" t="s">
        <v>2553</v>
      </c>
      <c r="I1618" s="37" t="s">
        <v>42</v>
      </c>
      <c r="J1618" s="31">
        <v>45734</v>
      </c>
      <c r="K1618" s="31">
        <v>45737</v>
      </c>
      <c r="L1618" s="31"/>
      <c r="M1618" s="31"/>
      <c r="N1618" s="31"/>
      <c r="O1618" s="2" t="s">
        <v>425</v>
      </c>
    </row>
    <row r="1619" spans="1:15">
      <c r="A1619" s="3">
        <f t="shared" si="26"/>
        <v>1618</v>
      </c>
      <c r="B1619" s="65" t="s">
        <v>2773</v>
      </c>
      <c r="C1619" s="1">
        <v>8790791154</v>
      </c>
      <c r="D1619" s="6"/>
      <c r="E1619" s="3" t="s">
        <v>1023</v>
      </c>
      <c r="F1619" s="65"/>
      <c r="G1619" s="2" t="s">
        <v>424</v>
      </c>
      <c r="H1619" s="2" t="s">
        <v>2553</v>
      </c>
      <c r="I1619" s="37" t="s">
        <v>42</v>
      </c>
      <c r="J1619" s="31">
        <v>45734</v>
      </c>
      <c r="K1619" s="31">
        <v>45737</v>
      </c>
      <c r="L1619" s="31"/>
      <c r="M1619" s="31"/>
      <c r="N1619" s="31"/>
      <c r="O1619" s="2" t="s">
        <v>425</v>
      </c>
    </row>
    <row r="1620" spans="1:15">
      <c r="A1620" s="3">
        <f t="shared" si="26"/>
        <v>1619</v>
      </c>
      <c r="B1620" s="65" t="s">
        <v>2774</v>
      </c>
      <c r="C1620" s="1">
        <v>9441423223</v>
      </c>
      <c r="D1620" s="6"/>
      <c r="E1620" s="3" t="s">
        <v>1023</v>
      </c>
      <c r="F1620" s="65"/>
      <c r="G1620" s="2" t="s">
        <v>424</v>
      </c>
      <c r="H1620" s="2" t="s">
        <v>2553</v>
      </c>
      <c r="I1620" s="37" t="s">
        <v>42</v>
      </c>
      <c r="J1620" s="31">
        <v>45734</v>
      </c>
      <c r="K1620" s="31">
        <v>45738</v>
      </c>
      <c r="L1620" s="31"/>
      <c r="M1620" s="31"/>
      <c r="N1620" s="31"/>
      <c r="O1620" s="2" t="s">
        <v>425</v>
      </c>
    </row>
    <row r="1621" spans="1:15">
      <c r="A1621" s="3">
        <f t="shared" si="26"/>
        <v>1620</v>
      </c>
      <c r="B1621" s="65" t="s">
        <v>2775</v>
      </c>
      <c r="C1621" s="1">
        <v>9618762438</v>
      </c>
      <c r="D1621" s="6"/>
      <c r="E1621" s="3" t="s">
        <v>1023</v>
      </c>
      <c r="F1621" s="65"/>
      <c r="G1621" s="2" t="s">
        <v>424</v>
      </c>
      <c r="H1621" s="2" t="s">
        <v>2553</v>
      </c>
      <c r="I1621" s="37" t="s">
        <v>42</v>
      </c>
      <c r="J1621" s="31">
        <v>45734</v>
      </c>
      <c r="K1621" s="31">
        <v>45737</v>
      </c>
      <c r="L1621" s="31"/>
      <c r="M1621" s="31"/>
      <c r="N1621" s="31"/>
      <c r="O1621" s="2" t="s">
        <v>425</v>
      </c>
    </row>
    <row r="1622" spans="1:15">
      <c r="A1622" s="3">
        <f t="shared" si="26"/>
        <v>1621</v>
      </c>
      <c r="B1622" s="65" t="s">
        <v>2776</v>
      </c>
      <c r="C1622" s="1">
        <v>9347862358</v>
      </c>
      <c r="D1622" s="6"/>
      <c r="E1622" s="3" t="s">
        <v>1023</v>
      </c>
      <c r="F1622" s="65"/>
      <c r="G1622" s="2" t="s">
        <v>424</v>
      </c>
      <c r="H1622" s="2" t="s">
        <v>2553</v>
      </c>
      <c r="I1622" s="37" t="s">
        <v>42</v>
      </c>
      <c r="J1622" s="31">
        <v>45734</v>
      </c>
      <c r="K1622" s="31">
        <v>45737</v>
      </c>
      <c r="L1622" s="31"/>
      <c r="M1622" s="31"/>
      <c r="N1622" s="31"/>
      <c r="O1622" s="2" t="s">
        <v>425</v>
      </c>
    </row>
    <row r="1623" spans="1:15">
      <c r="A1623" s="3">
        <f t="shared" si="26"/>
        <v>1622</v>
      </c>
      <c r="B1623" s="65" t="s">
        <v>2777</v>
      </c>
      <c r="C1623" s="1">
        <v>9640398373</v>
      </c>
      <c r="D1623" s="6"/>
      <c r="E1623" s="3" t="s">
        <v>1023</v>
      </c>
      <c r="F1623" s="65"/>
      <c r="G1623" s="2" t="s">
        <v>424</v>
      </c>
      <c r="H1623" s="2" t="s">
        <v>2553</v>
      </c>
      <c r="I1623" s="37" t="s">
        <v>42</v>
      </c>
      <c r="J1623" s="31">
        <v>45734</v>
      </c>
      <c r="K1623" s="31">
        <v>45738</v>
      </c>
      <c r="L1623" s="31"/>
      <c r="M1623" s="31"/>
      <c r="N1623" s="31"/>
      <c r="O1623" s="2" t="s">
        <v>425</v>
      </c>
    </row>
    <row r="1624" spans="1:15">
      <c r="A1624" s="3">
        <f t="shared" si="26"/>
        <v>1623</v>
      </c>
      <c r="B1624" s="65" t="s">
        <v>2778</v>
      </c>
      <c r="C1624" s="1">
        <v>7993858103</v>
      </c>
      <c r="D1624" s="6"/>
      <c r="E1624" s="3" t="s">
        <v>1023</v>
      </c>
      <c r="F1624" s="65"/>
      <c r="G1624" s="2" t="s">
        <v>424</v>
      </c>
      <c r="H1624" s="2" t="s">
        <v>2553</v>
      </c>
      <c r="I1624" s="37" t="s">
        <v>42</v>
      </c>
      <c r="J1624" s="31">
        <v>45734</v>
      </c>
      <c r="K1624" s="31">
        <v>45737</v>
      </c>
      <c r="L1624" s="31"/>
      <c r="M1624" s="31"/>
      <c r="N1624" s="31"/>
      <c r="O1624" s="2" t="s">
        <v>425</v>
      </c>
    </row>
    <row r="1625" spans="1:15">
      <c r="A1625" s="3">
        <f t="shared" si="26"/>
        <v>1624</v>
      </c>
      <c r="B1625" s="65" t="s">
        <v>2779</v>
      </c>
      <c r="C1625" s="1">
        <v>9390395501</v>
      </c>
      <c r="D1625" s="6"/>
      <c r="E1625" s="3" t="s">
        <v>1023</v>
      </c>
      <c r="F1625" s="65"/>
      <c r="G1625" s="2" t="s">
        <v>424</v>
      </c>
      <c r="H1625" s="2" t="s">
        <v>2553</v>
      </c>
      <c r="I1625" s="37" t="s">
        <v>42</v>
      </c>
      <c r="J1625" s="31">
        <v>45734</v>
      </c>
      <c r="K1625" s="31">
        <v>45738</v>
      </c>
      <c r="L1625" s="31"/>
      <c r="M1625" s="31"/>
      <c r="N1625" s="31"/>
      <c r="O1625" s="2" t="s">
        <v>425</v>
      </c>
    </row>
    <row r="1626" spans="1:15">
      <c r="A1626" s="3">
        <f t="shared" si="26"/>
        <v>1625</v>
      </c>
      <c r="B1626" s="65" t="s">
        <v>2780</v>
      </c>
      <c r="C1626" s="1">
        <v>8142801317</v>
      </c>
      <c r="D1626" s="6"/>
      <c r="E1626" s="3" t="s">
        <v>1023</v>
      </c>
      <c r="F1626" s="65"/>
      <c r="G1626" s="2" t="s">
        <v>424</v>
      </c>
      <c r="H1626" s="2" t="s">
        <v>2553</v>
      </c>
      <c r="I1626" s="37" t="s">
        <v>42</v>
      </c>
      <c r="J1626" s="31">
        <v>45734</v>
      </c>
      <c r="K1626" s="31">
        <v>45737</v>
      </c>
      <c r="L1626" s="31"/>
      <c r="M1626" s="31"/>
      <c r="N1626" s="31"/>
      <c r="O1626" s="2" t="s">
        <v>425</v>
      </c>
    </row>
    <row r="1627" spans="1:15">
      <c r="A1627" s="3">
        <f t="shared" si="26"/>
        <v>1626</v>
      </c>
      <c r="B1627" s="65" t="s">
        <v>2781</v>
      </c>
      <c r="C1627" s="1">
        <v>9063763060</v>
      </c>
      <c r="D1627" s="6"/>
      <c r="E1627" s="3" t="s">
        <v>1023</v>
      </c>
      <c r="F1627" s="65"/>
      <c r="G1627" s="2" t="s">
        <v>424</v>
      </c>
      <c r="H1627" s="2" t="s">
        <v>2553</v>
      </c>
      <c r="I1627" s="37" t="s">
        <v>42</v>
      </c>
      <c r="J1627" s="31">
        <v>45734</v>
      </c>
      <c r="K1627" s="31">
        <v>45737</v>
      </c>
      <c r="L1627" s="31"/>
      <c r="M1627" s="31"/>
      <c r="N1627" s="31"/>
      <c r="O1627" s="2" t="s">
        <v>425</v>
      </c>
    </row>
    <row r="1628" spans="1:15">
      <c r="A1628" s="3">
        <f t="shared" si="26"/>
        <v>1627</v>
      </c>
      <c r="B1628" s="65" t="s">
        <v>2782</v>
      </c>
      <c r="C1628" s="1">
        <v>8639517736</v>
      </c>
      <c r="D1628" s="6"/>
      <c r="E1628" s="3" t="s">
        <v>1023</v>
      </c>
      <c r="F1628" s="65"/>
      <c r="G1628" s="2" t="s">
        <v>424</v>
      </c>
      <c r="H1628" s="2" t="s">
        <v>2553</v>
      </c>
      <c r="I1628" s="37" t="s">
        <v>42</v>
      </c>
      <c r="J1628" s="31">
        <v>45734</v>
      </c>
      <c r="K1628" s="31">
        <v>45737</v>
      </c>
      <c r="L1628" s="31"/>
      <c r="M1628" s="31"/>
      <c r="N1628" s="31"/>
      <c r="O1628" s="2" t="s">
        <v>425</v>
      </c>
    </row>
    <row r="1629" spans="1:15">
      <c r="A1629" s="3">
        <f t="shared" si="26"/>
        <v>1628</v>
      </c>
      <c r="B1629" s="65" t="s">
        <v>2783</v>
      </c>
      <c r="C1629" s="1">
        <v>6305770092</v>
      </c>
      <c r="D1629" s="6"/>
      <c r="E1629" s="3" t="s">
        <v>1023</v>
      </c>
      <c r="F1629" s="65"/>
      <c r="G1629" s="2" t="s">
        <v>424</v>
      </c>
      <c r="H1629" s="2" t="s">
        <v>2553</v>
      </c>
      <c r="I1629" s="37" t="s">
        <v>42</v>
      </c>
      <c r="J1629" s="31">
        <v>45734</v>
      </c>
      <c r="K1629" s="31">
        <v>45738</v>
      </c>
      <c r="L1629" s="31"/>
      <c r="M1629" s="31"/>
      <c r="N1629" s="31"/>
      <c r="O1629" s="2" t="s">
        <v>425</v>
      </c>
    </row>
    <row r="1630" spans="1:15">
      <c r="A1630" s="3">
        <f t="shared" si="26"/>
        <v>1629</v>
      </c>
      <c r="B1630" s="65" t="s">
        <v>2784</v>
      </c>
      <c r="C1630" s="1">
        <v>9542223300</v>
      </c>
      <c r="D1630" s="6"/>
      <c r="E1630" s="3" t="s">
        <v>1023</v>
      </c>
      <c r="F1630" s="65"/>
      <c r="G1630" s="2" t="s">
        <v>424</v>
      </c>
      <c r="H1630" s="2" t="s">
        <v>2553</v>
      </c>
      <c r="I1630" s="37" t="s">
        <v>42</v>
      </c>
      <c r="J1630" s="31">
        <v>45734</v>
      </c>
      <c r="K1630" s="31">
        <v>45737</v>
      </c>
      <c r="L1630" s="31"/>
      <c r="M1630" s="31"/>
      <c r="N1630" s="31"/>
      <c r="O1630" s="2" t="s">
        <v>425</v>
      </c>
    </row>
    <row r="1631" spans="1:15">
      <c r="A1631" s="3">
        <f t="shared" si="26"/>
        <v>1630</v>
      </c>
      <c r="B1631" s="65" t="s">
        <v>2785</v>
      </c>
      <c r="C1631" s="1">
        <v>8096663463</v>
      </c>
      <c r="D1631" s="6">
        <v>9949021691</v>
      </c>
      <c r="E1631" s="3" t="s">
        <v>59</v>
      </c>
      <c r="F1631" s="65"/>
      <c r="G1631" s="2" t="s">
        <v>764</v>
      </c>
      <c r="H1631" s="2" t="s">
        <v>660</v>
      </c>
      <c r="I1631" s="37" t="s">
        <v>42</v>
      </c>
      <c r="J1631" s="31">
        <v>45734</v>
      </c>
      <c r="K1631" s="31">
        <v>45745</v>
      </c>
      <c r="L1631" s="31"/>
      <c r="M1631" s="31"/>
      <c r="N1631" s="31"/>
      <c r="O1631" s="2" t="s">
        <v>425</v>
      </c>
    </row>
    <row r="1632" spans="1:15">
      <c r="A1632" s="3">
        <f t="shared" si="26"/>
        <v>1631</v>
      </c>
      <c r="B1632" s="65" t="s">
        <v>2786</v>
      </c>
      <c r="C1632" s="1">
        <v>9177475935</v>
      </c>
      <c r="D1632" s="6"/>
      <c r="E1632" s="3" t="s">
        <v>59</v>
      </c>
      <c r="F1632" s="65"/>
      <c r="G1632" s="2" t="s">
        <v>764</v>
      </c>
      <c r="H1632" s="2" t="s">
        <v>660</v>
      </c>
      <c r="I1632" s="37" t="s">
        <v>42</v>
      </c>
      <c r="J1632" s="31">
        <v>45734</v>
      </c>
      <c r="K1632" s="31">
        <v>45737</v>
      </c>
      <c r="L1632" s="31"/>
      <c r="M1632" s="31"/>
      <c r="N1632" s="31"/>
      <c r="O1632" s="2" t="s">
        <v>425</v>
      </c>
    </row>
    <row r="1633" spans="1:15">
      <c r="A1633" s="3">
        <f t="shared" si="26"/>
        <v>1632</v>
      </c>
      <c r="B1633" s="65" t="s">
        <v>2787</v>
      </c>
      <c r="C1633" s="1">
        <v>8555988438</v>
      </c>
      <c r="D1633" s="6">
        <v>8096663310</v>
      </c>
      <c r="E1633" s="3" t="s">
        <v>56</v>
      </c>
      <c r="F1633" s="65"/>
      <c r="G1633" s="2" t="s">
        <v>764</v>
      </c>
      <c r="H1633" s="2" t="s">
        <v>660</v>
      </c>
      <c r="I1633" s="37" t="s">
        <v>42</v>
      </c>
      <c r="J1633" s="31">
        <v>45734</v>
      </c>
      <c r="K1633" s="31">
        <v>45737</v>
      </c>
      <c r="L1633" s="31"/>
      <c r="M1633" s="31"/>
      <c r="N1633" s="31"/>
      <c r="O1633" s="2" t="s">
        <v>425</v>
      </c>
    </row>
    <row r="1634" spans="1:15">
      <c r="A1634" s="3">
        <f t="shared" si="26"/>
        <v>1633</v>
      </c>
      <c r="B1634" s="65" t="s">
        <v>2788</v>
      </c>
      <c r="C1634" s="1">
        <v>8886822333</v>
      </c>
      <c r="D1634" s="6"/>
      <c r="E1634" s="3" t="s">
        <v>59</v>
      </c>
      <c r="F1634" s="65"/>
      <c r="G1634" s="2" t="s">
        <v>764</v>
      </c>
      <c r="H1634" s="2" t="s">
        <v>660</v>
      </c>
      <c r="I1634" s="37" t="s">
        <v>42</v>
      </c>
      <c r="J1634" s="31">
        <v>45734</v>
      </c>
      <c r="K1634" s="31">
        <v>45744</v>
      </c>
      <c r="L1634" s="31"/>
      <c r="M1634" s="31"/>
      <c r="N1634" s="31"/>
      <c r="O1634" s="2" t="s">
        <v>425</v>
      </c>
    </row>
    <row r="1635" spans="1:15">
      <c r="A1635" s="3">
        <f t="shared" si="26"/>
        <v>1634</v>
      </c>
      <c r="B1635" s="65" t="s">
        <v>2789</v>
      </c>
      <c r="C1635" s="1">
        <v>8008083688</v>
      </c>
      <c r="D1635" s="6"/>
      <c r="E1635" s="3" t="s">
        <v>56</v>
      </c>
      <c r="F1635" s="65"/>
      <c r="G1635" s="2" t="s">
        <v>16</v>
      </c>
      <c r="H1635" s="2" t="s">
        <v>660</v>
      </c>
      <c r="I1635" s="37" t="s">
        <v>42</v>
      </c>
      <c r="J1635" s="31">
        <v>45734</v>
      </c>
      <c r="K1635" s="31">
        <v>45744</v>
      </c>
      <c r="L1635" s="31">
        <v>45744</v>
      </c>
      <c r="M1635" s="31">
        <v>45798</v>
      </c>
      <c r="N1635" s="31">
        <v>45789</v>
      </c>
      <c r="O1635" s="2" t="s">
        <v>297</v>
      </c>
    </row>
    <row r="1636" spans="1:15">
      <c r="A1636" s="3">
        <f t="shared" si="26"/>
        <v>1635</v>
      </c>
      <c r="B1636" s="65" t="s">
        <v>2790</v>
      </c>
      <c r="C1636" s="1">
        <v>9885152753</v>
      </c>
      <c r="D1636" s="6"/>
      <c r="E1636" s="3" t="s">
        <v>59</v>
      </c>
      <c r="F1636" s="65"/>
      <c r="G1636" s="2" t="s">
        <v>295</v>
      </c>
      <c r="H1636" s="2" t="s">
        <v>660</v>
      </c>
      <c r="I1636" s="37" t="s">
        <v>42</v>
      </c>
      <c r="J1636" s="31">
        <v>45734</v>
      </c>
      <c r="K1636" s="31">
        <v>45745</v>
      </c>
      <c r="L1636" s="31">
        <v>45748</v>
      </c>
      <c r="M1636" s="31">
        <v>45773</v>
      </c>
      <c r="N1636" s="31"/>
      <c r="O1636" s="2" t="s">
        <v>297</v>
      </c>
    </row>
    <row r="1637" spans="1:15">
      <c r="A1637" s="3">
        <f t="shared" si="26"/>
        <v>1636</v>
      </c>
      <c r="B1637" s="65" t="s">
        <v>2791</v>
      </c>
      <c r="C1637" s="1">
        <v>8838729492</v>
      </c>
      <c r="D1637" s="6"/>
      <c r="E1637" s="3" t="s">
        <v>59</v>
      </c>
      <c r="F1637" s="65"/>
      <c r="G1637" s="2" t="s">
        <v>416</v>
      </c>
      <c r="H1637" s="2" t="s">
        <v>660</v>
      </c>
      <c r="I1637" s="37" t="s">
        <v>42</v>
      </c>
      <c r="J1637" s="31">
        <v>45734</v>
      </c>
      <c r="K1637" s="31">
        <v>45745</v>
      </c>
      <c r="L1637" s="31"/>
      <c r="M1637" s="31"/>
      <c r="N1637" s="31"/>
      <c r="O1637" s="2" t="s">
        <v>297</v>
      </c>
    </row>
    <row r="1638" spans="1:15">
      <c r="A1638" s="3">
        <f t="shared" si="26"/>
        <v>1637</v>
      </c>
      <c r="B1638" s="114" t="s">
        <v>2792</v>
      </c>
      <c r="C1638" s="1">
        <v>9533332772</v>
      </c>
      <c r="D1638" s="6">
        <v>7799558857</v>
      </c>
      <c r="E1638" s="3" t="s">
        <v>79</v>
      </c>
      <c r="F1638" s="65" t="s">
        <v>1312</v>
      </c>
      <c r="G1638" s="2" t="s">
        <v>16</v>
      </c>
      <c r="H1638" s="2" t="s">
        <v>1436</v>
      </c>
      <c r="I1638" s="37" t="s">
        <v>42</v>
      </c>
      <c r="J1638" s="31">
        <v>45735</v>
      </c>
      <c r="K1638" s="31">
        <v>45744</v>
      </c>
      <c r="L1638" s="31">
        <v>45749</v>
      </c>
      <c r="M1638" s="31">
        <v>45759</v>
      </c>
      <c r="N1638" s="31">
        <v>45754</v>
      </c>
      <c r="O1638" s="2" t="s">
        <v>297</v>
      </c>
    </row>
    <row r="1639" spans="1:15">
      <c r="A1639" s="3">
        <f t="shared" si="26"/>
        <v>1638</v>
      </c>
      <c r="B1639" s="65" t="s">
        <v>2793</v>
      </c>
      <c r="C1639" s="1">
        <v>9284423837</v>
      </c>
      <c r="D1639" s="6">
        <v>8971200923</v>
      </c>
      <c r="E1639" s="3" t="s">
        <v>90</v>
      </c>
      <c r="F1639" s="65" t="s">
        <v>2794</v>
      </c>
      <c r="G1639" s="2" t="s">
        <v>16</v>
      </c>
      <c r="H1639" s="2" t="s">
        <v>1436</v>
      </c>
      <c r="I1639" s="37" t="s">
        <v>42</v>
      </c>
      <c r="J1639" s="31">
        <v>45735</v>
      </c>
      <c r="K1639" s="31">
        <v>45744</v>
      </c>
      <c r="L1639" s="31">
        <v>45758</v>
      </c>
      <c r="M1639" s="31">
        <v>45788</v>
      </c>
      <c r="N1639" s="31">
        <v>45791</v>
      </c>
      <c r="O1639" s="2" t="s">
        <v>297</v>
      </c>
    </row>
    <row r="1640" spans="1:15">
      <c r="A1640" s="3">
        <f t="shared" si="26"/>
        <v>1639</v>
      </c>
      <c r="B1640" s="65" t="s">
        <v>2795</v>
      </c>
      <c r="C1640" s="1">
        <v>8886061415</v>
      </c>
      <c r="D1640" s="6"/>
      <c r="E1640" s="3" t="s">
        <v>82</v>
      </c>
      <c r="F1640" s="65" t="s">
        <v>2796</v>
      </c>
      <c r="G1640" s="2" t="s">
        <v>416</v>
      </c>
      <c r="H1640" s="2" t="s">
        <v>1436</v>
      </c>
      <c r="I1640" s="37" t="s">
        <v>42</v>
      </c>
      <c r="J1640" s="31">
        <v>45735</v>
      </c>
      <c r="K1640" s="31">
        <v>45751</v>
      </c>
      <c r="L1640" s="31"/>
      <c r="M1640" s="31"/>
      <c r="N1640" s="31"/>
      <c r="O1640" s="2" t="s">
        <v>297</v>
      </c>
    </row>
    <row r="1641" spans="1:15">
      <c r="A1641" s="3">
        <f t="shared" si="26"/>
        <v>1640</v>
      </c>
      <c r="B1641" s="65" t="s">
        <v>2797</v>
      </c>
      <c r="C1641" s="1">
        <v>8142254436</v>
      </c>
      <c r="D1641" s="6"/>
      <c r="E1641" s="3" t="s">
        <v>82</v>
      </c>
      <c r="F1641" s="65" t="s">
        <v>2798</v>
      </c>
      <c r="G1641" s="2" t="s">
        <v>295</v>
      </c>
      <c r="H1641" s="2" t="s">
        <v>1436</v>
      </c>
      <c r="I1641" s="37" t="s">
        <v>42</v>
      </c>
      <c r="J1641" s="31">
        <v>45735</v>
      </c>
      <c r="K1641" s="31">
        <v>45744</v>
      </c>
      <c r="L1641" s="31">
        <v>45748</v>
      </c>
      <c r="M1641" s="31">
        <v>45781</v>
      </c>
      <c r="N1641" s="31"/>
      <c r="O1641" s="2" t="s">
        <v>297</v>
      </c>
    </row>
    <row r="1642" spans="1:15">
      <c r="A1642" s="3">
        <f t="shared" si="26"/>
        <v>1641</v>
      </c>
      <c r="B1642" s="115" t="s">
        <v>2799</v>
      </c>
      <c r="C1642" s="1">
        <v>7659899118</v>
      </c>
      <c r="D1642" s="6"/>
      <c r="E1642" s="3" t="s">
        <v>72</v>
      </c>
      <c r="F1642" s="65" t="s">
        <v>313</v>
      </c>
      <c r="G1642" s="2" t="s">
        <v>16</v>
      </c>
      <c r="H1642" s="2" t="s">
        <v>1436</v>
      </c>
      <c r="I1642" s="37" t="s">
        <v>42</v>
      </c>
      <c r="J1642" s="31">
        <v>45735</v>
      </c>
      <c r="K1642" s="31">
        <v>45744</v>
      </c>
      <c r="L1642" s="31">
        <v>45748</v>
      </c>
      <c r="M1642" s="31">
        <v>45775</v>
      </c>
      <c r="N1642" s="31">
        <v>45775</v>
      </c>
      <c r="O1642" s="2" t="s">
        <v>297</v>
      </c>
    </row>
    <row r="1643" spans="1:15">
      <c r="A1643" s="3">
        <f t="shared" si="26"/>
        <v>1642</v>
      </c>
      <c r="B1643" s="65" t="s">
        <v>2800</v>
      </c>
      <c r="C1643" s="1">
        <v>8341657372</v>
      </c>
      <c r="D1643" s="6"/>
      <c r="E1643" s="3" t="s">
        <v>82</v>
      </c>
      <c r="F1643" s="65" t="s">
        <v>313</v>
      </c>
      <c r="G1643" s="2" t="s">
        <v>16</v>
      </c>
      <c r="H1643" s="2" t="s">
        <v>1436</v>
      </c>
      <c r="I1643" s="37" t="s">
        <v>42</v>
      </c>
      <c r="J1643" s="31">
        <v>45735</v>
      </c>
      <c r="K1643" s="31">
        <v>45744</v>
      </c>
      <c r="L1643" s="31">
        <v>45751</v>
      </c>
      <c r="M1643" s="31">
        <v>45761</v>
      </c>
      <c r="N1643" s="31">
        <v>45761</v>
      </c>
      <c r="O1643" s="2" t="s">
        <v>297</v>
      </c>
    </row>
    <row r="1644" spans="1:15">
      <c r="A1644" s="3">
        <f t="shared" si="26"/>
        <v>1643</v>
      </c>
      <c r="B1644" s="65" t="s">
        <v>2801</v>
      </c>
      <c r="C1644" s="1">
        <v>9440031947</v>
      </c>
      <c r="D1644" s="6"/>
      <c r="E1644" s="3" t="s">
        <v>85</v>
      </c>
      <c r="F1644" s="65" t="s">
        <v>2802</v>
      </c>
      <c r="G1644" s="2" t="s">
        <v>416</v>
      </c>
      <c r="H1644" s="2" t="s">
        <v>1436</v>
      </c>
      <c r="I1644" s="37" t="s">
        <v>42</v>
      </c>
      <c r="J1644" s="31">
        <v>45735</v>
      </c>
      <c r="K1644" s="31">
        <v>45744</v>
      </c>
      <c r="L1644" s="31"/>
      <c r="M1644" s="31"/>
      <c r="N1644" s="31"/>
      <c r="O1644" s="2" t="s">
        <v>297</v>
      </c>
    </row>
    <row r="1645" spans="1:15">
      <c r="A1645" s="3">
        <f t="shared" si="26"/>
        <v>1644</v>
      </c>
      <c r="B1645" s="65" t="s">
        <v>2803</v>
      </c>
      <c r="C1645" s="1">
        <v>6294732595</v>
      </c>
      <c r="D1645" s="6">
        <v>8509733581</v>
      </c>
      <c r="E1645" s="3" t="s">
        <v>90</v>
      </c>
      <c r="F1645" s="65" t="s">
        <v>644</v>
      </c>
      <c r="G1645" s="2" t="s">
        <v>18</v>
      </c>
      <c r="H1645" s="2" t="s">
        <v>1436</v>
      </c>
      <c r="I1645" s="37" t="s">
        <v>42</v>
      </c>
      <c r="J1645" s="31">
        <v>45735</v>
      </c>
      <c r="K1645" s="31">
        <v>45746</v>
      </c>
      <c r="L1645" s="31"/>
      <c r="M1645" s="31"/>
      <c r="N1645" s="31"/>
      <c r="O1645" s="2" t="s">
        <v>297</v>
      </c>
    </row>
    <row r="1646" spans="1:15">
      <c r="A1646" s="3">
        <f t="shared" si="26"/>
        <v>1645</v>
      </c>
      <c r="B1646" s="114" t="s">
        <v>2804</v>
      </c>
      <c r="C1646" s="1">
        <v>9581666324</v>
      </c>
      <c r="D1646" s="6"/>
      <c r="E1646" s="17" t="s">
        <v>85</v>
      </c>
      <c r="F1646" s="65" t="s">
        <v>748</v>
      </c>
      <c r="G1646" s="2" t="s">
        <v>16</v>
      </c>
      <c r="H1646" s="2" t="s">
        <v>1436</v>
      </c>
      <c r="I1646" s="37" t="s">
        <v>42</v>
      </c>
      <c r="J1646" s="31">
        <v>45735</v>
      </c>
      <c r="K1646" s="31">
        <v>45746</v>
      </c>
      <c r="L1646" s="31">
        <v>45748</v>
      </c>
      <c r="M1646" s="31">
        <v>45778</v>
      </c>
      <c r="N1646" s="31">
        <v>45778</v>
      </c>
      <c r="O1646" s="2" t="s">
        <v>297</v>
      </c>
    </row>
    <row r="1647" spans="1:15">
      <c r="A1647" s="3">
        <f t="shared" si="26"/>
        <v>1646</v>
      </c>
      <c r="B1647" s="65" t="s">
        <v>2805</v>
      </c>
      <c r="C1647" s="1">
        <v>9704442750</v>
      </c>
      <c r="D1647" s="6">
        <v>7288880080</v>
      </c>
      <c r="E1647" s="3" t="s">
        <v>72</v>
      </c>
      <c r="F1647" s="65" t="s">
        <v>1275</v>
      </c>
      <c r="G1647" s="2" t="s">
        <v>424</v>
      </c>
      <c r="H1647" s="2" t="s">
        <v>1436</v>
      </c>
      <c r="I1647" s="37" t="s">
        <v>42</v>
      </c>
      <c r="J1647" s="31">
        <v>45735</v>
      </c>
      <c r="K1647" s="31">
        <v>45746</v>
      </c>
      <c r="L1647" s="31"/>
      <c r="M1647" s="31"/>
      <c r="N1647" s="31"/>
      <c r="O1647" s="2" t="s">
        <v>425</v>
      </c>
    </row>
    <row r="1648" spans="1:15">
      <c r="A1648" s="3">
        <f t="shared" si="26"/>
        <v>1647</v>
      </c>
      <c r="B1648" s="117" t="s">
        <v>2806</v>
      </c>
      <c r="C1648" s="1">
        <v>9652988660</v>
      </c>
      <c r="D1648" s="6"/>
      <c r="E1648" s="3" t="s">
        <v>85</v>
      </c>
      <c r="F1648" s="65" t="s">
        <v>748</v>
      </c>
      <c r="G1648" s="2" t="s">
        <v>16</v>
      </c>
      <c r="H1648" s="2" t="s">
        <v>1436</v>
      </c>
      <c r="I1648" s="37" t="s">
        <v>42</v>
      </c>
      <c r="J1648" s="31">
        <v>45735</v>
      </c>
      <c r="K1648" s="31">
        <v>45746</v>
      </c>
      <c r="L1648" s="31">
        <v>45748</v>
      </c>
      <c r="M1648" s="31">
        <v>45778</v>
      </c>
      <c r="N1648" s="31">
        <v>45778</v>
      </c>
      <c r="O1648" s="2" t="s">
        <v>297</v>
      </c>
    </row>
    <row r="1649" spans="1:15">
      <c r="A1649" s="3">
        <f t="shared" si="26"/>
        <v>1648</v>
      </c>
      <c r="B1649" s="65" t="s">
        <v>2807</v>
      </c>
      <c r="C1649" s="1">
        <v>9398135177</v>
      </c>
      <c r="D1649" s="6"/>
      <c r="E1649" s="17" t="s">
        <v>148</v>
      </c>
      <c r="F1649" s="65" t="s">
        <v>2808</v>
      </c>
      <c r="G1649" s="2" t="s">
        <v>424</v>
      </c>
      <c r="H1649" s="2" t="s">
        <v>2553</v>
      </c>
      <c r="I1649" s="37" t="s">
        <v>42</v>
      </c>
      <c r="J1649" s="31">
        <v>45735</v>
      </c>
      <c r="K1649" s="31">
        <v>45735</v>
      </c>
      <c r="L1649" s="31"/>
      <c r="M1649" s="31"/>
      <c r="N1649" s="31"/>
      <c r="O1649" s="2" t="s">
        <v>425</v>
      </c>
    </row>
    <row r="1650" spans="1:15">
      <c r="A1650" s="3">
        <f t="shared" si="26"/>
        <v>1649</v>
      </c>
      <c r="B1650" s="65" t="s">
        <v>2809</v>
      </c>
      <c r="C1650" s="1">
        <v>6301564193</v>
      </c>
      <c r="D1650" s="6"/>
      <c r="E1650" s="3" t="s">
        <v>75</v>
      </c>
      <c r="F1650" s="65" t="s">
        <v>310</v>
      </c>
      <c r="G1650" s="2" t="s">
        <v>16</v>
      </c>
      <c r="H1650" s="2" t="s">
        <v>2810</v>
      </c>
      <c r="I1650" s="37" t="s">
        <v>42</v>
      </c>
      <c r="J1650" s="31">
        <v>45735</v>
      </c>
      <c r="K1650" s="31">
        <v>45742</v>
      </c>
      <c r="L1650" s="31">
        <v>45743</v>
      </c>
      <c r="M1650" s="31">
        <v>45776</v>
      </c>
      <c r="N1650" s="31">
        <v>45776</v>
      </c>
      <c r="O1650" s="2" t="s">
        <v>297</v>
      </c>
    </row>
    <row r="1651" spans="1:15">
      <c r="A1651" s="3">
        <f t="shared" ref="A1651:A1714" si="27">ROW()-1</f>
        <v>1650</v>
      </c>
      <c r="B1651" s="115" t="s">
        <v>2811</v>
      </c>
      <c r="C1651" s="1">
        <v>9381612088</v>
      </c>
      <c r="D1651" s="6">
        <v>9701242030</v>
      </c>
      <c r="E1651" s="3" t="s">
        <v>72</v>
      </c>
      <c r="F1651" s="65" t="s">
        <v>2812</v>
      </c>
      <c r="G1651" s="2" t="s">
        <v>16</v>
      </c>
      <c r="H1651" s="2" t="s">
        <v>2810</v>
      </c>
      <c r="I1651" s="37" t="s">
        <v>42</v>
      </c>
      <c r="J1651" s="31">
        <v>45735</v>
      </c>
      <c r="K1651" s="31">
        <v>45742</v>
      </c>
      <c r="L1651" s="31">
        <v>45748</v>
      </c>
      <c r="M1651" s="31">
        <v>45789</v>
      </c>
      <c r="N1651" s="31">
        <v>45789</v>
      </c>
      <c r="O1651" s="2" t="s">
        <v>297</v>
      </c>
    </row>
    <row r="1652" spans="1:15">
      <c r="A1652" s="3">
        <f t="shared" si="27"/>
        <v>1651</v>
      </c>
      <c r="B1652" s="65" t="s">
        <v>2813</v>
      </c>
      <c r="C1652" s="1">
        <v>9985199232</v>
      </c>
      <c r="D1652" s="6">
        <v>7975290139</v>
      </c>
      <c r="E1652" s="3" t="s">
        <v>67</v>
      </c>
      <c r="F1652" s="65" t="s">
        <v>751</v>
      </c>
      <c r="G1652" s="2" t="s">
        <v>16</v>
      </c>
      <c r="H1652" s="2" t="s">
        <v>2810</v>
      </c>
      <c r="I1652" s="37" t="s">
        <v>42</v>
      </c>
      <c r="J1652" s="31">
        <v>45735</v>
      </c>
      <c r="K1652" s="31">
        <v>45742</v>
      </c>
      <c r="L1652" s="31">
        <v>45743</v>
      </c>
      <c r="M1652" s="31">
        <v>45793</v>
      </c>
      <c r="N1652" s="31">
        <v>45783</v>
      </c>
      <c r="O1652" s="2" t="s">
        <v>297</v>
      </c>
    </row>
    <row r="1653" spans="1:15">
      <c r="A1653" s="3">
        <f t="shared" si="27"/>
        <v>1652</v>
      </c>
      <c r="B1653" s="114" t="s">
        <v>2814</v>
      </c>
      <c r="C1653" s="1">
        <v>9441496446</v>
      </c>
      <c r="D1653" s="6">
        <v>6301286941</v>
      </c>
      <c r="E1653" s="3" t="s">
        <v>79</v>
      </c>
      <c r="F1653" s="65" t="s">
        <v>1312</v>
      </c>
      <c r="G1653" s="2" t="s">
        <v>16</v>
      </c>
      <c r="H1653" s="2" t="s">
        <v>2810</v>
      </c>
      <c r="I1653" s="37" t="s">
        <v>42</v>
      </c>
      <c r="J1653" s="31">
        <v>45735</v>
      </c>
      <c r="K1653" s="31">
        <v>45742</v>
      </c>
      <c r="L1653" s="31">
        <v>45751</v>
      </c>
      <c r="M1653" s="31">
        <v>45763</v>
      </c>
      <c r="N1653" s="31">
        <v>45763</v>
      </c>
      <c r="O1653" s="2" t="s">
        <v>297</v>
      </c>
    </row>
    <row r="1654" spans="1:15">
      <c r="A1654" s="3">
        <f t="shared" si="27"/>
        <v>1653</v>
      </c>
      <c r="B1654" s="65" t="s">
        <v>2815</v>
      </c>
      <c r="C1654" s="1">
        <v>9111094777</v>
      </c>
      <c r="D1654" s="6"/>
      <c r="E1654" s="3" t="s">
        <v>72</v>
      </c>
      <c r="F1654" s="65" t="s">
        <v>333</v>
      </c>
      <c r="G1654" s="2" t="s">
        <v>424</v>
      </c>
      <c r="H1654" s="2" t="s">
        <v>2810</v>
      </c>
      <c r="I1654" s="37" t="s">
        <v>42</v>
      </c>
      <c r="J1654" s="31">
        <v>45735</v>
      </c>
      <c r="K1654" s="31">
        <v>45742</v>
      </c>
      <c r="L1654" s="31"/>
      <c r="M1654" s="31"/>
      <c r="N1654" s="31"/>
      <c r="O1654" s="2" t="s">
        <v>425</v>
      </c>
    </row>
    <row r="1655" spans="1:15">
      <c r="A1655" s="3">
        <f t="shared" si="27"/>
        <v>1654</v>
      </c>
      <c r="B1655" s="65" t="s">
        <v>2816</v>
      </c>
      <c r="C1655" s="1">
        <v>8367346763</v>
      </c>
      <c r="D1655" s="6"/>
      <c r="E1655" s="3" t="s">
        <v>151</v>
      </c>
      <c r="F1655" s="65" t="s">
        <v>2817</v>
      </c>
      <c r="G1655" s="2" t="s">
        <v>424</v>
      </c>
      <c r="H1655" s="2" t="s">
        <v>2553</v>
      </c>
      <c r="I1655" s="37" t="s">
        <v>42</v>
      </c>
      <c r="J1655" s="31">
        <v>45735</v>
      </c>
      <c r="K1655" s="31">
        <v>45735</v>
      </c>
      <c r="L1655" s="31"/>
      <c r="M1655" s="31"/>
      <c r="N1655" s="31"/>
      <c r="O1655" s="2" t="s">
        <v>425</v>
      </c>
    </row>
    <row r="1656" spans="1:15">
      <c r="A1656" s="3">
        <f t="shared" si="27"/>
        <v>1655</v>
      </c>
      <c r="B1656" s="65" t="s">
        <v>2818</v>
      </c>
      <c r="C1656" s="1">
        <v>7904353219</v>
      </c>
      <c r="D1656" s="6"/>
      <c r="E1656" s="3" t="s">
        <v>56</v>
      </c>
      <c r="F1656" s="65" t="s">
        <v>2819</v>
      </c>
      <c r="G1656" s="2" t="s">
        <v>764</v>
      </c>
      <c r="H1656" s="2" t="s">
        <v>660</v>
      </c>
      <c r="I1656" s="37" t="s">
        <v>42</v>
      </c>
      <c r="J1656" s="31">
        <v>45735</v>
      </c>
      <c r="K1656" s="31">
        <v>45745</v>
      </c>
      <c r="L1656" s="31"/>
      <c r="M1656" s="31"/>
      <c r="N1656" s="31"/>
      <c r="O1656" s="2" t="s">
        <v>425</v>
      </c>
    </row>
    <row r="1657" spans="1:15">
      <c r="A1657" s="3">
        <f t="shared" si="27"/>
        <v>1656</v>
      </c>
      <c r="B1657" s="65" t="s">
        <v>2820</v>
      </c>
      <c r="C1657" s="1">
        <v>8008051359</v>
      </c>
      <c r="D1657" s="6"/>
      <c r="E1657" s="6" t="s">
        <v>2821</v>
      </c>
      <c r="F1657" s="65" t="s">
        <v>972</v>
      </c>
      <c r="G1657" s="3" t="s">
        <v>16</v>
      </c>
      <c r="H1657" s="2" t="s">
        <v>660</v>
      </c>
      <c r="I1657" s="37" t="s">
        <v>42</v>
      </c>
      <c r="J1657" s="31">
        <v>45735</v>
      </c>
      <c r="K1657" s="31">
        <v>45922</v>
      </c>
      <c r="L1657" s="31">
        <v>45925</v>
      </c>
      <c r="M1657" s="31">
        <v>45934</v>
      </c>
      <c r="N1657" s="31">
        <v>45930</v>
      </c>
      <c r="O1657" s="2" t="s">
        <v>297</v>
      </c>
    </row>
    <row r="1658" spans="1:15">
      <c r="A1658" s="3">
        <f t="shared" si="27"/>
        <v>1657</v>
      </c>
      <c r="B1658" s="65" t="s">
        <v>2822</v>
      </c>
      <c r="C1658" s="1">
        <v>9666899995</v>
      </c>
      <c r="D1658" s="6"/>
      <c r="E1658" s="3" t="s">
        <v>59</v>
      </c>
      <c r="F1658" s="65" t="s">
        <v>2823</v>
      </c>
      <c r="G1658" s="2" t="s">
        <v>424</v>
      </c>
      <c r="H1658" s="2" t="s">
        <v>660</v>
      </c>
      <c r="I1658" s="37" t="s">
        <v>42</v>
      </c>
      <c r="J1658" s="31">
        <v>45735</v>
      </c>
      <c r="K1658" s="31">
        <v>45745</v>
      </c>
      <c r="L1658" s="31"/>
      <c r="M1658" s="31"/>
      <c r="N1658" s="31"/>
      <c r="O1658" s="2" t="s">
        <v>425</v>
      </c>
    </row>
    <row r="1659" spans="1:15">
      <c r="A1659" s="3">
        <f t="shared" si="27"/>
        <v>1658</v>
      </c>
      <c r="B1659" s="65" t="s">
        <v>2824</v>
      </c>
      <c r="C1659" s="1">
        <v>9396238723</v>
      </c>
      <c r="D1659" s="6"/>
      <c r="E1659" s="3" t="s">
        <v>2825</v>
      </c>
      <c r="F1659" s="65" t="s">
        <v>2826</v>
      </c>
      <c r="G1659" s="2" t="s">
        <v>16</v>
      </c>
      <c r="H1659" s="2" t="s">
        <v>660</v>
      </c>
      <c r="I1659" s="37" t="s">
        <v>42</v>
      </c>
      <c r="J1659" s="31">
        <v>45735</v>
      </c>
      <c r="K1659" s="31">
        <v>45737</v>
      </c>
      <c r="L1659" s="31">
        <v>45758</v>
      </c>
      <c r="M1659" s="31">
        <v>45777</v>
      </c>
      <c r="N1659" s="31">
        <v>45778</v>
      </c>
      <c r="O1659" s="2" t="s">
        <v>297</v>
      </c>
    </row>
    <row r="1660" spans="1:15">
      <c r="A1660" s="3">
        <f t="shared" si="27"/>
        <v>1659</v>
      </c>
      <c r="B1660" s="65" t="s">
        <v>2827</v>
      </c>
      <c r="C1660" s="1">
        <v>8080383702</v>
      </c>
      <c r="D1660" s="6">
        <v>8455815430</v>
      </c>
      <c r="E1660" s="3" t="s">
        <v>52</v>
      </c>
      <c r="F1660" s="65" t="s">
        <v>2828</v>
      </c>
      <c r="G1660" s="2" t="s">
        <v>424</v>
      </c>
      <c r="H1660" s="2" t="s">
        <v>660</v>
      </c>
      <c r="I1660" s="37" t="s">
        <v>42</v>
      </c>
      <c r="J1660" s="31">
        <v>45735</v>
      </c>
      <c r="K1660" s="31">
        <v>45745</v>
      </c>
      <c r="L1660" s="31"/>
      <c r="M1660" s="31"/>
      <c r="N1660" s="31"/>
      <c r="O1660" s="2" t="s">
        <v>425</v>
      </c>
    </row>
    <row r="1661" spans="1:15">
      <c r="A1661" s="3">
        <f t="shared" si="27"/>
        <v>1660</v>
      </c>
      <c r="B1661" s="65" t="s">
        <v>2829</v>
      </c>
      <c r="C1661" s="1">
        <v>7997683302</v>
      </c>
      <c r="D1661" s="6"/>
      <c r="E1661" s="3" t="s">
        <v>52</v>
      </c>
      <c r="F1661" s="65" t="s">
        <v>972</v>
      </c>
      <c r="G1661" s="2" t="s">
        <v>416</v>
      </c>
      <c r="H1661" s="2" t="s">
        <v>660</v>
      </c>
      <c r="I1661" s="37" t="s">
        <v>42</v>
      </c>
      <c r="J1661" s="31">
        <v>45735</v>
      </c>
      <c r="K1661" s="31">
        <v>45745</v>
      </c>
      <c r="L1661" s="31"/>
      <c r="M1661" s="31"/>
      <c r="N1661" s="31"/>
      <c r="O1661" s="2" t="s">
        <v>297</v>
      </c>
    </row>
    <row r="1662" spans="1:15">
      <c r="A1662" s="3">
        <f t="shared" si="27"/>
        <v>1661</v>
      </c>
      <c r="B1662" s="65" t="s">
        <v>2830</v>
      </c>
      <c r="C1662" s="1">
        <v>9959656573</v>
      </c>
      <c r="D1662" s="6"/>
      <c r="E1662" s="3" t="s">
        <v>52</v>
      </c>
      <c r="F1662" s="65" t="s">
        <v>2831</v>
      </c>
      <c r="G1662" s="2" t="s">
        <v>18</v>
      </c>
      <c r="H1662" s="2" t="s">
        <v>660</v>
      </c>
      <c r="I1662" s="37" t="s">
        <v>42</v>
      </c>
      <c r="J1662" s="31">
        <v>45735</v>
      </c>
      <c r="K1662" s="31"/>
      <c r="L1662" s="31"/>
      <c r="M1662" s="31"/>
      <c r="N1662" s="31"/>
      <c r="O1662" s="2" t="s">
        <v>1004</v>
      </c>
    </row>
    <row r="1663" spans="1:15">
      <c r="A1663" s="3">
        <f t="shared" si="27"/>
        <v>1662</v>
      </c>
      <c r="B1663" s="65" t="s">
        <v>2832</v>
      </c>
      <c r="C1663" s="1">
        <v>9632559889</v>
      </c>
      <c r="D1663" s="6">
        <v>8825329935</v>
      </c>
      <c r="E1663" s="3" t="s">
        <v>56</v>
      </c>
      <c r="F1663" s="65" t="s">
        <v>1663</v>
      </c>
      <c r="G1663" s="2" t="s">
        <v>764</v>
      </c>
      <c r="H1663" s="2" t="s">
        <v>660</v>
      </c>
      <c r="I1663" s="37" t="s">
        <v>42</v>
      </c>
      <c r="J1663" s="31">
        <v>45735</v>
      </c>
      <c r="K1663" s="31">
        <v>45737</v>
      </c>
      <c r="L1663" s="31"/>
      <c r="M1663" s="31"/>
      <c r="N1663" s="31"/>
      <c r="O1663" s="2" t="s">
        <v>425</v>
      </c>
    </row>
    <row r="1664" spans="1:15">
      <c r="A1664" s="3">
        <f t="shared" si="27"/>
        <v>1663</v>
      </c>
      <c r="B1664" s="65" t="s">
        <v>2833</v>
      </c>
      <c r="C1664" s="1">
        <v>9949797522</v>
      </c>
      <c r="D1664" s="6"/>
      <c r="E1664" s="3" t="s">
        <v>59</v>
      </c>
      <c r="F1664" s="65" t="s">
        <v>2834</v>
      </c>
      <c r="G1664" s="2" t="s">
        <v>764</v>
      </c>
      <c r="H1664" s="2" t="s">
        <v>660</v>
      </c>
      <c r="I1664" s="37" t="s">
        <v>42</v>
      </c>
      <c r="J1664" s="31">
        <v>45735</v>
      </c>
      <c r="K1664" s="31">
        <v>45745</v>
      </c>
      <c r="L1664" s="31"/>
      <c r="M1664" s="31"/>
      <c r="N1664" s="31"/>
      <c r="O1664" s="2" t="s">
        <v>425</v>
      </c>
    </row>
    <row r="1665" spans="1:15">
      <c r="A1665" s="3">
        <f t="shared" si="27"/>
        <v>1664</v>
      </c>
      <c r="B1665" s="65" t="s">
        <v>2835</v>
      </c>
      <c r="C1665" s="1">
        <v>7989809650</v>
      </c>
      <c r="D1665" s="6"/>
      <c r="E1665" s="3" t="s">
        <v>127</v>
      </c>
      <c r="F1665" s="65" t="s">
        <v>792</v>
      </c>
      <c r="G1665" s="2" t="s">
        <v>424</v>
      </c>
      <c r="H1665" s="2" t="s">
        <v>788</v>
      </c>
      <c r="I1665" s="37" t="s">
        <v>42</v>
      </c>
      <c r="J1665" s="31">
        <v>45735</v>
      </c>
      <c r="K1665" s="31">
        <v>45743</v>
      </c>
      <c r="L1665" s="31"/>
      <c r="M1665" s="31"/>
      <c r="N1665" s="31"/>
      <c r="O1665" s="2" t="s">
        <v>425</v>
      </c>
    </row>
    <row r="1666" spans="1:15">
      <c r="A1666" s="3">
        <f t="shared" si="27"/>
        <v>1665</v>
      </c>
      <c r="B1666" s="65" t="s">
        <v>2836</v>
      </c>
      <c r="C1666" s="1">
        <v>8096187074</v>
      </c>
      <c r="D1666" s="6"/>
      <c r="E1666" s="3" t="s">
        <v>127</v>
      </c>
      <c r="F1666" s="65" t="s">
        <v>2837</v>
      </c>
      <c r="G1666" s="2" t="s">
        <v>16</v>
      </c>
      <c r="H1666" s="2" t="s">
        <v>788</v>
      </c>
      <c r="I1666" s="37" t="s">
        <v>42</v>
      </c>
      <c r="J1666" s="31">
        <v>45735</v>
      </c>
      <c r="K1666" s="31">
        <v>45743</v>
      </c>
      <c r="L1666" s="31">
        <v>45744</v>
      </c>
      <c r="M1666" s="31">
        <v>45775</v>
      </c>
      <c r="N1666" s="31">
        <v>45777</v>
      </c>
      <c r="O1666" s="2" t="s">
        <v>297</v>
      </c>
    </row>
    <row r="1667" spans="1:15">
      <c r="A1667" s="3">
        <f t="shared" si="27"/>
        <v>1666</v>
      </c>
      <c r="B1667" s="65" t="s">
        <v>2838</v>
      </c>
      <c r="C1667" s="1">
        <v>7063204986</v>
      </c>
      <c r="D1667" s="6">
        <v>9883826475</v>
      </c>
      <c r="E1667" s="3" t="s">
        <v>90</v>
      </c>
      <c r="F1667" s="65" t="s">
        <v>294</v>
      </c>
      <c r="G1667" s="2" t="s">
        <v>424</v>
      </c>
      <c r="H1667" s="2" t="s">
        <v>1436</v>
      </c>
      <c r="I1667" s="37" t="s">
        <v>42</v>
      </c>
      <c r="J1667" s="31">
        <v>45735</v>
      </c>
      <c r="K1667" s="31">
        <v>45737</v>
      </c>
      <c r="L1667" s="31"/>
      <c r="M1667" s="31"/>
      <c r="N1667" s="31"/>
      <c r="O1667" s="2" t="s">
        <v>425</v>
      </c>
    </row>
    <row r="1668" spans="1:15">
      <c r="A1668" s="3">
        <f t="shared" si="27"/>
        <v>1667</v>
      </c>
      <c r="B1668" s="65" t="s">
        <v>2839</v>
      </c>
      <c r="C1668" s="1">
        <v>9405489425</v>
      </c>
      <c r="D1668" s="6">
        <v>8928510605</v>
      </c>
      <c r="E1668" s="3" t="s">
        <v>90</v>
      </c>
      <c r="F1668" s="65" t="s">
        <v>294</v>
      </c>
      <c r="G1668" s="2" t="s">
        <v>295</v>
      </c>
      <c r="H1668" s="2" t="s">
        <v>1436</v>
      </c>
      <c r="I1668" s="37" t="s">
        <v>42</v>
      </c>
      <c r="J1668" s="31">
        <v>45735</v>
      </c>
      <c r="K1668" s="31">
        <v>45737</v>
      </c>
      <c r="L1668" s="31">
        <v>45751</v>
      </c>
      <c r="M1668" s="31">
        <v>45795</v>
      </c>
      <c r="N1668" s="31"/>
      <c r="O1668" s="2" t="s">
        <v>297</v>
      </c>
    </row>
    <row r="1669" spans="1:15">
      <c r="A1669" s="3">
        <f t="shared" si="27"/>
        <v>1668</v>
      </c>
      <c r="B1669" s="65" t="s">
        <v>2840</v>
      </c>
      <c r="C1669" s="1">
        <v>8099881994</v>
      </c>
      <c r="D1669" s="6"/>
      <c r="E1669" s="3" t="s">
        <v>90</v>
      </c>
      <c r="F1669" s="65" t="s">
        <v>277</v>
      </c>
      <c r="G1669" s="2" t="s">
        <v>16</v>
      </c>
      <c r="H1669" s="2" t="s">
        <v>1436</v>
      </c>
      <c r="I1669" s="37" t="s">
        <v>42</v>
      </c>
      <c r="J1669" s="31">
        <v>45735</v>
      </c>
      <c r="K1669" s="31">
        <v>45751</v>
      </c>
      <c r="L1669" s="31">
        <v>45758</v>
      </c>
      <c r="M1669" s="31">
        <v>45765</v>
      </c>
      <c r="N1669" s="31">
        <v>45765</v>
      </c>
      <c r="O1669" s="2" t="s">
        <v>297</v>
      </c>
    </row>
    <row r="1670" spans="1:15">
      <c r="A1670" s="3">
        <f t="shared" si="27"/>
        <v>1669</v>
      </c>
      <c r="B1670" s="65" t="s">
        <v>2841</v>
      </c>
      <c r="C1670" s="1">
        <v>9743177738</v>
      </c>
      <c r="D1670" s="6"/>
      <c r="E1670" s="3" t="s">
        <v>67</v>
      </c>
      <c r="F1670" s="65" t="s">
        <v>2442</v>
      </c>
      <c r="G1670" s="2" t="s">
        <v>16</v>
      </c>
      <c r="H1670" s="2" t="s">
        <v>1436</v>
      </c>
      <c r="I1670" s="37" t="s">
        <v>42</v>
      </c>
      <c r="J1670" s="31">
        <v>45735</v>
      </c>
      <c r="K1670" s="31">
        <v>45751</v>
      </c>
      <c r="L1670" s="31">
        <v>45758</v>
      </c>
      <c r="M1670" s="31">
        <v>45778</v>
      </c>
      <c r="N1670" s="31">
        <v>45778</v>
      </c>
      <c r="O1670" s="2" t="s">
        <v>297</v>
      </c>
    </row>
    <row r="1671" spans="1:15">
      <c r="A1671" s="3">
        <f t="shared" si="27"/>
        <v>1670</v>
      </c>
      <c r="B1671" s="65" t="s">
        <v>1927</v>
      </c>
      <c r="C1671" s="1">
        <v>7355160662</v>
      </c>
      <c r="D1671" s="6"/>
      <c r="E1671" s="3" t="s">
        <v>72</v>
      </c>
      <c r="F1671" s="65" t="s">
        <v>2842</v>
      </c>
      <c r="G1671" s="2" t="s">
        <v>764</v>
      </c>
      <c r="H1671" s="2" t="s">
        <v>1436</v>
      </c>
      <c r="I1671" s="37" t="s">
        <v>42</v>
      </c>
      <c r="J1671" s="31">
        <v>45735</v>
      </c>
      <c r="K1671" s="31">
        <v>45751</v>
      </c>
      <c r="L1671" s="31"/>
      <c r="M1671" s="31"/>
      <c r="N1671" s="31"/>
      <c r="O1671" s="2" t="s">
        <v>425</v>
      </c>
    </row>
    <row r="1672" spans="1:15">
      <c r="A1672" s="3">
        <f t="shared" si="27"/>
        <v>1671</v>
      </c>
      <c r="B1672" s="65" t="s">
        <v>2843</v>
      </c>
      <c r="C1672" s="1">
        <v>8688618842</v>
      </c>
      <c r="D1672" s="6"/>
      <c r="E1672" s="3" t="s">
        <v>72</v>
      </c>
      <c r="F1672" s="65" t="s">
        <v>2844</v>
      </c>
      <c r="G1672" s="2" t="s">
        <v>424</v>
      </c>
      <c r="H1672" s="2" t="s">
        <v>1436</v>
      </c>
      <c r="I1672" s="37" t="s">
        <v>42</v>
      </c>
      <c r="J1672" s="31">
        <v>45735</v>
      </c>
      <c r="K1672" s="31">
        <v>45751</v>
      </c>
      <c r="L1672" s="31"/>
      <c r="M1672" s="31"/>
      <c r="N1672" s="31"/>
      <c r="O1672" s="2" t="s">
        <v>749</v>
      </c>
    </row>
    <row r="1673" spans="1:15">
      <c r="A1673" s="3">
        <f t="shared" si="27"/>
        <v>1672</v>
      </c>
      <c r="B1673" s="65" t="s">
        <v>2845</v>
      </c>
      <c r="C1673" s="1">
        <v>9937566474</v>
      </c>
      <c r="D1673" s="6"/>
      <c r="E1673" s="3" t="s">
        <v>75</v>
      </c>
      <c r="F1673" s="65" t="s">
        <v>2846</v>
      </c>
      <c r="G1673" s="2" t="s">
        <v>16</v>
      </c>
      <c r="H1673" s="2" t="s">
        <v>1436</v>
      </c>
      <c r="I1673" s="37" t="s">
        <v>42</v>
      </c>
      <c r="J1673" s="31">
        <v>45735</v>
      </c>
      <c r="K1673" s="31">
        <v>45751</v>
      </c>
      <c r="L1673" s="31">
        <v>45758</v>
      </c>
      <c r="M1673" s="31">
        <v>45788</v>
      </c>
      <c r="N1673" s="31">
        <v>45789</v>
      </c>
      <c r="O1673" s="2" t="s">
        <v>297</v>
      </c>
    </row>
    <row r="1674" spans="1:15">
      <c r="A1674" s="3">
        <f t="shared" si="27"/>
        <v>1673</v>
      </c>
      <c r="B1674" s="65" t="s">
        <v>2847</v>
      </c>
      <c r="C1674" s="1">
        <v>8247825068</v>
      </c>
      <c r="D1674" s="6"/>
      <c r="E1674" s="3" t="s">
        <v>75</v>
      </c>
      <c r="F1674" s="65" t="s">
        <v>2848</v>
      </c>
      <c r="G1674" s="2" t="s">
        <v>424</v>
      </c>
      <c r="H1674" s="2" t="s">
        <v>1436</v>
      </c>
      <c r="I1674" s="37" t="s">
        <v>42</v>
      </c>
      <c r="J1674" s="31">
        <v>45735</v>
      </c>
      <c r="K1674" s="31">
        <v>45751</v>
      </c>
      <c r="L1674" s="31"/>
      <c r="M1674" s="31"/>
      <c r="N1674" s="31"/>
      <c r="O1674" s="2" t="s">
        <v>425</v>
      </c>
    </row>
    <row r="1675" spans="1:15">
      <c r="A1675" s="3">
        <f t="shared" si="27"/>
        <v>1674</v>
      </c>
      <c r="B1675" s="65" t="s">
        <v>2849</v>
      </c>
      <c r="C1675" s="1">
        <v>9603645669</v>
      </c>
      <c r="D1675" s="6">
        <v>9963961991</v>
      </c>
      <c r="E1675" s="3" t="s">
        <v>138</v>
      </c>
      <c r="F1675" s="65" t="s">
        <v>2850</v>
      </c>
      <c r="G1675" s="2" t="s">
        <v>16</v>
      </c>
      <c r="H1675" s="2" t="s">
        <v>815</v>
      </c>
      <c r="I1675" s="37" t="s">
        <v>42</v>
      </c>
      <c r="J1675" s="31">
        <v>45735</v>
      </c>
      <c r="K1675" s="31">
        <v>45737</v>
      </c>
      <c r="L1675" s="31">
        <v>45741</v>
      </c>
      <c r="M1675" s="31">
        <v>45782</v>
      </c>
      <c r="N1675" s="31">
        <v>45782</v>
      </c>
      <c r="O1675" s="2" t="s">
        <v>297</v>
      </c>
    </row>
    <row r="1676" spans="1:15">
      <c r="A1676" s="3">
        <f t="shared" si="27"/>
        <v>1675</v>
      </c>
      <c r="B1676" s="65" t="s">
        <v>2851</v>
      </c>
      <c r="C1676" s="1">
        <v>9440053420</v>
      </c>
      <c r="D1676" s="6"/>
      <c r="E1676" s="3" t="s">
        <v>135</v>
      </c>
      <c r="F1676" s="65" t="s">
        <v>2852</v>
      </c>
      <c r="G1676" s="2" t="s">
        <v>764</v>
      </c>
      <c r="H1676" s="2" t="s">
        <v>815</v>
      </c>
      <c r="I1676" s="37" t="s">
        <v>42</v>
      </c>
      <c r="J1676" s="31">
        <v>45735</v>
      </c>
      <c r="K1676" s="31">
        <v>45737</v>
      </c>
      <c r="L1676" s="31"/>
      <c r="M1676" s="31"/>
      <c r="N1676" s="31"/>
      <c r="O1676" s="2" t="s">
        <v>425</v>
      </c>
    </row>
    <row r="1677" spans="1:15">
      <c r="A1677" s="3">
        <f t="shared" si="27"/>
        <v>1676</v>
      </c>
      <c r="B1677" s="65" t="s">
        <v>2853</v>
      </c>
      <c r="C1677" s="1">
        <v>8106151738</v>
      </c>
      <c r="D1677" s="6"/>
      <c r="E1677" s="17" t="s">
        <v>2854</v>
      </c>
      <c r="F1677" s="65" t="s">
        <v>2855</v>
      </c>
      <c r="G1677" s="2" t="s">
        <v>416</v>
      </c>
      <c r="H1677" s="2" t="s">
        <v>815</v>
      </c>
      <c r="I1677" s="37" t="s">
        <v>42</v>
      </c>
      <c r="J1677" s="31">
        <v>45735</v>
      </c>
      <c r="K1677" s="31">
        <v>45737</v>
      </c>
      <c r="L1677" s="31"/>
      <c r="M1677" s="31"/>
      <c r="N1677" s="31"/>
      <c r="O1677" s="2" t="s">
        <v>297</v>
      </c>
    </row>
    <row r="1678" spans="1:15">
      <c r="A1678" s="3">
        <f t="shared" si="27"/>
        <v>1677</v>
      </c>
      <c r="B1678" s="65" t="s">
        <v>2856</v>
      </c>
      <c r="C1678" s="1">
        <v>6304443593</v>
      </c>
      <c r="D1678" s="6"/>
      <c r="E1678" s="3" t="s">
        <v>141</v>
      </c>
      <c r="F1678" s="65" t="s">
        <v>1555</v>
      </c>
      <c r="G1678" s="2" t="s">
        <v>295</v>
      </c>
      <c r="H1678" s="2" t="s">
        <v>815</v>
      </c>
      <c r="I1678" s="37" t="s">
        <v>42</v>
      </c>
      <c r="J1678" s="31">
        <v>45735</v>
      </c>
      <c r="K1678" s="31">
        <v>45737</v>
      </c>
      <c r="L1678" s="31">
        <v>45743</v>
      </c>
      <c r="M1678" s="31">
        <v>45751</v>
      </c>
      <c r="N1678" s="31"/>
      <c r="O1678" s="2" t="s">
        <v>297</v>
      </c>
    </row>
    <row r="1679" spans="1:15">
      <c r="A1679" s="3">
        <f t="shared" si="27"/>
        <v>1678</v>
      </c>
      <c r="B1679" s="65" t="s">
        <v>2857</v>
      </c>
      <c r="C1679" s="1">
        <v>7330950253</v>
      </c>
      <c r="D1679" s="6">
        <v>9966229259</v>
      </c>
      <c r="E1679" s="17" t="s">
        <v>2858</v>
      </c>
      <c r="F1679" s="65"/>
      <c r="G1679" s="2" t="s">
        <v>16</v>
      </c>
      <c r="H1679" s="2" t="s">
        <v>815</v>
      </c>
      <c r="I1679" s="37" t="s">
        <v>88</v>
      </c>
      <c r="J1679" s="31">
        <v>45735</v>
      </c>
      <c r="K1679" s="31">
        <v>45747</v>
      </c>
      <c r="L1679" s="31">
        <v>45751</v>
      </c>
      <c r="M1679" s="31">
        <v>45792</v>
      </c>
      <c r="N1679" s="31">
        <v>45792</v>
      </c>
      <c r="O1679" s="2" t="s">
        <v>297</v>
      </c>
    </row>
    <row r="1680" spans="1:15">
      <c r="A1680" s="3">
        <f t="shared" si="27"/>
        <v>1679</v>
      </c>
      <c r="B1680" s="65" t="s">
        <v>2859</v>
      </c>
      <c r="C1680" s="1">
        <v>9154240022</v>
      </c>
      <c r="D1680" s="6">
        <v>9705505581</v>
      </c>
      <c r="E1680" s="3" t="s">
        <v>135</v>
      </c>
      <c r="F1680" s="65" t="s">
        <v>1765</v>
      </c>
      <c r="G1680" s="2" t="s">
        <v>16</v>
      </c>
      <c r="H1680" s="2" t="s">
        <v>815</v>
      </c>
      <c r="I1680" s="37" t="s">
        <v>42</v>
      </c>
      <c r="J1680" s="31">
        <v>45735</v>
      </c>
      <c r="K1680" s="31">
        <v>45737</v>
      </c>
      <c r="L1680" s="31">
        <v>45749</v>
      </c>
      <c r="M1680" s="31">
        <v>45778</v>
      </c>
      <c r="N1680" s="31">
        <v>45771</v>
      </c>
      <c r="O1680" s="2" t="s">
        <v>297</v>
      </c>
    </row>
    <row r="1681" spans="1:15">
      <c r="A1681" s="3">
        <f t="shared" si="27"/>
        <v>1680</v>
      </c>
      <c r="B1681" s="65" t="s">
        <v>2860</v>
      </c>
      <c r="C1681" s="1">
        <v>6305769785</v>
      </c>
      <c r="D1681" s="6"/>
      <c r="E1681" s="36" t="s">
        <v>2427</v>
      </c>
      <c r="F1681" s="65" t="s">
        <v>2861</v>
      </c>
      <c r="G1681" s="2" t="s">
        <v>424</v>
      </c>
      <c r="H1681" s="2" t="s">
        <v>162</v>
      </c>
      <c r="I1681" s="37" t="s">
        <v>2862</v>
      </c>
      <c r="J1681" s="31">
        <v>45735</v>
      </c>
      <c r="K1681" s="31">
        <v>45736</v>
      </c>
      <c r="L1681" s="31"/>
      <c r="M1681" s="31"/>
      <c r="N1681" s="31"/>
      <c r="O1681" s="2" t="s">
        <v>425</v>
      </c>
    </row>
    <row r="1682" spans="1:15">
      <c r="A1682" s="3">
        <f t="shared" si="27"/>
        <v>1681</v>
      </c>
      <c r="B1682" s="65" t="s">
        <v>2863</v>
      </c>
      <c r="C1682" s="1">
        <v>7036996319</v>
      </c>
      <c r="D1682" s="6"/>
      <c r="E1682" s="14" t="s">
        <v>170</v>
      </c>
      <c r="F1682" s="65" t="s">
        <v>2482</v>
      </c>
      <c r="G1682" s="2" t="s">
        <v>424</v>
      </c>
      <c r="H1682" s="2" t="s">
        <v>162</v>
      </c>
      <c r="I1682" s="37" t="s">
        <v>42</v>
      </c>
      <c r="J1682" s="31">
        <v>45735</v>
      </c>
      <c r="K1682" s="31">
        <v>45736</v>
      </c>
      <c r="L1682" s="31"/>
      <c r="M1682" s="31"/>
      <c r="N1682" s="31"/>
      <c r="O1682" s="2" t="s">
        <v>425</v>
      </c>
    </row>
    <row r="1683" spans="1:15">
      <c r="A1683" s="3">
        <f t="shared" si="27"/>
        <v>1682</v>
      </c>
      <c r="B1683" s="65" t="s">
        <v>2864</v>
      </c>
      <c r="C1683" s="1">
        <v>8121458650</v>
      </c>
      <c r="D1683" s="6"/>
      <c r="E1683" s="3" t="s">
        <v>79</v>
      </c>
      <c r="F1683" s="65" t="s">
        <v>2865</v>
      </c>
      <c r="G1683" s="2" t="s">
        <v>424</v>
      </c>
      <c r="H1683" s="2" t="s">
        <v>2810</v>
      </c>
      <c r="I1683" s="37" t="s">
        <v>42</v>
      </c>
      <c r="J1683" s="31">
        <v>45735</v>
      </c>
      <c r="K1683" s="31">
        <v>45742</v>
      </c>
      <c r="L1683" s="31"/>
      <c r="M1683" s="31"/>
      <c r="N1683" s="31"/>
      <c r="O1683" s="2" t="s">
        <v>425</v>
      </c>
    </row>
    <row r="1684" spans="1:15">
      <c r="A1684" s="3">
        <f t="shared" si="27"/>
        <v>1683</v>
      </c>
      <c r="B1684" s="65" t="s">
        <v>2866</v>
      </c>
      <c r="C1684" s="1">
        <v>9704646291</v>
      </c>
      <c r="D1684" s="6"/>
      <c r="E1684" s="3" t="s">
        <v>79</v>
      </c>
      <c r="F1684" s="65" t="s">
        <v>2865</v>
      </c>
      <c r="G1684" s="2" t="s">
        <v>424</v>
      </c>
      <c r="H1684" s="2" t="s">
        <v>2810</v>
      </c>
      <c r="I1684" s="37" t="s">
        <v>42</v>
      </c>
      <c r="J1684" s="31">
        <v>45735</v>
      </c>
      <c r="K1684" s="31">
        <v>45742</v>
      </c>
      <c r="L1684" s="31"/>
      <c r="M1684" s="31"/>
      <c r="N1684" s="31"/>
      <c r="O1684" s="2" t="s">
        <v>425</v>
      </c>
    </row>
    <row r="1685" spans="1:15">
      <c r="A1685" s="3">
        <f t="shared" si="27"/>
        <v>1684</v>
      </c>
      <c r="B1685" s="65" t="s">
        <v>2867</v>
      </c>
      <c r="C1685" s="1">
        <v>7674901324</v>
      </c>
      <c r="D1685" s="6"/>
      <c r="E1685" s="3" t="s">
        <v>79</v>
      </c>
      <c r="F1685" s="65" t="s">
        <v>2865</v>
      </c>
      <c r="G1685" s="2" t="s">
        <v>424</v>
      </c>
      <c r="H1685" s="2" t="s">
        <v>2810</v>
      </c>
      <c r="I1685" s="37" t="s">
        <v>42</v>
      </c>
      <c r="J1685" s="31">
        <v>45735</v>
      </c>
      <c r="K1685" s="31">
        <v>45742</v>
      </c>
      <c r="L1685" s="31"/>
      <c r="M1685" s="31"/>
      <c r="N1685" s="31"/>
      <c r="O1685" s="2" t="s">
        <v>425</v>
      </c>
    </row>
    <row r="1686" spans="1:15">
      <c r="A1686" s="3">
        <f t="shared" si="27"/>
        <v>1685</v>
      </c>
      <c r="B1686" s="65" t="s">
        <v>2868</v>
      </c>
      <c r="C1686" s="1">
        <v>9154920910</v>
      </c>
      <c r="D1686" s="57">
        <v>9912024151</v>
      </c>
      <c r="E1686" s="3" t="s">
        <v>72</v>
      </c>
      <c r="F1686" s="65" t="s">
        <v>333</v>
      </c>
      <c r="G1686" s="2" t="s">
        <v>16</v>
      </c>
      <c r="H1686" s="2" t="s">
        <v>2810</v>
      </c>
      <c r="I1686" s="37" t="s">
        <v>42</v>
      </c>
      <c r="J1686" s="31">
        <v>45735</v>
      </c>
      <c r="K1686" s="31">
        <v>45742</v>
      </c>
      <c r="L1686" s="31">
        <v>45765</v>
      </c>
      <c r="M1686" s="31">
        <v>45795</v>
      </c>
      <c r="N1686" s="31">
        <v>45803</v>
      </c>
      <c r="O1686" s="2" t="s">
        <v>297</v>
      </c>
    </row>
    <row r="1687" spans="1:15">
      <c r="A1687" s="3">
        <f t="shared" si="27"/>
        <v>1686</v>
      </c>
      <c r="B1687" s="65" t="s">
        <v>2869</v>
      </c>
      <c r="C1687" s="1">
        <v>8179717329</v>
      </c>
      <c r="D1687" s="6">
        <v>9553206303</v>
      </c>
      <c r="E1687" s="3" t="s">
        <v>72</v>
      </c>
      <c r="F1687" s="65" t="s">
        <v>333</v>
      </c>
      <c r="G1687" s="2" t="s">
        <v>424</v>
      </c>
      <c r="H1687" s="2" t="s">
        <v>2810</v>
      </c>
      <c r="I1687" s="37" t="s">
        <v>42</v>
      </c>
      <c r="J1687" s="31">
        <v>45735</v>
      </c>
      <c r="K1687" s="31">
        <v>45742</v>
      </c>
      <c r="L1687" s="31"/>
      <c r="M1687" s="31"/>
      <c r="N1687" s="31"/>
      <c r="O1687" s="2" t="s">
        <v>425</v>
      </c>
    </row>
    <row r="1688" spans="1:15">
      <c r="A1688" s="3">
        <f t="shared" si="27"/>
        <v>1687</v>
      </c>
      <c r="B1688" s="65" t="s">
        <v>2870</v>
      </c>
      <c r="C1688" s="1">
        <v>9777452774</v>
      </c>
      <c r="D1688" s="6">
        <v>9348498918</v>
      </c>
      <c r="E1688" s="3" t="s">
        <v>135</v>
      </c>
      <c r="F1688" s="65" t="s">
        <v>2871</v>
      </c>
      <c r="G1688" s="2" t="s">
        <v>424</v>
      </c>
      <c r="H1688" s="2" t="s">
        <v>815</v>
      </c>
      <c r="I1688" s="37" t="s">
        <v>42</v>
      </c>
      <c r="J1688" s="31">
        <v>45735</v>
      </c>
      <c r="K1688" s="31">
        <v>45748</v>
      </c>
      <c r="L1688" s="31"/>
      <c r="M1688" s="31"/>
      <c r="N1688" s="31"/>
      <c r="O1688" s="2" t="s">
        <v>749</v>
      </c>
    </row>
    <row r="1689" spans="1:15">
      <c r="A1689" s="3">
        <f t="shared" si="27"/>
        <v>1688</v>
      </c>
      <c r="B1689" s="65" t="s">
        <v>2872</v>
      </c>
      <c r="C1689" s="1">
        <v>9704936542</v>
      </c>
      <c r="D1689" s="6"/>
      <c r="E1689" s="3" t="s">
        <v>90</v>
      </c>
      <c r="F1689" s="65" t="s">
        <v>294</v>
      </c>
      <c r="G1689" s="2" t="s">
        <v>416</v>
      </c>
      <c r="H1689" s="2" t="s">
        <v>1436</v>
      </c>
      <c r="I1689" s="37" t="s">
        <v>42</v>
      </c>
      <c r="J1689" s="31">
        <v>45735</v>
      </c>
      <c r="K1689" s="31">
        <v>45737</v>
      </c>
      <c r="L1689" s="31"/>
      <c r="M1689" s="31"/>
      <c r="N1689" s="31"/>
      <c r="O1689" s="2" t="s">
        <v>297</v>
      </c>
    </row>
    <row r="1690" spans="1:15">
      <c r="A1690" s="3">
        <f t="shared" si="27"/>
        <v>1689</v>
      </c>
      <c r="B1690" s="65" t="s">
        <v>2873</v>
      </c>
      <c r="C1690" s="1">
        <v>7730975357</v>
      </c>
      <c r="D1690" s="6"/>
      <c r="E1690" s="3" t="s">
        <v>90</v>
      </c>
      <c r="F1690" s="65" t="s">
        <v>2874</v>
      </c>
      <c r="G1690" s="2" t="s">
        <v>416</v>
      </c>
      <c r="H1690" s="2" t="s">
        <v>1436</v>
      </c>
      <c r="I1690" s="37" t="s">
        <v>42</v>
      </c>
      <c r="J1690" s="31">
        <v>45735</v>
      </c>
      <c r="K1690" s="31">
        <v>45737</v>
      </c>
      <c r="L1690" s="31"/>
      <c r="M1690" s="31"/>
      <c r="N1690" s="31"/>
      <c r="O1690" s="2" t="s">
        <v>297</v>
      </c>
    </row>
    <row r="1691" spans="1:15">
      <c r="A1691" s="3">
        <f t="shared" si="27"/>
        <v>1690</v>
      </c>
      <c r="B1691" s="65" t="s">
        <v>2875</v>
      </c>
      <c r="C1691" s="1">
        <v>8927664451</v>
      </c>
      <c r="D1691" s="6"/>
      <c r="E1691" s="3" t="s">
        <v>90</v>
      </c>
      <c r="F1691" s="65" t="s">
        <v>2876</v>
      </c>
      <c r="G1691" s="2" t="s">
        <v>16</v>
      </c>
      <c r="H1691" s="2" t="s">
        <v>1436</v>
      </c>
      <c r="I1691" s="37" t="s">
        <v>42</v>
      </c>
      <c r="J1691" s="31">
        <v>45735</v>
      </c>
      <c r="K1691" s="31">
        <v>45737</v>
      </c>
      <c r="L1691" s="31">
        <v>45743</v>
      </c>
      <c r="M1691" s="31">
        <v>45782</v>
      </c>
      <c r="N1691" s="31">
        <v>45786</v>
      </c>
      <c r="O1691" s="2" t="s">
        <v>297</v>
      </c>
    </row>
    <row r="1692" spans="1:15">
      <c r="A1692" s="3">
        <f t="shared" si="27"/>
        <v>1691</v>
      </c>
      <c r="B1692" s="65" t="s">
        <v>2877</v>
      </c>
      <c r="C1692" s="1">
        <v>9550994494</v>
      </c>
      <c r="D1692" s="6"/>
      <c r="E1692" s="3" t="s">
        <v>90</v>
      </c>
      <c r="F1692" s="65" t="s">
        <v>2878</v>
      </c>
      <c r="G1692" s="2" t="s">
        <v>424</v>
      </c>
      <c r="H1692" s="2" t="s">
        <v>1436</v>
      </c>
      <c r="I1692" s="37" t="s">
        <v>42</v>
      </c>
      <c r="J1692" s="31">
        <v>45735</v>
      </c>
      <c r="K1692" s="31">
        <v>45751</v>
      </c>
      <c r="L1692" s="31"/>
      <c r="M1692" s="31"/>
      <c r="N1692" s="31"/>
      <c r="O1692" s="2" t="s">
        <v>425</v>
      </c>
    </row>
    <row r="1693" spans="1:15">
      <c r="A1693" s="3">
        <f t="shared" si="27"/>
        <v>1692</v>
      </c>
      <c r="B1693" s="65" t="s">
        <v>2879</v>
      </c>
      <c r="C1693" s="1">
        <v>8053335530</v>
      </c>
      <c r="D1693" s="6"/>
      <c r="E1693" s="3" t="s">
        <v>90</v>
      </c>
      <c r="F1693" s="65" t="s">
        <v>294</v>
      </c>
      <c r="G1693" s="2" t="s">
        <v>424</v>
      </c>
      <c r="H1693" s="3" t="s">
        <v>1432</v>
      </c>
      <c r="I1693" s="37" t="s">
        <v>42</v>
      </c>
      <c r="J1693" s="31">
        <v>45735</v>
      </c>
      <c r="K1693" s="31">
        <v>45737</v>
      </c>
      <c r="L1693" s="31"/>
      <c r="M1693" s="31"/>
      <c r="N1693" s="31"/>
      <c r="O1693" s="2" t="s">
        <v>425</v>
      </c>
    </row>
    <row r="1694" spans="1:15">
      <c r="A1694" s="3">
        <f t="shared" si="27"/>
        <v>1693</v>
      </c>
      <c r="B1694" s="65" t="s">
        <v>2880</v>
      </c>
      <c r="C1694" s="1">
        <v>9740072006</v>
      </c>
      <c r="D1694" s="6"/>
      <c r="E1694" s="17" t="s">
        <v>1635</v>
      </c>
      <c r="F1694" s="65" t="s">
        <v>333</v>
      </c>
      <c r="G1694" s="2" t="s">
        <v>424</v>
      </c>
      <c r="H1694" s="2" t="s">
        <v>1186</v>
      </c>
      <c r="I1694" s="37" t="s">
        <v>94</v>
      </c>
      <c r="J1694" s="31">
        <v>45731</v>
      </c>
      <c r="K1694" s="31">
        <v>45736</v>
      </c>
      <c r="L1694" s="31"/>
      <c r="M1694" s="31"/>
      <c r="N1694" s="31"/>
      <c r="O1694" s="2" t="s">
        <v>425</v>
      </c>
    </row>
    <row r="1695" spans="1:15">
      <c r="A1695" s="3">
        <f t="shared" si="27"/>
        <v>1694</v>
      </c>
      <c r="B1695" s="65" t="s">
        <v>2881</v>
      </c>
      <c r="C1695" s="1">
        <v>8978380385</v>
      </c>
      <c r="D1695" s="6"/>
      <c r="E1695" s="17" t="s">
        <v>1635</v>
      </c>
      <c r="F1695" s="65" t="s">
        <v>333</v>
      </c>
      <c r="G1695" s="2" t="s">
        <v>424</v>
      </c>
      <c r="H1695" s="2" t="s">
        <v>1186</v>
      </c>
      <c r="I1695" s="37" t="s">
        <v>94</v>
      </c>
      <c r="J1695" s="31">
        <v>45731</v>
      </c>
      <c r="K1695" s="31">
        <v>45735</v>
      </c>
      <c r="L1695" s="31"/>
      <c r="M1695" s="31"/>
      <c r="N1695" s="31"/>
      <c r="O1695" s="2" t="s">
        <v>425</v>
      </c>
    </row>
    <row r="1696" spans="1:15">
      <c r="A1696" s="3">
        <f t="shared" si="27"/>
        <v>1695</v>
      </c>
      <c r="B1696" s="65" t="s">
        <v>2882</v>
      </c>
      <c r="C1696" s="1">
        <v>9437272634</v>
      </c>
      <c r="D1696" s="6"/>
      <c r="E1696" s="17" t="s">
        <v>1624</v>
      </c>
      <c r="F1696" s="65" t="s">
        <v>920</v>
      </c>
      <c r="G1696" s="2" t="s">
        <v>416</v>
      </c>
      <c r="H1696" s="2" t="s">
        <v>1186</v>
      </c>
      <c r="I1696" s="37" t="s">
        <v>94</v>
      </c>
      <c r="J1696" s="31">
        <v>45731</v>
      </c>
      <c r="K1696" s="31">
        <v>45735</v>
      </c>
      <c r="L1696" s="31"/>
      <c r="M1696" s="31"/>
      <c r="N1696" s="31"/>
      <c r="O1696" s="2" t="s">
        <v>297</v>
      </c>
    </row>
    <row r="1697" spans="1:15">
      <c r="A1697" s="3">
        <f t="shared" si="27"/>
        <v>1696</v>
      </c>
      <c r="B1697" s="65" t="s">
        <v>2883</v>
      </c>
      <c r="C1697" s="1">
        <v>9703482044</v>
      </c>
      <c r="D1697" s="6"/>
      <c r="E1697" s="17" t="s">
        <v>1624</v>
      </c>
      <c r="F1697" s="65" t="s">
        <v>308</v>
      </c>
      <c r="G1697" s="2" t="s">
        <v>424</v>
      </c>
      <c r="H1697" s="2" t="s">
        <v>1186</v>
      </c>
      <c r="I1697" s="37" t="s">
        <v>94</v>
      </c>
      <c r="J1697" s="31">
        <v>45731</v>
      </c>
      <c r="K1697" s="31">
        <v>45735</v>
      </c>
      <c r="L1697" s="31"/>
      <c r="M1697" s="31"/>
      <c r="N1697" s="31"/>
      <c r="O1697" s="2" t="s">
        <v>425</v>
      </c>
    </row>
    <row r="1698" spans="1:15">
      <c r="A1698" s="3">
        <f t="shared" si="27"/>
        <v>1697</v>
      </c>
      <c r="B1698" s="65" t="s">
        <v>2884</v>
      </c>
      <c r="C1698" s="1">
        <v>7330964618</v>
      </c>
      <c r="D1698" s="6"/>
      <c r="E1698" s="36" t="s">
        <v>156</v>
      </c>
      <c r="F1698" s="65" t="s">
        <v>1421</v>
      </c>
      <c r="G1698" s="2" t="s">
        <v>424</v>
      </c>
      <c r="H1698" s="2" t="s">
        <v>2597</v>
      </c>
      <c r="I1698" s="37" t="s">
        <v>42</v>
      </c>
      <c r="J1698" s="31">
        <v>45735</v>
      </c>
      <c r="K1698" s="31">
        <v>45761</v>
      </c>
      <c r="L1698" s="31"/>
      <c r="M1698" s="31"/>
      <c r="N1698" s="31"/>
      <c r="O1698" s="2" t="s">
        <v>749</v>
      </c>
    </row>
    <row r="1699" spans="1:15">
      <c r="A1699" s="3">
        <f t="shared" si="27"/>
        <v>1698</v>
      </c>
      <c r="B1699" s="65" t="s">
        <v>2885</v>
      </c>
      <c r="C1699" s="1">
        <v>9557482674</v>
      </c>
      <c r="D1699" s="6"/>
      <c r="E1699" s="17" t="s">
        <v>997</v>
      </c>
      <c r="F1699" s="65" t="s">
        <v>2886</v>
      </c>
      <c r="G1699" s="2" t="s">
        <v>16</v>
      </c>
      <c r="H1699" s="2" t="s">
        <v>1186</v>
      </c>
      <c r="I1699" s="37" t="s">
        <v>42</v>
      </c>
      <c r="J1699" s="31">
        <v>45733</v>
      </c>
      <c r="K1699" s="31">
        <v>45733</v>
      </c>
      <c r="L1699" s="31">
        <v>45734</v>
      </c>
      <c r="M1699" s="31">
        <v>45742</v>
      </c>
      <c r="N1699" s="31">
        <v>45742</v>
      </c>
      <c r="O1699" s="2" t="s">
        <v>297</v>
      </c>
    </row>
    <row r="1700" spans="1:15">
      <c r="A1700" s="3">
        <f t="shared" si="27"/>
        <v>1699</v>
      </c>
      <c r="B1700" s="65" t="s">
        <v>2887</v>
      </c>
      <c r="C1700" s="1">
        <v>9066828067</v>
      </c>
      <c r="D1700" s="6"/>
      <c r="E1700" s="17" t="s">
        <v>1635</v>
      </c>
      <c r="F1700" s="65" t="s">
        <v>1992</v>
      </c>
      <c r="G1700" s="2" t="s">
        <v>16</v>
      </c>
      <c r="H1700" s="2" t="s">
        <v>1186</v>
      </c>
      <c r="I1700" s="37" t="s">
        <v>94</v>
      </c>
      <c r="J1700" s="31">
        <v>45733</v>
      </c>
      <c r="K1700" s="31">
        <v>45733</v>
      </c>
      <c r="L1700" s="31">
        <v>45734</v>
      </c>
      <c r="M1700" s="31">
        <v>45794</v>
      </c>
      <c r="N1700" s="31">
        <v>45768</v>
      </c>
      <c r="O1700" s="2" t="s">
        <v>297</v>
      </c>
    </row>
    <row r="1701" spans="1:15">
      <c r="A1701" s="3">
        <f t="shared" si="27"/>
        <v>1700</v>
      </c>
      <c r="B1701" s="65" t="s">
        <v>2888</v>
      </c>
      <c r="C1701" s="1">
        <v>7013454826</v>
      </c>
      <c r="D1701" s="6"/>
      <c r="E1701" s="17" t="s">
        <v>2889</v>
      </c>
      <c r="F1701" s="65" t="s">
        <v>1992</v>
      </c>
      <c r="G1701" s="2" t="s">
        <v>16</v>
      </c>
      <c r="H1701" s="2" t="s">
        <v>296</v>
      </c>
      <c r="I1701" s="37" t="s">
        <v>94</v>
      </c>
      <c r="J1701" s="31">
        <v>45733</v>
      </c>
      <c r="K1701" s="31">
        <v>45733</v>
      </c>
      <c r="L1701" s="31">
        <v>45734</v>
      </c>
      <c r="M1701" s="31">
        <v>45770</v>
      </c>
      <c r="N1701" s="31">
        <v>45777</v>
      </c>
      <c r="O1701" s="2" t="s">
        <v>297</v>
      </c>
    </row>
    <row r="1702" spans="1:15">
      <c r="A1702" s="3">
        <f t="shared" si="27"/>
        <v>1701</v>
      </c>
      <c r="B1702" s="65" t="s">
        <v>2890</v>
      </c>
      <c r="C1702" s="1">
        <v>6370129845</v>
      </c>
      <c r="D1702" s="6"/>
      <c r="E1702" s="17" t="s">
        <v>2891</v>
      </c>
      <c r="F1702" s="65" t="s">
        <v>2892</v>
      </c>
      <c r="G1702" s="2" t="s">
        <v>295</v>
      </c>
      <c r="H1702" s="2" t="s">
        <v>357</v>
      </c>
      <c r="I1702" s="37" t="s">
        <v>94</v>
      </c>
      <c r="J1702" s="31">
        <v>45736</v>
      </c>
      <c r="K1702" s="31">
        <v>45736</v>
      </c>
      <c r="L1702" s="31">
        <v>45736</v>
      </c>
      <c r="M1702" s="31">
        <v>45754</v>
      </c>
      <c r="N1702" s="31"/>
      <c r="O1702" s="2" t="s">
        <v>297</v>
      </c>
    </row>
    <row r="1703" spans="1:15">
      <c r="A1703" s="3">
        <f t="shared" si="27"/>
        <v>1702</v>
      </c>
      <c r="B1703" s="65" t="s">
        <v>2893</v>
      </c>
      <c r="C1703" s="1">
        <v>9175779152</v>
      </c>
      <c r="D1703" s="6"/>
      <c r="E1703" s="17" t="s">
        <v>2891</v>
      </c>
      <c r="F1703" s="65" t="s">
        <v>2894</v>
      </c>
      <c r="G1703" s="2" t="s">
        <v>295</v>
      </c>
      <c r="H1703" s="2" t="s">
        <v>357</v>
      </c>
      <c r="I1703" s="37" t="s">
        <v>94</v>
      </c>
      <c r="J1703" s="31">
        <v>45736</v>
      </c>
      <c r="K1703" s="31">
        <v>45736</v>
      </c>
      <c r="L1703" s="31">
        <v>45744</v>
      </c>
      <c r="M1703" s="31">
        <v>45779</v>
      </c>
      <c r="N1703" s="31"/>
      <c r="O1703" s="2" t="s">
        <v>297</v>
      </c>
    </row>
    <row r="1704" spans="1:15">
      <c r="A1704" s="3">
        <f t="shared" si="27"/>
        <v>1703</v>
      </c>
      <c r="B1704" s="65" t="s">
        <v>2895</v>
      </c>
      <c r="C1704" s="1">
        <v>9695478411</v>
      </c>
      <c r="D1704" s="6"/>
      <c r="E1704" s="17" t="s">
        <v>2891</v>
      </c>
      <c r="F1704" s="65" t="s">
        <v>2894</v>
      </c>
      <c r="G1704" s="2" t="s">
        <v>330</v>
      </c>
      <c r="H1704" s="2" t="s">
        <v>357</v>
      </c>
      <c r="I1704" s="37" t="s">
        <v>94</v>
      </c>
      <c r="J1704" s="31">
        <v>45736</v>
      </c>
      <c r="K1704" s="31">
        <v>45736</v>
      </c>
      <c r="L1704" s="31">
        <v>45736</v>
      </c>
      <c r="M1704" s="31">
        <v>45754</v>
      </c>
      <c r="N1704" s="31">
        <v>45749</v>
      </c>
      <c r="O1704" s="2" t="s">
        <v>297</v>
      </c>
    </row>
    <row r="1705" spans="1:15">
      <c r="A1705" s="3">
        <f t="shared" si="27"/>
        <v>1704</v>
      </c>
      <c r="B1705" s="65" t="s">
        <v>2896</v>
      </c>
      <c r="C1705" s="1">
        <v>9135029472</v>
      </c>
      <c r="D1705" s="6"/>
      <c r="E1705" s="17" t="s">
        <v>2891</v>
      </c>
      <c r="F1705" s="65" t="s">
        <v>2894</v>
      </c>
      <c r="G1705" s="2" t="s">
        <v>764</v>
      </c>
      <c r="H1705" s="2" t="s">
        <v>357</v>
      </c>
      <c r="I1705" s="37" t="s">
        <v>94</v>
      </c>
      <c r="J1705" s="31">
        <v>45736</v>
      </c>
      <c r="K1705" s="31">
        <v>45737</v>
      </c>
      <c r="L1705" s="31"/>
      <c r="M1705" s="31"/>
      <c r="N1705" s="31"/>
      <c r="O1705" s="2" t="s">
        <v>425</v>
      </c>
    </row>
    <row r="1706" spans="1:15">
      <c r="A1706" s="3">
        <f t="shared" si="27"/>
        <v>1705</v>
      </c>
      <c r="B1706" s="65" t="s">
        <v>1339</v>
      </c>
      <c r="C1706" s="1">
        <v>7903023191</v>
      </c>
      <c r="D1706" s="6"/>
      <c r="E1706" s="17" t="s">
        <v>2891</v>
      </c>
      <c r="F1706" s="65" t="s">
        <v>2894</v>
      </c>
      <c r="G1706" s="2" t="s">
        <v>16</v>
      </c>
      <c r="H1706" s="2" t="s">
        <v>357</v>
      </c>
      <c r="I1706" s="37" t="s">
        <v>94</v>
      </c>
      <c r="J1706" s="31">
        <v>45736</v>
      </c>
      <c r="K1706" s="31">
        <v>45736</v>
      </c>
      <c r="L1706" s="31">
        <v>45741</v>
      </c>
      <c r="M1706" s="31">
        <v>45757</v>
      </c>
      <c r="N1706" s="31">
        <v>45758</v>
      </c>
      <c r="O1706" s="2" t="s">
        <v>297</v>
      </c>
    </row>
    <row r="1707" spans="1:15">
      <c r="A1707" s="3">
        <f t="shared" si="27"/>
        <v>1706</v>
      </c>
      <c r="B1707" s="65" t="s">
        <v>2897</v>
      </c>
      <c r="C1707" s="1">
        <v>6397908968</v>
      </c>
      <c r="D1707" s="6"/>
      <c r="E1707" s="17" t="s">
        <v>2891</v>
      </c>
      <c r="F1707" s="65" t="s">
        <v>2894</v>
      </c>
      <c r="G1707" s="2" t="s">
        <v>764</v>
      </c>
      <c r="H1707" s="2" t="s">
        <v>357</v>
      </c>
      <c r="I1707" s="37" t="s">
        <v>94</v>
      </c>
      <c r="J1707" s="31">
        <v>45736</v>
      </c>
      <c r="K1707" s="31">
        <v>45736</v>
      </c>
      <c r="L1707" s="31"/>
      <c r="M1707" s="31"/>
      <c r="N1707" s="31"/>
      <c r="O1707" s="2" t="s">
        <v>425</v>
      </c>
    </row>
    <row r="1708" spans="1:15">
      <c r="A1708" s="3">
        <f t="shared" si="27"/>
        <v>1707</v>
      </c>
      <c r="B1708" s="65" t="s">
        <v>2898</v>
      </c>
      <c r="C1708" s="1">
        <v>8090951627</v>
      </c>
      <c r="D1708" s="6"/>
      <c r="E1708" s="17" t="s">
        <v>2891</v>
      </c>
      <c r="F1708" s="65" t="s">
        <v>2894</v>
      </c>
      <c r="G1708" s="2" t="s">
        <v>295</v>
      </c>
      <c r="H1708" s="2" t="s">
        <v>357</v>
      </c>
      <c r="I1708" s="37" t="s">
        <v>94</v>
      </c>
      <c r="J1708" s="31">
        <v>45736</v>
      </c>
      <c r="K1708" s="31">
        <v>45736</v>
      </c>
      <c r="L1708" s="31">
        <v>45741</v>
      </c>
      <c r="M1708" s="31">
        <v>45783</v>
      </c>
      <c r="N1708" s="31"/>
      <c r="O1708" s="2" t="s">
        <v>297</v>
      </c>
    </row>
    <row r="1709" spans="1:15">
      <c r="A1709" s="3">
        <f t="shared" si="27"/>
        <v>1708</v>
      </c>
      <c r="B1709" s="65" t="s">
        <v>2899</v>
      </c>
      <c r="C1709" s="1">
        <v>8808789809</v>
      </c>
      <c r="D1709" s="6"/>
      <c r="E1709" s="17" t="s">
        <v>2891</v>
      </c>
      <c r="F1709" s="65" t="s">
        <v>2900</v>
      </c>
      <c r="G1709" s="3" t="s">
        <v>295</v>
      </c>
      <c r="H1709" s="2" t="s">
        <v>357</v>
      </c>
      <c r="I1709" s="37" t="s">
        <v>94</v>
      </c>
      <c r="J1709" s="31">
        <v>45736</v>
      </c>
      <c r="K1709" s="31">
        <v>45736</v>
      </c>
      <c r="L1709" s="31">
        <v>45743</v>
      </c>
      <c r="M1709" s="31">
        <v>45788</v>
      </c>
      <c r="N1709" s="31"/>
      <c r="O1709" s="2" t="s">
        <v>297</v>
      </c>
    </row>
    <row r="1710" spans="1:15">
      <c r="A1710" s="3">
        <f t="shared" si="27"/>
        <v>1709</v>
      </c>
      <c r="B1710" s="65" t="s">
        <v>2901</v>
      </c>
      <c r="C1710" s="1">
        <v>9060415386</v>
      </c>
      <c r="D1710" s="6"/>
      <c r="E1710" s="17" t="s">
        <v>2891</v>
      </c>
      <c r="F1710" s="65" t="s">
        <v>2902</v>
      </c>
      <c r="G1710" s="3" t="s">
        <v>295</v>
      </c>
      <c r="H1710" s="2" t="s">
        <v>357</v>
      </c>
      <c r="I1710" s="37" t="s">
        <v>94</v>
      </c>
      <c r="J1710" s="31">
        <v>45736</v>
      </c>
      <c r="K1710" s="31">
        <v>45736</v>
      </c>
      <c r="L1710" s="31">
        <v>45737</v>
      </c>
      <c r="M1710" s="31">
        <v>45792</v>
      </c>
      <c r="N1710" s="31"/>
      <c r="O1710" s="2" t="s">
        <v>297</v>
      </c>
    </row>
    <row r="1711" spans="1:15">
      <c r="A1711" s="3">
        <f t="shared" si="27"/>
        <v>1710</v>
      </c>
      <c r="B1711" s="65" t="s">
        <v>2903</v>
      </c>
      <c r="C1711" s="1">
        <v>9415588278</v>
      </c>
      <c r="D1711" s="6">
        <v>8318039699</v>
      </c>
      <c r="E1711" s="17" t="s">
        <v>2904</v>
      </c>
      <c r="F1711" s="65" t="s">
        <v>2630</v>
      </c>
      <c r="G1711" s="2" t="s">
        <v>424</v>
      </c>
      <c r="H1711" s="2" t="s">
        <v>296</v>
      </c>
      <c r="I1711" s="37" t="s">
        <v>88</v>
      </c>
      <c r="J1711" s="31">
        <v>45736</v>
      </c>
      <c r="K1711" s="31">
        <v>45739</v>
      </c>
      <c r="L1711" s="31"/>
      <c r="M1711" s="31"/>
      <c r="N1711" s="31"/>
      <c r="O1711" s="2" t="s">
        <v>425</v>
      </c>
    </row>
    <row r="1712" spans="1:15">
      <c r="A1712" s="3">
        <f t="shared" si="27"/>
        <v>1711</v>
      </c>
      <c r="B1712" s="65" t="s">
        <v>2905</v>
      </c>
      <c r="C1712" s="1">
        <v>8910523862</v>
      </c>
      <c r="D1712" s="6"/>
      <c r="E1712" s="17" t="s">
        <v>2904</v>
      </c>
      <c r="F1712" s="65" t="s">
        <v>2630</v>
      </c>
      <c r="G1712" s="2" t="s">
        <v>416</v>
      </c>
      <c r="H1712" s="2" t="s">
        <v>296</v>
      </c>
      <c r="I1712" s="37" t="s">
        <v>88</v>
      </c>
      <c r="J1712" s="31">
        <v>45736</v>
      </c>
      <c r="K1712" s="31">
        <v>45764</v>
      </c>
      <c r="L1712" s="31"/>
      <c r="M1712" s="31"/>
      <c r="N1712" s="31"/>
      <c r="O1712" s="2" t="s">
        <v>297</v>
      </c>
    </row>
    <row r="1713" spans="1:15">
      <c r="A1713" s="3">
        <f t="shared" si="27"/>
        <v>1712</v>
      </c>
      <c r="B1713" s="65" t="s">
        <v>2906</v>
      </c>
      <c r="C1713" s="1">
        <v>9805876821</v>
      </c>
      <c r="D1713" s="6"/>
      <c r="E1713" s="17" t="s">
        <v>2904</v>
      </c>
      <c r="F1713" s="65" t="s">
        <v>2630</v>
      </c>
      <c r="G1713" s="2" t="s">
        <v>424</v>
      </c>
      <c r="H1713" s="2" t="s">
        <v>296</v>
      </c>
      <c r="I1713" s="37" t="s">
        <v>88</v>
      </c>
      <c r="J1713" s="31">
        <v>45736</v>
      </c>
      <c r="K1713" s="31">
        <v>45739</v>
      </c>
      <c r="L1713" s="31"/>
      <c r="M1713" s="31"/>
      <c r="N1713" s="31"/>
      <c r="O1713" s="2" t="s">
        <v>425</v>
      </c>
    </row>
    <row r="1714" spans="1:15">
      <c r="A1714" s="3">
        <f t="shared" si="27"/>
        <v>1713</v>
      </c>
      <c r="B1714" s="65" t="s">
        <v>2907</v>
      </c>
      <c r="C1714" s="1">
        <v>9993256123</v>
      </c>
      <c r="D1714" s="6"/>
      <c r="E1714" s="17" t="s">
        <v>2908</v>
      </c>
      <c r="F1714" s="65" t="s">
        <v>294</v>
      </c>
      <c r="G1714" s="2" t="s">
        <v>330</v>
      </c>
      <c r="H1714" s="2" t="s">
        <v>296</v>
      </c>
      <c r="I1714" s="37" t="s">
        <v>94</v>
      </c>
      <c r="J1714" s="31">
        <v>45736</v>
      </c>
      <c r="K1714" s="31">
        <v>45739</v>
      </c>
      <c r="L1714" s="31">
        <v>45744</v>
      </c>
      <c r="M1714" s="31">
        <v>45761</v>
      </c>
      <c r="N1714" s="31">
        <v>45764</v>
      </c>
      <c r="O1714" s="2" t="s">
        <v>297</v>
      </c>
    </row>
    <row r="1715" spans="1:15">
      <c r="A1715" s="3">
        <f t="shared" ref="A1715:A1778" si="28">ROW()-1</f>
        <v>1714</v>
      </c>
      <c r="B1715" s="65" t="s">
        <v>2909</v>
      </c>
      <c r="C1715" s="1">
        <v>9398850892</v>
      </c>
      <c r="D1715" s="6"/>
      <c r="E1715" s="17" t="s">
        <v>2908</v>
      </c>
      <c r="F1715" s="65" t="s">
        <v>294</v>
      </c>
      <c r="G1715" s="2" t="s">
        <v>416</v>
      </c>
      <c r="H1715" s="2" t="s">
        <v>296</v>
      </c>
      <c r="I1715" s="37" t="s">
        <v>94</v>
      </c>
      <c r="J1715" s="31">
        <v>45736</v>
      </c>
      <c r="K1715" s="31">
        <v>45739</v>
      </c>
      <c r="L1715" s="31"/>
      <c r="M1715" s="31"/>
      <c r="N1715" s="31"/>
      <c r="O1715" s="2" t="s">
        <v>297</v>
      </c>
    </row>
    <row r="1716" spans="1:15">
      <c r="A1716" s="3">
        <f t="shared" si="28"/>
        <v>1715</v>
      </c>
      <c r="B1716" s="65" t="s">
        <v>2910</v>
      </c>
      <c r="C1716" s="1">
        <v>8056011620</v>
      </c>
      <c r="D1716" s="6">
        <v>7331133060</v>
      </c>
      <c r="E1716" s="3" t="s">
        <v>44</v>
      </c>
      <c r="F1716" s="65" t="s">
        <v>2911</v>
      </c>
      <c r="G1716" s="2" t="s">
        <v>295</v>
      </c>
      <c r="H1716" s="2" t="s">
        <v>660</v>
      </c>
      <c r="I1716" s="37" t="s">
        <v>42</v>
      </c>
      <c r="J1716" s="31">
        <v>45737</v>
      </c>
      <c r="K1716" s="31">
        <v>45745</v>
      </c>
      <c r="L1716" s="31">
        <v>45764</v>
      </c>
      <c r="M1716" s="31">
        <v>45818</v>
      </c>
      <c r="N1716" s="31"/>
      <c r="O1716" s="2" t="s">
        <v>297</v>
      </c>
    </row>
    <row r="1717" spans="1:15">
      <c r="A1717" s="3">
        <f t="shared" si="28"/>
        <v>1716</v>
      </c>
      <c r="B1717" s="65" t="s">
        <v>2912</v>
      </c>
      <c r="C1717" s="1">
        <v>9392970048</v>
      </c>
      <c r="D1717" s="6"/>
      <c r="E1717" s="3" t="s">
        <v>48</v>
      </c>
      <c r="F1717" s="65" t="s">
        <v>2913</v>
      </c>
      <c r="G1717" s="2" t="s">
        <v>764</v>
      </c>
      <c r="H1717" s="2" t="s">
        <v>660</v>
      </c>
      <c r="I1717" s="37" t="s">
        <v>42</v>
      </c>
      <c r="J1717" s="31">
        <v>45737</v>
      </c>
      <c r="K1717" s="31">
        <v>45745</v>
      </c>
      <c r="L1717" s="31"/>
      <c r="M1717" s="31"/>
      <c r="N1717" s="31"/>
      <c r="O1717" s="2" t="s">
        <v>425</v>
      </c>
    </row>
    <row r="1718" spans="1:15">
      <c r="A1718" s="3">
        <f t="shared" si="28"/>
        <v>1717</v>
      </c>
      <c r="B1718" s="65" t="s">
        <v>2914</v>
      </c>
      <c r="C1718" s="1">
        <v>8143721667</v>
      </c>
      <c r="D1718" s="6"/>
      <c r="E1718" s="3" t="s">
        <v>164</v>
      </c>
      <c r="F1718" s="65" t="s">
        <v>2915</v>
      </c>
      <c r="G1718" s="2" t="s">
        <v>16</v>
      </c>
      <c r="H1718" s="2" t="s">
        <v>162</v>
      </c>
      <c r="I1718" s="37" t="s">
        <v>42</v>
      </c>
      <c r="J1718" s="31">
        <v>45737</v>
      </c>
      <c r="K1718" s="31">
        <v>45744</v>
      </c>
      <c r="L1718" s="31">
        <v>45765</v>
      </c>
      <c r="M1718" s="31">
        <v>45768</v>
      </c>
      <c r="N1718" s="31">
        <v>45766</v>
      </c>
      <c r="O1718" s="2" t="s">
        <v>297</v>
      </c>
    </row>
    <row r="1719" spans="1:15">
      <c r="A1719" s="3">
        <f t="shared" si="28"/>
        <v>1718</v>
      </c>
      <c r="B1719" s="65" t="s">
        <v>2916</v>
      </c>
      <c r="C1719" s="1">
        <v>9676774018</v>
      </c>
      <c r="D1719" s="6"/>
      <c r="E1719" s="17" t="s">
        <v>148</v>
      </c>
      <c r="F1719" s="65" t="s">
        <v>2917</v>
      </c>
      <c r="G1719" s="2" t="s">
        <v>424</v>
      </c>
      <c r="H1719" s="2" t="s">
        <v>2553</v>
      </c>
      <c r="I1719" s="37" t="s">
        <v>42</v>
      </c>
      <c r="J1719" s="31">
        <v>45737</v>
      </c>
      <c r="K1719" s="31">
        <v>45749</v>
      </c>
      <c r="L1719" s="31"/>
      <c r="M1719" s="31"/>
      <c r="N1719" s="31"/>
      <c r="O1719" s="2" t="s">
        <v>425</v>
      </c>
    </row>
    <row r="1720" spans="1:15">
      <c r="A1720" s="3">
        <f t="shared" si="28"/>
        <v>1719</v>
      </c>
      <c r="B1720" s="65" t="s">
        <v>2918</v>
      </c>
      <c r="C1720" s="1">
        <v>9505961643</v>
      </c>
      <c r="D1720" s="6"/>
      <c r="E1720" s="17" t="s">
        <v>145</v>
      </c>
      <c r="F1720" s="65" t="s">
        <v>2919</v>
      </c>
      <c r="G1720" s="2" t="s">
        <v>424</v>
      </c>
      <c r="H1720" s="2" t="s">
        <v>2553</v>
      </c>
      <c r="I1720" s="37" t="s">
        <v>42</v>
      </c>
      <c r="J1720" s="31">
        <v>45737</v>
      </c>
      <c r="K1720" s="31">
        <v>45749</v>
      </c>
      <c r="L1720" s="31"/>
      <c r="M1720" s="31"/>
      <c r="N1720" s="31"/>
      <c r="O1720" s="2" t="s">
        <v>425</v>
      </c>
    </row>
    <row r="1721" spans="1:15">
      <c r="A1721" s="3">
        <f t="shared" si="28"/>
        <v>1720</v>
      </c>
      <c r="B1721" s="65" t="s">
        <v>2920</v>
      </c>
      <c r="C1721" s="1">
        <v>8885485554</v>
      </c>
      <c r="D1721" s="6"/>
      <c r="E1721" s="3" t="s">
        <v>104</v>
      </c>
      <c r="F1721" s="65" t="s">
        <v>2463</v>
      </c>
      <c r="G1721" s="2" t="s">
        <v>764</v>
      </c>
      <c r="H1721" s="2" t="s">
        <v>102</v>
      </c>
      <c r="I1721" s="37" t="s">
        <v>42</v>
      </c>
      <c r="J1721" s="31">
        <v>45737</v>
      </c>
      <c r="K1721" s="31">
        <v>45737</v>
      </c>
      <c r="L1721" s="31"/>
      <c r="M1721" s="31"/>
      <c r="N1721" s="31"/>
      <c r="O1721" s="2" t="s">
        <v>425</v>
      </c>
    </row>
    <row r="1722" spans="1:15">
      <c r="A1722" s="3">
        <f t="shared" si="28"/>
        <v>1721</v>
      </c>
      <c r="B1722" s="65" t="s">
        <v>457</v>
      </c>
      <c r="C1722" s="1">
        <v>6204939871</v>
      </c>
      <c r="D1722" s="6"/>
      <c r="E1722" s="3" t="s">
        <v>107</v>
      </c>
      <c r="F1722" s="65" t="s">
        <v>2340</v>
      </c>
      <c r="G1722" s="2" t="s">
        <v>764</v>
      </c>
      <c r="H1722" s="2" t="s">
        <v>102</v>
      </c>
      <c r="I1722" s="37" t="s">
        <v>42</v>
      </c>
      <c r="J1722" s="31">
        <v>45737</v>
      </c>
      <c r="K1722" s="31">
        <v>45737</v>
      </c>
      <c r="L1722" s="31"/>
      <c r="M1722" s="31"/>
      <c r="N1722" s="31"/>
      <c r="O1722" s="2" t="s">
        <v>425</v>
      </c>
    </row>
    <row r="1723" spans="1:15">
      <c r="A1723" s="3">
        <f t="shared" si="28"/>
        <v>1722</v>
      </c>
      <c r="B1723" s="65" t="s">
        <v>2921</v>
      </c>
      <c r="C1723" s="1">
        <v>9908349694</v>
      </c>
      <c r="D1723" s="6"/>
      <c r="E1723" s="3" t="s">
        <v>107</v>
      </c>
      <c r="F1723" s="65" t="s">
        <v>2922</v>
      </c>
      <c r="G1723" s="2" t="s">
        <v>424</v>
      </c>
      <c r="H1723" s="2" t="s">
        <v>102</v>
      </c>
      <c r="I1723" s="37" t="s">
        <v>42</v>
      </c>
      <c r="J1723" s="31">
        <v>45737</v>
      </c>
      <c r="K1723" s="31">
        <v>45764</v>
      </c>
      <c r="L1723" s="31"/>
      <c r="M1723" s="31"/>
      <c r="N1723" s="31"/>
      <c r="O1723" s="2" t="s">
        <v>425</v>
      </c>
    </row>
    <row r="1724" spans="1:15">
      <c r="A1724" s="3">
        <f t="shared" si="28"/>
        <v>1723</v>
      </c>
      <c r="B1724" s="65" t="s">
        <v>2923</v>
      </c>
      <c r="C1724" s="1">
        <v>9642058434</v>
      </c>
      <c r="D1724" s="6">
        <v>8328060669</v>
      </c>
      <c r="E1724" s="36" t="s">
        <v>110</v>
      </c>
      <c r="F1724" s="65" t="s">
        <v>2924</v>
      </c>
      <c r="G1724" s="2" t="s">
        <v>16</v>
      </c>
      <c r="H1724" s="2" t="s">
        <v>102</v>
      </c>
      <c r="I1724" s="37" t="s">
        <v>42</v>
      </c>
      <c r="J1724" s="31">
        <v>45737</v>
      </c>
      <c r="K1724" s="31">
        <v>45737</v>
      </c>
      <c r="L1724" s="31">
        <v>45743</v>
      </c>
      <c r="M1724" s="31">
        <v>45817</v>
      </c>
      <c r="N1724" s="31">
        <v>45812</v>
      </c>
      <c r="O1724" s="2" t="s">
        <v>297</v>
      </c>
    </row>
    <row r="1725" spans="1:15">
      <c r="A1725" s="3">
        <f t="shared" si="28"/>
        <v>1724</v>
      </c>
      <c r="B1725" s="65" t="s">
        <v>2925</v>
      </c>
      <c r="C1725" s="1">
        <v>9346498561</v>
      </c>
      <c r="D1725" s="6">
        <v>9494689343</v>
      </c>
      <c r="E1725" s="3" t="s">
        <v>107</v>
      </c>
      <c r="F1725" s="65" t="s">
        <v>2360</v>
      </c>
      <c r="G1725" s="2" t="s">
        <v>764</v>
      </c>
      <c r="H1725" s="2" t="s">
        <v>102</v>
      </c>
      <c r="I1725" s="37" t="s">
        <v>42</v>
      </c>
      <c r="J1725" s="31">
        <v>45737</v>
      </c>
      <c r="K1725" s="31">
        <v>45737</v>
      </c>
      <c r="L1725" s="31"/>
      <c r="M1725" s="31"/>
      <c r="N1725" s="31"/>
      <c r="O1725" s="2" t="s">
        <v>425</v>
      </c>
    </row>
    <row r="1726" spans="1:15">
      <c r="A1726" s="3">
        <f t="shared" si="28"/>
        <v>1725</v>
      </c>
      <c r="B1726" s="65" t="s">
        <v>2926</v>
      </c>
      <c r="C1726" s="1">
        <v>7842707307</v>
      </c>
      <c r="D1726" s="6"/>
      <c r="E1726" s="3" t="s">
        <v>1023</v>
      </c>
      <c r="F1726" s="65"/>
      <c r="G1726" s="2" t="s">
        <v>295</v>
      </c>
      <c r="H1726" s="2" t="s">
        <v>42</v>
      </c>
      <c r="I1726" s="37" t="s">
        <v>42</v>
      </c>
      <c r="J1726" s="31">
        <v>45737</v>
      </c>
      <c r="K1726" s="31">
        <v>45737</v>
      </c>
      <c r="L1726" s="31">
        <v>45737</v>
      </c>
      <c r="M1726" s="31">
        <v>45775</v>
      </c>
      <c r="N1726" s="31"/>
      <c r="O1726" s="2" t="s">
        <v>297</v>
      </c>
    </row>
    <row r="1727" spans="1:15">
      <c r="A1727" s="3">
        <f t="shared" si="28"/>
        <v>1726</v>
      </c>
      <c r="B1727" s="65" t="s">
        <v>2927</v>
      </c>
      <c r="C1727" s="1">
        <v>6301371824</v>
      </c>
      <c r="D1727" s="6"/>
      <c r="E1727" s="3" t="s">
        <v>1023</v>
      </c>
      <c r="F1727" s="65"/>
      <c r="G1727" s="2" t="s">
        <v>295</v>
      </c>
      <c r="H1727" s="2" t="s">
        <v>42</v>
      </c>
      <c r="I1727" s="37" t="s">
        <v>42</v>
      </c>
      <c r="J1727" s="31">
        <v>45737</v>
      </c>
      <c r="K1727" s="31">
        <v>45737</v>
      </c>
      <c r="L1727" s="31">
        <v>45737</v>
      </c>
      <c r="M1727" s="31"/>
      <c r="N1727" s="31"/>
      <c r="O1727" s="2" t="s">
        <v>297</v>
      </c>
    </row>
    <row r="1728" spans="1:15">
      <c r="A1728" s="3">
        <f t="shared" si="28"/>
        <v>1727</v>
      </c>
      <c r="B1728" s="65" t="s">
        <v>2928</v>
      </c>
      <c r="C1728" s="1">
        <v>7075552403</v>
      </c>
      <c r="D1728" s="6"/>
      <c r="E1728" s="3" t="s">
        <v>1023</v>
      </c>
      <c r="F1728" s="65"/>
      <c r="G1728" s="2" t="s">
        <v>295</v>
      </c>
      <c r="H1728" s="2" t="s">
        <v>42</v>
      </c>
      <c r="I1728" s="37" t="s">
        <v>42</v>
      </c>
      <c r="J1728" s="31">
        <v>45737</v>
      </c>
      <c r="K1728" s="31">
        <v>45737</v>
      </c>
      <c r="L1728" s="31">
        <v>45737</v>
      </c>
      <c r="M1728" s="31">
        <v>45782</v>
      </c>
      <c r="N1728" s="31"/>
      <c r="O1728" s="2" t="s">
        <v>297</v>
      </c>
    </row>
    <row r="1729" spans="1:15">
      <c r="A1729" s="3">
        <f t="shared" si="28"/>
        <v>1728</v>
      </c>
      <c r="B1729" s="65" t="s">
        <v>2929</v>
      </c>
      <c r="C1729" s="1">
        <v>9392995917</v>
      </c>
      <c r="D1729" s="6"/>
      <c r="E1729" s="3" t="s">
        <v>1023</v>
      </c>
      <c r="F1729" s="65"/>
      <c r="G1729" s="2" t="s">
        <v>295</v>
      </c>
      <c r="H1729" s="2" t="s">
        <v>42</v>
      </c>
      <c r="I1729" s="37" t="s">
        <v>42</v>
      </c>
      <c r="J1729" s="31">
        <v>45737</v>
      </c>
      <c r="K1729" s="31">
        <v>45737</v>
      </c>
      <c r="L1729" s="31">
        <v>45737</v>
      </c>
      <c r="M1729" s="31">
        <v>45785</v>
      </c>
      <c r="N1729" s="31"/>
      <c r="O1729" s="2" t="s">
        <v>297</v>
      </c>
    </row>
    <row r="1730" spans="1:15">
      <c r="A1730" s="3">
        <f t="shared" si="28"/>
        <v>1729</v>
      </c>
      <c r="B1730" s="65" t="s">
        <v>2930</v>
      </c>
      <c r="C1730" s="1">
        <v>7207532336</v>
      </c>
      <c r="D1730" s="6"/>
      <c r="E1730" s="3" t="s">
        <v>1023</v>
      </c>
      <c r="F1730" s="65"/>
      <c r="G1730" s="2" t="s">
        <v>295</v>
      </c>
      <c r="H1730" s="2" t="s">
        <v>42</v>
      </c>
      <c r="I1730" s="37" t="s">
        <v>42</v>
      </c>
      <c r="J1730" s="31">
        <v>45737</v>
      </c>
      <c r="K1730" s="31">
        <v>45737</v>
      </c>
      <c r="L1730" s="31">
        <v>45737</v>
      </c>
      <c r="M1730" s="31">
        <v>45781</v>
      </c>
      <c r="N1730" s="31"/>
      <c r="O1730" s="2" t="s">
        <v>297</v>
      </c>
    </row>
    <row r="1731" spans="1:15">
      <c r="A1731" s="3">
        <f t="shared" si="28"/>
        <v>1730</v>
      </c>
      <c r="B1731" s="65" t="s">
        <v>2931</v>
      </c>
      <c r="C1731" s="1">
        <v>6303563037</v>
      </c>
      <c r="D1731" s="6"/>
      <c r="E1731" s="3" t="s">
        <v>1023</v>
      </c>
      <c r="F1731" s="65"/>
      <c r="G1731" s="2" t="s">
        <v>295</v>
      </c>
      <c r="H1731" s="2" t="s">
        <v>42</v>
      </c>
      <c r="I1731" s="37" t="s">
        <v>42</v>
      </c>
      <c r="J1731" s="31">
        <v>45737</v>
      </c>
      <c r="K1731" s="31">
        <v>45737</v>
      </c>
      <c r="L1731" s="31">
        <v>45737</v>
      </c>
      <c r="M1731" s="31">
        <v>45782</v>
      </c>
      <c r="N1731" s="31"/>
      <c r="O1731" s="2" t="s">
        <v>297</v>
      </c>
    </row>
    <row r="1732" spans="1:15">
      <c r="A1732" s="3">
        <f t="shared" si="28"/>
        <v>1731</v>
      </c>
      <c r="B1732" s="65" t="s">
        <v>2932</v>
      </c>
      <c r="C1732" s="1">
        <v>8850030243</v>
      </c>
      <c r="D1732" s="6"/>
      <c r="E1732" s="3" t="s">
        <v>151</v>
      </c>
      <c r="F1732" s="65" t="s">
        <v>1765</v>
      </c>
      <c r="G1732" s="2" t="s">
        <v>764</v>
      </c>
      <c r="H1732" s="2" t="s">
        <v>42</v>
      </c>
      <c r="I1732" s="37" t="s">
        <v>42</v>
      </c>
      <c r="J1732" s="31">
        <v>45737</v>
      </c>
      <c r="K1732" s="31">
        <v>45830</v>
      </c>
      <c r="L1732" s="31"/>
      <c r="M1732" s="31"/>
      <c r="N1732" s="31"/>
      <c r="O1732" s="2" t="s">
        <v>425</v>
      </c>
    </row>
    <row r="1733" spans="1:15">
      <c r="A1733" s="3">
        <f t="shared" si="28"/>
        <v>1732</v>
      </c>
      <c r="B1733" s="65" t="s">
        <v>2933</v>
      </c>
      <c r="C1733" s="1">
        <v>9704341938</v>
      </c>
      <c r="D1733" s="6"/>
      <c r="E1733" s="3" t="s">
        <v>151</v>
      </c>
      <c r="F1733" s="65" t="s">
        <v>1765</v>
      </c>
      <c r="G1733" s="2" t="s">
        <v>16</v>
      </c>
      <c r="H1733" s="2" t="s">
        <v>2553</v>
      </c>
      <c r="I1733" s="37" t="s">
        <v>42</v>
      </c>
      <c r="J1733" s="31">
        <v>45737</v>
      </c>
      <c r="K1733" s="31">
        <v>45737</v>
      </c>
      <c r="L1733" s="31">
        <v>45743</v>
      </c>
      <c r="M1733" s="31">
        <v>45778</v>
      </c>
      <c r="N1733" s="31">
        <v>45777</v>
      </c>
      <c r="O1733" s="2" t="s">
        <v>297</v>
      </c>
    </row>
    <row r="1734" spans="1:15">
      <c r="A1734" s="3">
        <f t="shared" si="28"/>
        <v>1733</v>
      </c>
      <c r="B1734" s="65" t="s">
        <v>2934</v>
      </c>
      <c r="C1734" s="1">
        <v>8790829923</v>
      </c>
      <c r="D1734" s="6"/>
      <c r="E1734" s="17" t="s">
        <v>2009</v>
      </c>
      <c r="F1734" s="65" t="s">
        <v>268</v>
      </c>
      <c r="G1734" s="2" t="s">
        <v>16</v>
      </c>
      <c r="H1734" s="2" t="s">
        <v>357</v>
      </c>
      <c r="I1734" s="37" t="s">
        <v>94</v>
      </c>
      <c r="J1734" s="31">
        <v>45737</v>
      </c>
      <c r="K1734" s="31">
        <v>45737</v>
      </c>
      <c r="L1734" s="31">
        <v>45743</v>
      </c>
      <c r="M1734" s="31">
        <v>45773</v>
      </c>
      <c r="N1734" s="31">
        <v>45762</v>
      </c>
      <c r="O1734" s="2" t="s">
        <v>297</v>
      </c>
    </row>
    <row r="1735" spans="1:15">
      <c r="A1735" s="3">
        <f t="shared" si="28"/>
        <v>1734</v>
      </c>
      <c r="B1735" s="65" t="s">
        <v>2935</v>
      </c>
      <c r="C1735" s="1">
        <v>8330918406</v>
      </c>
      <c r="D1735" s="6"/>
      <c r="E1735" s="17" t="s">
        <v>2009</v>
      </c>
      <c r="F1735" s="65" t="s">
        <v>2936</v>
      </c>
      <c r="G1735" s="2" t="s">
        <v>16</v>
      </c>
      <c r="H1735" s="2" t="s">
        <v>357</v>
      </c>
      <c r="I1735" s="37" t="s">
        <v>94</v>
      </c>
      <c r="J1735" s="31">
        <v>45737</v>
      </c>
      <c r="K1735" s="31">
        <v>45737</v>
      </c>
      <c r="L1735" s="31">
        <v>45743</v>
      </c>
      <c r="M1735" s="31">
        <v>45787</v>
      </c>
      <c r="N1735" s="31">
        <v>45790</v>
      </c>
      <c r="O1735" s="2" t="s">
        <v>297</v>
      </c>
    </row>
    <row r="1736" spans="1:15">
      <c r="A1736" s="3">
        <f t="shared" si="28"/>
        <v>1735</v>
      </c>
      <c r="B1736" s="65" t="s">
        <v>2937</v>
      </c>
      <c r="C1736" s="1">
        <v>9348036779</v>
      </c>
      <c r="D1736" s="6"/>
      <c r="E1736" s="17" t="s">
        <v>2009</v>
      </c>
      <c r="F1736" s="65" t="s">
        <v>268</v>
      </c>
      <c r="G1736" s="2" t="s">
        <v>330</v>
      </c>
      <c r="H1736" s="2" t="s">
        <v>357</v>
      </c>
      <c r="I1736" s="37" t="s">
        <v>94</v>
      </c>
      <c r="J1736" s="31">
        <v>45737</v>
      </c>
      <c r="K1736" s="31">
        <v>45737</v>
      </c>
      <c r="L1736" s="31">
        <v>45741</v>
      </c>
      <c r="M1736" s="31">
        <v>45773</v>
      </c>
      <c r="N1736" s="31">
        <v>45775</v>
      </c>
      <c r="O1736" s="2" t="s">
        <v>297</v>
      </c>
    </row>
    <row r="1737" spans="1:15">
      <c r="A1737" s="3">
        <f t="shared" si="28"/>
        <v>1736</v>
      </c>
      <c r="B1737" s="65" t="s">
        <v>2938</v>
      </c>
      <c r="C1737" s="1">
        <v>9640930389</v>
      </c>
      <c r="D1737" s="6"/>
      <c r="E1737" s="17" t="s">
        <v>2009</v>
      </c>
      <c r="F1737" s="65" t="s">
        <v>268</v>
      </c>
      <c r="G1737" s="2" t="s">
        <v>16</v>
      </c>
      <c r="H1737" s="2" t="s">
        <v>357</v>
      </c>
      <c r="I1737" s="37" t="s">
        <v>94</v>
      </c>
      <c r="J1737" s="31">
        <v>45737</v>
      </c>
      <c r="K1737" s="31">
        <v>45737</v>
      </c>
      <c r="L1737" s="31">
        <v>45741</v>
      </c>
      <c r="M1737" s="31">
        <v>45773</v>
      </c>
      <c r="N1737" s="31">
        <v>45779</v>
      </c>
      <c r="O1737" s="2" t="s">
        <v>297</v>
      </c>
    </row>
    <row r="1738" spans="1:15">
      <c r="A1738" s="3">
        <f t="shared" si="28"/>
        <v>1737</v>
      </c>
      <c r="B1738" s="65" t="s">
        <v>2486</v>
      </c>
      <c r="C1738" s="1">
        <v>8303297673</v>
      </c>
      <c r="D1738" s="6"/>
      <c r="E1738" s="17" t="s">
        <v>2009</v>
      </c>
      <c r="F1738" s="65" t="s">
        <v>268</v>
      </c>
      <c r="G1738" s="2" t="s">
        <v>416</v>
      </c>
      <c r="H1738" s="2" t="s">
        <v>357</v>
      </c>
      <c r="I1738" s="37" t="s">
        <v>94</v>
      </c>
      <c r="J1738" s="31">
        <v>45737</v>
      </c>
      <c r="K1738" s="31">
        <v>45737</v>
      </c>
      <c r="L1738" s="31"/>
      <c r="M1738" s="31"/>
      <c r="N1738" s="31"/>
      <c r="O1738" s="2" t="s">
        <v>297</v>
      </c>
    </row>
    <row r="1739" spans="1:15">
      <c r="A1739" s="3">
        <f t="shared" si="28"/>
        <v>1738</v>
      </c>
      <c r="B1739" s="65" t="s">
        <v>2939</v>
      </c>
      <c r="C1739" s="1">
        <v>7348679751</v>
      </c>
      <c r="D1739" s="6"/>
      <c r="E1739" s="17" t="s">
        <v>2009</v>
      </c>
      <c r="F1739" s="65" t="s">
        <v>268</v>
      </c>
      <c r="G1739" s="2" t="s">
        <v>16</v>
      </c>
      <c r="H1739" s="2" t="s">
        <v>357</v>
      </c>
      <c r="I1739" s="37" t="s">
        <v>94</v>
      </c>
      <c r="J1739" s="31">
        <v>45737</v>
      </c>
      <c r="K1739" s="31">
        <v>45737</v>
      </c>
      <c r="L1739" s="31">
        <v>45741</v>
      </c>
      <c r="M1739" s="31">
        <v>45780</v>
      </c>
      <c r="N1739" s="31">
        <v>45783</v>
      </c>
      <c r="O1739" s="2" t="s">
        <v>297</v>
      </c>
    </row>
    <row r="1740" spans="1:15">
      <c r="A1740" s="3">
        <f t="shared" si="28"/>
        <v>1739</v>
      </c>
      <c r="B1740" s="65" t="s">
        <v>2940</v>
      </c>
      <c r="C1740" s="1">
        <v>7407878477</v>
      </c>
      <c r="D1740" s="6"/>
      <c r="E1740" s="17" t="s">
        <v>1531</v>
      </c>
      <c r="F1740" s="65" t="s">
        <v>2941</v>
      </c>
      <c r="G1740" s="2" t="s">
        <v>16</v>
      </c>
      <c r="H1740" s="2" t="s">
        <v>357</v>
      </c>
      <c r="I1740" s="37" t="s">
        <v>94</v>
      </c>
      <c r="J1740" s="31">
        <v>45737</v>
      </c>
      <c r="K1740" s="31">
        <v>45739</v>
      </c>
      <c r="L1740" s="31">
        <v>45743</v>
      </c>
      <c r="M1740" s="31">
        <v>45795</v>
      </c>
      <c r="N1740" s="31">
        <v>45813</v>
      </c>
      <c r="O1740" s="2" t="s">
        <v>297</v>
      </c>
    </row>
    <row r="1741" spans="1:15">
      <c r="A1741" s="3">
        <f t="shared" si="28"/>
        <v>1740</v>
      </c>
      <c r="B1741" s="65" t="s">
        <v>2942</v>
      </c>
      <c r="C1741" s="1">
        <v>7903710452</v>
      </c>
      <c r="D1741" s="6">
        <v>9263985826</v>
      </c>
      <c r="E1741" s="17" t="s">
        <v>1531</v>
      </c>
      <c r="F1741" s="65" t="s">
        <v>2941</v>
      </c>
      <c r="G1741" s="3" t="s">
        <v>295</v>
      </c>
      <c r="H1741" s="2" t="s">
        <v>357</v>
      </c>
      <c r="I1741" s="37" t="s">
        <v>94</v>
      </c>
      <c r="J1741" s="31">
        <v>45737</v>
      </c>
      <c r="K1741" s="31">
        <v>45741</v>
      </c>
      <c r="L1741" s="31">
        <v>45749</v>
      </c>
      <c r="M1741" s="31">
        <v>45764</v>
      </c>
      <c r="N1741" s="31"/>
      <c r="O1741" s="2" t="s">
        <v>297</v>
      </c>
    </row>
    <row r="1742" spans="1:15">
      <c r="A1742" s="3">
        <f t="shared" si="28"/>
        <v>1741</v>
      </c>
      <c r="B1742" s="65" t="s">
        <v>2943</v>
      </c>
      <c r="C1742" s="1">
        <v>9749414041</v>
      </c>
      <c r="D1742" s="6"/>
      <c r="E1742" s="17" t="s">
        <v>2375</v>
      </c>
      <c r="F1742" s="65" t="s">
        <v>329</v>
      </c>
      <c r="G1742" s="2" t="s">
        <v>424</v>
      </c>
      <c r="H1742" s="2" t="s">
        <v>913</v>
      </c>
      <c r="I1742" s="37" t="s">
        <v>94</v>
      </c>
      <c r="J1742" s="31">
        <v>45737</v>
      </c>
      <c r="K1742" s="31">
        <v>45763</v>
      </c>
      <c r="L1742" s="31"/>
      <c r="M1742" s="31"/>
      <c r="N1742" s="31"/>
      <c r="O1742" s="2" t="s">
        <v>425</v>
      </c>
    </row>
    <row r="1743" spans="1:15">
      <c r="A1743" s="3">
        <f t="shared" si="28"/>
        <v>1742</v>
      </c>
      <c r="B1743" s="65" t="s">
        <v>1782</v>
      </c>
      <c r="C1743" s="1">
        <v>7253831135</v>
      </c>
      <c r="D1743" s="6"/>
      <c r="E1743" s="17" t="s">
        <v>2375</v>
      </c>
      <c r="F1743" s="65" t="s">
        <v>329</v>
      </c>
      <c r="G1743" s="2" t="s">
        <v>416</v>
      </c>
      <c r="H1743" s="2" t="s">
        <v>913</v>
      </c>
      <c r="I1743" s="37" t="s">
        <v>94</v>
      </c>
      <c r="J1743" s="31">
        <v>45737</v>
      </c>
      <c r="K1743" s="31">
        <v>45763</v>
      </c>
      <c r="L1743" s="31"/>
      <c r="M1743" s="31"/>
      <c r="N1743" s="31"/>
      <c r="O1743" s="2" t="s">
        <v>297</v>
      </c>
    </row>
    <row r="1744" spans="1:15">
      <c r="A1744" s="3">
        <f t="shared" si="28"/>
        <v>1743</v>
      </c>
      <c r="B1744" s="65" t="s">
        <v>2944</v>
      </c>
      <c r="C1744" s="1">
        <v>9695566014</v>
      </c>
      <c r="D1744" s="6"/>
      <c r="E1744" s="17" t="s">
        <v>2375</v>
      </c>
      <c r="F1744" s="65" t="s">
        <v>329</v>
      </c>
      <c r="G1744" s="2" t="s">
        <v>416</v>
      </c>
      <c r="H1744" s="2" t="s">
        <v>913</v>
      </c>
      <c r="I1744" s="37" t="s">
        <v>94</v>
      </c>
      <c r="J1744" s="31">
        <v>45737</v>
      </c>
      <c r="K1744" s="31">
        <v>45751</v>
      </c>
      <c r="L1744" s="31"/>
      <c r="M1744" s="31"/>
      <c r="N1744" s="31"/>
      <c r="O1744" s="2" t="s">
        <v>297</v>
      </c>
    </row>
    <row r="1745" spans="1:15">
      <c r="A1745" s="3">
        <f t="shared" si="28"/>
        <v>1744</v>
      </c>
      <c r="B1745" s="65" t="s">
        <v>2945</v>
      </c>
      <c r="C1745" s="1">
        <v>8228918303</v>
      </c>
      <c r="D1745" s="6"/>
      <c r="E1745" s="17" t="s">
        <v>2375</v>
      </c>
      <c r="F1745" s="65" t="s">
        <v>329</v>
      </c>
      <c r="G1745" s="2" t="s">
        <v>764</v>
      </c>
      <c r="H1745" s="2" t="s">
        <v>913</v>
      </c>
      <c r="I1745" s="37" t="s">
        <v>94</v>
      </c>
      <c r="J1745" s="31">
        <v>45737</v>
      </c>
      <c r="K1745" s="31">
        <v>45751</v>
      </c>
      <c r="L1745" s="31"/>
      <c r="M1745" s="31"/>
      <c r="N1745" s="31"/>
      <c r="O1745" s="2" t="s">
        <v>425</v>
      </c>
    </row>
    <row r="1746" spans="1:15">
      <c r="A1746" s="3">
        <f t="shared" si="28"/>
        <v>1745</v>
      </c>
      <c r="B1746" s="65" t="s">
        <v>2946</v>
      </c>
      <c r="C1746" s="1">
        <v>8085211902</v>
      </c>
      <c r="D1746" s="6"/>
      <c r="E1746" s="17" t="s">
        <v>2375</v>
      </c>
      <c r="F1746" s="65" t="s">
        <v>303</v>
      </c>
      <c r="G1746" s="2" t="s">
        <v>424</v>
      </c>
      <c r="H1746" s="2" t="s">
        <v>913</v>
      </c>
      <c r="I1746" s="37" t="s">
        <v>94</v>
      </c>
      <c r="J1746" s="31">
        <v>45737</v>
      </c>
      <c r="K1746" s="31">
        <v>45751</v>
      </c>
      <c r="L1746" s="31"/>
      <c r="M1746" s="31"/>
      <c r="N1746" s="31"/>
      <c r="O1746" s="2" t="s">
        <v>425</v>
      </c>
    </row>
    <row r="1747" spans="1:15">
      <c r="A1747" s="3">
        <f t="shared" si="28"/>
        <v>1746</v>
      </c>
      <c r="B1747" s="65" t="s">
        <v>2947</v>
      </c>
      <c r="C1747" s="1">
        <v>8858304309</v>
      </c>
      <c r="D1747" s="6"/>
      <c r="E1747" s="17" t="s">
        <v>2375</v>
      </c>
      <c r="F1747" s="65" t="s">
        <v>329</v>
      </c>
      <c r="G1747" s="2" t="s">
        <v>424</v>
      </c>
      <c r="H1747" s="2" t="s">
        <v>913</v>
      </c>
      <c r="I1747" s="37" t="s">
        <v>94</v>
      </c>
      <c r="J1747" s="31">
        <v>45737</v>
      </c>
      <c r="K1747" s="31">
        <v>45751</v>
      </c>
      <c r="L1747" s="31"/>
      <c r="M1747" s="31"/>
      <c r="N1747" s="31"/>
      <c r="O1747" s="2" t="s">
        <v>425</v>
      </c>
    </row>
    <row r="1748" spans="1:15">
      <c r="A1748" s="3">
        <f t="shared" si="28"/>
        <v>1747</v>
      </c>
      <c r="B1748" s="65" t="s">
        <v>2948</v>
      </c>
      <c r="C1748" s="1">
        <v>9696833699</v>
      </c>
      <c r="D1748" s="6"/>
      <c r="E1748" s="17" t="s">
        <v>2375</v>
      </c>
      <c r="F1748" s="65" t="s">
        <v>329</v>
      </c>
      <c r="G1748" s="2" t="s">
        <v>416</v>
      </c>
      <c r="H1748" s="2" t="s">
        <v>913</v>
      </c>
      <c r="I1748" s="37" t="s">
        <v>94</v>
      </c>
      <c r="J1748" s="31">
        <v>45737</v>
      </c>
      <c r="K1748" s="31">
        <v>45750</v>
      </c>
      <c r="L1748" s="31"/>
      <c r="M1748" s="31"/>
      <c r="N1748" s="31"/>
      <c r="O1748" s="2" t="s">
        <v>297</v>
      </c>
    </row>
    <row r="1749" spans="1:15">
      <c r="A1749" s="3">
        <f t="shared" si="28"/>
        <v>1748</v>
      </c>
      <c r="B1749" s="65" t="s">
        <v>938</v>
      </c>
      <c r="C1749" s="1">
        <v>9267921545</v>
      </c>
      <c r="D1749" s="6"/>
      <c r="E1749" s="17" t="s">
        <v>1567</v>
      </c>
      <c r="F1749" s="65" t="s">
        <v>1109</v>
      </c>
      <c r="G1749" s="2" t="s">
        <v>424</v>
      </c>
      <c r="H1749" s="2" t="s">
        <v>815</v>
      </c>
      <c r="I1749" s="37" t="s">
        <v>94</v>
      </c>
      <c r="J1749" s="31">
        <v>45737</v>
      </c>
      <c r="K1749" s="31">
        <v>45737</v>
      </c>
      <c r="L1749" s="31"/>
      <c r="M1749" s="31"/>
      <c r="N1749" s="31"/>
      <c r="O1749" s="2" t="s">
        <v>749</v>
      </c>
    </row>
    <row r="1750" spans="1:15">
      <c r="A1750" s="3">
        <f t="shared" si="28"/>
        <v>1749</v>
      </c>
      <c r="B1750" s="65" t="s">
        <v>2949</v>
      </c>
      <c r="C1750" s="1">
        <v>9660524254</v>
      </c>
      <c r="D1750" s="6"/>
      <c r="E1750" s="17" t="s">
        <v>2950</v>
      </c>
      <c r="F1750" s="65" t="s">
        <v>1109</v>
      </c>
      <c r="G1750" s="2" t="s">
        <v>16</v>
      </c>
      <c r="H1750" s="2" t="s">
        <v>815</v>
      </c>
      <c r="I1750" s="37" t="s">
        <v>94</v>
      </c>
      <c r="J1750" s="31">
        <v>45737</v>
      </c>
      <c r="K1750" s="31">
        <v>45737</v>
      </c>
      <c r="L1750" s="31">
        <v>45882</v>
      </c>
      <c r="M1750" s="31">
        <v>45904</v>
      </c>
      <c r="N1750" s="31">
        <v>45894</v>
      </c>
      <c r="O1750" s="2" t="s">
        <v>297</v>
      </c>
    </row>
    <row r="1751" spans="1:15">
      <c r="A1751" s="3">
        <f t="shared" si="28"/>
        <v>1750</v>
      </c>
      <c r="B1751" s="65" t="s">
        <v>2951</v>
      </c>
      <c r="C1751" s="1">
        <v>9440548181</v>
      </c>
      <c r="D1751" s="6">
        <v>7780781578</v>
      </c>
      <c r="E1751" s="3" t="s">
        <v>52</v>
      </c>
      <c r="F1751" s="65" t="s">
        <v>972</v>
      </c>
      <c r="G1751" s="2" t="s">
        <v>764</v>
      </c>
      <c r="H1751" s="2" t="s">
        <v>660</v>
      </c>
      <c r="I1751" s="37" t="s">
        <v>42</v>
      </c>
      <c r="J1751" s="31">
        <v>45737</v>
      </c>
      <c r="K1751" s="31">
        <v>45744</v>
      </c>
      <c r="L1751" s="31"/>
      <c r="M1751" s="31"/>
      <c r="N1751" s="31"/>
      <c r="O1751" s="2" t="s">
        <v>425</v>
      </c>
    </row>
    <row r="1752" spans="1:15">
      <c r="A1752" s="3">
        <f t="shared" si="28"/>
        <v>1751</v>
      </c>
      <c r="B1752" s="65" t="s">
        <v>2952</v>
      </c>
      <c r="C1752" s="1">
        <v>9962282421</v>
      </c>
      <c r="D1752" s="6"/>
      <c r="E1752" s="3" t="s">
        <v>52</v>
      </c>
      <c r="F1752" s="65" t="s">
        <v>683</v>
      </c>
      <c r="G1752" s="2" t="s">
        <v>424</v>
      </c>
      <c r="H1752" s="2" t="s">
        <v>660</v>
      </c>
      <c r="I1752" s="37" t="s">
        <v>42</v>
      </c>
      <c r="J1752" s="31">
        <v>45737</v>
      </c>
      <c r="K1752" s="31">
        <v>45742</v>
      </c>
      <c r="L1752" s="31"/>
      <c r="M1752" s="31"/>
      <c r="N1752" s="31"/>
      <c r="O1752" s="2" t="s">
        <v>425</v>
      </c>
    </row>
    <row r="1753" spans="1:15">
      <c r="A1753" s="3">
        <f t="shared" si="28"/>
        <v>1752</v>
      </c>
      <c r="B1753" s="65" t="s">
        <v>2953</v>
      </c>
      <c r="C1753" s="1">
        <v>8420034124</v>
      </c>
      <c r="D1753" s="6"/>
      <c r="E1753" s="3" t="s">
        <v>52</v>
      </c>
      <c r="F1753" s="65" t="s">
        <v>1361</v>
      </c>
      <c r="G1753" s="2" t="s">
        <v>416</v>
      </c>
      <c r="H1753" s="2" t="s">
        <v>660</v>
      </c>
      <c r="I1753" s="37" t="s">
        <v>42</v>
      </c>
      <c r="J1753" s="31">
        <v>45737</v>
      </c>
      <c r="K1753" s="31">
        <v>45742</v>
      </c>
      <c r="L1753" s="31"/>
      <c r="M1753" s="31"/>
      <c r="N1753" s="31"/>
      <c r="O1753" s="2" t="s">
        <v>297</v>
      </c>
    </row>
    <row r="1754" spans="1:15">
      <c r="A1754" s="3">
        <f t="shared" si="28"/>
        <v>1753</v>
      </c>
      <c r="B1754" s="65" t="s">
        <v>2954</v>
      </c>
      <c r="C1754" s="1">
        <v>9000895233</v>
      </c>
      <c r="D1754" s="6">
        <v>9989050300</v>
      </c>
      <c r="E1754" s="3" t="s">
        <v>52</v>
      </c>
      <c r="F1754" s="65" t="s">
        <v>2955</v>
      </c>
      <c r="G1754" s="2" t="s">
        <v>424</v>
      </c>
      <c r="H1754" s="2" t="s">
        <v>660</v>
      </c>
      <c r="I1754" s="37" t="s">
        <v>42</v>
      </c>
      <c r="J1754" s="31">
        <v>45737</v>
      </c>
      <c r="K1754" s="31">
        <v>45774</v>
      </c>
      <c r="L1754" s="31"/>
      <c r="M1754" s="31"/>
      <c r="N1754" s="31"/>
      <c r="O1754" s="2" t="s">
        <v>425</v>
      </c>
    </row>
    <row r="1755" spans="1:15">
      <c r="A1755" s="3">
        <f t="shared" si="28"/>
        <v>1754</v>
      </c>
      <c r="B1755" s="65" t="s">
        <v>2956</v>
      </c>
      <c r="C1755" s="1">
        <v>9949580368</v>
      </c>
      <c r="D1755" s="6"/>
      <c r="E1755" s="3" t="s">
        <v>59</v>
      </c>
      <c r="F1755" s="65" t="s">
        <v>275</v>
      </c>
      <c r="G1755" s="2" t="s">
        <v>764</v>
      </c>
      <c r="H1755" s="2" t="s">
        <v>660</v>
      </c>
      <c r="I1755" s="37" t="s">
        <v>42</v>
      </c>
      <c r="J1755" s="31">
        <v>45737</v>
      </c>
      <c r="K1755" s="31">
        <v>45744</v>
      </c>
      <c r="L1755" s="31"/>
      <c r="M1755" s="31"/>
      <c r="N1755" s="31"/>
      <c r="O1755" s="2" t="s">
        <v>425</v>
      </c>
    </row>
    <row r="1756" spans="1:15">
      <c r="A1756" s="3">
        <f t="shared" si="28"/>
        <v>1755</v>
      </c>
      <c r="B1756" s="65" t="s">
        <v>2957</v>
      </c>
      <c r="C1756" s="1">
        <v>9237538852</v>
      </c>
      <c r="D1756" s="6">
        <v>6370332927</v>
      </c>
      <c r="E1756" s="3" t="s">
        <v>59</v>
      </c>
      <c r="F1756" s="65" t="s">
        <v>275</v>
      </c>
      <c r="G1756" s="2" t="s">
        <v>764</v>
      </c>
      <c r="H1756" s="2" t="s">
        <v>660</v>
      </c>
      <c r="I1756" s="37" t="s">
        <v>42</v>
      </c>
      <c r="J1756" s="31">
        <v>45737</v>
      </c>
      <c r="K1756" s="31">
        <v>45745</v>
      </c>
      <c r="L1756" s="31"/>
      <c r="M1756" s="31"/>
      <c r="N1756" s="31"/>
      <c r="O1756" s="2" t="s">
        <v>425</v>
      </c>
    </row>
    <row r="1757" spans="1:15">
      <c r="A1757" s="3">
        <f t="shared" si="28"/>
        <v>1756</v>
      </c>
      <c r="B1757" s="65" t="s">
        <v>2958</v>
      </c>
      <c r="C1757" s="1">
        <v>8303908868</v>
      </c>
      <c r="D1757" s="6"/>
      <c r="E1757" s="17" t="s">
        <v>640</v>
      </c>
      <c r="F1757" s="65" t="s">
        <v>1942</v>
      </c>
      <c r="G1757" s="2" t="s">
        <v>18</v>
      </c>
      <c r="H1757" s="2" t="s">
        <v>630</v>
      </c>
      <c r="I1757" s="37" t="s">
        <v>94</v>
      </c>
      <c r="J1757" s="31">
        <v>45737</v>
      </c>
      <c r="K1757" s="31">
        <v>45744</v>
      </c>
      <c r="L1757" s="31"/>
      <c r="M1757" s="31"/>
      <c r="N1757" s="31"/>
      <c r="O1757" s="2" t="s">
        <v>297</v>
      </c>
    </row>
    <row r="1758" spans="1:15">
      <c r="A1758" s="3">
        <f t="shared" si="28"/>
        <v>1757</v>
      </c>
      <c r="B1758" s="65" t="s">
        <v>2959</v>
      </c>
      <c r="C1758" s="1">
        <v>8348076749</v>
      </c>
      <c r="D1758" s="6"/>
      <c r="E1758" s="17" t="s">
        <v>640</v>
      </c>
      <c r="F1758" s="65" t="s">
        <v>294</v>
      </c>
      <c r="G1758" s="2" t="s">
        <v>764</v>
      </c>
      <c r="H1758" s="2" t="s">
        <v>630</v>
      </c>
      <c r="I1758" s="37" t="s">
        <v>94</v>
      </c>
      <c r="J1758" s="31">
        <v>45737</v>
      </c>
      <c r="K1758" s="31">
        <v>45749</v>
      </c>
      <c r="L1758" s="31"/>
      <c r="M1758" s="31"/>
      <c r="N1758" s="31"/>
      <c r="O1758" s="2" t="s">
        <v>425</v>
      </c>
    </row>
    <row r="1759" spans="1:15">
      <c r="A1759" s="3">
        <f t="shared" si="28"/>
        <v>1758</v>
      </c>
      <c r="B1759" s="65" t="s">
        <v>2960</v>
      </c>
      <c r="C1759" s="1">
        <v>8918721297</v>
      </c>
      <c r="D1759" s="6"/>
      <c r="E1759" s="17" t="s">
        <v>1014</v>
      </c>
      <c r="F1759" s="65" t="s">
        <v>294</v>
      </c>
      <c r="G1759" s="2" t="s">
        <v>764</v>
      </c>
      <c r="H1759" s="2" t="s">
        <v>630</v>
      </c>
      <c r="I1759" s="37" t="s">
        <v>94</v>
      </c>
      <c r="J1759" s="31">
        <v>45737</v>
      </c>
      <c r="K1759" s="31">
        <v>45749</v>
      </c>
      <c r="L1759" s="31"/>
      <c r="M1759" s="31"/>
      <c r="N1759" s="31"/>
      <c r="O1759" s="2" t="s">
        <v>425</v>
      </c>
    </row>
    <row r="1760" spans="1:15">
      <c r="A1760" s="3">
        <f t="shared" si="28"/>
        <v>1759</v>
      </c>
      <c r="B1760" s="65" t="s">
        <v>2961</v>
      </c>
      <c r="C1760" s="1">
        <v>9309141101</v>
      </c>
      <c r="D1760" s="6"/>
      <c r="E1760" s="17" t="s">
        <v>1014</v>
      </c>
      <c r="F1760" s="65" t="s">
        <v>294</v>
      </c>
      <c r="G1760" s="2" t="s">
        <v>764</v>
      </c>
      <c r="H1760" s="2" t="s">
        <v>630</v>
      </c>
      <c r="I1760" s="37" t="s">
        <v>94</v>
      </c>
      <c r="J1760" s="31">
        <v>45737</v>
      </c>
      <c r="K1760" s="31">
        <v>45744</v>
      </c>
      <c r="L1760" s="31"/>
      <c r="M1760" s="31"/>
      <c r="N1760" s="31"/>
      <c r="O1760" s="2" t="s">
        <v>425</v>
      </c>
    </row>
    <row r="1761" spans="1:15">
      <c r="A1761" s="3">
        <f t="shared" si="28"/>
        <v>1760</v>
      </c>
      <c r="B1761" s="65" t="s">
        <v>2962</v>
      </c>
      <c r="C1761" s="1">
        <v>9299376295</v>
      </c>
      <c r="D1761" s="6"/>
      <c r="E1761" s="17" t="s">
        <v>96</v>
      </c>
      <c r="F1761" s="65" t="s">
        <v>360</v>
      </c>
      <c r="G1761" s="2" t="s">
        <v>16</v>
      </c>
      <c r="H1761" s="2" t="s">
        <v>361</v>
      </c>
      <c r="I1761" s="37" t="s">
        <v>94</v>
      </c>
      <c r="J1761" s="31">
        <v>45737</v>
      </c>
      <c r="K1761" s="31">
        <v>45744</v>
      </c>
      <c r="L1761" s="31">
        <v>45750</v>
      </c>
      <c r="M1761" s="31">
        <v>45780</v>
      </c>
      <c r="N1761" s="31">
        <v>45769</v>
      </c>
      <c r="O1761" s="2" t="s">
        <v>297</v>
      </c>
    </row>
    <row r="1762" spans="1:15">
      <c r="A1762" s="3">
        <f t="shared" si="28"/>
        <v>1761</v>
      </c>
      <c r="B1762" s="65" t="s">
        <v>2963</v>
      </c>
      <c r="C1762" s="1">
        <v>8271329536</v>
      </c>
      <c r="D1762" s="6"/>
      <c r="E1762" s="17" t="s">
        <v>96</v>
      </c>
      <c r="F1762" s="65" t="s">
        <v>360</v>
      </c>
      <c r="G1762" s="2" t="s">
        <v>295</v>
      </c>
      <c r="H1762" s="2" t="s">
        <v>361</v>
      </c>
      <c r="I1762" s="37" t="s">
        <v>94</v>
      </c>
      <c r="J1762" s="31">
        <v>45737</v>
      </c>
      <c r="K1762" s="31">
        <v>45744</v>
      </c>
      <c r="L1762" s="31">
        <v>45750</v>
      </c>
      <c r="M1762" s="31">
        <v>45780</v>
      </c>
      <c r="N1762" s="31"/>
      <c r="O1762" s="2" t="s">
        <v>297</v>
      </c>
    </row>
    <row r="1763" spans="1:15">
      <c r="A1763" s="3">
        <f t="shared" si="28"/>
        <v>1762</v>
      </c>
      <c r="B1763" s="65" t="s">
        <v>2964</v>
      </c>
      <c r="C1763" s="1">
        <v>8954875884</v>
      </c>
      <c r="D1763" s="6"/>
      <c r="E1763" s="17" t="s">
        <v>96</v>
      </c>
      <c r="F1763" s="65" t="s">
        <v>360</v>
      </c>
      <c r="G1763" s="2" t="s">
        <v>295</v>
      </c>
      <c r="H1763" s="2" t="s">
        <v>361</v>
      </c>
      <c r="I1763" s="37" t="s">
        <v>94</v>
      </c>
      <c r="J1763" s="31">
        <v>45737</v>
      </c>
      <c r="K1763" s="31">
        <v>45746</v>
      </c>
      <c r="L1763" s="31">
        <v>45749</v>
      </c>
      <c r="M1763" s="31">
        <v>45779</v>
      </c>
      <c r="N1763" s="31"/>
      <c r="O1763" s="2" t="s">
        <v>297</v>
      </c>
    </row>
    <row r="1764" spans="1:15">
      <c r="A1764" s="3">
        <f t="shared" si="28"/>
        <v>1763</v>
      </c>
      <c r="B1764" s="65" t="s">
        <v>2965</v>
      </c>
      <c r="C1764" s="1">
        <v>9368396536</v>
      </c>
      <c r="D1764" s="6">
        <v>9918855101</v>
      </c>
      <c r="E1764" s="17" t="s">
        <v>96</v>
      </c>
      <c r="F1764" s="65" t="s">
        <v>360</v>
      </c>
      <c r="G1764" s="2" t="s">
        <v>16</v>
      </c>
      <c r="H1764" s="2" t="s">
        <v>361</v>
      </c>
      <c r="I1764" s="37" t="s">
        <v>94</v>
      </c>
      <c r="J1764" s="31">
        <v>45737</v>
      </c>
      <c r="K1764" s="31">
        <v>45744</v>
      </c>
      <c r="L1764" s="31">
        <v>45751</v>
      </c>
      <c r="M1764" s="31">
        <v>45781</v>
      </c>
      <c r="N1764" s="31">
        <v>45769</v>
      </c>
      <c r="O1764" s="2" t="s">
        <v>297</v>
      </c>
    </row>
    <row r="1765" spans="1:15">
      <c r="A1765" s="3">
        <f t="shared" si="28"/>
        <v>1764</v>
      </c>
      <c r="B1765" s="65" t="s">
        <v>2966</v>
      </c>
      <c r="C1765" s="1">
        <v>9958402977</v>
      </c>
      <c r="D1765" s="6"/>
      <c r="E1765" s="17" t="s">
        <v>96</v>
      </c>
      <c r="F1765" s="65" t="s">
        <v>360</v>
      </c>
      <c r="G1765" s="3" t="s">
        <v>295</v>
      </c>
      <c r="H1765" s="2" t="s">
        <v>361</v>
      </c>
      <c r="I1765" s="37" t="s">
        <v>94</v>
      </c>
      <c r="J1765" s="31">
        <v>45737</v>
      </c>
      <c r="K1765" s="31">
        <v>45744</v>
      </c>
      <c r="L1765" s="31">
        <v>45751</v>
      </c>
      <c r="M1765" s="31">
        <v>45781</v>
      </c>
      <c r="N1765" s="31"/>
      <c r="O1765" s="2" t="s">
        <v>297</v>
      </c>
    </row>
    <row r="1766" spans="1:15">
      <c r="A1766" s="3">
        <f t="shared" si="28"/>
        <v>1765</v>
      </c>
      <c r="B1766" s="65" t="s">
        <v>2967</v>
      </c>
      <c r="C1766" s="1">
        <v>7769079795</v>
      </c>
      <c r="D1766" s="6"/>
      <c r="E1766" s="17" t="s">
        <v>96</v>
      </c>
      <c r="F1766" s="65" t="s">
        <v>360</v>
      </c>
      <c r="G1766" s="2" t="s">
        <v>18</v>
      </c>
      <c r="H1766" s="2" t="s">
        <v>361</v>
      </c>
      <c r="I1766" s="37" t="s">
        <v>94</v>
      </c>
      <c r="J1766" s="31">
        <v>45737</v>
      </c>
      <c r="K1766" s="31">
        <v>45744</v>
      </c>
      <c r="L1766" s="31"/>
      <c r="M1766" s="31"/>
      <c r="N1766" s="31"/>
      <c r="O1766" s="2" t="s">
        <v>297</v>
      </c>
    </row>
    <row r="1767" spans="1:15">
      <c r="A1767" s="3">
        <f t="shared" si="28"/>
        <v>1766</v>
      </c>
      <c r="B1767" s="65" t="s">
        <v>2968</v>
      </c>
      <c r="C1767" s="1">
        <v>7054762454</v>
      </c>
      <c r="D1767" s="6"/>
      <c r="E1767" s="3" t="s">
        <v>99</v>
      </c>
      <c r="F1767" s="65" t="s">
        <v>360</v>
      </c>
      <c r="G1767" s="3" t="s">
        <v>295</v>
      </c>
      <c r="H1767" s="2" t="s">
        <v>361</v>
      </c>
      <c r="I1767" s="37" t="s">
        <v>94</v>
      </c>
      <c r="J1767" s="31">
        <v>45737</v>
      </c>
      <c r="K1767" s="31">
        <v>45744</v>
      </c>
      <c r="L1767" s="31">
        <v>45751</v>
      </c>
      <c r="M1767" s="31">
        <v>45781</v>
      </c>
      <c r="N1767" s="31"/>
      <c r="O1767" s="2" t="s">
        <v>297</v>
      </c>
    </row>
    <row r="1768" spans="1:15">
      <c r="A1768" s="3">
        <f t="shared" si="28"/>
        <v>1767</v>
      </c>
      <c r="B1768" s="65" t="s">
        <v>2969</v>
      </c>
      <c r="C1768" s="1">
        <v>7566122233</v>
      </c>
      <c r="D1768" s="6"/>
      <c r="E1768" s="3" t="s">
        <v>99</v>
      </c>
      <c r="F1768" s="65" t="s">
        <v>360</v>
      </c>
      <c r="G1768" s="2" t="s">
        <v>16</v>
      </c>
      <c r="H1768" s="2" t="s">
        <v>361</v>
      </c>
      <c r="I1768" s="37" t="s">
        <v>94</v>
      </c>
      <c r="J1768" s="31">
        <v>45737</v>
      </c>
      <c r="K1768" s="31">
        <v>45744</v>
      </c>
      <c r="L1768" s="31">
        <v>45758</v>
      </c>
      <c r="M1768" s="31">
        <v>45788</v>
      </c>
      <c r="N1768" s="31">
        <v>45789</v>
      </c>
      <c r="O1768" s="2" t="s">
        <v>297</v>
      </c>
    </row>
    <row r="1769" spans="1:15">
      <c r="A1769" s="3">
        <f t="shared" si="28"/>
        <v>1768</v>
      </c>
      <c r="B1769" s="65" t="s">
        <v>2970</v>
      </c>
      <c r="C1769" s="1">
        <v>8827704412</v>
      </c>
      <c r="D1769" s="6"/>
      <c r="E1769" s="3" t="s">
        <v>82</v>
      </c>
      <c r="F1769" s="65" t="s">
        <v>308</v>
      </c>
      <c r="G1769" s="2" t="s">
        <v>416</v>
      </c>
      <c r="H1769" s="2" t="s">
        <v>752</v>
      </c>
      <c r="I1769" s="37" t="s">
        <v>94</v>
      </c>
      <c r="J1769" s="31">
        <v>45737</v>
      </c>
      <c r="K1769" s="31">
        <v>45750</v>
      </c>
      <c r="L1769" s="31"/>
      <c r="M1769" s="31"/>
      <c r="N1769" s="31"/>
      <c r="O1769" s="2" t="s">
        <v>297</v>
      </c>
    </row>
    <row r="1770" spans="1:15">
      <c r="A1770" s="3">
        <f t="shared" si="28"/>
        <v>1769</v>
      </c>
      <c r="B1770" s="65" t="s">
        <v>2971</v>
      </c>
      <c r="C1770" s="1">
        <v>6287656365</v>
      </c>
      <c r="D1770" s="6"/>
      <c r="E1770" s="3" t="s">
        <v>82</v>
      </c>
      <c r="F1770" s="65" t="s">
        <v>308</v>
      </c>
      <c r="G1770" s="2" t="s">
        <v>16</v>
      </c>
      <c r="H1770" s="2" t="s">
        <v>752</v>
      </c>
      <c r="I1770" s="37" t="s">
        <v>94</v>
      </c>
      <c r="J1770" s="31">
        <v>45737</v>
      </c>
      <c r="K1770" s="31">
        <v>45749</v>
      </c>
      <c r="L1770" s="31">
        <v>45758</v>
      </c>
      <c r="M1770" s="31">
        <v>45788</v>
      </c>
      <c r="N1770" s="31">
        <v>45790</v>
      </c>
      <c r="O1770" s="2" t="s">
        <v>297</v>
      </c>
    </row>
    <row r="1771" spans="1:15">
      <c r="A1771" s="3">
        <f t="shared" si="28"/>
        <v>1770</v>
      </c>
      <c r="B1771" s="65" t="s">
        <v>1524</v>
      </c>
      <c r="C1771" s="1">
        <v>9565237841</v>
      </c>
      <c r="D1771" s="6"/>
      <c r="E1771" s="3" t="s">
        <v>82</v>
      </c>
      <c r="F1771" s="65" t="s">
        <v>308</v>
      </c>
      <c r="G1771" s="2" t="s">
        <v>416</v>
      </c>
      <c r="H1771" s="2" t="s">
        <v>752</v>
      </c>
      <c r="I1771" s="37" t="s">
        <v>94</v>
      </c>
      <c r="J1771" s="31">
        <v>45737</v>
      </c>
      <c r="K1771" s="31">
        <v>45749</v>
      </c>
      <c r="L1771" s="31"/>
      <c r="M1771" s="31"/>
      <c r="N1771" s="31"/>
      <c r="O1771" s="2" t="s">
        <v>297</v>
      </c>
    </row>
    <row r="1772" spans="1:15">
      <c r="A1772" s="3">
        <f t="shared" si="28"/>
        <v>1771</v>
      </c>
      <c r="B1772" s="65" t="s">
        <v>2972</v>
      </c>
      <c r="C1772" s="1">
        <v>7981227620</v>
      </c>
      <c r="D1772" s="6"/>
      <c r="E1772" s="3" t="s">
        <v>82</v>
      </c>
      <c r="F1772" s="65" t="s">
        <v>308</v>
      </c>
      <c r="G1772" s="2" t="s">
        <v>330</v>
      </c>
      <c r="H1772" s="2" t="s">
        <v>752</v>
      </c>
      <c r="I1772" s="37" t="s">
        <v>94</v>
      </c>
      <c r="J1772" s="31">
        <v>45737</v>
      </c>
      <c r="K1772" s="31">
        <v>45750</v>
      </c>
      <c r="L1772" s="31">
        <v>45763</v>
      </c>
      <c r="M1772" s="31">
        <v>45813</v>
      </c>
      <c r="N1772" s="31">
        <v>45818</v>
      </c>
      <c r="O1772" s="2" t="s">
        <v>297</v>
      </c>
    </row>
    <row r="1773" spans="1:15">
      <c r="A1773" s="3">
        <f t="shared" si="28"/>
        <v>1772</v>
      </c>
      <c r="B1773" s="65" t="s">
        <v>2973</v>
      </c>
      <c r="C1773" s="1">
        <v>8839721415</v>
      </c>
      <c r="D1773" s="6"/>
      <c r="E1773" s="3" t="s">
        <v>82</v>
      </c>
      <c r="F1773" s="65" t="s">
        <v>308</v>
      </c>
      <c r="G1773" s="2" t="s">
        <v>416</v>
      </c>
      <c r="H1773" s="2" t="s">
        <v>752</v>
      </c>
      <c r="I1773" s="37" t="s">
        <v>94</v>
      </c>
      <c r="J1773" s="31">
        <v>45737</v>
      </c>
      <c r="K1773" s="31">
        <v>45750</v>
      </c>
      <c r="L1773" s="31"/>
      <c r="M1773" s="31"/>
      <c r="N1773" s="31"/>
      <c r="O1773" s="2" t="s">
        <v>297</v>
      </c>
    </row>
    <row r="1774" spans="1:15">
      <c r="A1774" s="3">
        <f t="shared" si="28"/>
        <v>1773</v>
      </c>
      <c r="B1774" s="65" t="s">
        <v>2974</v>
      </c>
      <c r="C1774" s="1">
        <v>7893367882</v>
      </c>
      <c r="D1774" s="6"/>
      <c r="E1774" s="3" t="s">
        <v>82</v>
      </c>
      <c r="F1774" s="65" t="s">
        <v>308</v>
      </c>
      <c r="G1774" s="2" t="s">
        <v>16</v>
      </c>
      <c r="H1774" s="2" t="s">
        <v>752</v>
      </c>
      <c r="I1774" s="37" t="s">
        <v>94</v>
      </c>
      <c r="J1774" s="31">
        <v>45737</v>
      </c>
      <c r="K1774" s="31">
        <v>45750</v>
      </c>
      <c r="L1774" s="31">
        <v>45758</v>
      </c>
      <c r="M1774" s="31">
        <v>45813</v>
      </c>
      <c r="N1774" s="31">
        <v>45817</v>
      </c>
      <c r="O1774" s="2" t="s">
        <v>297</v>
      </c>
    </row>
    <row r="1775" spans="1:15">
      <c r="A1775" s="3">
        <f t="shared" si="28"/>
        <v>1774</v>
      </c>
      <c r="B1775" s="65" t="s">
        <v>2975</v>
      </c>
      <c r="C1775" s="1">
        <v>9321218816</v>
      </c>
      <c r="D1775" s="6"/>
      <c r="E1775" s="3" t="s">
        <v>82</v>
      </c>
      <c r="F1775" s="65" t="s">
        <v>308</v>
      </c>
      <c r="G1775" s="2" t="s">
        <v>416</v>
      </c>
      <c r="H1775" s="2" t="s">
        <v>752</v>
      </c>
      <c r="I1775" s="37" t="s">
        <v>94</v>
      </c>
      <c r="J1775" s="31">
        <v>45737</v>
      </c>
      <c r="K1775" s="31">
        <v>45750</v>
      </c>
      <c r="L1775" s="31"/>
      <c r="M1775" s="31"/>
      <c r="N1775" s="31"/>
      <c r="O1775" s="2" t="s">
        <v>297</v>
      </c>
    </row>
    <row r="1776" spans="1:15">
      <c r="A1776" s="3">
        <f t="shared" si="28"/>
        <v>1775</v>
      </c>
      <c r="B1776" s="65" t="s">
        <v>2976</v>
      </c>
      <c r="C1776" s="1">
        <v>6370119711</v>
      </c>
      <c r="D1776" s="6"/>
      <c r="E1776" s="3" t="s">
        <v>82</v>
      </c>
      <c r="F1776" s="65" t="s">
        <v>419</v>
      </c>
      <c r="G1776" s="2" t="s">
        <v>16</v>
      </c>
      <c r="H1776" s="2" t="s">
        <v>752</v>
      </c>
      <c r="I1776" s="37" t="s">
        <v>94</v>
      </c>
      <c r="J1776" s="31">
        <v>45737</v>
      </c>
      <c r="K1776" s="31">
        <v>45750</v>
      </c>
      <c r="L1776" s="31">
        <v>45751</v>
      </c>
      <c r="M1776" s="31">
        <v>45782</v>
      </c>
      <c r="N1776" s="31">
        <v>45782</v>
      </c>
      <c r="O1776" s="2" t="s">
        <v>297</v>
      </c>
    </row>
    <row r="1777" spans="1:15">
      <c r="A1777" s="3">
        <f t="shared" si="28"/>
        <v>1776</v>
      </c>
      <c r="B1777" s="65" t="s">
        <v>2977</v>
      </c>
      <c r="C1777" s="1">
        <v>6206435234</v>
      </c>
      <c r="D1777" s="6"/>
      <c r="E1777" s="3" t="s">
        <v>82</v>
      </c>
      <c r="F1777" s="65" t="s">
        <v>308</v>
      </c>
      <c r="G1777" s="2" t="s">
        <v>16</v>
      </c>
      <c r="H1777" s="2" t="s">
        <v>752</v>
      </c>
      <c r="I1777" s="37" t="s">
        <v>94</v>
      </c>
      <c r="J1777" s="31">
        <v>45737</v>
      </c>
      <c r="K1777" s="31">
        <v>45750</v>
      </c>
      <c r="L1777" s="31">
        <v>45751</v>
      </c>
      <c r="M1777" s="31">
        <v>45792</v>
      </c>
      <c r="N1777" s="31">
        <v>45792</v>
      </c>
      <c r="O1777" s="2" t="s">
        <v>297</v>
      </c>
    </row>
    <row r="1778" spans="1:15">
      <c r="A1778" s="3">
        <f t="shared" si="28"/>
        <v>1777</v>
      </c>
      <c r="B1778" s="65" t="s">
        <v>2978</v>
      </c>
      <c r="C1778" s="1">
        <v>8754518587</v>
      </c>
      <c r="D1778" s="6"/>
      <c r="E1778" s="3" t="s">
        <v>82</v>
      </c>
      <c r="F1778" s="65" t="s">
        <v>308</v>
      </c>
      <c r="G1778" s="3" t="s">
        <v>16</v>
      </c>
      <c r="H1778" s="2" t="s">
        <v>752</v>
      </c>
      <c r="I1778" s="37" t="s">
        <v>94</v>
      </c>
      <c r="J1778" s="31">
        <v>45737</v>
      </c>
      <c r="K1778" s="31">
        <v>45750</v>
      </c>
      <c r="L1778" s="31">
        <v>45758</v>
      </c>
      <c r="M1778" s="31">
        <v>45788</v>
      </c>
      <c r="N1778" s="31">
        <v>45796</v>
      </c>
      <c r="O1778" s="2" t="s">
        <v>297</v>
      </c>
    </row>
    <row r="1779" spans="1:15">
      <c r="A1779" s="3">
        <f t="shared" ref="A1779:A1842" si="29">ROW()-1</f>
        <v>1778</v>
      </c>
      <c r="B1779" s="65" t="s">
        <v>2979</v>
      </c>
      <c r="C1779" s="1">
        <v>8637374282</v>
      </c>
      <c r="D1779" s="6"/>
      <c r="E1779" s="3" t="s">
        <v>82</v>
      </c>
      <c r="F1779" s="65" t="s">
        <v>308</v>
      </c>
      <c r="G1779" s="2" t="s">
        <v>416</v>
      </c>
      <c r="H1779" s="2" t="s">
        <v>752</v>
      </c>
      <c r="I1779" s="37" t="s">
        <v>94</v>
      </c>
      <c r="J1779" s="31">
        <v>45737</v>
      </c>
      <c r="K1779" s="31">
        <v>45750</v>
      </c>
      <c r="L1779" s="31"/>
      <c r="M1779" s="31"/>
      <c r="N1779" s="31"/>
      <c r="O1779" s="2" t="s">
        <v>297</v>
      </c>
    </row>
    <row r="1780" spans="1:15">
      <c r="A1780" s="3">
        <f t="shared" si="29"/>
        <v>1779</v>
      </c>
      <c r="B1780" s="65" t="s">
        <v>2980</v>
      </c>
      <c r="C1780" s="1">
        <v>7699181048</v>
      </c>
      <c r="D1780" s="6"/>
      <c r="E1780" s="17" t="s">
        <v>1462</v>
      </c>
      <c r="F1780" s="65" t="s">
        <v>1452</v>
      </c>
      <c r="G1780" s="2" t="s">
        <v>295</v>
      </c>
      <c r="H1780" s="2" t="s">
        <v>1463</v>
      </c>
      <c r="I1780" s="37" t="s">
        <v>88</v>
      </c>
      <c r="J1780" s="31">
        <v>45736</v>
      </c>
      <c r="K1780" s="31">
        <v>45736</v>
      </c>
      <c r="L1780" s="31">
        <v>45737</v>
      </c>
      <c r="M1780" s="31">
        <v>45768</v>
      </c>
      <c r="N1780" s="31"/>
      <c r="O1780" s="2" t="s">
        <v>297</v>
      </c>
    </row>
    <row r="1781" spans="1:15">
      <c r="A1781" s="3">
        <f t="shared" si="29"/>
        <v>1780</v>
      </c>
      <c r="B1781" s="65" t="s">
        <v>2981</v>
      </c>
      <c r="C1781" s="1">
        <v>7995377671</v>
      </c>
      <c r="D1781" s="6"/>
      <c r="E1781" s="3" t="s">
        <v>151</v>
      </c>
      <c r="F1781" s="65" t="s">
        <v>1535</v>
      </c>
      <c r="G1781" s="2" t="s">
        <v>16</v>
      </c>
      <c r="H1781" s="2" t="s">
        <v>88</v>
      </c>
      <c r="I1781" s="37" t="s">
        <v>88</v>
      </c>
      <c r="J1781" s="31">
        <v>45736</v>
      </c>
      <c r="K1781" s="31">
        <v>45736</v>
      </c>
      <c r="L1781" s="31">
        <v>45737</v>
      </c>
      <c r="M1781" s="31">
        <v>45768</v>
      </c>
      <c r="N1781" s="31">
        <v>45768</v>
      </c>
      <c r="O1781" s="2" t="s">
        <v>297</v>
      </c>
    </row>
    <row r="1782" spans="1:15">
      <c r="A1782" s="3">
        <f t="shared" si="29"/>
        <v>1781</v>
      </c>
      <c r="B1782" s="65" t="s">
        <v>2982</v>
      </c>
      <c r="C1782" s="1">
        <v>9866533240</v>
      </c>
      <c r="D1782" s="6">
        <v>8341599649</v>
      </c>
      <c r="E1782" s="17" t="s">
        <v>2179</v>
      </c>
      <c r="F1782" s="65" t="s">
        <v>278</v>
      </c>
      <c r="G1782" s="2" t="s">
        <v>16</v>
      </c>
      <c r="H1782" s="2" t="s">
        <v>296</v>
      </c>
      <c r="I1782" s="37" t="s">
        <v>88</v>
      </c>
      <c r="J1782" s="31">
        <v>45736</v>
      </c>
      <c r="K1782" s="31">
        <v>45736</v>
      </c>
      <c r="L1782" s="31">
        <v>45737</v>
      </c>
      <c r="M1782" s="31">
        <v>45768</v>
      </c>
      <c r="N1782" s="31">
        <v>45768</v>
      </c>
      <c r="O1782" s="2" t="s">
        <v>297</v>
      </c>
    </row>
    <row r="1783" spans="1:15">
      <c r="A1783" s="3">
        <f t="shared" si="29"/>
        <v>1782</v>
      </c>
      <c r="B1783" s="65" t="s">
        <v>2983</v>
      </c>
      <c r="C1783" s="1">
        <v>9959888808</v>
      </c>
      <c r="D1783" s="6"/>
      <c r="E1783" s="3" t="s">
        <v>48</v>
      </c>
      <c r="F1783" s="65" t="s">
        <v>2984</v>
      </c>
      <c r="G1783" s="2" t="s">
        <v>424</v>
      </c>
      <c r="H1783" s="2" t="s">
        <v>660</v>
      </c>
      <c r="I1783" s="37" t="s">
        <v>42</v>
      </c>
      <c r="J1783" s="31">
        <v>45737</v>
      </c>
      <c r="K1783" s="31">
        <v>45763</v>
      </c>
      <c r="L1783" s="31"/>
      <c r="M1783" s="31"/>
      <c r="N1783" s="31"/>
      <c r="O1783" s="2" t="s">
        <v>425</v>
      </c>
    </row>
    <row r="1784" spans="1:15">
      <c r="A1784" s="3">
        <f t="shared" si="29"/>
        <v>1783</v>
      </c>
      <c r="B1784" s="65" t="s">
        <v>2985</v>
      </c>
      <c r="C1784" s="1">
        <v>7718266049</v>
      </c>
      <c r="D1784" s="6"/>
      <c r="E1784" s="3" t="s">
        <v>90</v>
      </c>
      <c r="F1784" s="65" t="s">
        <v>294</v>
      </c>
      <c r="G1784" s="2" t="s">
        <v>424</v>
      </c>
      <c r="H1784" s="2" t="s">
        <v>1432</v>
      </c>
      <c r="I1784" s="37" t="s">
        <v>88</v>
      </c>
      <c r="J1784" s="31">
        <v>45737</v>
      </c>
      <c r="K1784" s="31">
        <v>45748</v>
      </c>
      <c r="L1784" s="31"/>
      <c r="M1784" s="31"/>
      <c r="N1784" s="31"/>
      <c r="O1784" s="2" t="s">
        <v>749</v>
      </c>
    </row>
    <row r="1785" spans="1:15">
      <c r="A1785" s="3">
        <f t="shared" si="29"/>
        <v>1784</v>
      </c>
      <c r="B1785" s="65" t="s">
        <v>2986</v>
      </c>
      <c r="C1785" s="1">
        <v>9720207310</v>
      </c>
      <c r="D1785" s="6"/>
      <c r="E1785" s="3" t="s">
        <v>90</v>
      </c>
      <c r="F1785" s="65" t="s">
        <v>294</v>
      </c>
      <c r="G1785" s="2" t="s">
        <v>416</v>
      </c>
      <c r="H1785" s="2" t="s">
        <v>1432</v>
      </c>
      <c r="I1785" s="37" t="s">
        <v>88</v>
      </c>
      <c r="J1785" s="31">
        <v>45737</v>
      </c>
      <c r="K1785" s="31">
        <v>45748</v>
      </c>
      <c r="L1785" s="31"/>
      <c r="M1785" s="31"/>
      <c r="N1785" s="31"/>
      <c r="O1785" s="2" t="s">
        <v>297</v>
      </c>
    </row>
    <row r="1786" spans="1:15">
      <c r="A1786" s="3">
        <f t="shared" si="29"/>
        <v>1785</v>
      </c>
      <c r="B1786" s="65" t="s">
        <v>2987</v>
      </c>
      <c r="C1786" s="1">
        <v>9893131886</v>
      </c>
      <c r="D1786" s="6"/>
      <c r="E1786" s="3" t="s">
        <v>90</v>
      </c>
      <c r="F1786" s="65" t="s">
        <v>294</v>
      </c>
      <c r="G1786" s="3" t="s">
        <v>416</v>
      </c>
      <c r="H1786" s="2" t="s">
        <v>1432</v>
      </c>
      <c r="I1786" s="37" t="s">
        <v>88</v>
      </c>
      <c r="J1786" s="31">
        <v>45737</v>
      </c>
      <c r="K1786" s="31">
        <v>45747</v>
      </c>
      <c r="L1786" s="31"/>
      <c r="M1786" s="31"/>
      <c r="N1786" s="31"/>
      <c r="O1786" s="2" t="s">
        <v>297</v>
      </c>
    </row>
    <row r="1787" spans="1:15">
      <c r="A1787" s="3">
        <f t="shared" si="29"/>
        <v>1786</v>
      </c>
      <c r="B1787" s="65" t="s">
        <v>2988</v>
      </c>
      <c r="C1787" s="1">
        <v>9766250024</v>
      </c>
      <c r="D1787" s="6"/>
      <c r="E1787" s="3" t="s">
        <v>90</v>
      </c>
      <c r="F1787" s="65" t="s">
        <v>294</v>
      </c>
      <c r="G1787" s="2" t="s">
        <v>424</v>
      </c>
      <c r="H1787" s="2" t="s">
        <v>1432</v>
      </c>
      <c r="I1787" s="37" t="s">
        <v>88</v>
      </c>
      <c r="J1787" s="31">
        <v>45737</v>
      </c>
      <c r="K1787" s="31">
        <v>45748</v>
      </c>
      <c r="L1787" s="31"/>
      <c r="M1787" s="31"/>
      <c r="N1787" s="31"/>
      <c r="O1787" s="2" t="s">
        <v>425</v>
      </c>
    </row>
    <row r="1788" spans="1:15">
      <c r="A1788" s="3">
        <f t="shared" si="29"/>
        <v>1787</v>
      </c>
      <c r="B1788" s="65" t="s">
        <v>2989</v>
      </c>
      <c r="C1788" s="1">
        <v>9932384127</v>
      </c>
      <c r="D1788" s="6"/>
      <c r="E1788" s="3" t="s">
        <v>90</v>
      </c>
      <c r="F1788" s="65" t="s">
        <v>294</v>
      </c>
      <c r="G1788" s="2" t="s">
        <v>295</v>
      </c>
      <c r="H1788" s="2" t="s">
        <v>1432</v>
      </c>
      <c r="I1788" s="37" t="s">
        <v>88</v>
      </c>
      <c r="J1788" s="31">
        <v>45737</v>
      </c>
      <c r="K1788" s="31">
        <v>45748</v>
      </c>
      <c r="L1788" s="31">
        <v>45772</v>
      </c>
      <c r="M1788" s="31">
        <v>45802</v>
      </c>
      <c r="N1788" s="31"/>
      <c r="O1788" s="2" t="s">
        <v>297</v>
      </c>
    </row>
    <row r="1789" spans="1:15">
      <c r="A1789" s="3">
        <f t="shared" si="29"/>
        <v>1788</v>
      </c>
      <c r="B1789" s="65" t="s">
        <v>2990</v>
      </c>
      <c r="C1789" s="1">
        <v>7680025855</v>
      </c>
      <c r="D1789" s="6"/>
      <c r="E1789" s="3" t="s">
        <v>90</v>
      </c>
      <c r="F1789" s="65" t="s">
        <v>294</v>
      </c>
      <c r="G1789" s="2" t="s">
        <v>416</v>
      </c>
      <c r="H1789" s="2" t="s">
        <v>1432</v>
      </c>
      <c r="I1789" s="37" t="s">
        <v>88</v>
      </c>
      <c r="J1789" s="31">
        <v>45737</v>
      </c>
      <c r="K1789" s="31">
        <v>45748</v>
      </c>
      <c r="L1789" s="31"/>
      <c r="M1789" s="31"/>
      <c r="N1789" s="31"/>
      <c r="O1789" s="2" t="s">
        <v>297</v>
      </c>
    </row>
    <row r="1790" spans="1:15">
      <c r="A1790" s="3">
        <f t="shared" si="29"/>
        <v>1789</v>
      </c>
      <c r="B1790" s="65" t="s">
        <v>2991</v>
      </c>
      <c r="C1790" s="1">
        <v>9834077656</v>
      </c>
      <c r="D1790" s="6"/>
      <c r="E1790" s="3" t="s">
        <v>90</v>
      </c>
      <c r="F1790" s="65" t="s">
        <v>294</v>
      </c>
      <c r="G1790" s="2" t="s">
        <v>18</v>
      </c>
      <c r="H1790" s="2" t="s">
        <v>1432</v>
      </c>
      <c r="I1790" s="37" t="s">
        <v>88</v>
      </c>
      <c r="J1790" s="31">
        <v>45737</v>
      </c>
      <c r="K1790" s="31">
        <v>45748</v>
      </c>
      <c r="L1790" s="31"/>
      <c r="M1790" s="31"/>
      <c r="N1790" s="31"/>
      <c r="O1790" s="2" t="s">
        <v>297</v>
      </c>
    </row>
    <row r="1791" spans="1:15">
      <c r="A1791" s="3">
        <f t="shared" si="29"/>
        <v>1790</v>
      </c>
      <c r="B1791" s="65" t="s">
        <v>2992</v>
      </c>
      <c r="C1791" s="1">
        <v>9368635899</v>
      </c>
      <c r="D1791" s="6"/>
      <c r="E1791" s="3" t="s">
        <v>90</v>
      </c>
      <c r="F1791" s="65" t="s">
        <v>294</v>
      </c>
      <c r="G1791" s="2" t="s">
        <v>424</v>
      </c>
      <c r="H1791" s="2" t="s">
        <v>1432</v>
      </c>
      <c r="I1791" s="37" t="s">
        <v>88</v>
      </c>
      <c r="J1791" s="31">
        <v>45737</v>
      </c>
      <c r="K1791" s="31">
        <v>45748</v>
      </c>
      <c r="L1791" s="31"/>
      <c r="M1791" s="31"/>
      <c r="N1791" s="31"/>
      <c r="O1791" s="2" t="s">
        <v>425</v>
      </c>
    </row>
    <row r="1792" spans="1:15">
      <c r="A1792" s="3">
        <f t="shared" si="29"/>
        <v>1791</v>
      </c>
      <c r="B1792" s="65" t="s">
        <v>2993</v>
      </c>
      <c r="C1792" s="1">
        <v>8957520650</v>
      </c>
      <c r="D1792" s="6">
        <v>8584047838</v>
      </c>
      <c r="E1792" s="3" t="s">
        <v>90</v>
      </c>
      <c r="F1792" s="65" t="s">
        <v>294</v>
      </c>
      <c r="G1792" s="2" t="s">
        <v>16</v>
      </c>
      <c r="H1792" s="2" t="s">
        <v>1432</v>
      </c>
      <c r="I1792" s="37" t="s">
        <v>88</v>
      </c>
      <c r="J1792" s="31">
        <v>45737</v>
      </c>
      <c r="K1792" s="31">
        <v>45748</v>
      </c>
      <c r="L1792" s="31">
        <v>45749</v>
      </c>
      <c r="M1792" s="31">
        <v>45779</v>
      </c>
      <c r="N1792" s="31">
        <v>45773</v>
      </c>
      <c r="O1792" s="2" t="s">
        <v>297</v>
      </c>
    </row>
    <row r="1793" spans="1:15">
      <c r="A1793" s="3">
        <f t="shared" si="29"/>
        <v>1792</v>
      </c>
      <c r="B1793" s="65" t="s">
        <v>2994</v>
      </c>
      <c r="C1793" s="1">
        <v>8777435643</v>
      </c>
      <c r="D1793" s="6"/>
      <c r="E1793" s="3" t="s">
        <v>90</v>
      </c>
      <c r="F1793" s="65" t="s">
        <v>294</v>
      </c>
      <c r="G1793" s="2" t="s">
        <v>416</v>
      </c>
      <c r="H1793" s="2" t="s">
        <v>1432</v>
      </c>
      <c r="I1793" s="37" t="s">
        <v>88</v>
      </c>
      <c r="J1793" s="31">
        <v>45737</v>
      </c>
      <c r="K1793" s="31">
        <v>45749</v>
      </c>
      <c r="L1793" s="31"/>
      <c r="M1793" s="31"/>
      <c r="N1793" s="31"/>
      <c r="O1793" s="32" t="s">
        <v>297</v>
      </c>
    </row>
    <row r="1794" spans="1:15">
      <c r="A1794" s="3">
        <f t="shared" si="29"/>
        <v>1793</v>
      </c>
      <c r="B1794" s="65" t="s">
        <v>2995</v>
      </c>
      <c r="C1794" s="1">
        <v>7897913294</v>
      </c>
      <c r="D1794" s="6"/>
      <c r="E1794" s="3" t="s">
        <v>90</v>
      </c>
      <c r="F1794" s="65" t="s">
        <v>294</v>
      </c>
      <c r="G1794" s="2" t="s">
        <v>295</v>
      </c>
      <c r="H1794" s="2" t="s">
        <v>1432</v>
      </c>
      <c r="I1794" s="37" t="s">
        <v>88</v>
      </c>
      <c r="J1794" s="31">
        <v>45737</v>
      </c>
      <c r="K1794" s="31">
        <v>45748</v>
      </c>
      <c r="L1794" s="31">
        <v>45772</v>
      </c>
      <c r="M1794" s="31">
        <v>45802</v>
      </c>
      <c r="N1794" s="31"/>
      <c r="O1794" s="2" t="s">
        <v>297</v>
      </c>
    </row>
    <row r="1795" spans="1:15">
      <c r="A1795" s="3">
        <f t="shared" si="29"/>
        <v>1794</v>
      </c>
      <c r="B1795" s="65" t="s">
        <v>2996</v>
      </c>
      <c r="C1795" s="1">
        <v>8985667404</v>
      </c>
      <c r="D1795" s="6"/>
      <c r="E1795" s="3" t="s">
        <v>90</v>
      </c>
      <c r="F1795" s="65" t="s">
        <v>294</v>
      </c>
      <c r="G1795" s="2" t="s">
        <v>16</v>
      </c>
      <c r="H1795" s="2" t="s">
        <v>1432</v>
      </c>
      <c r="I1795" s="37" t="s">
        <v>42</v>
      </c>
      <c r="J1795" s="31">
        <v>45737</v>
      </c>
      <c r="K1795" s="31">
        <v>45738</v>
      </c>
      <c r="L1795" s="31">
        <v>45744</v>
      </c>
      <c r="M1795" s="31">
        <v>45775</v>
      </c>
      <c r="N1795" s="31">
        <v>45759</v>
      </c>
      <c r="O1795" s="2" t="s">
        <v>297</v>
      </c>
    </row>
    <row r="1796" spans="1:15">
      <c r="A1796" s="3">
        <f t="shared" si="29"/>
        <v>1795</v>
      </c>
      <c r="B1796" s="65" t="s">
        <v>2997</v>
      </c>
      <c r="C1796" s="1">
        <v>9666822086</v>
      </c>
      <c r="D1796" s="6"/>
      <c r="E1796" s="3" t="s">
        <v>90</v>
      </c>
      <c r="F1796" s="65" t="s">
        <v>294</v>
      </c>
      <c r="G1796" s="2" t="s">
        <v>16</v>
      </c>
      <c r="H1796" s="2" t="s">
        <v>1432</v>
      </c>
      <c r="I1796" s="37" t="s">
        <v>42</v>
      </c>
      <c r="J1796" s="31">
        <v>45737</v>
      </c>
      <c r="K1796" s="31">
        <v>45738</v>
      </c>
      <c r="L1796" s="31">
        <v>45743</v>
      </c>
      <c r="M1796" s="31">
        <v>45778</v>
      </c>
      <c r="N1796" s="31">
        <v>45778</v>
      </c>
      <c r="O1796" s="2" t="s">
        <v>297</v>
      </c>
    </row>
    <row r="1797" spans="1:15">
      <c r="A1797" s="3">
        <f t="shared" si="29"/>
        <v>1796</v>
      </c>
      <c r="B1797" s="65" t="s">
        <v>2998</v>
      </c>
      <c r="C1797" s="1">
        <v>8927369404</v>
      </c>
      <c r="D1797" s="6">
        <v>8919951819</v>
      </c>
      <c r="E1797" s="3" t="s">
        <v>90</v>
      </c>
      <c r="F1797" s="65" t="s">
        <v>294</v>
      </c>
      <c r="G1797" s="2" t="s">
        <v>416</v>
      </c>
      <c r="H1797" s="2" t="s">
        <v>1432</v>
      </c>
      <c r="I1797" s="37" t="s">
        <v>42</v>
      </c>
      <c r="J1797" s="31">
        <v>45737</v>
      </c>
      <c r="K1797" s="31">
        <v>45738</v>
      </c>
      <c r="L1797" s="31"/>
      <c r="M1797" s="31"/>
      <c r="N1797" s="31"/>
      <c r="O1797" s="2" t="s">
        <v>297</v>
      </c>
    </row>
    <row r="1798" spans="1:15">
      <c r="A1798" s="3">
        <f t="shared" si="29"/>
        <v>1797</v>
      </c>
      <c r="B1798" s="65" t="s">
        <v>2999</v>
      </c>
      <c r="C1798" s="1">
        <v>7207305715</v>
      </c>
      <c r="D1798" s="6"/>
      <c r="E1798" s="3" t="s">
        <v>56</v>
      </c>
      <c r="F1798" s="65" t="s">
        <v>710</v>
      </c>
      <c r="G1798" s="2" t="s">
        <v>16</v>
      </c>
      <c r="H1798" s="2" t="s">
        <v>660</v>
      </c>
      <c r="I1798" s="37" t="s">
        <v>42</v>
      </c>
      <c r="J1798" s="31">
        <v>45737</v>
      </c>
      <c r="K1798" s="31">
        <v>45744</v>
      </c>
      <c r="L1798" s="31">
        <v>45748</v>
      </c>
      <c r="M1798" s="31">
        <v>45782</v>
      </c>
      <c r="N1798" s="31">
        <v>45784</v>
      </c>
      <c r="O1798" s="2" t="s">
        <v>297</v>
      </c>
    </row>
    <row r="1799" spans="1:15">
      <c r="A1799" s="3">
        <f t="shared" si="29"/>
        <v>1798</v>
      </c>
      <c r="B1799" s="65" t="s">
        <v>3000</v>
      </c>
      <c r="C1799" s="1">
        <v>9542777881</v>
      </c>
      <c r="D1799" s="6">
        <v>8328400000</v>
      </c>
      <c r="E1799" s="3" t="s">
        <v>52</v>
      </c>
      <c r="F1799" s="65" t="s">
        <v>972</v>
      </c>
      <c r="G1799" s="2" t="s">
        <v>764</v>
      </c>
      <c r="H1799" s="2" t="s">
        <v>660</v>
      </c>
      <c r="I1799" s="37" t="s">
        <v>42</v>
      </c>
      <c r="J1799" s="31">
        <v>45737</v>
      </c>
      <c r="K1799" s="31">
        <v>45744</v>
      </c>
      <c r="L1799" s="31"/>
      <c r="M1799" s="31"/>
      <c r="N1799" s="31"/>
      <c r="O1799" s="2" t="s">
        <v>425</v>
      </c>
    </row>
    <row r="1800" spans="1:15">
      <c r="A1800" s="3">
        <f t="shared" si="29"/>
        <v>1799</v>
      </c>
      <c r="B1800" s="65" t="s">
        <v>1229</v>
      </c>
      <c r="C1800" s="1">
        <v>7901383456</v>
      </c>
      <c r="D1800" s="6"/>
      <c r="E1800" s="3" t="s">
        <v>52</v>
      </c>
      <c r="F1800" s="65" t="s">
        <v>972</v>
      </c>
      <c r="G1800" s="2" t="s">
        <v>16</v>
      </c>
      <c r="H1800" s="2" t="s">
        <v>41</v>
      </c>
      <c r="I1800" s="37" t="s">
        <v>42</v>
      </c>
      <c r="J1800" s="31">
        <v>45737</v>
      </c>
      <c r="K1800" s="31">
        <v>45742</v>
      </c>
      <c r="L1800" s="31">
        <v>45743</v>
      </c>
      <c r="M1800" s="31">
        <v>45773</v>
      </c>
      <c r="N1800" s="31">
        <v>45749</v>
      </c>
      <c r="O1800" s="2" t="s">
        <v>297</v>
      </c>
    </row>
    <row r="1801" spans="1:15">
      <c r="A1801" s="3">
        <f t="shared" si="29"/>
        <v>1800</v>
      </c>
      <c r="B1801" s="65" t="s">
        <v>3001</v>
      </c>
      <c r="C1801" s="1">
        <v>8009765161</v>
      </c>
      <c r="D1801" s="6"/>
      <c r="E1801" s="3" t="s">
        <v>90</v>
      </c>
      <c r="F1801" s="65" t="s">
        <v>3002</v>
      </c>
      <c r="G1801" s="2" t="s">
        <v>16</v>
      </c>
      <c r="H1801" s="2" t="s">
        <v>1432</v>
      </c>
      <c r="I1801" s="37" t="s">
        <v>88</v>
      </c>
      <c r="J1801" s="31">
        <v>45733</v>
      </c>
      <c r="K1801" s="31">
        <v>45733</v>
      </c>
      <c r="L1801" s="31">
        <v>45737</v>
      </c>
      <c r="M1801" s="31">
        <v>45769</v>
      </c>
      <c r="N1801" s="31">
        <v>45771</v>
      </c>
      <c r="O1801" s="2" t="s">
        <v>297</v>
      </c>
    </row>
    <row r="1802" spans="1:15">
      <c r="A1802" s="3">
        <f t="shared" si="29"/>
        <v>1801</v>
      </c>
      <c r="B1802" s="120" t="s">
        <v>3003</v>
      </c>
      <c r="C1802" s="1">
        <v>9440123608</v>
      </c>
      <c r="D1802" s="6">
        <v>8788298340</v>
      </c>
      <c r="E1802" s="3" t="s">
        <v>2145</v>
      </c>
      <c r="F1802" s="65" t="s">
        <v>3004</v>
      </c>
      <c r="G1802" s="2" t="s">
        <v>16</v>
      </c>
      <c r="H1802" s="2" t="s">
        <v>296</v>
      </c>
      <c r="I1802" s="37" t="s">
        <v>94</v>
      </c>
      <c r="J1802" s="31">
        <v>45733</v>
      </c>
      <c r="K1802" s="31">
        <v>45733</v>
      </c>
      <c r="L1802" s="31">
        <v>45737</v>
      </c>
      <c r="M1802" s="31">
        <v>45757</v>
      </c>
      <c r="N1802" s="31">
        <v>45757</v>
      </c>
      <c r="O1802" s="2" t="s">
        <v>297</v>
      </c>
    </row>
    <row r="1803" spans="1:15">
      <c r="A1803" s="3">
        <f t="shared" si="29"/>
        <v>1802</v>
      </c>
      <c r="B1803" s="65" t="s">
        <v>3005</v>
      </c>
      <c r="C1803" s="1">
        <v>8122335446</v>
      </c>
      <c r="D1803" s="6"/>
      <c r="E1803" s="36" t="s">
        <v>113</v>
      </c>
      <c r="F1803" s="65" t="s">
        <v>1236</v>
      </c>
      <c r="G1803" s="2" t="s">
        <v>16</v>
      </c>
      <c r="H1803" s="2" t="s">
        <v>102</v>
      </c>
      <c r="I1803" s="37" t="s">
        <v>42</v>
      </c>
      <c r="J1803" s="31">
        <v>45737</v>
      </c>
      <c r="K1803" s="31">
        <v>45740</v>
      </c>
      <c r="L1803" s="31">
        <v>45743</v>
      </c>
      <c r="M1803" s="31">
        <v>45773</v>
      </c>
      <c r="N1803" s="31">
        <v>45761</v>
      </c>
      <c r="O1803" s="2" t="s">
        <v>297</v>
      </c>
    </row>
    <row r="1804" spans="1:15">
      <c r="A1804" s="3">
        <f t="shared" si="29"/>
        <v>1803</v>
      </c>
      <c r="B1804" s="65" t="s">
        <v>3006</v>
      </c>
      <c r="C1804" s="1">
        <v>9014702070</v>
      </c>
      <c r="D1804" s="6"/>
      <c r="E1804" s="36" t="s">
        <v>110</v>
      </c>
      <c r="F1804" s="65" t="s">
        <v>308</v>
      </c>
      <c r="G1804" s="2" t="s">
        <v>16</v>
      </c>
      <c r="H1804" s="2" t="s">
        <v>102</v>
      </c>
      <c r="I1804" s="37" t="s">
        <v>42</v>
      </c>
      <c r="J1804" s="31">
        <v>45737</v>
      </c>
      <c r="K1804" s="31">
        <v>45740</v>
      </c>
      <c r="L1804" s="31">
        <v>45744</v>
      </c>
      <c r="M1804" s="31">
        <v>45759</v>
      </c>
      <c r="N1804" s="31">
        <v>45757</v>
      </c>
      <c r="O1804" s="2" t="s">
        <v>297</v>
      </c>
    </row>
    <row r="1805" spans="1:15">
      <c r="A1805" s="3">
        <f t="shared" si="29"/>
        <v>1804</v>
      </c>
      <c r="B1805" s="65" t="s">
        <v>3007</v>
      </c>
      <c r="C1805" s="1">
        <v>8688162098</v>
      </c>
      <c r="D1805" s="6"/>
      <c r="E1805" s="3" t="s">
        <v>107</v>
      </c>
      <c r="F1805" s="65" t="s">
        <v>3008</v>
      </c>
      <c r="G1805" s="2" t="s">
        <v>16</v>
      </c>
      <c r="H1805" s="2" t="s">
        <v>102</v>
      </c>
      <c r="I1805" s="37" t="s">
        <v>42</v>
      </c>
      <c r="J1805" s="31">
        <v>45737</v>
      </c>
      <c r="K1805" s="31">
        <v>45740</v>
      </c>
      <c r="L1805" s="31">
        <v>45743</v>
      </c>
      <c r="M1805" s="31">
        <v>45764</v>
      </c>
      <c r="N1805" s="31">
        <v>45761</v>
      </c>
      <c r="O1805" s="2" t="s">
        <v>297</v>
      </c>
    </row>
    <row r="1806" spans="1:15">
      <c r="A1806" s="3">
        <f t="shared" si="29"/>
        <v>1805</v>
      </c>
      <c r="B1806" s="65" t="s">
        <v>3009</v>
      </c>
      <c r="C1806" s="1">
        <v>6304920673</v>
      </c>
      <c r="D1806" s="6"/>
      <c r="E1806" s="36" t="s">
        <v>110</v>
      </c>
      <c r="F1806" s="65" t="s">
        <v>308</v>
      </c>
      <c r="G1806" s="2" t="s">
        <v>16</v>
      </c>
      <c r="H1806" s="2" t="s">
        <v>102</v>
      </c>
      <c r="I1806" s="37" t="s">
        <v>42</v>
      </c>
      <c r="J1806" s="31">
        <v>45737</v>
      </c>
      <c r="K1806" s="31">
        <v>45740</v>
      </c>
      <c r="L1806" s="31">
        <v>45743</v>
      </c>
      <c r="M1806" s="31">
        <v>45775</v>
      </c>
      <c r="N1806" s="31">
        <v>45771</v>
      </c>
      <c r="O1806" s="2" t="s">
        <v>297</v>
      </c>
    </row>
    <row r="1807" spans="1:15">
      <c r="A1807" s="3">
        <f t="shared" si="29"/>
        <v>1806</v>
      </c>
      <c r="B1807" s="65" t="s">
        <v>3010</v>
      </c>
      <c r="C1807" s="1">
        <v>8978751769</v>
      </c>
      <c r="D1807" s="6"/>
      <c r="E1807" s="36" t="s">
        <v>110</v>
      </c>
      <c r="F1807" s="65" t="s">
        <v>308</v>
      </c>
      <c r="G1807" s="2" t="s">
        <v>16</v>
      </c>
      <c r="H1807" s="2" t="s">
        <v>102</v>
      </c>
      <c r="I1807" s="37" t="s">
        <v>42</v>
      </c>
      <c r="J1807" s="31">
        <v>45737</v>
      </c>
      <c r="K1807" s="31">
        <v>45742</v>
      </c>
      <c r="L1807" s="31">
        <v>45744</v>
      </c>
      <c r="M1807" s="31">
        <v>45762</v>
      </c>
      <c r="N1807" s="31">
        <v>45761</v>
      </c>
      <c r="O1807" s="2" t="s">
        <v>297</v>
      </c>
    </row>
    <row r="1808" spans="1:15">
      <c r="A1808" s="3">
        <f t="shared" si="29"/>
        <v>1807</v>
      </c>
      <c r="B1808" s="65" t="s">
        <v>3011</v>
      </c>
      <c r="C1808" s="1">
        <v>9949803585</v>
      </c>
      <c r="D1808" s="6">
        <v>9959228480</v>
      </c>
      <c r="E1808" s="3" t="s">
        <v>107</v>
      </c>
      <c r="F1808" s="65" t="s">
        <v>3012</v>
      </c>
      <c r="G1808" s="2" t="s">
        <v>16</v>
      </c>
      <c r="H1808" s="2" t="s">
        <v>102</v>
      </c>
      <c r="I1808" s="37" t="s">
        <v>42</v>
      </c>
      <c r="J1808" s="31">
        <v>45737</v>
      </c>
      <c r="K1808" s="31">
        <v>45740</v>
      </c>
      <c r="L1808" s="31">
        <v>45748</v>
      </c>
      <c r="M1808" s="31">
        <v>45778</v>
      </c>
      <c r="N1808" s="31">
        <v>45768</v>
      </c>
      <c r="O1808" s="2" t="s">
        <v>297</v>
      </c>
    </row>
    <row r="1809" spans="1:15">
      <c r="A1809" s="3">
        <f t="shared" si="29"/>
        <v>1808</v>
      </c>
      <c r="B1809" s="65" t="s">
        <v>3013</v>
      </c>
      <c r="C1809" s="1">
        <v>8870713737</v>
      </c>
      <c r="D1809" s="6"/>
      <c r="E1809" s="3" t="s">
        <v>85</v>
      </c>
      <c r="F1809" s="65" t="s">
        <v>3012</v>
      </c>
      <c r="G1809" s="2" t="s">
        <v>295</v>
      </c>
      <c r="H1809" s="2" t="s">
        <v>102</v>
      </c>
      <c r="I1809" s="37" t="s">
        <v>42</v>
      </c>
      <c r="J1809" s="31">
        <v>45737</v>
      </c>
      <c r="K1809" s="31">
        <v>45740</v>
      </c>
      <c r="L1809" s="31">
        <v>45748</v>
      </c>
      <c r="M1809" s="31">
        <v>45785</v>
      </c>
      <c r="N1809" s="31"/>
      <c r="O1809" s="2" t="s">
        <v>297</v>
      </c>
    </row>
    <row r="1810" spans="1:15">
      <c r="A1810" s="3">
        <f t="shared" si="29"/>
        <v>1809</v>
      </c>
      <c r="B1810" s="65" t="s">
        <v>3014</v>
      </c>
      <c r="C1810" s="1">
        <v>7674803374</v>
      </c>
      <c r="D1810" s="6"/>
      <c r="E1810" s="36" t="s">
        <v>113</v>
      </c>
      <c r="F1810" s="65" t="s">
        <v>319</v>
      </c>
      <c r="G1810" s="2" t="s">
        <v>764</v>
      </c>
      <c r="H1810" s="2" t="s">
        <v>102</v>
      </c>
      <c r="I1810" s="37" t="s">
        <v>42</v>
      </c>
      <c r="J1810" s="31">
        <v>45737</v>
      </c>
      <c r="K1810" s="31">
        <v>45740</v>
      </c>
      <c r="L1810" s="31"/>
      <c r="M1810" s="31"/>
      <c r="N1810" s="31"/>
      <c r="O1810" s="2" t="s">
        <v>425</v>
      </c>
    </row>
    <row r="1811" spans="1:15">
      <c r="A1811" s="3">
        <f t="shared" si="29"/>
        <v>1810</v>
      </c>
      <c r="B1811" s="65" t="s">
        <v>3015</v>
      </c>
      <c r="C1811" s="1">
        <v>7330619771</v>
      </c>
      <c r="D1811" s="6"/>
      <c r="E1811" s="17" t="s">
        <v>3016</v>
      </c>
      <c r="F1811" s="65"/>
      <c r="G1811" s="2" t="s">
        <v>16</v>
      </c>
      <c r="H1811" s="2" t="s">
        <v>296</v>
      </c>
      <c r="I1811" s="37" t="s">
        <v>88</v>
      </c>
      <c r="J1811" s="31">
        <v>45740</v>
      </c>
      <c r="K1811" s="31">
        <v>45740</v>
      </c>
      <c r="L1811" s="31">
        <v>45741</v>
      </c>
      <c r="M1811" s="31">
        <v>45773</v>
      </c>
      <c r="N1811" s="31">
        <v>45772</v>
      </c>
      <c r="O1811" s="2" t="s">
        <v>297</v>
      </c>
    </row>
    <row r="1812" spans="1:15">
      <c r="A1812" s="3">
        <f t="shared" si="29"/>
        <v>1811</v>
      </c>
      <c r="B1812" s="65" t="s">
        <v>3017</v>
      </c>
      <c r="C1812" s="1">
        <v>7751020603</v>
      </c>
      <c r="D1812" s="6"/>
      <c r="E1812" s="3" t="s">
        <v>141</v>
      </c>
      <c r="F1812" s="65" t="s">
        <v>3018</v>
      </c>
      <c r="G1812" s="2" t="s">
        <v>295</v>
      </c>
      <c r="H1812" s="2" t="s">
        <v>815</v>
      </c>
      <c r="I1812" s="37" t="s">
        <v>88</v>
      </c>
      <c r="J1812" s="31">
        <v>45740</v>
      </c>
      <c r="K1812" s="31">
        <v>45741</v>
      </c>
      <c r="L1812" s="31">
        <v>45743</v>
      </c>
      <c r="M1812" s="31">
        <v>45773</v>
      </c>
      <c r="N1812" s="31"/>
      <c r="O1812" s="2" t="s">
        <v>297</v>
      </c>
    </row>
    <row r="1813" spans="1:15">
      <c r="A1813" s="3">
        <f t="shared" si="29"/>
        <v>1812</v>
      </c>
      <c r="B1813" s="65" t="s">
        <v>3019</v>
      </c>
      <c r="C1813" s="1">
        <v>9182427899</v>
      </c>
      <c r="D1813" s="6"/>
      <c r="E1813" s="3" t="s">
        <v>141</v>
      </c>
      <c r="F1813" s="65" t="s">
        <v>3020</v>
      </c>
      <c r="G1813" s="2" t="s">
        <v>764</v>
      </c>
      <c r="H1813" s="2" t="s">
        <v>815</v>
      </c>
      <c r="I1813" s="37" t="s">
        <v>88</v>
      </c>
      <c r="J1813" s="31">
        <v>45740</v>
      </c>
      <c r="K1813" s="31">
        <v>45741</v>
      </c>
      <c r="L1813" s="31"/>
      <c r="M1813" s="31"/>
      <c r="N1813" s="31"/>
      <c r="O1813" s="2" t="s">
        <v>425</v>
      </c>
    </row>
    <row r="1814" spans="1:15">
      <c r="A1814" s="3">
        <f t="shared" si="29"/>
        <v>1813</v>
      </c>
      <c r="B1814" s="65" t="s">
        <v>3021</v>
      </c>
      <c r="C1814" s="1">
        <v>8519915083</v>
      </c>
      <c r="D1814" s="6"/>
      <c r="E1814" s="3" t="s">
        <v>141</v>
      </c>
      <c r="F1814" s="65" t="s">
        <v>1555</v>
      </c>
      <c r="G1814" s="2" t="s">
        <v>764</v>
      </c>
      <c r="H1814" s="2" t="s">
        <v>815</v>
      </c>
      <c r="I1814" s="37" t="s">
        <v>88</v>
      </c>
      <c r="J1814" s="31">
        <v>45740</v>
      </c>
      <c r="K1814" s="31">
        <v>45741</v>
      </c>
      <c r="L1814" s="31"/>
      <c r="M1814" s="31"/>
      <c r="N1814" s="31"/>
      <c r="O1814" s="2" t="s">
        <v>425</v>
      </c>
    </row>
    <row r="1815" spans="1:15">
      <c r="A1815" s="3">
        <f t="shared" si="29"/>
        <v>1814</v>
      </c>
      <c r="B1815" s="65" t="s">
        <v>3022</v>
      </c>
      <c r="C1815" s="1">
        <v>9059307534</v>
      </c>
      <c r="D1815" s="6"/>
      <c r="E1815" s="3" t="s">
        <v>141</v>
      </c>
      <c r="F1815" s="65" t="s">
        <v>3023</v>
      </c>
      <c r="G1815" s="2" t="s">
        <v>16</v>
      </c>
      <c r="H1815" s="2" t="s">
        <v>815</v>
      </c>
      <c r="I1815" s="37" t="s">
        <v>88</v>
      </c>
      <c r="J1815" s="31">
        <v>45740</v>
      </c>
      <c r="K1815" s="31">
        <v>45741</v>
      </c>
      <c r="L1815" s="31">
        <v>45751</v>
      </c>
      <c r="M1815" s="31">
        <v>45781</v>
      </c>
      <c r="N1815" s="31">
        <v>45781</v>
      </c>
      <c r="O1815" s="2" t="s">
        <v>297</v>
      </c>
    </row>
    <row r="1816" spans="1:15">
      <c r="A1816" s="3">
        <f t="shared" si="29"/>
        <v>1815</v>
      </c>
      <c r="B1816" s="65" t="s">
        <v>3024</v>
      </c>
      <c r="C1816" s="1">
        <v>9703758884</v>
      </c>
      <c r="D1816" s="6"/>
      <c r="E1816" s="3" t="s">
        <v>141</v>
      </c>
      <c r="F1816" s="65" t="s">
        <v>825</v>
      </c>
      <c r="G1816" s="2" t="s">
        <v>424</v>
      </c>
      <c r="H1816" s="2" t="s">
        <v>815</v>
      </c>
      <c r="I1816" s="37" t="s">
        <v>88</v>
      </c>
      <c r="J1816" s="31">
        <v>45740</v>
      </c>
      <c r="K1816" s="31">
        <v>45741</v>
      </c>
      <c r="L1816" s="31"/>
      <c r="M1816" s="31"/>
      <c r="N1816" s="31"/>
      <c r="O1816" s="2" t="s">
        <v>425</v>
      </c>
    </row>
    <row r="1817" spans="1:15">
      <c r="A1817" s="3">
        <f t="shared" si="29"/>
        <v>1816</v>
      </c>
      <c r="B1817" s="65" t="s">
        <v>3025</v>
      </c>
      <c r="C1817" s="1">
        <v>9908329174</v>
      </c>
      <c r="D1817" s="6"/>
      <c r="E1817" s="3" t="s">
        <v>141</v>
      </c>
      <c r="F1817" s="65" t="s">
        <v>1555</v>
      </c>
      <c r="G1817" s="2" t="s">
        <v>16</v>
      </c>
      <c r="H1817" s="2" t="s">
        <v>815</v>
      </c>
      <c r="I1817" s="37" t="s">
        <v>88</v>
      </c>
      <c r="J1817" s="31">
        <v>45740</v>
      </c>
      <c r="K1817" s="31">
        <v>45741</v>
      </c>
      <c r="L1817" s="31">
        <v>45743</v>
      </c>
      <c r="M1817" s="31">
        <v>45773</v>
      </c>
      <c r="N1817" s="31">
        <v>45759</v>
      </c>
      <c r="O1817" s="2" t="s">
        <v>297</v>
      </c>
    </row>
    <row r="1818" spans="1:15">
      <c r="A1818" s="3">
        <f t="shared" si="29"/>
        <v>1817</v>
      </c>
      <c r="B1818" s="65" t="s">
        <v>3026</v>
      </c>
      <c r="C1818" s="1">
        <v>8175030983</v>
      </c>
      <c r="D1818" s="6"/>
      <c r="E1818" s="17" t="s">
        <v>1318</v>
      </c>
      <c r="F1818" s="65" t="s">
        <v>308</v>
      </c>
      <c r="G1818" s="2" t="s">
        <v>16</v>
      </c>
      <c r="H1818" s="2" t="s">
        <v>752</v>
      </c>
      <c r="I1818" s="37" t="s">
        <v>94</v>
      </c>
      <c r="J1818" s="31">
        <v>45740</v>
      </c>
      <c r="K1818" s="31">
        <v>45748</v>
      </c>
      <c r="L1818" s="31">
        <v>45758</v>
      </c>
      <c r="M1818" s="31">
        <v>45765</v>
      </c>
      <c r="N1818" s="31">
        <v>45775</v>
      </c>
      <c r="O1818" s="2" t="s">
        <v>297</v>
      </c>
    </row>
    <row r="1819" spans="1:15">
      <c r="A1819" s="3">
        <f t="shared" si="29"/>
        <v>1818</v>
      </c>
      <c r="B1819" s="65" t="s">
        <v>3027</v>
      </c>
      <c r="C1819" s="1">
        <v>9125147847</v>
      </c>
      <c r="D1819" s="6"/>
      <c r="E1819" s="17" t="s">
        <v>82</v>
      </c>
      <c r="F1819" s="65" t="s">
        <v>920</v>
      </c>
      <c r="G1819" s="2" t="s">
        <v>16</v>
      </c>
      <c r="H1819" s="2" t="s">
        <v>752</v>
      </c>
      <c r="I1819" s="37" t="s">
        <v>94</v>
      </c>
      <c r="J1819" s="31">
        <v>45740</v>
      </c>
      <c r="K1819" s="31">
        <v>45748</v>
      </c>
      <c r="L1819" s="31">
        <v>45759</v>
      </c>
      <c r="M1819" s="31">
        <v>45789</v>
      </c>
      <c r="N1819" s="31">
        <v>45770</v>
      </c>
      <c r="O1819" s="2" t="s">
        <v>297</v>
      </c>
    </row>
    <row r="1820" spans="1:15">
      <c r="A1820" s="3">
        <f t="shared" si="29"/>
        <v>1819</v>
      </c>
      <c r="B1820" s="65" t="s">
        <v>2385</v>
      </c>
      <c r="C1820" s="1">
        <v>8080852075</v>
      </c>
      <c r="D1820" s="6"/>
      <c r="E1820" s="17" t="s">
        <v>82</v>
      </c>
      <c r="F1820" s="65" t="s">
        <v>920</v>
      </c>
      <c r="G1820" s="2" t="s">
        <v>424</v>
      </c>
      <c r="H1820" s="2" t="s">
        <v>752</v>
      </c>
      <c r="I1820" s="37" t="s">
        <v>94</v>
      </c>
      <c r="J1820" s="31">
        <v>45740</v>
      </c>
      <c r="K1820" s="31">
        <v>45748</v>
      </c>
      <c r="L1820" s="31"/>
      <c r="M1820" s="31"/>
      <c r="N1820" s="31"/>
      <c r="O1820" s="2" t="s">
        <v>425</v>
      </c>
    </row>
    <row r="1821" spans="1:15">
      <c r="A1821" s="3">
        <f t="shared" si="29"/>
        <v>1820</v>
      </c>
      <c r="B1821" s="65" t="s">
        <v>3028</v>
      </c>
      <c r="C1821" s="1">
        <v>8626838541</v>
      </c>
      <c r="D1821" s="6"/>
      <c r="E1821" s="3" t="s">
        <v>82</v>
      </c>
      <c r="F1821" s="65" t="s">
        <v>308</v>
      </c>
      <c r="G1821" s="2" t="s">
        <v>424</v>
      </c>
      <c r="H1821" s="2" t="s">
        <v>752</v>
      </c>
      <c r="I1821" s="37" t="s">
        <v>94</v>
      </c>
      <c r="J1821" s="31">
        <v>45740</v>
      </c>
      <c r="K1821" s="31">
        <v>45748</v>
      </c>
      <c r="L1821" s="31"/>
      <c r="M1821" s="31"/>
      <c r="N1821" s="31"/>
      <c r="O1821" s="2" t="s">
        <v>425</v>
      </c>
    </row>
    <row r="1822" spans="1:15">
      <c r="A1822" s="3">
        <f t="shared" si="29"/>
        <v>1821</v>
      </c>
      <c r="B1822" s="65" t="s">
        <v>3029</v>
      </c>
      <c r="C1822" s="1">
        <v>7384162273</v>
      </c>
      <c r="D1822" s="6"/>
      <c r="E1822" s="3" t="s">
        <v>82</v>
      </c>
      <c r="F1822" s="65" t="s">
        <v>419</v>
      </c>
      <c r="G1822" s="2" t="s">
        <v>330</v>
      </c>
      <c r="H1822" s="2" t="s">
        <v>752</v>
      </c>
      <c r="I1822" s="37" t="s">
        <v>94</v>
      </c>
      <c r="J1822" s="31">
        <v>45740</v>
      </c>
      <c r="K1822" s="31">
        <v>45748</v>
      </c>
      <c r="L1822" s="31">
        <v>45751</v>
      </c>
      <c r="M1822" s="31">
        <v>45782</v>
      </c>
      <c r="N1822" s="31">
        <v>45778</v>
      </c>
      <c r="O1822" s="2" t="s">
        <v>297</v>
      </c>
    </row>
    <row r="1823" spans="1:15">
      <c r="A1823" s="3">
        <f t="shared" si="29"/>
        <v>1822</v>
      </c>
      <c r="B1823" s="65" t="s">
        <v>3030</v>
      </c>
      <c r="C1823" s="1">
        <v>7007435504</v>
      </c>
      <c r="D1823" s="6"/>
      <c r="E1823" s="3" t="s">
        <v>82</v>
      </c>
      <c r="F1823" s="65" t="s">
        <v>920</v>
      </c>
      <c r="G1823" s="2" t="s">
        <v>16</v>
      </c>
      <c r="H1823" s="2" t="s">
        <v>752</v>
      </c>
      <c r="I1823" s="37" t="s">
        <v>94</v>
      </c>
      <c r="J1823" s="31">
        <v>45740</v>
      </c>
      <c r="K1823" s="31">
        <v>45748</v>
      </c>
      <c r="L1823" s="31">
        <v>45751</v>
      </c>
      <c r="M1823" s="31">
        <v>45792</v>
      </c>
      <c r="N1823" s="31">
        <v>45792</v>
      </c>
      <c r="O1823" s="2" t="s">
        <v>297</v>
      </c>
    </row>
    <row r="1824" spans="1:15">
      <c r="A1824" s="3">
        <f t="shared" si="29"/>
        <v>1823</v>
      </c>
      <c r="B1824" s="65" t="s">
        <v>3031</v>
      </c>
      <c r="C1824" s="1">
        <v>8601961788</v>
      </c>
      <c r="D1824" s="6"/>
      <c r="E1824" s="3" t="s">
        <v>82</v>
      </c>
      <c r="F1824" s="65" t="s">
        <v>308</v>
      </c>
      <c r="G1824" s="2" t="s">
        <v>330</v>
      </c>
      <c r="H1824" s="2" t="s">
        <v>752</v>
      </c>
      <c r="I1824" s="37" t="s">
        <v>94</v>
      </c>
      <c r="J1824" s="31">
        <v>45740</v>
      </c>
      <c r="K1824" s="31">
        <v>45748</v>
      </c>
      <c r="L1824" s="31">
        <v>45751</v>
      </c>
      <c r="M1824" s="31">
        <v>45771</v>
      </c>
      <c r="N1824" s="31">
        <v>45775</v>
      </c>
      <c r="O1824" s="2" t="s">
        <v>297</v>
      </c>
    </row>
    <row r="1825" spans="1:15">
      <c r="A1825" s="3">
        <f t="shared" si="29"/>
        <v>1824</v>
      </c>
      <c r="B1825" s="65" t="s">
        <v>3032</v>
      </c>
      <c r="C1825" s="1">
        <v>8601581410</v>
      </c>
      <c r="D1825" s="6"/>
      <c r="E1825" s="3" t="s">
        <v>82</v>
      </c>
      <c r="F1825" s="65" t="s">
        <v>419</v>
      </c>
      <c r="G1825" s="3" t="s">
        <v>295</v>
      </c>
      <c r="H1825" s="2" t="s">
        <v>752</v>
      </c>
      <c r="I1825" s="37" t="s">
        <v>94</v>
      </c>
      <c r="J1825" s="31">
        <v>45740</v>
      </c>
      <c r="K1825" s="31">
        <v>45748</v>
      </c>
      <c r="L1825" s="31">
        <v>45751</v>
      </c>
      <c r="M1825" s="31">
        <v>45782</v>
      </c>
      <c r="N1825" s="31"/>
      <c r="O1825" s="2" t="s">
        <v>297</v>
      </c>
    </row>
    <row r="1826" spans="1:15">
      <c r="A1826" s="3">
        <f t="shared" si="29"/>
        <v>1825</v>
      </c>
      <c r="B1826" s="65" t="s">
        <v>3033</v>
      </c>
      <c r="C1826" s="1">
        <v>9142153704</v>
      </c>
      <c r="D1826" s="6"/>
      <c r="E1826" s="3" t="s">
        <v>82</v>
      </c>
      <c r="F1826" s="65" t="s">
        <v>308</v>
      </c>
      <c r="G1826" s="2" t="s">
        <v>424</v>
      </c>
      <c r="H1826" s="2" t="s">
        <v>752</v>
      </c>
      <c r="I1826" s="37" t="s">
        <v>94</v>
      </c>
      <c r="J1826" s="31">
        <v>45740</v>
      </c>
      <c r="K1826" s="31">
        <v>45748</v>
      </c>
      <c r="L1826" s="31"/>
      <c r="M1826" s="31"/>
      <c r="N1826" s="31"/>
      <c r="O1826" s="2" t="s">
        <v>749</v>
      </c>
    </row>
    <row r="1827" spans="1:15">
      <c r="A1827" s="3">
        <f t="shared" si="29"/>
        <v>1826</v>
      </c>
      <c r="B1827" s="65" t="s">
        <v>3034</v>
      </c>
      <c r="C1827" s="1">
        <v>8018159738</v>
      </c>
      <c r="D1827" s="6"/>
      <c r="E1827" s="3" t="s">
        <v>82</v>
      </c>
      <c r="F1827" s="65" t="s">
        <v>308</v>
      </c>
      <c r="G1827" s="2" t="s">
        <v>424</v>
      </c>
      <c r="H1827" s="2" t="s">
        <v>752</v>
      </c>
      <c r="I1827" s="37" t="s">
        <v>94</v>
      </c>
      <c r="J1827" s="31">
        <v>45740</v>
      </c>
      <c r="K1827" s="31">
        <v>45748</v>
      </c>
      <c r="L1827" s="31"/>
      <c r="M1827" s="31"/>
      <c r="N1827" s="31"/>
      <c r="O1827" s="2" t="s">
        <v>749</v>
      </c>
    </row>
    <row r="1828" spans="1:15">
      <c r="A1828" s="3">
        <f t="shared" si="29"/>
        <v>1827</v>
      </c>
      <c r="B1828" s="65" t="s">
        <v>3035</v>
      </c>
      <c r="C1828" s="1">
        <v>8528381632</v>
      </c>
      <c r="D1828" s="6"/>
      <c r="E1828" s="17" t="s">
        <v>75</v>
      </c>
      <c r="F1828" s="65" t="s">
        <v>419</v>
      </c>
      <c r="G1828" s="2" t="s">
        <v>16</v>
      </c>
      <c r="H1828" s="2" t="s">
        <v>752</v>
      </c>
      <c r="I1828" s="37" t="s">
        <v>94</v>
      </c>
      <c r="J1828" s="31">
        <v>45740</v>
      </c>
      <c r="K1828" s="31">
        <v>45748</v>
      </c>
      <c r="L1828" s="31">
        <v>45758</v>
      </c>
      <c r="M1828" s="31">
        <v>45799</v>
      </c>
      <c r="N1828" s="31">
        <v>45799</v>
      </c>
      <c r="O1828" s="2" t="s">
        <v>297</v>
      </c>
    </row>
    <row r="1829" spans="1:15">
      <c r="A1829" s="3">
        <f t="shared" si="29"/>
        <v>1828</v>
      </c>
      <c r="B1829" s="65" t="s">
        <v>3036</v>
      </c>
      <c r="C1829" s="1">
        <v>7063102912</v>
      </c>
      <c r="D1829" s="6"/>
      <c r="E1829" s="17" t="s">
        <v>75</v>
      </c>
      <c r="F1829" s="65" t="s">
        <v>308</v>
      </c>
      <c r="G1829" s="2" t="s">
        <v>16</v>
      </c>
      <c r="H1829" s="2" t="s">
        <v>752</v>
      </c>
      <c r="I1829" s="37" t="s">
        <v>94</v>
      </c>
      <c r="J1829" s="31">
        <v>45740</v>
      </c>
      <c r="K1829" s="31">
        <v>45748</v>
      </c>
      <c r="L1829" s="31">
        <v>45758</v>
      </c>
      <c r="M1829" s="31">
        <v>45788</v>
      </c>
      <c r="N1829" s="31">
        <v>45782</v>
      </c>
      <c r="O1829" s="2" t="s">
        <v>297</v>
      </c>
    </row>
    <row r="1830" spans="1:15">
      <c r="A1830" s="3">
        <f t="shared" si="29"/>
        <v>1829</v>
      </c>
      <c r="B1830" s="65" t="s">
        <v>3037</v>
      </c>
      <c r="C1830" s="1">
        <v>7032707151</v>
      </c>
      <c r="D1830" s="6"/>
      <c r="E1830" s="3" t="s">
        <v>82</v>
      </c>
      <c r="F1830" s="65" t="s">
        <v>419</v>
      </c>
      <c r="G1830" s="2" t="s">
        <v>424</v>
      </c>
      <c r="H1830" s="2" t="s">
        <v>752</v>
      </c>
      <c r="I1830" s="37" t="s">
        <v>94</v>
      </c>
      <c r="J1830" s="31">
        <v>45740</v>
      </c>
      <c r="K1830" s="31">
        <v>45748</v>
      </c>
      <c r="L1830" s="31"/>
      <c r="M1830" s="31"/>
      <c r="N1830" s="31"/>
      <c r="O1830" s="2" t="s">
        <v>749</v>
      </c>
    </row>
    <row r="1831" spans="1:15">
      <c r="A1831" s="3">
        <f t="shared" si="29"/>
        <v>1830</v>
      </c>
      <c r="B1831" s="65" t="s">
        <v>3038</v>
      </c>
      <c r="C1831" s="1">
        <v>7565040979</v>
      </c>
      <c r="D1831" s="6"/>
      <c r="E1831" s="17" t="s">
        <v>75</v>
      </c>
      <c r="F1831" s="65" t="s">
        <v>308</v>
      </c>
      <c r="G1831" s="2" t="s">
        <v>295</v>
      </c>
      <c r="H1831" s="2" t="s">
        <v>752</v>
      </c>
      <c r="I1831" s="37" t="s">
        <v>94</v>
      </c>
      <c r="J1831" s="31">
        <v>45740</v>
      </c>
      <c r="K1831" s="31">
        <v>45748</v>
      </c>
      <c r="L1831" s="31">
        <v>45758</v>
      </c>
      <c r="M1831" s="31">
        <v>45818</v>
      </c>
      <c r="N1831" s="31"/>
      <c r="O1831" s="2" t="s">
        <v>297</v>
      </c>
    </row>
    <row r="1832" spans="1:15">
      <c r="A1832" s="3">
        <f t="shared" si="29"/>
        <v>1831</v>
      </c>
      <c r="B1832" s="117" t="s">
        <v>3039</v>
      </c>
      <c r="C1832" s="1">
        <v>9030155798</v>
      </c>
      <c r="D1832" s="6"/>
      <c r="E1832" s="3" t="s">
        <v>85</v>
      </c>
      <c r="F1832" s="65" t="s">
        <v>3040</v>
      </c>
      <c r="G1832" s="2" t="s">
        <v>16</v>
      </c>
      <c r="H1832" s="2" t="s">
        <v>1436</v>
      </c>
      <c r="I1832" s="37" t="s">
        <v>42</v>
      </c>
      <c r="J1832" s="31">
        <v>45740</v>
      </c>
      <c r="K1832" s="31">
        <v>45741</v>
      </c>
      <c r="L1832" s="31">
        <v>45751</v>
      </c>
      <c r="M1832" s="31">
        <v>45779</v>
      </c>
      <c r="N1832" s="31">
        <v>45779</v>
      </c>
      <c r="O1832" s="2" t="s">
        <v>297</v>
      </c>
    </row>
    <row r="1833" spans="1:15">
      <c r="A1833" s="3">
        <f t="shared" si="29"/>
        <v>1832</v>
      </c>
      <c r="B1833" s="114" t="s">
        <v>3041</v>
      </c>
      <c r="C1833" s="1">
        <v>7893319392</v>
      </c>
      <c r="D1833" s="6"/>
      <c r="E1833" s="3" t="s">
        <v>79</v>
      </c>
      <c r="F1833" s="65" t="s">
        <v>303</v>
      </c>
      <c r="G1833" s="2" t="s">
        <v>16</v>
      </c>
      <c r="H1833" s="2" t="s">
        <v>1436</v>
      </c>
      <c r="I1833" s="37" t="s">
        <v>42</v>
      </c>
      <c r="J1833" s="31">
        <v>45740</v>
      </c>
      <c r="K1833" s="31">
        <v>45741</v>
      </c>
      <c r="L1833" s="31">
        <v>45748</v>
      </c>
      <c r="M1833" s="31">
        <v>45778</v>
      </c>
      <c r="N1833" s="31">
        <v>45758</v>
      </c>
      <c r="O1833" s="2" t="s">
        <v>297</v>
      </c>
    </row>
    <row r="1834" spans="1:15">
      <c r="A1834" s="3">
        <f t="shared" si="29"/>
        <v>1833</v>
      </c>
      <c r="B1834" s="65" t="s">
        <v>3042</v>
      </c>
      <c r="C1834" s="1">
        <v>7673905500</v>
      </c>
      <c r="D1834" s="6"/>
      <c r="E1834" s="3" t="s">
        <v>151</v>
      </c>
      <c r="F1834" s="65" t="s">
        <v>3043</v>
      </c>
      <c r="G1834" s="2" t="s">
        <v>330</v>
      </c>
      <c r="H1834" s="2" t="s">
        <v>2553</v>
      </c>
      <c r="I1834" s="37" t="s">
        <v>42</v>
      </c>
      <c r="J1834" s="31">
        <v>45740</v>
      </c>
      <c r="K1834" s="31">
        <v>45741</v>
      </c>
      <c r="L1834" s="31">
        <v>45743</v>
      </c>
      <c r="M1834" s="31">
        <v>45765</v>
      </c>
      <c r="N1834" s="31">
        <v>45756</v>
      </c>
      <c r="O1834" s="2" t="s">
        <v>297</v>
      </c>
    </row>
    <row r="1835" spans="1:15">
      <c r="A1835" s="3">
        <f t="shared" si="29"/>
        <v>1834</v>
      </c>
      <c r="B1835" s="65" t="s">
        <v>3044</v>
      </c>
      <c r="C1835" s="1">
        <v>8874752980</v>
      </c>
      <c r="D1835" s="6"/>
      <c r="E1835" s="3" t="s">
        <v>151</v>
      </c>
      <c r="F1835" s="65" t="s">
        <v>3043</v>
      </c>
      <c r="G1835" s="2" t="s">
        <v>16</v>
      </c>
      <c r="H1835" s="2" t="s">
        <v>2553</v>
      </c>
      <c r="I1835" s="37" t="s">
        <v>42</v>
      </c>
      <c r="J1835" s="31">
        <v>45740</v>
      </c>
      <c r="K1835" s="31">
        <v>45743</v>
      </c>
      <c r="L1835" s="31">
        <v>45743</v>
      </c>
      <c r="M1835" s="31">
        <v>45770</v>
      </c>
      <c r="N1835" s="31">
        <v>45765</v>
      </c>
      <c r="O1835" s="2" t="s">
        <v>297</v>
      </c>
    </row>
    <row r="1836" spans="1:15">
      <c r="A1836" s="3">
        <f t="shared" si="29"/>
        <v>1835</v>
      </c>
      <c r="B1836" s="65" t="s">
        <v>3045</v>
      </c>
      <c r="C1836" s="1">
        <v>8073013632</v>
      </c>
      <c r="D1836" s="6"/>
      <c r="E1836" s="3" t="s">
        <v>1023</v>
      </c>
      <c r="F1836" s="80" t="s">
        <v>612</v>
      </c>
      <c r="G1836" s="2" t="s">
        <v>16</v>
      </c>
      <c r="H1836" s="2" t="s">
        <v>2810</v>
      </c>
      <c r="I1836" s="37" t="s">
        <v>42</v>
      </c>
      <c r="J1836" s="31">
        <v>45740</v>
      </c>
      <c r="K1836" s="31">
        <v>45742</v>
      </c>
      <c r="L1836" s="31">
        <v>45751</v>
      </c>
      <c r="M1836" s="31">
        <v>45768</v>
      </c>
      <c r="N1836" s="31">
        <v>45771</v>
      </c>
      <c r="O1836" s="2" t="s">
        <v>297</v>
      </c>
    </row>
    <row r="1837" spans="1:15">
      <c r="A1837" s="3">
        <f t="shared" si="29"/>
        <v>1836</v>
      </c>
      <c r="B1837" s="65" t="s">
        <v>3046</v>
      </c>
      <c r="C1837" s="1">
        <v>8179363470</v>
      </c>
      <c r="D1837" s="6">
        <v>6301180241</v>
      </c>
      <c r="E1837" s="3" t="s">
        <v>79</v>
      </c>
      <c r="F1837" s="80" t="s">
        <v>308</v>
      </c>
      <c r="G1837" s="2" t="s">
        <v>295</v>
      </c>
      <c r="H1837" s="2" t="s">
        <v>2810</v>
      </c>
      <c r="I1837" s="37" t="s">
        <v>42</v>
      </c>
      <c r="J1837" s="31">
        <v>45740</v>
      </c>
      <c r="K1837" s="31">
        <v>45742</v>
      </c>
      <c r="L1837" s="31">
        <v>45743</v>
      </c>
      <c r="M1837" s="31">
        <v>45779</v>
      </c>
      <c r="N1837" s="31"/>
      <c r="O1837" s="2" t="s">
        <v>297</v>
      </c>
    </row>
    <row r="1838" spans="1:15">
      <c r="A1838" s="3">
        <f t="shared" si="29"/>
        <v>1837</v>
      </c>
      <c r="B1838" s="65" t="s">
        <v>3047</v>
      </c>
      <c r="C1838" s="1">
        <v>7032353271</v>
      </c>
      <c r="D1838" s="6"/>
      <c r="E1838" s="3" t="s">
        <v>1023</v>
      </c>
      <c r="F1838" s="80" t="s">
        <v>303</v>
      </c>
      <c r="G1838" s="2" t="s">
        <v>330</v>
      </c>
      <c r="H1838" s="2" t="s">
        <v>2810</v>
      </c>
      <c r="I1838" s="37" t="s">
        <v>42</v>
      </c>
      <c r="J1838" s="31">
        <v>45740</v>
      </c>
      <c r="K1838" s="31">
        <v>45742</v>
      </c>
      <c r="L1838" s="31">
        <v>45748</v>
      </c>
      <c r="M1838" s="31">
        <v>45757</v>
      </c>
      <c r="N1838" s="31">
        <v>45757</v>
      </c>
      <c r="O1838" s="2" t="s">
        <v>297</v>
      </c>
    </row>
    <row r="1839" spans="1:15">
      <c r="A1839" s="3">
        <f t="shared" si="29"/>
        <v>1838</v>
      </c>
      <c r="B1839" s="65" t="s">
        <v>3048</v>
      </c>
      <c r="C1839" s="1">
        <v>9699361846</v>
      </c>
      <c r="D1839" s="6"/>
      <c r="E1839" s="3" t="s">
        <v>79</v>
      </c>
      <c r="F1839" s="80" t="s">
        <v>3049</v>
      </c>
      <c r="G1839" s="2" t="s">
        <v>16</v>
      </c>
      <c r="H1839" s="2" t="s">
        <v>2810</v>
      </c>
      <c r="I1839" s="37" t="s">
        <v>42</v>
      </c>
      <c r="J1839" s="31">
        <v>45740</v>
      </c>
      <c r="K1839" s="31">
        <v>45742</v>
      </c>
      <c r="L1839" s="31">
        <v>45945</v>
      </c>
      <c r="M1839" s="31">
        <v>45976</v>
      </c>
      <c r="N1839" s="31">
        <v>45965</v>
      </c>
      <c r="O1839" s="2" t="s">
        <v>297</v>
      </c>
    </row>
    <row r="1840" spans="1:15">
      <c r="A1840" s="3">
        <f t="shared" si="29"/>
        <v>1839</v>
      </c>
      <c r="B1840" s="65" t="s">
        <v>3050</v>
      </c>
      <c r="C1840" s="1">
        <v>9858633293</v>
      </c>
      <c r="D1840" s="6">
        <v>9317550369</v>
      </c>
      <c r="E1840" s="7" t="s">
        <v>2702</v>
      </c>
      <c r="F1840" s="80" t="s">
        <v>2261</v>
      </c>
      <c r="G1840" s="2" t="s">
        <v>330</v>
      </c>
      <c r="H1840" s="2" t="s">
        <v>487</v>
      </c>
      <c r="I1840" s="37" t="s">
        <v>88</v>
      </c>
      <c r="J1840" s="31">
        <v>45740</v>
      </c>
      <c r="K1840" s="31">
        <v>45764</v>
      </c>
      <c r="L1840" s="31">
        <v>45772</v>
      </c>
      <c r="M1840" s="31">
        <v>45833</v>
      </c>
      <c r="N1840" s="31">
        <v>45842</v>
      </c>
      <c r="O1840" s="2" t="s">
        <v>297</v>
      </c>
    </row>
    <row r="1841" spans="1:15">
      <c r="A1841" s="3">
        <f t="shared" si="29"/>
        <v>1840</v>
      </c>
      <c r="B1841" s="65" t="s">
        <v>3051</v>
      </c>
      <c r="C1841" s="1">
        <v>7006920519</v>
      </c>
      <c r="D1841" s="6"/>
      <c r="E1841" s="7" t="s">
        <v>2702</v>
      </c>
      <c r="F1841" s="80" t="s">
        <v>2261</v>
      </c>
      <c r="G1841" s="2" t="s">
        <v>16</v>
      </c>
      <c r="H1841" s="2" t="s">
        <v>487</v>
      </c>
      <c r="I1841" s="37" t="s">
        <v>88</v>
      </c>
      <c r="J1841" s="31">
        <v>45740</v>
      </c>
      <c r="K1841" s="31">
        <v>45764</v>
      </c>
      <c r="L1841" s="31">
        <v>45772</v>
      </c>
      <c r="M1841" s="31">
        <v>45802</v>
      </c>
      <c r="N1841" s="31">
        <v>45802</v>
      </c>
      <c r="O1841" s="2" t="s">
        <v>297</v>
      </c>
    </row>
    <row r="1842" spans="1:15">
      <c r="A1842" s="3">
        <f t="shared" si="29"/>
        <v>1841</v>
      </c>
      <c r="B1842" s="65" t="s">
        <v>3052</v>
      </c>
      <c r="C1842" s="1">
        <v>8082321001</v>
      </c>
      <c r="D1842" s="6"/>
      <c r="E1842" s="7" t="s">
        <v>2702</v>
      </c>
      <c r="F1842" s="80" t="s">
        <v>2261</v>
      </c>
      <c r="G1842" s="2" t="s">
        <v>424</v>
      </c>
      <c r="H1842" s="2" t="s">
        <v>487</v>
      </c>
      <c r="I1842" s="37" t="s">
        <v>88</v>
      </c>
      <c r="J1842" s="31">
        <v>45740</v>
      </c>
      <c r="K1842" s="31">
        <v>45764</v>
      </c>
      <c r="L1842" s="31"/>
      <c r="M1842" s="31"/>
      <c r="N1842" s="31"/>
      <c r="O1842" s="2" t="s">
        <v>425</v>
      </c>
    </row>
    <row r="1843" spans="1:15">
      <c r="A1843" s="3">
        <f t="shared" ref="A1843:A1906" si="30">ROW()-1</f>
        <v>1842</v>
      </c>
      <c r="B1843" s="65" t="s">
        <v>3053</v>
      </c>
      <c r="C1843" s="1">
        <v>8082213418</v>
      </c>
      <c r="D1843" s="6"/>
      <c r="E1843" s="7" t="s">
        <v>2702</v>
      </c>
      <c r="F1843" s="80" t="s">
        <v>2261</v>
      </c>
      <c r="G1843" s="2" t="s">
        <v>16</v>
      </c>
      <c r="H1843" s="2" t="s">
        <v>487</v>
      </c>
      <c r="I1843" s="37" t="s">
        <v>88</v>
      </c>
      <c r="J1843" s="31">
        <v>45740</v>
      </c>
      <c r="K1843" s="31">
        <v>45764</v>
      </c>
      <c r="L1843" s="31">
        <v>45772</v>
      </c>
      <c r="M1843" s="31">
        <v>45802</v>
      </c>
      <c r="N1843" s="31">
        <v>45802</v>
      </c>
      <c r="O1843" s="2" t="s">
        <v>297</v>
      </c>
    </row>
    <row r="1844" spans="1:15">
      <c r="A1844" s="3">
        <f t="shared" si="30"/>
        <v>1843</v>
      </c>
      <c r="B1844" s="65" t="s">
        <v>3054</v>
      </c>
      <c r="C1844" s="1">
        <v>8806962143</v>
      </c>
      <c r="D1844" s="6"/>
      <c r="E1844" s="7" t="s">
        <v>2708</v>
      </c>
      <c r="F1844" s="80" t="s">
        <v>3055</v>
      </c>
      <c r="G1844" s="2" t="s">
        <v>424</v>
      </c>
      <c r="H1844" s="2" t="s">
        <v>487</v>
      </c>
      <c r="I1844" s="37" t="s">
        <v>88</v>
      </c>
      <c r="J1844" s="31">
        <v>45740</v>
      </c>
      <c r="K1844" s="31">
        <v>45746</v>
      </c>
      <c r="L1844" s="31"/>
      <c r="M1844" s="31"/>
      <c r="N1844" s="31"/>
      <c r="O1844" s="2" t="s">
        <v>425</v>
      </c>
    </row>
    <row r="1845" spans="1:15">
      <c r="A1845" s="3">
        <f t="shared" si="30"/>
        <v>1844</v>
      </c>
      <c r="B1845" s="65" t="s">
        <v>3056</v>
      </c>
      <c r="C1845" s="1">
        <v>9153485405</v>
      </c>
      <c r="D1845" s="6">
        <v>6300037553</v>
      </c>
      <c r="E1845" s="7" t="s">
        <v>292</v>
      </c>
      <c r="F1845" s="80" t="s">
        <v>3055</v>
      </c>
      <c r="G1845" s="2" t="s">
        <v>16</v>
      </c>
      <c r="H1845" s="2" t="s">
        <v>487</v>
      </c>
      <c r="I1845" s="37" t="s">
        <v>88</v>
      </c>
      <c r="J1845" s="31">
        <v>45740</v>
      </c>
      <c r="K1845" s="31">
        <v>45749</v>
      </c>
      <c r="L1845" s="31">
        <v>45749</v>
      </c>
      <c r="M1845" s="31">
        <v>45779</v>
      </c>
      <c r="N1845" s="31">
        <v>45779</v>
      </c>
      <c r="O1845" s="32" t="s">
        <v>297</v>
      </c>
    </row>
    <row r="1846" spans="1:15">
      <c r="A1846" s="3">
        <f t="shared" si="30"/>
        <v>1845</v>
      </c>
      <c r="B1846" s="65" t="s">
        <v>3057</v>
      </c>
      <c r="C1846" s="1">
        <v>8084767917</v>
      </c>
      <c r="D1846" s="6"/>
      <c r="E1846" s="7" t="s">
        <v>2268</v>
      </c>
      <c r="F1846" s="80" t="s">
        <v>3055</v>
      </c>
      <c r="G1846" s="2" t="s">
        <v>16</v>
      </c>
      <c r="H1846" s="2" t="s">
        <v>487</v>
      </c>
      <c r="I1846" s="37" t="s">
        <v>88</v>
      </c>
      <c r="J1846" s="31">
        <v>45740</v>
      </c>
      <c r="K1846" s="31">
        <v>45746</v>
      </c>
      <c r="L1846" s="31">
        <v>45749</v>
      </c>
      <c r="M1846" s="31">
        <v>45779</v>
      </c>
      <c r="N1846" s="31">
        <v>45779</v>
      </c>
      <c r="O1846" s="2" t="s">
        <v>297</v>
      </c>
    </row>
    <row r="1847" spans="1:15">
      <c r="A1847" s="3">
        <f t="shared" si="30"/>
        <v>1846</v>
      </c>
      <c r="B1847" s="65" t="s">
        <v>3058</v>
      </c>
      <c r="C1847" s="1">
        <v>9547971278</v>
      </c>
      <c r="D1847" s="6"/>
      <c r="E1847" s="7" t="s">
        <v>2714</v>
      </c>
      <c r="F1847" s="80" t="s">
        <v>3059</v>
      </c>
      <c r="G1847" s="2" t="s">
        <v>764</v>
      </c>
      <c r="H1847" s="2" t="s">
        <v>487</v>
      </c>
      <c r="I1847" s="37" t="s">
        <v>88</v>
      </c>
      <c r="J1847" s="31">
        <v>45740</v>
      </c>
      <c r="K1847" s="31">
        <v>45744</v>
      </c>
      <c r="L1847" s="31"/>
      <c r="M1847" s="31"/>
      <c r="N1847" s="31"/>
      <c r="O1847" s="2" t="s">
        <v>425</v>
      </c>
    </row>
    <row r="1848" spans="1:15">
      <c r="A1848" s="3">
        <f t="shared" si="30"/>
        <v>1847</v>
      </c>
      <c r="B1848" s="65" t="s">
        <v>3060</v>
      </c>
      <c r="C1848" s="1">
        <v>6005830516</v>
      </c>
      <c r="D1848" s="6"/>
      <c r="E1848" s="7" t="s">
        <v>2716</v>
      </c>
      <c r="F1848" s="80" t="s">
        <v>3061</v>
      </c>
      <c r="G1848" s="2" t="s">
        <v>764</v>
      </c>
      <c r="H1848" s="2" t="s">
        <v>487</v>
      </c>
      <c r="I1848" s="37" t="s">
        <v>88</v>
      </c>
      <c r="J1848" s="31">
        <v>45740</v>
      </c>
      <c r="K1848" s="31">
        <v>45744</v>
      </c>
      <c r="L1848" s="31"/>
      <c r="M1848" s="31"/>
      <c r="N1848" s="31"/>
      <c r="O1848" s="2" t="s">
        <v>425</v>
      </c>
    </row>
    <row r="1849" spans="1:15">
      <c r="A1849" s="3">
        <f t="shared" si="30"/>
        <v>1848</v>
      </c>
      <c r="B1849" s="65" t="s">
        <v>3062</v>
      </c>
      <c r="C1849" s="1">
        <v>9906372447</v>
      </c>
      <c r="D1849" s="6"/>
      <c r="E1849" s="7" t="s">
        <v>2716</v>
      </c>
      <c r="F1849" s="80" t="s">
        <v>3061</v>
      </c>
      <c r="G1849" s="2" t="s">
        <v>424</v>
      </c>
      <c r="H1849" s="2" t="s">
        <v>487</v>
      </c>
      <c r="I1849" s="37" t="s">
        <v>88</v>
      </c>
      <c r="J1849" s="31">
        <v>45740</v>
      </c>
      <c r="K1849" s="31">
        <v>45764</v>
      </c>
      <c r="L1849" s="31"/>
      <c r="M1849" s="31"/>
      <c r="N1849" s="31"/>
      <c r="O1849" s="2" t="s">
        <v>425</v>
      </c>
    </row>
    <row r="1850" spans="1:15">
      <c r="A1850" s="3">
        <f t="shared" si="30"/>
        <v>1849</v>
      </c>
      <c r="B1850" s="65" t="s">
        <v>3063</v>
      </c>
      <c r="C1850" s="1">
        <v>9518318761</v>
      </c>
      <c r="D1850" s="6"/>
      <c r="E1850" s="7" t="s">
        <v>2716</v>
      </c>
      <c r="F1850" s="80" t="s">
        <v>3061</v>
      </c>
      <c r="G1850" s="2" t="s">
        <v>16</v>
      </c>
      <c r="H1850" s="2" t="s">
        <v>487</v>
      </c>
      <c r="I1850" s="37" t="s">
        <v>88</v>
      </c>
      <c r="J1850" s="31">
        <v>45740</v>
      </c>
      <c r="K1850" s="31">
        <v>45736</v>
      </c>
      <c r="L1850" s="31">
        <v>45741</v>
      </c>
      <c r="M1850" s="31">
        <v>45773</v>
      </c>
      <c r="N1850" s="31">
        <v>45772</v>
      </c>
      <c r="O1850" s="2" t="s">
        <v>297</v>
      </c>
    </row>
    <row r="1851" spans="1:15">
      <c r="A1851" s="3">
        <f t="shared" si="30"/>
        <v>1850</v>
      </c>
      <c r="B1851" s="65" t="s">
        <v>3064</v>
      </c>
      <c r="C1851" s="1">
        <v>7739623240</v>
      </c>
      <c r="D1851" s="6">
        <v>7079659408</v>
      </c>
      <c r="E1851" s="7" t="s">
        <v>2716</v>
      </c>
      <c r="F1851" s="80" t="s">
        <v>3061</v>
      </c>
      <c r="G1851" s="2" t="s">
        <v>416</v>
      </c>
      <c r="H1851" s="2" t="s">
        <v>487</v>
      </c>
      <c r="I1851" s="37" t="s">
        <v>88</v>
      </c>
      <c r="J1851" s="31">
        <v>45740</v>
      </c>
      <c r="K1851" s="31">
        <v>45767</v>
      </c>
      <c r="L1851" s="31"/>
      <c r="M1851" s="31"/>
      <c r="N1851" s="31"/>
      <c r="O1851" s="2" t="s">
        <v>297</v>
      </c>
    </row>
    <row r="1852" spans="1:15">
      <c r="A1852" s="3">
        <f t="shared" si="30"/>
        <v>1851</v>
      </c>
      <c r="B1852" s="65" t="s">
        <v>3065</v>
      </c>
      <c r="C1852" s="1">
        <v>9494381418</v>
      </c>
      <c r="D1852" s="6"/>
      <c r="E1852" s="3" t="s">
        <v>141</v>
      </c>
      <c r="F1852" s="80" t="s">
        <v>1756</v>
      </c>
      <c r="G1852" s="2" t="s">
        <v>16</v>
      </c>
      <c r="H1852" s="2" t="s">
        <v>815</v>
      </c>
      <c r="I1852" s="37" t="s">
        <v>88</v>
      </c>
      <c r="J1852" s="31">
        <v>45740</v>
      </c>
      <c r="K1852" s="31">
        <v>45741</v>
      </c>
      <c r="L1852" s="31">
        <v>45743</v>
      </c>
      <c r="M1852" s="31">
        <v>45773</v>
      </c>
      <c r="N1852" s="31">
        <v>45763</v>
      </c>
      <c r="O1852" s="2" t="s">
        <v>297</v>
      </c>
    </row>
    <row r="1853" spans="1:15">
      <c r="A1853" s="3">
        <f t="shared" si="30"/>
        <v>1852</v>
      </c>
      <c r="B1853" s="65" t="s">
        <v>3066</v>
      </c>
      <c r="C1853" s="1">
        <v>8973180707</v>
      </c>
      <c r="D1853" s="6"/>
      <c r="E1853" s="3" t="s">
        <v>90</v>
      </c>
      <c r="F1853" s="80" t="s">
        <v>294</v>
      </c>
      <c r="G1853" s="2" t="s">
        <v>424</v>
      </c>
      <c r="H1853" s="2" t="s">
        <v>1432</v>
      </c>
      <c r="I1853" s="37" t="s">
        <v>88</v>
      </c>
      <c r="J1853" s="31">
        <v>45740</v>
      </c>
      <c r="K1853" s="31">
        <v>45747</v>
      </c>
      <c r="L1853" s="31"/>
      <c r="M1853" s="31"/>
      <c r="N1853" s="31"/>
      <c r="O1853" s="2" t="s">
        <v>425</v>
      </c>
    </row>
    <row r="1854" spans="1:15">
      <c r="A1854" s="3">
        <f t="shared" si="30"/>
        <v>1853</v>
      </c>
      <c r="B1854" s="65" t="s">
        <v>3067</v>
      </c>
      <c r="C1854" s="1">
        <v>8008699530</v>
      </c>
      <c r="D1854" s="6"/>
      <c r="E1854" s="3" t="s">
        <v>90</v>
      </c>
      <c r="F1854" s="80" t="s">
        <v>294</v>
      </c>
      <c r="G1854" s="2" t="s">
        <v>416</v>
      </c>
      <c r="H1854" s="2" t="s">
        <v>1432</v>
      </c>
      <c r="I1854" s="37" t="s">
        <v>88</v>
      </c>
      <c r="J1854" s="31">
        <v>45740</v>
      </c>
      <c r="K1854" s="31">
        <v>45747</v>
      </c>
      <c r="L1854" s="31"/>
      <c r="M1854" s="31"/>
      <c r="N1854" s="31"/>
      <c r="O1854" s="2" t="s">
        <v>297</v>
      </c>
    </row>
    <row r="1855" spans="1:15">
      <c r="A1855" s="3">
        <f t="shared" si="30"/>
        <v>1854</v>
      </c>
      <c r="B1855" s="65" t="s">
        <v>3068</v>
      </c>
      <c r="C1855" s="1">
        <v>9295407407</v>
      </c>
      <c r="D1855" s="6">
        <v>9701407407</v>
      </c>
      <c r="E1855" s="3" t="s">
        <v>141</v>
      </c>
      <c r="F1855" s="80" t="s">
        <v>3069</v>
      </c>
      <c r="G1855" s="2" t="s">
        <v>16</v>
      </c>
      <c r="H1855" s="2" t="s">
        <v>815</v>
      </c>
      <c r="I1855" s="37" t="s">
        <v>88</v>
      </c>
      <c r="J1855" s="31">
        <v>45740</v>
      </c>
      <c r="K1855" s="31">
        <v>45741</v>
      </c>
      <c r="L1855" s="31">
        <v>45749</v>
      </c>
      <c r="M1855" s="31">
        <v>45779</v>
      </c>
      <c r="N1855" s="31">
        <v>45755</v>
      </c>
      <c r="O1855" s="2" t="s">
        <v>297</v>
      </c>
    </row>
    <row r="1856" spans="1:15">
      <c r="A1856" s="3">
        <f t="shared" si="30"/>
        <v>1855</v>
      </c>
      <c r="B1856" s="65" t="s">
        <v>3070</v>
      </c>
      <c r="C1856" s="1">
        <v>9007380719</v>
      </c>
      <c r="D1856" s="6"/>
      <c r="E1856" s="7" t="s">
        <v>3071</v>
      </c>
      <c r="F1856" s="80" t="s">
        <v>3072</v>
      </c>
      <c r="G1856" s="2" t="s">
        <v>16</v>
      </c>
      <c r="H1856" s="2" t="s">
        <v>361</v>
      </c>
      <c r="I1856" s="37" t="s">
        <v>88</v>
      </c>
      <c r="J1856" s="31">
        <v>45741</v>
      </c>
      <c r="K1856" s="31">
        <v>45741</v>
      </c>
      <c r="L1856" s="31">
        <v>45743</v>
      </c>
      <c r="M1856" s="31">
        <v>45780</v>
      </c>
      <c r="N1856" s="31">
        <v>45779</v>
      </c>
      <c r="O1856" s="2" t="s">
        <v>297</v>
      </c>
    </row>
    <row r="1857" spans="1:15">
      <c r="A1857" s="3">
        <f t="shared" si="30"/>
        <v>1856</v>
      </c>
      <c r="B1857" s="65" t="s">
        <v>3030</v>
      </c>
      <c r="C1857" s="1">
        <v>9586365623</v>
      </c>
      <c r="D1857" s="6"/>
      <c r="E1857" s="7" t="s">
        <v>3073</v>
      </c>
      <c r="F1857" s="80" t="s">
        <v>3074</v>
      </c>
      <c r="G1857" s="2" t="s">
        <v>16</v>
      </c>
      <c r="H1857" s="2" t="s">
        <v>361</v>
      </c>
      <c r="I1857" s="37" t="s">
        <v>88</v>
      </c>
      <c r="J1857" s="31">
        <v>45741</v>
      </c>
      <c r="K1857" s="31">
        <v>45741</v>
      </c>
      <c r="L1857" s="31">
        <v>45743</v>
      </c>
      <c r="M1857" s="31">
        <v>45773</v>
      </c>
      <c r="N1857" s="31">
        <v>45772</v>
      </c>
      <c r="O1857" s="2" t="s">
        <v>297</v>
      </c>
    </row>
    <row r="1858" spans="1:15">
      <c r="A1858" s="3">
        <f t="shared" si="30"/>
        <v>1857</v>
      </c>
      <c r="B1858" s="65" t="s">
        <v>3075</v>
      </c>
      <c r="C1858" s="1">
        <v>7062797192</v>
      </c>
      <c r="D1858" s="6"/>
      <c r="E1858" s="7" t="s">
        <v>3073</v>
      </c>
      <c r="F1858" s="80" t="s">
        <v>3076</v>
      </c>
      <c r="G1858" s="2" t="s">
        <v>424</v>
      </c>
      <c r="H1858" s="2" t="s">
        <v>361</v>
      </c>
      <c r="I1858" s="37" t="s">
        <v>88</v>
      </c>
      <c r="J1858" s="31">
        <v>45741</v>
      </c>
      <c r="K1858" s="31">
        <v>45741</v>
      </c>
      <c r="L1858" s="31"/>
      <c r="M1858" s="31"/>
      <c r="N1858" s="31"/>
      <c r="O1858" s="2" t="s">
        <v>425</v>
      </c>
    </row>
    <row r="1859" spans="1:15">
      <c r="A1859" s="3">
        <f t="shared" si="30"/>
        <v>1858</v>
      </c>
      <c r="B1859" s="65" t="s">
        <v>3077</v>
      </c>
      <c r="C1859" s="1">
        <v>9661699458</v>
      </c>
      <c r="D1859" s="6"/>
      <c r="E1859" s="7" t="s">
        <v>3073</v>
      </c>
      <c r="F1859" s="80" t="s">
        <v>3078</v>
      </c>
      <c r="G1859" s="2" t="s">
        <v>295</v>
      </c>
      <c r="H1859" s="2" t="s">
        <v>361</v>
      </c>
      <c r="I1859" s="37" t="s">
        <v>88</v>
      </c>
      <c r="J1859" s="31">
        <v>45741</v>
      </c>
      <c r="K1859" s="31">
        <v>45741</v>
      </c>
      <c r="L1859" s="31">
        <v>45744</v>
      </c>
      <c r="M1859" s="31">
        <v>45823</v>
      </c>
      <c r="N1859" s="31"/>
      <c r="O1859" s="2" t="s">
        <v>297</v>
      </c>
    </row>
    <row r="1860" spans="1:15">
      <c r="A1860" s="3">
        <f t="shared" si="30"/>
        <v>1859</v>
      </c>
      <c r="B1860" s="65" t="s">
        <v>3079</v>
      </c>
      <c r="C1860" s="1">
        <v>7379600544</v>
      </c>
      <c r="D1860" s="6"/>
      <c r="E1860" s="7" t="s">
        <v>1741</v>
      </c>
      <c r="F1860" s="80" t="s">
        <v>3080</v>
      </c>
      <c r="G1860" s="2" t="s">
        <v>424</v>
      </c>
      <c r="H1860" s="2" t="s">
        <v>361</v>
      </c>
      <c r="I1860" s="37" t="s">
        <v>88</v>
      </c>
      <c r="J1860" s="31">
        <v>45741</v>
      </c>
      <c r="K1860" s="31">
        <v>45741</v>
      </c>
      <c r="L1860" s="31"/>
      <c r="M1860" s="31"/>
      <c r="N1860" s="31"/>
      <c r="O1860" s="2" t="s">
        <v>425</v>
      </c>
    </row>
    <row r="1861" spans="1:15">
      <c r="A1861" s="3">
        <f t="shared" si="30"/>
        <v>1860</v>
      </c>
      <c r="B1861" s="65" t="s">
        <v>1637</v>
      </c>
      <c r="C1861" s="1">
        <v>8171764455</v>
      </c>
      <c r="D1861" s="6"/>
      <c r="E1861" s="7" t="s">
        <v>1741</v>
      </c>
      <c r="F1861" s="80" t="s">
        <v>3081</v>
      </c>
      <c r="G1861" s="2" t="s">
        <v>16</v>
      </c>
      <c r="H1861" s="2" t="s">
        <v>361</v>
      </c>
      <c r="I1861" s="37" t="s">
        <v>88</v>
      </c>
      <c r="J1861" s="31">
        <v>45741</v>
      </c>
      <c r="K1861" s="31">
        <v>45741</v>
      </c>
      <c r="L1861" s="31">
        <v>45743</v>
      </c>
      <c r="M1861" s="31">
        <v>45775</v>
      </c>
      <c r="N1861" s="31">
        <v>45778</v>
      </c>
      <c r="O1861" s="2" t="s">
        <v>297</v>
      </c>
    </row>
    <row r="1862" spans="1:15">
      <c r="A1862" s="3">
        <f t="shared" si="30"/>
        <v>1861</v>
      </c>
      <c r="B1862" s="65" t="s">
        <v>3082</v>
      </c>
      <c r="C1862" s="1">
        <v>6352944851</v>
      </c>
      <c r="D1862" s="6"/>
      <c r="E1862" s="7" t="s">
        <v>1741</v>
      </c>
      <c r="F1862" s="80" t="s">
        <v>3076</v>
      </c>
      <c r="G1862" s="2" t="s">
        <v>330</v>
      </c>
      <c r="H1862" s="2" t="s">
        <v>361</v>
      </c>
      <c r="I1862" s="37" t="s">
        <v>88</v>
      </c>
      <c r="J1862" s="31">
        <v>45741</v>
      </c>
      <c r="K1862" s="31">
        <v>45741</v>
      </c>
      <c r="L1862" s="31">
        <v>45749</v>
      </c>
      <c r="M1862" s="31">
        <v>45779</v>
      </c>
      <c r="N1862" s="31">
        <v>45779</v>
      </c>
      <c r="O1862" s="2" t="s">
        <v>297</v>
      </c>
    </row>
    <row r="1863" spans="1:15" ht="15.6">
      <c r="A1863" s="3">
        <f t="shared" si="30"/>
        <v>1862</v>
      </c>
      <c r="B1863" s="65" t="s">
        <v>3083</v>
      </c>
      <c r="C1863" s="1">
        <v>9656321230</v>
      </c>
      <c r="D1863" s="6"/>
      <c r="E1863" s="36" t="s">
        <v>110</v>
      </c>
      <c r="F1863" s="85" t="s">
        <v>3084</v>
      </c>
      <c r="G1863" s="2" t="s">
        <v>764</v>
      </c>
      <c r="H1863" s="2" t="s">
        <v>102</v>
      </c>
      <c r="I1863" s="37" t="s">
        <v>42</v>
      </c>
      <c r="J1863" s="31">
        <v>45741</v>
      </c>
      <c r="K1863" s="31">
        <v>45742</v>
      </c>
      <c r="L1863" s="31"/>
      <c r="M1863" s="31"/>
      <c r="N1863" s="31"/>
      <c r="O1863" s="2" t="s">
        <v>425</v>
      </c>
    </row>
    <row r="1864" spans="1:15" ht="15.6">
      <c r="A1864" s="3">
        <f t="shared" si="30"/>
        <v>1863</v>
      </c>
      <c r="B1864" s="65" t="s">
        <v>3085</v>
      </c>
      <c r="C1864" s="1">
        <v>9959318168</v>
      </c>
      <c r="D1864" s="6"/>
      <c r="E1864" s="36" t="s">
        <v>113</v>
      </c>
      <c r="F1864" s="85" t="s">
        <v>1060</v>
      </c>
      <c r="G1864" s="2" t="s">
        <v>16</v>
      </c>
      <c r="H1864" s="2" t="s">
        <v>102</v>
      </c>
      <c r="I1864" s="37" t="s">
        <v>42</v>
      </c>
      <c r="J1864" s="31">
        <v>45741</v>
      </c>
      <c r="K1864" s="31">
        <v>45742</v>
      </c>
      <c r="L1864" s="31">
        <v>45748</v>
      </c>
      <c r="M1864" s="31">
        <v>45768</v>
      </c>
      <c r="N1864" s="31">
        <v>45763</v>
      </c>
      <c r="O1864" s="2" t="s">
        <v>297</v>
      </c>
    </row>
    <row r="1865" spans="1:15" ht="15.6">
      <c r="A1865" s="3">
        <f t="shared" si="30"/>
        <v>1864</v>
      </c>
      <c r="B1865" s="65" t="s">
        <v>3086</v>
      </c>
      <c r="C1865" s="1">
        <v>9618212242</v>
      </c>
      <c r="D1865" s="6"/>
      <c r="E1865" s="36" t="s">
        <v>110</v>
      </c>
      <c r="F1865" s="85" t="s">
        <v>3087</v>
      </c>
      <c r="G1865" s="2" t="s">
        <v>764</v>
      </c>
      <c r="H1865" s="2" t="s">
        <v>102</v>
      </c>
      <c r="I1865" s="37" t="s">
        <v>42</v>
      </c>
      <c r="J1865" s="31">
        <v>45741</v>
      </c>
      <c r="K1865" s="31">
        <v>45742</v>
      </c>
      <c r="L1865" s="31"/>
      <c r="M1865" s="31"/>
      <c r="N1865" s="31"/>
      <c r="O1865" s="2" t="s">
        <v>425</v>
      </c>
    </row>
    <row r="1866" spans="1:15" ht="15.6">
      <c r="A1866" s="3">
        <f t="shared" si="30"/>
        <v>1865</v>
      </c>
      <c r="B1866" s="65" t="s">
        <v>1542</v>
      </c>
      <c r="C1866" s="1">
        <v>8501864575</v>
      </c>
      <c r="D1866" s="6"/>
      <c r="E1866" s="3" t="s">
        <v>107</v>
      </c>
      <c r="F1866" s="85" t="s">
        <v>2360</v>
      </c>
      <c r="G1866" s="2" t="s">
        <v>16</v>
      </c>
      <c r="H1866" s="2" t="s">
        <v>102</v>
      </c>
      <c r="I1866" s="37" t="s">
        <v>42</v>
      </c>
      <c r="J1866" s="31">
        <v>45741</v>
      </c>
      <c r="K1866" s="31">
        <v>45782</v>
      </c>
      <c r="L1866" s="31">
        <v>45785</v>
      </c>
      <c r="M1866" s="31">
        <v>45805</v>
      </c>
      <c r="N1866" s="31">
        <v>45805</v>
      </c>
      <c r="O1866" s="2" t="s">
        <v>297</v>
      </c>
    </row>
    <row r="1867" spans="1:15" ht="15.6">
      <c r="A1867" s="3">
        <f t="shared" si="30"/>
        <v>1866</v>
      </c>
      <c r="B1867" s="65" t="s">
        <v>3088</v>
      </c>
      <c r="C1867" s="1">
        <v>8509705060</v>
      </c>
      <c r="D1867" s="6"/>
      <c r="E1867" s="14" t="s">
        <v>170</v>
      </c>
      <c r="F1867" s="85" t="s">
        <v>419</v>
      </c>
      <c r="G1867" s="2" t="s">
        <v>16</v>
      </c>
      <c r="H1867" s="2" t="s">
        <v>162</v>
      </c>
      <c r="I1867" s="37" t="s">
        <v>94</v>
      </c>
      <c r="J1867" s="31">
        <v>45741</v>
      </c>
      <c r="K1867" s="31">
        <v>45758</v>
      </c>
      <c r="L1867" s="31">
        <v>45763</v>
      </c>
      <c r="M1867" s="31">
        <v>45796</v>
      </c>
      <c r="N1867" s="31">
        <v>45796</v>
      </c>
      <c r="O1867" s="2" t="s">
        <v>297</v>
      </c>
    </row>
    <row r="1868" spans="1:15" ht="15.6">
      <c r="A1868" s="3">
        <f t="shared" si="30"/>
        <v>1867</v>
      </c>
      <c r="B1868" s="65" t="s">
        <v>3089</v>
      </c>
      <c r="C1868" s="1">
        <v>7566363674</v>
      </c>
      <c r="D1868" s="6"/>
      <c r="E1868" s="14" t="s">
        <v>170</v>
      </c>
      <c r="F1868" s="85" t="s">
        <v>419</v>
      </c>
      <c r="G1868" s="2" t="s">
        <v>424</v>
      </c>
      <c r="H1868" s="2" t="s">
        <v>162</v>
      </c>
      <c r="I1868" s="37" t="s">
        <v>94</v>
      </c>
      <c r="J1868" s="31">
        <v>45741</v>
      </c>
      <c r="K1868" s="31">
        <v>45758</v>
      </c>
      <c r="L1868" s="31"/>
      <c r="M1868" s="31"/>
      <c r="N1868" s="31"/>
      <c r="O1868" s="2" t="s">
        <v>425</v>
      </c>
    </row>
    <row r="1869" spans="1:15" ht="15.6">
      <c r="A1869" s="3">
        <f t="shared" si="30"/>
        <v>1868</v>
      </c>
      <c r="B1869" s="65" t="s">
        <v>3090</v>
      </c>
      <c r="C1869" s="1">
        <v>8968996462</v>
      </c>
      <c r="D1869" s="6"/>
      <c r="E1869" s="14" t="s">
        <v>170</v>
      </c>
      <c r="F1869" s="85" t="s">
        <v>308</v>
      </c>
      <c r="G1869" s="2" t="s">
        <v>424</v>
      </c>
      <c r="H1869" s="2" t="s">
        <v>162</v>
      </c>
      <c r="I1869" s="37" t="s">
        <v>94</v>
      </c>
      <c r="J1869" s="31">
        <v>45741</v>
      </c>
      <c r="K1869" s="31">
        <v>45758</v>
      </c>
      <c r="L1869" s="31"/>
      <c r="M1869" s="31"/>
      <c r="N1869" s="31"/>
      <c r="O1869" s="2" t="s">
        <v>425</v>
      </c>
    </row>
    <row r="1870" spans="1:15" ht="15.6">
      <c r="A1870" s="3">
        <f t="shared" si="30"/>
        <v>1869</v>
      </c>
      <c r="B1870" s="65" t="s">
        <v>3091</v>
      </c>
      <c r="C1870" s="1">
        <v>8093664803</v>
      </c>
      <c r="D1870" s="6"/>
      <c r="E1870" s="14" t="s">
        <v>170</v>
      </c>
      <c r="F1870" s="85" t="s">
        <v>419</v>
      </c>
      <c r="G1870" s="2" t="s">
        <v>16</v>
      </c>
      <c r="H1870" s="2" t="s">
        <v>162</v>
      </c>
      <c r="I1870" s="37" t="s">
        <v>94</v>
      </c>
      <c r="J1870" s="31">
        <v>45741</v>
      </c>
      <c r="K1870" s="31">
        <v>45758</v>
      </c>
      <c r="L1870" s="31">
        <v>45763</v>
      </c>
      <c r="M1870" s="31">
        <v>45796</v>
      </c>
      <c r="N1870" s="31">
        <v>45800</v>
      </c>
      <c r="O1870" s="2" t="s">
        <v>297</v>
      </c>
    </row>
    <row r="1871" spans="1:15" ht="15.6">
      <c r="A1871" s="3">
        <f t="shared" si="30"/>
        <v>1870</v>
      </c>
      <c r="B1871" s="65" t="s">
        <v>3092</v>
      </c>
      <c r="C1871" s="1">
        <v>8770996797</v>
      </c>
      <c r="D1871" s="6"/>
      <c r="E1871" s="14" t="s">
        <v>170</v>
      </c>
      <c r="F1871" s="85" t="s">
        <v>419</v>
      </c>
      <c r="G1871" s="2" t="s">
        <v>16</v>
      </c>
      <c r="H1871" s="2" t="s">
        <v>162</v>
      </c>
      <c r="I1871" s="37" t="s">
        <v>94</v>
      </c>
      <c r="J1871" s="31">
        <v>45741</v>
      </c>
      <c r="K1871" s="31">
        <v>45758</v>
      </c>
      <c r="L1871" s="31">
        <v>45763</v>
      </c>
      <c r="M1871" s="31">
        <v>45789</v>
      </c>
      <c r="N1871" s="31">
        <v>45789</v>
      </c>
      <c r="O1871" s="2" t="s">
        <v>297</v>
      </c>
    </row>
    <row r="1872" spans="1:15" ht="15.6">
      <c r="A1872" s="3">
        <f t="shared" si="30"/>
        <v>1871</v>
      </c>
      <c r="B1872" s="65" t="s">
        <v>3093</v>
      </c>
      <c r="C1872" s="1">
        <v>7207327142</v>
      </c>
      <c r="D1872" s="6"/>
      <c r="E1872" s="14" t="s">
        <v>170</v>
      </c>
      <c r="F1872" s="85" t="s">
        <v>920</v>
      </c>
      <c r="G1872" s="2" t="s">
        <v>424</v>
      </c>
      <c r="H1872" s="2" t="s">
        <v>162</v>
      </c>
      <c r="I1872" s="37" t="s">
        <v>94</v>
      </c>
      <c r="J1872" s="31">
        <v>45741</v>
      </c>
      <c r="K1872" s="31">
        <v>45758</v>
      </c>
      <c r="L1872" s="31"/>
      <c r="M1872" s="31"/>
      <c r="N1872" s="31"/>
      <c r="O1872" s="2" t="s">
        <v>425</v>
      </c>
    </row>
    <row r="1873" spans="1:15" ht="15.6">
      <c r="A1873" s="3">
        <f t="shared" si="30"/>
        <v>1872</v>
      </c>
      <c r="B1873" s="65" t="s">
        <v>3094</v>
      </c>
      <c r="C1873" s="1">
        <v>8898063987</v>
      </c>
      <c r="D1873" s="6"/>
      <c r="E1873" s="14" t="s">
        <v>170</v>
      </c>
      <c r="F1873" s="85" t="s">
        <v>308</v>
      </c>
      <c r="G1873" s="2" t="s">
        <v>424</v>
      </c>
      <c r="H1873" s="2" t="s">
        <v>162</v>
      </c>
      <c r="I1873" s="37" t="s">
        <v>94</v>
      </c>
      <c r="J1873" s="31">
        <v>45741</v>
      </c>
      <c r="K1873" s="31">
        <v>45758</v>
      </c>
      <c r="L1873" s="31"/>
      <c r="M1873" s="31"/>
      <c r="N1873" s="31"/>
      <c r="O1873" s="2" t="s">
        <v>425</v>
      </c>
    </row>
    <row r="1874" spans="1:15" ht="15.6">
      <c r="A1874" s="3">
        <f t="shared" si="30"/>
        <v>1873</v>
      </c>
      <c r="B1874" s="65" t="s">
        <v>3095</v>
      </c>
      <c r="C1874" s="1">
        <v>6303119255</v>
      </c>
      <c r="D1874" s="6"/>
      <c r="E1874" s="14" t="s">
        <v>170</v>
      </c>
      <c r="F1874" s="85" t="s">
        <v>920</v>
      </c>
      <c r="G1874" s="2" t="s">
        <v>424</v>
      </c>
      <c r="H1874" s="2" t="s">
        <v>162</v>
      </c>
      <c r="I1874" s="37" t="s">
        <v>94</v>
      </c>
      <c r="J1874" s="31">
        <v>45741</v>
      </c>
      <c r="K1874" s="31">
        <v>45758</v>
      </c>
      <c r="L1874" s="31"/>
      <c r="M1874" s="31"/>
      <c r="N1874" s="31"/>
      <c r="O1874" s="2" t="s">
        <v>425</v>
      </c>
    </row>
    <row r="1875" spans="1:15" ht="15.6">
      <c r="A1875" s="3">
        <f t="shared" si="30"/>
        <v>1874</v>
      </c>
      <c r="B1875" s="65" t="s">
        <v>3096</v>
      </c>
      <c r="C1875" s="1">
        <v>7391823857</v>
      </c>
      <c r="D1875" s="6"/>
      <c r="E1875" s="14" t="s">
        <v>170</v>
      </c>
      <c r="F1875" s="85" t="s">
        <v>308</v>
      </c>
      <c r="G1875" s="2" t="s">
        <v>416</v>
      </c>
      <c r="H1875" s="2" t="s">
        <v>162</v>
      </c>
      <c r="I1875" s="37" t="s">
        <v>94</v>
      </c>
      <c r="J1875" s="31">
        <v>45741</v>
      </c>
      <c r="K1875" s="31">
        <v>45758</v>
      </c>
      <c r="L1875" s="31"/>
      <c r="M1875" s="31"/>
      <c r="N1875" s="31"/>
      <c r="O1875" s="2" t="s">
        <v>297</v>
      </c>
    </row>
    <row r="1876" spans="1:15" ht="15.6">
      <c r="A1876" s="3">
        <f t="shared" si="30"/>
        <v>1875</v>
      </c>
      <c r="B1876" s="65" t="s">
        <v>3097</v>
      </c>
      <c r="C1876" s="1">
        <v>8297895278</v>
      </c>
      <c r="D1876" s="6"/>
      <c r="E1876" s="14" t="s">
        <v>170</v>
      </c>
      <c r="F1876" s="85" t="s">
        <v>920</v>
      </c>
      <c r="G1876" s="2" t="s">
        <v>424</v>
      </c>
      <c r="H1876" s="2" t="s">
        <v>162</v>
      </c>
      <c r="I1876" s="37" t="s">
        <v>94</v>
      </c>
      <c r="J1876" s="31">
        <v>45741</v>
      </c>
      <c r="K1876" s="31">
        <v>45758</v>
      </c>
      <c r="L1876" s="31"/>
      <c r="M1876" s="31"/>
      <c r="N1876" s="31"/>
      <c r="O1876" s="2" t="s">
        <v>425</v>
      </c>
    </row>
    <row r="1877" spans="1:15" ht="15.6">
      <c r="A1877" s="3">
        <f t="shared" si="30"/>
        <v>1876</v>
      </c>
      <c r="B1877" s="65" t="s">
        <v>3098</v>
      </c>
      <c r="C1877" s="1">
        <v>7972355167</v>
      </c>
      <c r="D1877" s="6"/>
      <c r="E1877" s="14" t="s">
        <v>170</v>
      </c>
      <c r="F1877" s="85" t="s">
        <v>308</v>
      </c>
      <c r="G1877" s="2" t="s">
        <v>424</v>
      </c>
      <c r="H1877" s="2" t="s">
        <v>162</v>
      </c>
      <c r="I1877" s="37" t="s">
        <v>94</v>
      </c>
      <c r="J1877" s="31">
        <v>45741</v>
      </c>
      <c r="K1877" s="31">
        <v>45758</v>
      </c>
      <c r="L1877" s="31"/>
      <c r="M1877" s="31"/>
      <c r="N1877" s="31"/>
      <c r="O1877" s="2" t="s">
        <v>425</v>
      </c>
    </row>
    <row r="1878" spans="1:15" ht="15.6">
      <c r="A1878" s="3">
        <f t="shared" si="30"/>
        <v>1877</v>
      </c>
      <c r="B1878" s="65" t="s">
        <v>3099</v>
      </c>
      <c r="C1878" s="1">
        <v>7574860346</v>
      </c>
      <c r="D1878" s="6"/>
      <c r="E1878" s="14" t="s">
        <v>167</v>
      </c>
      <c r="F1878" s="85" t="s">
        <v>308</v>
      </c>
      <c r="G1878" s="2" t="s">
        <v>16</v>
      </c>
      <c r="H1878" s="2" t="s">
        <v>162</v>
      </c>
      <c r="I1878" s="37" t="s">
        <v>94</v>
      </c>
      <c r="J1878" s="31">
        <v>45741</v>
      </c>
      <c r="K1878" s="31">
        <v>45758</v>
      </c>
      <c r="L1878" s="31">
        <v>45763</v>
      </c>
      <c r="M1878" s="31">
        <v>45807</v>
      </c>
      <c r="N1878" s="31">
        <v>45808</v>
      </c>
      <c r="O1878" s="2" t="s">
        <v>297</v>
      </c>
    </row>
    <row r="1879" spans="1:15" ht="15.6">
      <c r="A1879" s="3">
        <f t="shared" si="30"/>
        <v>1878</v>
      </c>
      <c r="B1879" s="65" t="s">
        <v>3100</v>
      </c>
      <c r="C1879" s="1">
        <v>9285251179</v>
      </c>
      <c r="D1879" s="6"/>
      <c r="E1879" s="14" t="s">
        <v>170</v>
      </c>
      <c r="F1879" s="85" t="s">
        <v>308</v>
      </c>
      <c r="G1879" s="2" t="s">
        <v>416</v>
      </c>
      <c r="H1879" s="2" t="s">
        <v>162</v>
      </c>
      <c r="I1879" s="37" t="s">
        <v>94</v>
      </c>
      <c r="J1879" s="31">
        <v>45741</v>
      </c>
      <c r="K1879" s="31">
        <v>45758</v>
      </c>
      <c r="L1879" s="31"/>
      <c r="M1879" s="31"/>
      <c r="N1879" s="31"/>
      <c r="O1879" s="2" t="s">
        <v>297</v>
      </c>
    </row>
    <row r="1880" spans="1:15" ht="15.6">
      <c r="A1880" s="3">
        <f t="shared" si="30"/>
        <v>1879</v>
      </c>
      <c r="B1880" s="65" t="s">
        <v>3101</v>
      </c>
      <c r="C1880" s="1">
        <v>7702650901</v>
      </c>
      <c r="D1880" s="6"/>
      <c r="E1880" s="14" t="s">
        <v>170</v>
      </c>
      <c r="F1880" s="85" t="s">
        <v>308</v>
      </c>
      <c r="G1880" s="2" t="s">
        <v>424</v>
      </c>
      <c r="H1880" s="2" t="s">
        <v>162</v>
      </c>
      <c r="I1880" s="37" t="s">
        <v>94</v>
      </c>
      <c r="J1880" s="31">
        <v>45741</v>
      </c>
      <c r="K1880" s="31">
        <v>45758</v>
      </c>
      <c r="L1880" s="31"/>
      <c r="M1880" s="31"/>
      <c r="N1880" s="31"/>
      <c r="O1880" s="2" t="s">
        <v>425</v>
      </c>
    </row>
    <row r="1881" spans="1:15" ht="15.6">
      <c r="A1881" s="3">
        <f t="shared" si="30"/>
        <v>1880</v>
      </c>
      <c r="B1881" s="65" t="s">
        <v>3102</v>
      </c>
      <c r="C1881" s="1">
        <v>8777536425</v>
      </c>
      <c r="D1881" s="6"/>
      <c r="E1881" s="3" t="s">
        <v>167</v>
      </c>
      <c r="F1881" s="85" t="s">
        <v>333</v>
      </c>
      <c r="G1881" s="2" t="s">
        <v>416</v>
      </c>
      <c r="H1881" s="2" t="s">
        <v>162</v>
      </c>
      <c r="I1881" s="37" t="s">
        <v>94</v>
      </c>
      <c r="J1881" s="31">
        <v>45741</v>
      </c>
      <c r="K1881" s="31">
        <v>45758</v>
      </c>
      <c r="L1881" s="31"/>
      <c r="M1881" s="31"/>
      <c r="N1881" s="31"/>
      <c r="O1881" s="2" t="s">
        <v>297</v>
      </c>
    </row>
    <row r="1882" spans="1:15" ht="15.6">
      <c r="A1882" s="3">
        <f t="shared" si="30"/>
        <v>1881</v>
      </c>
      <c r="B1882" s="65" t="s">
        <v>3103</v>
      </c>
      <c r="C1882" s="1">
        <v>9216700517</v>
      </c>
      <c r="D1882" s="6"/>
      <c r="E1882" s="3" t="s">
        <v>167</v>
      </c>
      <c r="F1882" s="85" t="s">
        <v>333</v>
      </c>
      <c r="G1882" s="2" t="s">
        <v>416</v>
      </c>
      <c r="H1882" s="2" t="s">
        <v>162</v>
      </c>
      <c r="I1882" s="37" t="s">
        <v>94</v>
      </c>
      <c r="J1882" s="31">
        <v>45741</v>
      </c>
      <c r="K1882" s="31">
        <v>45758</v>
      </c>
      <c r="L1882" s="31"/>
      <c r="M1882" s="31"/>
      <c r="N1882" s="31"/>
      <c r="O1882" s="2" t="s">
        <v>297</v>
      </c>
    </row>
    <row r="1883" spans="1:15" ht="15.6">
      <c r="A1883" s="3">
        <f t="shared" si="30"/>
        <v>1882</v>
      </c>
      <c r="B1883" s="65" t="s">
        <v>3104</v>
      </c>
      <c r="C1883" s="1">
        <v>9133723999</v>
      </c>
      <c r="D1883" s="6"/>
      <c r="E1883" s="3" t="s">
        <v>167</v>
      </c>
      <c r="F1883" s="85" t="s">
        <v>333</v>
      </c>
      <c r="G1883" s="2" t="s">
        <v>424</v>
      </c>
      <c r="H1883" s="2" t="s">
        <v>162</v>
      </c>
      <c r="I1883" s="37" t="s">
        <v>94</v>
      </c>
      <c r="J1883" s="31">
        <v>45741</v>
      </c>
      <c r="K1883" s="31">
        <v>45758</v>
      </c>
      <c r="L1883" s="31"/>
      <c r="M1883" s="31"/>
      <c r="N1883" s="31"/>
      <c r="O1883" s="2" t="s">
        <v>425</v>
      </c>
    </row>
    <row r="1884" spans="1:15" ht="15.6">
      <c r="A1884" s="3">
        <f t="shared" si="30"/>
        <v>1883</v>
      </c>
      <c r="B1884" s="65" t="s">
        <v>3105</v>
      </c>
      <c r="C1884" s="1">
        <v>9550688826</v>
      </c>
      <c r="D1884" s="6"/>
      <c r="E1884" s="3" t="s">
        <v>167</v>
      </c>
      <c r="F1884" s="85" t="s">
        <v>333</v>
      </c>
      <c r="G1884" s="2" t="s">
        <v>416</v>
      </c>
      <c r="H1884" s="2" t="s">
        <v>162</v>
      </c>
      <c r="I1884" s="37" t="s">
        <v>94</v>
      </c>
      <c r="J1884" s="31">
        <v>45741</v>
      </c>
      <c r="K1884" s="31">
        <v>45758</v>
      </c>
      <c r="L1884" s="31"/>
      <c r="M1884" s="31"/>
      <c r="N1884" s="31"/>
      <c r="O1884" s="2" t="s">
        <v>297</v>
      </c>
    </row>
    <row r="1885" spans="1:15" ht="15.6">
      <c r="A1885" s="3">
        <f t="shared" si="30"/>
        <v>1884</v>
      </c>
      <c r="B1885" s="65" t="s">
        <v>3106</v>
      </c>
      <c r="C1885" s="1">
        <v>9182212103</v>
      </c>
      <c r="D1885" s="6"/>
      <c r="E1885" s="3" t="s">
        <v>167</v>
      </c>
      <c r="F1885" s="85" t="s">
        <v>333</v>
      </c>
      <c r="G1885" s="2" t="s">
        <v>424</v>
      </c>
      <c r="H1885" s="2" t="s">
        <v>162</v>
      </c>
      <c r="I1885" s="37" t="s">
        <v>94</v>
      </c>
      <c r="J1885" s="31">
        <v>45741</v>
      </c>
      <c r="K1885" s="31">
        <v>45758</v>
      </c>
      <c r="L1885" s="31"/>
      <c r="M1885" s="31"/>
      <c r="N1885" s="31"/>
      <c r="O1885" s="2" t="s">
        <v>425</v>
      </c>
    </row>
    <row r="1886" spans="1:15" ht="15.6">
      <c r="A1886" s="3">
        <f t="shared" si="30"/>
        <v>1885</v>
      </c>
      <c r="B1886" s="65" t="s">
        <v>3107</v>
      </c>
      <c r="C1886" s="1">
        <v>9373190884</v>
      </c>
      <c r="D1886" s="6"/>
      <c r="E1886" s="3" t="s">
        <v>90</v>
      </c>
      <c r="F1886" s="85" t="s">
        <v>2251</v>
      </c>
      <c r="G1886" s="2" t="s">
        <v>424</v>
      </c>
      <c r="H1886" s="2" t="s">
        <v>1432</v>
      </c>
      <c r="I1886" s="37" t="s">
        <v>88</v>
      </c>
      <c r="J1886" s="31">
        <v>45741</v>
      </c>
      <c r="K1886" s="31">
        <v>45743</v>
      </c>
      <c r="L1886" s="31"/>
      <c r="M1886" s="31"/>
      <c r="N1886" s="31"/>
      <c r="O1886" s="2" t="s">
        <v>749</v>
      </c>
    </row>
    <row r="1887" spans="1:15" ht="15.6">
      <c r="A1887" s="3">
        <f t="shared" si="30"/>
        <v>1886</v>
      </c>
      <c r="B1887" s="65" t="s">
        <v>3108</v>
      </c>
      <c r="C1887" s="1">
        <v>8016285172</v>
      </c>
      <c r="D1887" s="6"/>
      <c r="E1887" s="3" t="s">
        <v>90</v>
      </c>
      <c r="F1887" s="85" t="s">
        <v>294</v>
      </c>
      <c r="G1887" s="2" t="s">
        <v>16</v>
      </c>
      <c r="H1887" s="2" t="s">
        <v>1432</v>
      </c>
      <c r="I1887" s="37" t="s">
        <v>88</v>
      </c>
      <c r="J1887" s="31">
        <v>45741</v>
      </c>
      <c r="K1887" s="31">
        <v>45743</v>
      </c>
      <c r="L1887" s="31">
        <v>45743</v>
      </c>
      <c r="M1887" s="31">
        <v>45773</v>
      </c>
      <c r="N1887" s="31">
        <v>45749</v>
      </c>
      <c r="O1887" s="2" t="s">
        <v>297</v>
      </c>
    </row>
    <row r="1888" spans="1:15" ht="15.6">
      <c r="A1888" s="3">
        <f t="shared" si="30"/>
        <v>1887</v>
      </c>
      <c r="B1888" s="65" t="s">
        <v>3109</v>
      </c>
      <c r="C1888" s="1">
        <v>9064037754</v>
      </c>
      <c r="D1888" s="6"/>
      <c r="E1888" s="3" t="s">
        <v>90</v>
      </c>
      <c r="F1888" s="85" t="s">
        <v>294</v>
      </c>
      <c r="G1888" s="2" t="s">
        <v>16</v>
      </c>
      <c r="H1888" s="2" t="s">
        <v>1432</v>
      </c>
      <c r="I1888" s="37" t="s">
        <v>88</v>
      </c>
      <c r="J1888" s="31">
        <v>45741</v>
      </c>
      <c r="K1888" s="31">
        <v>45743</v>
      </c>
      <c r="L1888" s="31">
        <v>45749</v>
      </c>
      <c r="M1888" s="31">
        <v>45781</v>
      </c>
      <c r="N1888" s="31">
        <v>45781</v>
      </c>
      <c r="O1888" s="2" t="s">
        <v>297</v>
      </c>
    </row>
    <row r="1889" spans="1:15" ht="15.6">
      <c r="A1889" s="3">
        <f t="shared" si="30"/>
        <v>1888</v>
      </c>
      <c r="B1889" s="65" t="s">
        <v>3110</v>
      </c>
      <c r="C1889" s="1">
        <v>7972597828</v>
      </c>
      <c r="D1889" s="6"/>
      <c r="E1889" s="3" t="s">
        <v>90</v>
      </c>
      <c r="F1889" s="85" t="s">
        <v>569</v>
      </c>
      <c r="G1889" s="2" t="s">
        <v>416</v>
      </c>
      <c r="H1889" s="2" t="s">
        <v>1432</v>
      </c>
      <c r="I1889" s="37" t="s">
        <v>88</v>
      </c>
      <c r="J1889" s="31">
        <v>45741</v>
      </c>
      <c r="K1889" s="31">
        <v>45743</v>
      </c>
      <c r="L1889" s="31"/>
      <c r="M1889" s="31"/>
      <c r="N1889" s="31"/>
      <c r="O1889" s="2" t="s">
        <v>297</v>
      </c>
    </row>
    <row r="1890" spans="1:15" ht="15.6">
      <c r="A1890" s="3">
        <f t="shared" si="30"/>
        <v>1889</v>
      </c>
      <c r="B1890" s="65" t="s">
        <v>3111</v>
      </c>
      <c r="C1890" s="1">
        <v>9877072929</v>
      </c>
      <c r="D1890" s="6"/>
      <c r="E1890" s="3" t="s">
        <v>90</v>
      </c>
      <c r="F1890" s="85" t="s">
        <v>294</v>
      </c>
      <c r="G1890" s="2" t="s">
        <v>295</v>
      </c>
      <c r="H1890" s="2" t="s">
        <v>1432</v>
      </c>
      <c r="I1890" s="37" t="s">
        <v>88</v>
      </c>
      <c r="J1890" s="31">
        <v>45741</v>
      </c>
      <c r="K1890" s="31">
        <v>45743</v>
      </c>
      <c r="L1890" s="31">
        <v>45751</v>
      </c>
      <c r="M1890" s="31">
        <v>45809</v>
      </c>
      <c r="N1890" s="31"/>
      <c r="O1890" s="2" t="s">
        <v>297</v>
      </c>
    </row>
    <row r="1891" spans="1:15" ht="15.6">
      <c r="A1891" s="3">
        <f t="shared" si="30"/>
        <v>1890</v>
      </c>
      <c r="B1891" s="65" t="s">
        <v>3112</v>
      </c>
      <c r="C1891" s="1">
        <v>7908297528</v>
      </c>
      <c r="D1891" s="6"/>
      <c r="E1891" s="3" t="s">
        <v>90</v>
      </c>
      <c r="F1891" s="85" t="s">
        <v>294</v>
      </c>
      <c r="G1891" s="2" t="s">
        <v>424</v>
      </c>
      <c r="H1891" s="2" t="s">
        <v>1432</v>
      </c>
      <c r="I1891" s="37" t="s">
        <v>88</v>
      </c>
      <c r="J1891" s="31">
        <v>45741</v>
      </c>
      <c r="K1891" s="31">
        <v>45743</v>
      </c>
      <c r="L1891" s="31"/>
      <c r="M1891" s="31"/>
      <c r="N1891" s="31"/>
      <c r="O1891" s="2" t="s">
        <v>425</v>
      </c>
    </row>
    <row r="1892" spans="1:15" ht="15.6">
      <c r="A1892" s="3">
        <f t="shared" si="30"/>
        <v>1891</v>
      </c>
      <c r="B1892" s="65" t="s">
        <v>3113</v>
      </c>
      <c r="C1892" s="1">
        <v>9766772468</v>
      </c>
      <c r="D1892" s="6"/>
      <c r="E1892" s="3" t="s">
        <v>107</v>
      </c>
      <c r="F1892" s="85" t="s">
        <v>3008</v>
      </c>
      <c r="G1892" s="2" t="s">
        <v>416</v>
      </c>
      <c r="H1892" s="2" t="s">
        <v>102</v>
      </c>
      <c r="I1892" s="37" t="s">
        <v>42</v>
      </c>
      <c r="J1892" s="31">
        <v>45741</v>
      </c>
      <c r="K1892" s="31">
        <v>45742</v>
      </c>
      <c r="L1892" s="31"/>
      <c r="M1892" s="31"/>
      <c r="N1892" s="31"/>
      <c r="O1892" s="2" t="s">
        <v>297</v>
      </c>
    </row>
    <row r="1893" spans="1:15" ht="15.6">
      <c r="A1893" s="3">
        <f t="shared" si="30"/>
        <v>1892</v>
      </c>
      <c r="B1893" s="65" t="s">
        <v>3114</v>
      </c>
      <c r="C1893" s="1">
        <v>8328122980</v>
      </c>
      <c r="D1893" s="6"/>
      <c r="E1893" s="36" t="s">
        <v>113</v>
      </c>
      <c r="F1893" s="85" t="s">
        <v>1236</v>
      </c>
      <c r="G1893" s="2" t="s">
        <v>16</v>
      </c>
      <c r="H1893" s="2" t="s">
        <v>102</v>
      </c>
      <c r="I1893" s="37" t="s">
        <v>42</v>
      </c>
      <c r="J1893" s="31">
        <v>45741</v>
      </c>
      <c r="K1893" s="31">
        <v>45742</v>
      </c>
      <c r="L1893" s="31">
        <v>45744</v>
      </c>
      <c r="M1893" s="31">
        <v>45765</v>
      </c>
      <c r="N1893" s="31">
        <v>45758</v>
      </c>
      <c r="O1893" s="2" t="s">
        <v>297</v>
      </c>
    </row>
    <row r="1894" spans="1:15" ht="15.6">
      <c r="A1894" s="3">
        <f t="shared" si="30"/>
        <v>1893</v>
      </c>
      <c r="B1894" s="65" t="s">
        <v>3115</v>
      </c>
      <c r="C1894" s="1">
        <v>9110524616</v>
      </c>
      <c r="D1894" s="6">
        <v>9390804123</v>
      </c>
      <c r="E1894" s="36" t="s">
        <v>110</v>
      </c>
      <c r="F1894" s="85" t="s">
        <v>308</v>
      </c>
      <c r="G1894" s="2" t="s">
        <v>764</v>
      </c>
      <c r="H1894" s="2" t="s">
        <v>102</v>
      </c>
      <c r="I1894" s="37" t="s">
        <v>42</v>
      </c>
      <c r="J1894" s="31">
        <v>45741</v>
      </c>
      <c r="K1894" s="31">
        <v>45749</v>
      </c>
      <c r="L1894" s="31"/>
      <c r="M1894" s="31"/>
      <c r="N1894" s="31"/>
      <c r="O1894" s="2" t="s">
        <v>425</v>
      </c>
    </row>
    <row r="1895" spans="1:15" ht="15.6">
      <c r="A1895" s="3">
        <f t="shared" si="30"/>
        <v>1894</v>
      </c>
      <c r="B1895" s="65" t="s">
        <v>3116</v>
      </c>
      <c r="C1895" s="1">
        <v>7569039358</v>
      </c>
      <c r="D1895" s="6"/>
      <c r="E1895" s="3" t="s">
        <v>72</v>
      </c>
      <c r="F1895" s="85" t="s">
        <v>746</v>
      </c>
      <c r="G1895" s="2" t="s">
        <v>424</v>
      </c>
      <c r="H1895" s="2" t="s">
        <v>3117</v>
      </c>
      <c r="I1895" s="37" t="s">
        <v>42</v>
      </c>
      <c r="J1895" s="31">
        <v>45741</v>
      </c>
      <c r="K1895" s="31">
        <v>45742</v>
      </c>
      <c r="L1895" s="31"/>
      <c r="M1895" s="31"/>
      <c r="N1895" s="31"/>
      <c r="O1895" s="2" t="s">
        <v>425</v>
      </c>
    </row>
    <row r="1896" spans="1:15" ht="15.6">
      <c r="A1896" s="3">
        <f t="shared" si="30"/>
        <v>1895</v>
      </c>
      <c r="B1896" s="115" t="s">
        <v>3118</v>
      </c>
      <c r="C1896" s="1">
        <v>9494111426</v>
      </c>
      <c r="D1896" s="6"/>
      <c r="E1896" s="3" t="s">
        <v>72</v>
      </c>
      <c r="F1896" s="85" t="s">
        <v>746</v>
      </c>
      <c r="G1896" s="2" t="s">
        <v>16</v>
      </c>
      <c r="H1896" s="2" t="s">
        <v>3117</v>
      </c>
      <c r="I1896" s="37" t="s">
        <v>42</v>
      </c>
      <c r="J1896" s="31">
        <v>45741</v>
      </c>
      <c r="K1896" s="31">
        <v>45742</v>
      </c>
      <c r="L1896" s="31">
        <v>45744</v>
      </c>
      <c r="M1896" s="31">
        <v>45763</v>
      </c>
      <c r="N1896" s="31">
        <v>45765</v>
      </c>
      <c r="O1896" s="2" t="s">
        <v>297</v>
      </c>
    </row>
    <row r="1897" spans="1:15" ht="15.6">
      <c r="A1897" s="3">
        <f t="shared" si="30"/>
        <v>1896</v>
      </c>
      <c r="B1897" s="115" t="s">
        <v>3119</v>
      </c>
      <c r="C1897" s="1">
        <v>8249896270</v>
      </c>
      <c r="D1897" s="6"/>
      <c r="E1897" s="3" t="s">
        <v>72</v>
      </c>
      <c r="F1897" s="85" t="s">
        <v>746</v>
      </c>
      <c r="G1897" s="2" t="s">
        <v>16</v>
      </c>
      <c r="H1897" s="2" t="s">
        <v>3117</v>
      </c>
      <c r="I1897" s="37" t="s">
        <v>42</v>
      </c>
      <c r="J1897" s="31">
        <v>45741</v>
      </c>
      <c r="K1897" s="31">
        <v>45742</v>
      </c>
      <c r="L1897" s="31">
        <v>45743</v>
      </c>
      <c r="M1897" s="31">
        <v>45785</v>
      </c>
      <c r="N1897" s="31">
        <v>45782</v>
      </c>
      <c r="O1897" s="2" t="s">
        <v>297</v>
      </c>
    </row>
    <row r="1898" spans="1:15" ht="15.6">
      <c r="A1898" s="3">
        <f t="shared" si="30"/>
        <v>1897</v>
      </c>
      <c r="B1898" s="65" t="s">
        <v>3120</v>
      </c>
      <c r="C1898" s="1">
        <v>9533334052</v>
      </c>
      <c r="D1898" s="6"/>
      <c r="E1898" s="3" t="s">
        <v>72</v>
      </c>
      <c r="F1898" s="85" t="s">
        <v>746</v>
      </c>
      <c r="G1898" s="2" t="s">
        <v>424</v>
      </c>
      <c r="H1898" s="2" t="s">
        <v>3117</v>
      </c>
      <c r="I1898" s="37" t="s">
        <v>42</v>
      </c>
      <c r="J1898" s="31">
        <v>45741</v>
      </c>
      <c r="K1898" s="31">
        <v>45742</v>
      </c>
      <c r="L1898" s="31"/>
      <c r="M1898" s="31"/>
      <c r="N1898" s="31"/>
      <c r="O1898" s="2" t="s">
        <v>425</v>
      </c>
    </row>
    <row r="1899" spans="1:15" ht="15.6">
      <c r="A1899" s="3">
        <f t="shared" si="30"/>
        <v>1898</v>
      </c>
      <c r="B1899" s="65" t="s">
        <v>3121</v>
      </c>
      <c r="C1899" s="1">
        <v>9849947275</v>
      </c>
      <c r="D1899" s="6"/>
      <c r="E1899" s="3" t="s">
        <v>85</v>
      </c>
      <c r="F1899" s="85" t="s">
        <v>3122</v>
      </c>
      <c r="G1899" s="3" t="s">
        <v>1175</v>
      </c>
      <c r="H1899" s="2" t="s">
        <v>2535</v>
      </c>
      <c r="I1899" s="37" t="s">
        <v>42</v>
      </c>
      <c r="J1899" s="31">
        <v>45741</v>
      </c>
      <c r="K1899" s="31"/>
      <c r="L1899" s="31"/>
      <c r="M1899" s="31"/>
      <c r="N1899" s="31"/>
      <c r="O1899" s="2" t="s">
        <v>1004</v>
      </c>
    </row>
    <row r="1900" spans="1:15" ht="15.6">
      <c r="A1900" s="3">
        <f t="shared" si="30"/>
        <v>1899</v>
      </c>
      <c r="B1900" s="65" t="s">
        <v>3123</v>
      </c>
      <c r="C1900" s="1">
        <v>8639481731</v>
      </c>
      <c r="D1900" s="6"/>
      <c r="E1900" s="3" t="s">
        <v>1023</v>
      </c>
      <c r="F1900" s="85" t="s">
        <v>3124</v>
      </c>
      <c r="G1900" s="2" t="s">
        <v>424</v>
      </c>
      <c r="H1900" s="2" t="s">
        <v>2535</v>
      </c>
      <c r="I1900" s="37" t="s">
        <v>42</v>
      </c>
      <c r="J1900" s="31">
        <v>45741</v>
      </c>
      <c r="K1900" s="31">
        <v>45742</v>
      </c>
      <c r="L1900" s="31"/>
      <c r="M1900" s="31"/>
      <c r="N1900" s="31"/>
      <c r="O1900" s="2" t="s">
        <v>425</v>
      </c>
    </row>
    <row r="1901" spans="1:15" ht="15.6">
      <c r="A1901" s="3">
        <f t="shared" si="30"/>
        <v>1900</v>
      </c>
      <c r="B1901" s="65" t="s">
        <v>3125</v>
      </c>
      <c r="C1901" s="1">
        <v>9949608963</v>
      </c>
      <c r="D1901" s="6"/>
      <c r="E1901" s="3" t="s">
        <v>1023</v>
      </c>
      <c r="F1901" s="85" t="s">
        <v>575</v>
      </c>
      <c r="G1901" s="2" t="s">
        <v>16</v>
      </c>
      <c r="H1901" s="2" t="s">
        <v>2535</v>
      </c>
      <c r="I1901" s="37" t="s">
        <v>42</v>
      </c>
      <c r="J1901" s="31">
        <v>45741</v>
      </c>
      <c r="K1901" s="31">
        <v>45742</v>
      </c>
      <c r="L1901" s="31">
        <v>45744</v>
      </c>
      <c r="M1901" s="31">
        <v>45775</v>
      </c>
      <c r="N1901" s="31">
        <v>45759</v>
      </c>
      <c r="O1901" s="2" t="s">
        <v>297</v>
      </c>
    </row>
    <row r="1902" spans="1:15" ht="15.6">
      <c r="A1902" s="3">
        <f t="shared" si="30"/>
        <v>1901</v>
      </c>
      <c r="B1902" s="65" t="s">
        <v>3126</v>
      </c>
      <c r="C1902" s="1">
        <v>9493613283</v>
      </c>
      <c r="D1902" s="6"/>
      <c r="E1902" s="3" t="s">
        <v>85</v>
      </c>
      <c r="F1902" s="85" t="s">
        <v>3127</v>
      </c>
      <c r="G1902" s="2" t="s">
        <v>424</v>
      </c>
      <c r="H1902" s="2" t="s">
        <v>2535</v>
      </c>
      <c r="I1902" s="37" t="s">
        <v>42</v>
      </c>
      <c r="J1902" s="31">
        <v>45741</v>
      </c>
      <c r="K1902" s="31">
        <v>45742</v>
      </c>
      <c r="L1902" s="31"/>
      <c r="M1902" s="31"/>
      <c r="N1902" s="31"/>
      <c r="O1902" s="2" t="s">
        <v>425</v>
      </c>
    </row>
    <row r="1903" spans="1:15" ht="15.6">
      <c r="A1903" s="3">
        <f t="shared" si="30"/>
        <v>1902</v>
      </c>
      <c r="B1903" s="65" t="s">
        <v>3128</v>
      </c>
      <c r="C1903" s="1">
        <v>9009449692</v>
      </c>
      <c r="D1903" s="6"/>
      <c r="E1903" s="3" t="s">
        <v>85</v>
      </c>
      <c r="F1903" s="85" t="s">
        <v>3127</v>
      </c>
      <c r="G1903" s="2" t="s">
        <v>424</v>
      </c>
      <c r="H1903" s="2" t="s">
        <v>2535</v>
      </c>
      <c r="I1903" s="37" t="s">
        <v>42</v>
      </c>
      <c r="J1903" s="31">
        <v>45741</v>
      </c>
      <c r="K1903" s="31">
        <v>45742</v>
      </c>
      <c r="L1903" s="31"/>
      <c r="M1903" s="31"/>
      <c r="N1903" s="31"/>
      <c r="O1903" s="2" t="s">
        <v>425</v>
      </c>
    </row>
    <row r="1904" spans="1:15" ht="15.6">
      <c r="A1904" s="3">
        <f t="shared" si="30"/>
        <v>1903</v>
      </c>
      <c r="B1904" s="65" t="s">
        <v>3129</v>
      </c>
      <c r="C1904" s="1">
        <v>8978557345</v>
      </c>
      <c r="D1904" s="6"/>
      <c r="E1904" s="3" t="s">
        <v>1023</v>
      </c>
      <c r="F1904" s="85" t="s">
        <v>3130</v>
      </c>
      <c r="G1904" s="2" t="s">
        <v>16</v>
      </c>
      <c r="H1904" s="2" t="s">
        <v>2535</v>
      </c>
      <c r="I1904" s="37" t="s">
        <v>42</v>
      </c>
      <c r="J1904" s="31">
        <v>45741</v>
      </c>
      <c r="K1904" s="31">
        <v>45742</v>
      </c>
      <c r="L1904" s="31">
        <v>45744</v>
      </c>
      <c r="M1904" s="31">
        <v>45775</v>
      </c>
      <c r="N1904" s="31">
        <v>45775</v>
      </c>
      <c r="O1904" s="2" t="s">
        <v>297</v>
      </c>
    </row>
    <row r="1905" spans="1:15" ht="15.6">
      <c r="A1905" s="3">
        <f t="shared" si="30"/>
        <v>1904</v>
      </c>
      <c r="B1905" s="65" t="s">
        <v>3131</v>
      </c>
      <c r="C1905" s="1">
        <v>6305034170</v>
      </c>
      <c r="D1905" s="6"/>
      <c r="E1905" s="3" t="s">
        <v>1023</v>
      </c>
      <c r="F1905" s="85" t="s">
        <v>3132</v>
      </c>
      <c r="G1905" s="2" t="s">
        <v>16</v>
      </c>
      <c r="H1905" s="2" t="s">
        <v>2535</v>
      </c>
      <c r="I1905" s="37" t="s">
        <v>42</v>
      </c>
      <c r="J1905" s="31">
        <v>45741</v>
      </c>
      <c r="K1905" s="31">
        <v>45742</v>
      </c>
      <c r="L1905" s="31">
        <v>45744</v>
      </c>
      <c r="M1905" s="31">
        <v>45761</v>
      </c>
      <c r="N1905" s="31">
        <v>45751</v>
      </c>
      <c r="O1905" s="2" t="s">
        <v>297</v>
      </c>
    </row>
    <row r="1906" spans="1:15" ht="15.6">
      <c r="A1906" s="3">
        <f t="shared" si="30"/>
        <v>1905</v>
      </c>
      <c r="B1906" s="65" t="s">
        <v>3133</v>
      </c>
      <c r="C1906" s="1">
        <v>9515971683</v>
      </c>
      <c r="D1906" s="6"/>
      <c r="E1906" s="3" t="s">
        <v>1023</v>
      </c>
      <c r="F1906" s="85" t="s">
        <v>303</v>
      </c>
      <c r="G1906" s="2" t="s">
        <v>424</v>
      </c>
      <c r="H1906" s="2" t="s">
        <v>2535</v>
      </c>
      <c r="I1906" s="37" t="s">
        <v>42</v>
      </c>
      <c r="J1906" s="31">
        <v>45741</v>
      </c>
      <c r="K1906" s="31">
        <v>45742</v>
      </c>
      <c r="L1906" s="31"/>
      <c r="M1906" s="31"/>
      <c r="N1906" s="31"/>
      <c r="O1906" s="2" t="s">
        <v>425</v>
      </c>
    </row>
    <row r="1907" spans="1:15" ht="15.6">
      <c r="A1907" s="3">
        <f t="shared" ref="A1907:A1969" si="31">ROW()-1</f>
        <v>1906</v>
      </c>
      <c r="B1907" s="65" t="s">
        <v>3134</v>
      </c>
      <c r="C1907" s="1">
        <v>7893034564</v>
      </c>
      <c r="D1907" s="6"/>
      <c r="E1907" s="7" t="s">
        <v>3135</v>
      </c>
      <c r="F1907" s="85" t="s">
        <v>3136</v>
      </c>
      <c r="G1907" s="2" t="s">
        <v>16</v>
      </c>
      <c r="H1907" s="2" t="s">
        <v>41</v>
      </c>
      <c r="I1907" s="37" t="s">
        <v>42</v>
      </c>
      <c r="J1907" s="31">
        <v>45742</v>
      </c>
      <c r="K1907" s="31">
        <v>45763</v>
      </c>
      <c r="L1907" s="31">
        <v>45764</v>
      </c>
      <c r="M1907" s="31">
        <v>45794</v>
      </c>
      <c r="N1907" s="31">
        <v>45814</v>
      </c>
      <c r="O1907" s="2" t="s">
        <v>297</v>
      </c>
    </row>
    <row r="1908" spans="1:15" ht="15.6">
      <c r="A1908" s="3">
        <f t="shared" si="31"/>
        <v>1907</v>
      </c>
      <c r="B1908" s="65" t="s">
        <v>3137</v>
      </c>
      <c r="C1908" s="1">
        <v>7032730051</v>
      </c>
      <c r="D1908" s="6"/>
      <c r="E1908" s="3" t="s">
        <v>59</v>
      </c>
      <c r="F1908" s="85" t="s">
        <v>3138</v>
      </c>
      <c r="G1908" s="2" t="s">
        <v>18</v>
      </c>
      <c r="H1908" s="2" t="s">
        <v>660</v>
      </c>
      <c r="I1908" s="37" t="s">
        <v>42</v>
      </c>
      <c r="J1908" s="31">
        <v>45742</v>
      </c>
      <c r="K1908" s="31"/>
      <c r="L1908" s="31"/>
      <c r="M1908" s="31"/>
      <c r="N1908" s="31"/>
      <c r="O1908" s="2" t="s">
        <v>1004</v>
      </c>
    </row>
    <row r="1909" spans="1:15" ht="15.6">
      <c r="A1909" s="3">
        <f t="shared" si="31"/>
        <v>1908</v>
      </c>
      <c r="B1909" s="65" t="s">
        <v>3139</v>
      </c>
      <c r="C1909" s="1">
        <v>9989143010</v>
      </c>
      <c r="D1909" s="6"/>
      <c r="E1909" s="3" t="s">
        <v>56</v>
      </c>
      <c r="F1909" s="85" t="s">
        <v>3140</v>
      </c>
      <c r="G1909" s="2" t="s">
        <v>330</v>
      </c>
      <c r="H1909" s="2" t="s">
        <v>660</v>
      </c>
      <c r="I1909" s="37" t="s">
        <v>42</v>
      </c>
      <c r="J1909" s="31">
        <v>45742</v>
      </c>
      <c r="K1909" s="31">
        <v>45744</v>
      </c>
      <c r="L1909" s="31">
        <v>45744</v>
      </c>
      <c r="M1909" s="31">
        <v>45775</v>
      </c>
      <c r="N1909" s="31">
        <v>45763</v>
      </c>
      <c r="O1909" s="2" t="s">
        <v>297</v>
      </c>
    </row>
    <row r="1910" spans="1:15" ht="15.6">
      <c r="A1910" s="3">
        <f t="shared" si="31"/>
        <v>1909</v>
      </c>
      <c r="B1910" s="65" t="s">
        <v>3141</v>
      </c>
      <c r="C1910" s="1">
        <v>9951677735</v>
      </c>
      <c r="D1910" s="6"/>
      <c r="E1910" s="3" t="s">
        <v>56</v>
      </c>
      <c r="F1910" s="85" t="s">
        <v>3140</v>
      </c>
      <c r="G1910" s="2" t="s">
        <v>16</v>
      </c>
      <c r="H1910" s="2" t="s">
        <v>660</v>
      </c>
      <c r="I1910" s="37" t="s">
        <v>42</v>
      </c>
      <c r="J1910" s="31">
        <v>45742</v>
      </c>
      <c r="K1910" s="31">
        <v>45742</v>
      </c>
      <c r="L1910" s="31">
        <v>45743</v>
      </c>
      <c r="M1910" s="31">
        <v>45749</v>
      </c>
      <c r="N1910" s="31">
        <v>45749</v>
      </c>
      <c r="O1910" s="2" t="s">
        <v>297</v>
      </c>
    </row>
    <row r="1911" spans="1:15" ht="15.6">
      <c r="A1911" s="3">
        <f t="shared" si="31"/>
        <v>1910</v>
      </c>
      <c r="B1911" s="65" t="s">
        <v>3142</v>
      </c>
      <c r="C1911" s="1">
        <v>7675858868</v>
      </c>
      <c r="D1911" s="6"/>
      <c r="E1911" s="3" t="s">
        <v>52</v>
      </c>
      <c r="F1911" s="85" t="s">
        <v>3143</v>
      </c>
      <c r="G1911" s="2" t="s">
        <v>764</v>
      </c>
      <c r="H1911" s="2" t="s">
        <v>660</v>
      </c>
      <c r="I1911" s="37" t="s">
        <v>42</v>
      </c>
      <c r="J1911" s="31">
        <v>45742</v>
      </c>
      <c r="K1911" s="31">
        <v>45744</v>
      </c>
      <c r="L1911" s="31"/>
      <c r="M1911" s="31"/>
      <c r="N1911" s="31"/>
      <c r="O1911" s="2" t="s">
        <v>425</v>
      </c>
    </row>
    <row r="1912" spans="1:15" ht="15.6">
      <c r="A1912" s="3">
        <f t="shared" si="31"/>
        <v>1911</v>
      </c>
      <c r="B1912" s="65" t="s">
        <v>3144</v>
      </c>
      <c r="C1912" s="1">
        <v>9542670465</v>
      </c>
      <c r="D1912" s="6"/>
      <c r="E1912" s="3" t="s">
        <v>104</v>
      </c>
      <c r="F1912" s="85" t="s">
        <v>3145</v>
      </c>
      <c r="G1912" s="2" t="s">
        <v>424</v>
      </c>
      <c r="H1912" s="2" t="s">
        <v>660</v>
      </c>
      <c r="I1912" s="37" t="s">
        <v>42</v>
      </c>
      <c r="J1912" s="31">
        <v>45742</v>
      </c>
      <c r="K1912" s="31">
        <v>45746</v>
      </c>
      <c r="L1912" s="31"/>
      <c r="M1912" s="31"/>
      <c r="N1912" s="31"/>
      <c r="O1912" s="2" t="s">
        <v>749</v>
      </c>
    </row>
    <row r="1913" spans="1:15" ht="15.6">
      <c r="A1913" s="3">
        <f t="shared" si="31"/>
        <v>1912</v>
      </c>
      <c r="B1913" s="65" t="s">
        <v>3146</v>
      </c>
      <c r="C1913" s="1">
        <v>9398613760</v>
      </c>
      <c r="D1913" s="6"/>
      <c r="E1913" s="3" t="s">
        <v>56</v>
      </c>
      <c r="F1913" s="85" t="s">
        <v>3147</v>
      </c>
      <c r="G1913" s="2" t="s">
        <v>16</v>
      </c>
      <c r="H1913" s="2" t="s">
        <v>660</v>
      </c>
      <c r="I1913" s="37" t="s">
        <v>42</v>
      </c>
      <c r="J1913" s="31">
        <v>45742</v>
      </c>
      <c r="K1913" s="31">
        <v>45744</v>
      </c>
      <c r="L1913" s="31">
        <v>45748</v>
      </c>
      <c r="M1913" s="31">
        <v>45763</v>
      </c>
      <c r="N1913" s="31">
        <v>45763</v>
      </c>
      <c r="O1913" s="2" t="s">
        <v>297</v>
      </c>
    </row>
    <row r="1914" spans="1:15" ht="15.6">
      <c r="A1914" s="3">
        <f t="shared" si="31"/>
        <v>1913</v>
      </c>
      <c r="B1914" s="65" t="s">
        <v>3148</v>
      </c>
      <c r="C1914" s="1">
        <v>9959517448</v>
      </c>
      <c r="D1914" s="6">
        <v>6370556306</v>
      </c>
      <c r="E1914" s="3" t="s">
        <v>52</v>
      </c>
      <c r="F1914" s="85" t="s">
        <v>683</v>
      </c>
      <c r="G1914" s="2" t="s">
        <v>416</v>
      </c>
      <c r="H1914" s="2" t="s">
        <v>660</v>
      </c>
      <c r="I1914" s="37" t="s">
        <v>42</v>
      </c>
      <c r="J1914" s="31">
        <v>45742</v>
      </c>
      <c r="K1914" s="31">
        <v>45745</v>
      </c>
      <c r="L1914" s="31"/>
      <c r="M1914" s="31"/>
      <c r="N1914" s="31"/>
      <c r="O1914" s="2" t="s">
        <v>297</v>
      </c>
    </row>
    <row r="1915" spans="1:15" ht="15.6">
      <c r="A1915" s="3">
        <f t="shared" si="31"/>
        <v>1914</v>
      </c>
      <c r="B1915" s="65" t="s">
        <v>3149</v>
      </c>
      <c r="C1915" s="1">
        <v>9798710970</v>
      </c>
      <c r="D1915" s="6"/>
      <c r="E1915" s="3" t="s">
        <v>1023</v>
      </c>
      <c r="F1915" s="85" t="s">
        <v>374</v>
      </c>
      <c r="G1915" s="2" t="s">
        <v>330</v>
      </c>
      <c r="H1915" s="2" t="s">
        <v>2535</v>
      </c>
      <c r="I1915" s="37" t="s">
        <v>42</v>
      </c>
      <c r="J1915" s="31">
        <v>45742</v>
      </c>
      <c r="K1915" s="31">
        <v>45757</v>
      </c>
      <c r="L1915" s="31">
        <v>45759</v>
      </c>
      <c r="M1915" s="31">
        <v>45779</v>
      </c>
      <c r="N1915" s="31">
        <v>45779</v>
      </c>
      <c r="O1915" s="2" t="s">
        <v>297</v>
      </c>
    </row>
    <row r="1916" spans="1:15" ht="15.6">
      <c r="A1916" s="3">
        <f t="shared" si="31"/>
        <v>1915</v>
      </c>
      <c r="B1916" s="65" t="s">
        <v>3150</v>
      </c>
      <c r="C1916" s="1">
        <v>9589867422</v>
      </c>
      <c r="D1916" s="6"/>
      <c r="E1916" s="3" t="s">
        <v>1023</v>
      </c>
      <c r="F1916" s="85" t="s">
        <v>374</v>
      </c>
      <c r="G1916" s="3" t="s">
        <v>1175</v>
      </c>
      <c r="H1916" s="2" t="s">
        <v>2535</v>
      </c>
      <c r="I1916" s="37" t="s">
        <v>42</v>
      </c>
      <c r="J1916" s="31">
        <v>45742</v>
      </c>
      <c r="K1916" s="31"/>
      <c r="L1916" s="31"/>
      <c r="M1916" s="31"/>
      <c r="N1916" s="31"/>
      <c r="O1916" s="2" t="s">
        <v>1004</v>
      </c>
    </row>
    <row r="1917" spans="1:15" ht="15.6">
      <c r="A1917" s="3">
        <f t="shared" si="31"/>
        <v>1916</v>
      </c>
      <c r="B1917" s="65" t="s">
        <v>3151</v>
      </c>
      <c r="C1917" s="1">
        <v>6303492958</v>
      </c>
      <c r="D1917" s="6">
        <v>9490053879</v>
      </c>
      <c r="E1917" s="3" t="s">
        <v>1023</v>
      </c>
      <c r="F1917" s="85" t="s">
        <v>374</v>
      </c>
      <c r="G1917" s="2" t="s">
        <v>16</v>
      </c>
      <c r="H1917" s="2" t="s">
        <v>2535</v>
      </c>
      <c r="I1917" s="37" t="s">
        <v>42</v>
      </c>
      <c r="J1917" s="31">
        <v>45742</v>
      </c>
      <c r="K1917" s="31">
        <v>45764</v>
      </c>
      <c r="L1917" s="31">
        <v>45765</v>
      </c>
      <c r="M1917" s="31">
        <v>45774</v>
      </c>
      <c r="N1917" s="31">
        <v>45774</v>
      </c>
      <c r="O1917" s="2" t="s">
        <v>297</v>
      </c>
    </row>
    <row r="1918" spans="1:15" ht="15.6">
      <c r="A1918" s="3">
        <f t="shared" si="31"/>
        <v>1917</v>
      </c>
      <c r="B1918" s="65" t="s">
        <v>3152</v>
      </c>
      <c r="C1918" s="1">
        <v>9801030468</v>
      </c>
      <c r="D1918" s="6"/>
      <c r="E1918" s="3" t="s">
        <v>1023</v>
      </c>
      <c r="F1918" s="85" t="s">
        <v>374</v>
      </c>
      <c r="G1918" s="2" t="s">
        <v>16</v>
      </c>
      <c r="H1918" s="2" t="s">
        <v>2535</v>
      </c>
      <c r="I1918" s="37" t="s">
        <v>42</v>
      </c>
      <c r="J1918" s="31">
        <v>45742</v>
      </c>
      <c r="K1918" s="31">
        <v>45757</v>
      </c>
      <c r="L1918" s="31">
        <v>45758</v>
      </c>
      <c r="M1918" s="31">
        <v>45788</v>
      </c>
      <c r="N1918" s="31">
        <v>45779</v>
      </c>
      <c r="O1918" s="2" t="s">
        <v>297</v>
      </c>
    </row>
    <row r="1919" spans="1:15" ht="15.6">
      <c r="A1919" s="3">
        <f t="shared" si="31"/>
        <v>1918</v>
      </c>
      <c r="B1919" s="65" t="s">
        <v>3153</v>
      </c>
      <c r="C1919" s="1">
        <v>7287003904</v>
      </c>
      <c r="D1919" s="6"/>
      <c r="E1919" s="3" t="s">
        <v>1023</v>
      </c>
      <c r="F1919" s="85" t="s">
        <v>3154</v>
      </c>
      <c r="G1919" s="2" t="s">
        <v>416</v>
      </c>
      <c r="H1919" s="2" t="s">
        <v>2535</v>
      </c>
      <c r="I1919" s="37" t="s">
        <v>42</v>
      </c>
      <c r="J1919" s="31">
        <v>45742</v>
      </c>
      <c r="K1919" s="31">
        <v>45757</v>
      </c>
      <c r="L1919" s="31"/>
      <c r="M1919" s="31"/>
      <c r="N1919" s="31"/>
      <c r="O1919" s="2" t="s">
        <v>297</v>
      </c>
    </row>
    <row r="1920" spans="1:15" ht="15.6">
      <c r="A1920" s="3">
        <f t="shared" si="31"/>
        <v>1919</v>
      </c>
      <c r="B1920" s="65" t="s">
        <v>3155</v>
      </c>
      <c r="C1920" s="1">
        <v>9603675777</v>
      </c>
      <c r="D1920" s="6"/>
      <c r="E1920" s="3" t="s">
        <v>1023</v>
      </c>
      <c r="F1920" s="85" t="s">
        <v>3156</v>
      </c>
      <c r="G1920" s="3" t="s">
        <v>16</v>
      </c>
      <c r="H1920" s="2" t="s">
        <v>2535</v>
      </c>
      <c r="I1920" s="37" t="s">
        <v>42</v>
      </c>
      <c r="J1920" s="31">
        <v>45742</v>
      </c>
      <c r="K1920" s="31">
        <v>45745</v>
      </c>
      <c r="L1920" s="31">
        <v>45748</v>
      </c>
      <c r="M1920" s="31">
        <v>45782</v>
      </c>
      <c r="N1920" s="31">
        <v>45782</v>
      </c>
      <c r="O1920" s="2" t="s">
        <v>297</v>
      </c>
    </row>
    <row r="1921" spans="1:15" ht="15.6">
      <c r="A1921" s="3">
        <f t="shared" si="31"/>
        <v>1920</v>
      </c>
      <c r="B1921" s="65" t="s">
        <v>1524</v>
      </c>
      <c r="C1921" s="1">
        <v>8935943636</v>
      </c>
      <c r="D1921" s="6"/>
      <c r="E1921" s="7" t="s">
        <v>1635</v>
      </c>
      <c r="F1921" s="85" t="s">
        <v>308</v>
      </c>
      <c r="G1921" s="3" t="s">
        <v>424</v>
      </c>
      <c r="H1921" s="2" t="s">
        <v>1186</v>
      </c>
      <c r="I1921" s="37" t="s">
        <v>94</v>
      </c>
      <c r="J1921" s="31">
        <v>45743</v>
      </c>
      <c r="K1921" s="31">
        <v>45820</v>
      </c>
      <c r="L1921" s="31"/>
      <c r="M1921" s="31"/>
      <c r="N1921" s="31"/>
      <c r="O1921" s="2" t="s">
        <v>425</v>
      </c>
    </row>
    <row r="1922" spans="1:15" ht="15.6">
      <c r="A1922" s="3">
        <f t="shared" si="31"/>
        <v>1921</v>
      </c>
      <c r="B1922" s="65" t="s">
        <v>3157</v>
      </c>
      <c r="C1922" s="1">
        <v>7987454180</v>
      </c>
      <c r="D1922" s="6"/>
      <c r="E1922" s="7" t="s">
        <v>1635</v>
      </c>
      <c r="F1922" s="85" t="s">
        <v>308</v>
      </c>
      <c r="G1922" s="2" t="s">
        <v>18</v>
      </c>
      <c r="H1922" s="2" t="s">
        <v>1186</v>
      </c>
      <c r="I1922" s="37" t="s">
        <v>94</v>
      </c>
      <c r="J1922" s="31">
        <v>45743</v>
      </c>
      <c r="K1922" s="31">
        <v>45765</v>
      </c>
      <c r="L1922" s="31"/>
      <c r="M1922" s="31"/>
      <c r="N1922" s="31"/>
      <c r="O1922" s="2" t="s">
        <v>297</v>
      </c>
    </row>
    <row r="1923" spans="1:15" ht="15.6">
      <c r="A1923" s="3">
        <f t="shared" si="31"/>
        <v>1922</v>
      </c>
      <c r="B1923" s="65" t="s">
        <v>3158</v>
      </c>
      <c r="C1923" s="1">
        <v>8790429670</v>
      </c>
      <c r="D1923" s="6"/>
      <c r="E1923" s="3" t="s">
        <v>1624</v>
      </c>
      <c r="F1923" s="85" t="s">
        <v>308</v>
      </c>
      <c r="G1923" s="2" t="s">
        <v>16</v>
      </c>
      <c r="H1923" s="2" t="s">
        <v>1186</v>
      </c>
      <c r="I1923" s="37" t="s">
        <v>94</v>
      </c>
      <c r="J1923" s="31">
        <v>45743</v>
      </c>
      <c r="K1923" s="31">
        <v>45751</v>
      </c>
      <c r="L1923" s="31">
        <v>45758</v>
      </c>
      <c r="M1923" s="31">
        <v>45792</v>
      </c>
      <c r="N1923" s="31">
        <v>45790</v>
      </c>
      <c r="O1923" s="2" t="s">
        <v>297</v>
      </c>
    </row>
    <row r="1924" spans="1:15" ht="15.6">
      <c r="A1924" s="3">
        <f t="shared" si="31"/>
        <v>1923</v>
      </c>
      <c r="B1924" s="65" t="s">
        <v>3159</v>
      </c>
      <c r="C1924" s="1">
        <v>7680925290</v>
      </c>
      <c r="D1924" s="6"/>
      <c r="E1924" s="7" t="s">
        <v>1619</v>
      </c>
      <c r="F1924" s="85" t="s">
        <v>3160</v>
      </c>
      <c r="G1924" s="2" t="s">
        <v>16</v>
      </c>
      <c r="H1924" s="2" t="s">
        <v>1186</v>
      </c>
      <c r="I1924" s="37" t="s">
        <v>94</v>
      </c>
      <c r="J1924" s="31">
        <v>45743</v>
      </c>
      <c r="K1924" s="31">
        <v>45765</v>
      </c>
      <c r="L1924" s="31">
        <v>45770</v>
      </c>
      <c r="M1924" s="31">
        <v>45777</v>
      </c>
      <c r="N1924" s="31">
        <v>45777</v>
      </c>
      <c r="O1924" s="2" t="s">
        <v>297</v>
      </c>
    </row>
    <row r="1925" spans="1:15" ht="15.6">
      <c r="A1925" s="3">
        <f t="shared" si="31"/>
        <v>1924</v>
      </c>
      <c r="B1925" s="65" t="s">
        <v>3161</v>
      </c>
      <c r="C1925" s="1">
        <v>7013683977</v>
      </c>
      <c r="D1925" s="6"/>
      <c r="E1925" s="7" t="s">
        <v>3162</v>
      </c>
      <c r="F1925" s="85" t="s">
        <v>3163</v>
      </c>
      <c r="G1925" s="2" t="s">
        <v>18</v>
      </c>
      <c r="H1925" s="2" t="s">
        <v>1186</v>
      </c>
      <c r="I1925" s="37" t="s">
        <v>94</v>
      </c>
      <c r="J1925" s="31">
        <v>45743</v>
      </c>
      <c r="K1925" s="31">
        <v>45820</v>
      </c>
      <c r="L1925" s="31">
        <v>45821</v>
      </c>
      <c r="M1925" s="31">
        <v>45866</v>
      </c>
      <c r="N1925" s="31"/>
      <c r="O1925" s="2" t="s">
        <v>297</v>
      </c>
    </row>
    <row r="1926" spans="1:15" ht="15.6">
      <c r="A1926" s="3">
        <f t="shared" si="31"/>
        <v>1925</v>
      </c>
      <c r="B1926" s="65" t="s">
        <v>3164</v>
      </c>
      <c r="C1926" s="1">
        <v>7908034742</v>
      </c>
      <c r="D1926" s="6"/>
      <c r="E1926" s="7" t="s">
        <v>3162</v>
      </c>
      <c r="F1926" s="85" t="s">
        <v>569</v>
      </c>
      <c r="G1926" s="3" t="s">
        <v>1175</v>
      </c>
      <c r="H1926" s="2" t="s">
        <v>1186</v>
      </c>
      <c r="I1926" s="37" t="s">
        <v>94</v>
      </c>
      <c r="J1926" s="31">
        <v>45743</v>
      </c>
      <c r="K1926" s="31"/>
      <c r="L1926" s="31"/>
      <c r="M1926" s="31"/>
      <c r="N1926" s="31"/>
      <c r="O1926" s="2" t="s">
        <v>1004</v>
      </c>
    </row>
    <row r="1927" spans="1:15" ht="15.6">
      <c r="A1927" s="3">
        <f t="shared" si="31"/>
        <v>1926</v>
      </c>
      <c r="B1927" s="65" t="s">
        <v>3165</v>
      </c>
      <c r="C1927" s="1">
        <v>9703029160</v>
      </c>
      <c r="D1927" s="6"/>
      <c r="E1927" s="7" t="s">
        <v>3162</v>
      </c>
      <c r="F1927" s="85" t="s">
        <v>569</v>
      </c>
      <c r="G1927" s="3" t="s">
        <v>1175</v>
      </c>
      <c r="H1927" s="2" t="s">
        <v>1186</v>
      </c>
      <c r="I1927" s="37" t="s">
        <v>94</v>
      </c>
      <c r="J1927" s="31">
        <v>45743</v>
      </c>
      <c r="K1927" s="31"/>
      <c r="L1927" s="31"/>
      <c r="M1927" s="31"/>
      <c r="N1927" s="31"/>
      <c r="O1927" s="2" t="s">
        <v>1004</v>
      </c>
    </row>
    <row r="1928" spans="1:15" ht="15.6">
      <c r="A1928" s="3">
        <f t="shared" si="31"/>
        <v>1927</v>
      </c>
      <c r="B1928" s="65" t="s">
        <v>3166</v>
      </c>
      <c r="C1928" s="1">
        <v>8104470971</v>
      </c>
      <c r="D1928" s="6"/>
      <c r="E1928" s="3" t="s">
        <v>1023</v>
      </c>
      <c r="F1928" s="85" t="s">
        <v>303</v>
      </c>
      <c r="G1928" s="3" t="s">
        <v>295</v>
      </c>
      <c r="H1928" s="2" t="s">
        <v>2535</v>
      </c>
      <c r="I1928" s="37" t="s">
        <v>94</v>
      </c>
      <c r="J1928" s="31">
        <v>45743</v>
      </c>
      <c r="K1928" s="31">
        <v>45746</v>
      </c>
      <c r="L1928" s="31">
        <v>45758</v>
      </c>
      <c r="M1928" s="31">
        <v>45858</v>
      </c>
      <c r="N1928" s="31"/>
      <c r="O1928" s="2" t="s">
        <v>297</v>
      </c>
    </row>
    <row r="1929" spans="1:15" ht="15.6">
      <c r="A1929" s="3">
        <f t="shared" si="31"/>
        <v>1928</v>
      </c>
      <c r="B1929" s="65" t="s">
        <v>3167</v>
      </c>
      <c r="C1929" s="1">
        <v>9453361364</v>
      </c>
      <c r="D1929" s="6"/>
      <c r="E1929" s="3" t="s">
        <v>1023</v>
      </c>
      <c r="F1929" s="85" t="s">
        <v>303</v>
      </c>
      <c r="G1929" s="2" t="s">
        <v>416</v>
      </c>
      <c r="H1929" s="2" t="s">
        <v>2535</v>
      </c>
      <c r="I1929" s="37" t="s">
        <v>94</v>
      </c>
      <c r="J1929" s="31">
        <v>45743</v>
      </c>
      <c r="K1929" s="31">
        <v>45746</v>
      </c>
      <c r="L1929" s="31"/>
      <c r="M1929" s="31"/>
      <c r="N1929" s="31"/>
      <c r="O1929" s="2" t="s">
        <v>297</v>
      </c>
    </row>
    <row r="1930" spans="1:15" ht="15.6">
      <c r="A1930" s="3">
        <f t="shared" si="31"/>
        <v>1929</v>
      </c>
      <c r="B1930" s="65" t="s">
        <v>3168</v>
      </c>
      <c r="C1930" s="1">
        <v>9708001598</v>
      </c>
      <c r="D1930" s="6"/>
      <c r="E1930" s="3" t="s">
        <v>607</v>
      </c>
      <c r="F1930" s="85" t="s">
        <v>303</v>
      </c>
      <c r="G1930" s="2" t="s">
        <v>295</v>
      </c>
      <c r="H1930" s="2" t="s">
        <v>2535</v>
      </c>
      <c r="I1930" s="37" t="s">
        <v>94</v>
      </c>
      <c r="J1930" s="31">
        <v>45743</v>
      </c>
      <c r="K1930" s="31">
        <v>45746</v>
      </c>
      <c r="L1930" s="31">
        <v>45821</v>
      </c>
      <c r="M1930" s="31">
        <v>45915</v>
      </c>
      <c r="N1930" s="31"/>
      <c r="O1930" s="2" t="s">
        <v>297</v>
      </c>
    </row>
    <row r="1931" spans="1:15" ht="15.6">
      <c r="A1931" s="3">
        <f t="shared" si="31"/>
        <v>1930</v>
      </c>
      <c r="B1931" s="65" t="s">
        <v>3169</v>
      </c>
      <c r="C1931" s="1">
        <v>9382840659</v>
      </c>
      <c r="D1931" s="6"/>
      <c r="E1931" s="3" t="s">
        <v>1023</v>
      </c>
      <c r="F1931" s="85" t="s">
        <v>303</v>
      </c>
      <c r="G1931" s="3" t="s">
        <v>295</v>
      </c>
      <c r="H1931" s="2" t="s">
        <v>2535</v>
      </c>
      <c r="I1931" s="37" t="s">
        <v>94</v>
      </c>
      <c r="J1931" s="31">
        <v>45743</v>
      </c>
      <c r="K1931" s="31">
        <v>45746</v>
      </c>
      <c r="L1931" s="31">
        <v>45758</v>
      </c>
      <c r="M1931" s="31">
        <v>45788</v>
      </c>
      <c r="N1931" s="31"/>
      <c r="O1931" s="2" t="s">
        <v>297</v>
      </c>
    </row>
    <row r="1932" spans="1:15" ht="15.6">
      <c r="A1932" s="3">
        <f t="shared" si="31"/>
        <v>1931</v>
      </c>
      <c r="B1932" s="65" t="s">
        <v>3170</v>
      </c>
      <c r="C1932" s="1">
        <v>9609172136</v>
      </c>
      <c r="D1932" s="6"/>
      <c r="E1932" s="3" t="s">
        <v>1023</v>
      </c>
      <c r="F1932" s="85" t="s">
        <v>303</v>
      </c>
      <c r="G1932" s="2" t="s">
        <v>16</v>
      </c>
      <c r="H1932" s="2" t="s">
        <v>2535</v>
      </c>
      <c r="I1932" s="37" t="s">
        <v>94</v>
      </c>
      <c r="J1932" s="31">
        <v>45743</v>
      </c>
      <c r="K1932" s="31">
        <v>45746</v>
      </c>
      <c r="L1932" s="31">
        <v>45763</v>
      </c>
      <c r="M1932" s="31">
        <v>45824</v>
      </c>
      <c r="N1932" s="31">
        <v>45824</v>
      </c>
      <c r="O1932" s="2" t="s">
        <v>297</v>
      </c>
    </row>
    <row r="1933" spans="1:15" ht="15.6">
      <c r="A1933" s="3">
        <f t="shared" si="31"/>
        <v>1932</v>
      </c>
      <c r="B1933" s="65" t="s">
        <v>3171</v>
      </c>
      <c r="C1933" s="1">
        <v>8624080441</v>
      </c>
      <c r="D1933" s="6"/>
      <c r="E1933" s="3" t="s">
        <v>1023</v>
      </c>
      <c r="F1933" s="85" t="s">
        <v>303</v>
      </c>
      <c r="G1933" s="3" t="s">
        <v>295</v>
      </c>
      <c r="H1933" s="2" t="s">
        <v>2535</v>
      </c>
      <c r="I1933" s="37" t="s">
        <v>94</v>
      </c>
      <c r="J1933" s="31">
        <v>45743</v>
      </c>
      <c r="K1933" s="31">
        <v>45746</v>
      </c>
      <c r="L1933" s="31">
        <v>45758</v>
      </c>
      <c r="M1933" s="31">
        <v>45779</v>
      </c>
      <c r="N1933" s="31"/>
      <c r="O1933" s="2" t="s">
        <v>297</v>
      </c>
    </row>
    <row r="1934" spans="1:15" ht="15.6">
      <c r="A1934" s="3">
        <f t="shared" si="31"/>
        <v>1933</v>
      </c>
      <c r="B1934" s="65" t="s">
        <v>3172</v>
      </c>
      <c r="C1934" s="1">
        <v>7665400578</v>
      </c>
      <c r="D1934" s="6"/>
      <c r="E1934" s="3" t="s">
        <v>1023</v>
      </c>
      <c r="F1934" s="85" t="s">
        <v>303</v>
      </c>
      <c r="G1934" s="2" t="s">
        <v>424</v>
      </c>
      <c r="H1934" s="2" t="s">
        <v>2535</v>
      </c>
      <c r="I1934" s="37" t="s">
        <v>94</v>
      </c>
      <c r="J1934" s="31">
        <v>45743</v>
      </c>
      <c r="K1934" s="31">
        <v>45746</v>
      </c>
      <c r="L1934" s="31"/>
      <c r="M1934" s="31"/>
      <c r="N1934" s="31"/>
      <c r="O1934" s="2" t="s">
        <v>425</v>
      </c>
    </row>
    <row r="1935" spans="1:15" ht="15.6">
      <c r="A1935" s="3">
        <f t="shared" si="31"/>
        <v>1934</v>
      </c>
      <c r="B1935" s="65" t="s">
        <v>2386</v>
      </c>
      <c r="C1935" s="1">
        <v>7324858351</v>
      </c>
      <c r="D1935" s="6"/>
      <c r="E1935" s="3" t="s">
        <v>1023</v>
      </c>
      <c r="F1935" s="85" t="s">
        <v>303</v>
      </c>
      <c r="G1935" s="3" t="s">
        <v>295</v>
      </c>
      <c r="H1935" s="2" t="s">
        <v>2535</v>
      </c>
      <c r="I1935" s="37" t="s">
        <v>94</v>
      </c>
      <c r="J1935" s="31">
        <v>45743</v>
      </c>
      <c r="K1935" s="31">
        <v>45746</v>
      </c>
      <c r="L1935" s="31">
        <v>45750</v>
      </c>
      <c r="M1935" s="31">
        <v>45780</v>
      </c>
      <c r="N1935" s="31"/>
      <c r="O1935" s="2" t="s">
        <v>297</v>
      </c>
    </row>
    <row r="1936" spans="1:15" ht="15.6">
      <c r="A1936" s="3">
        <f t="shared" si="31"/>
        <v>1935</v>
      </c>
      <c r="B1936" s="65" t="s">
        <v>3173</v>
      </c>
      <c r="C1936" s="1">
        <v>9519346826</v>
      </c>
      <c r="D1936" s="6"/>
      <c r="E1936" s="3" t="s">
        <v>1023</v>
      </c>
      <c r="F1936" s="85" t="s">
        <v>303</v>
      </c>
      <c r="G1936" s="2" t="s">
        <v>424</v>
      </c>
      <c r="H1936" s="2" t="s">
        <v>2535</v>
      </c>
      <c r="I1936" s="37" t="s">
        <v>94</v>
      </c>
      <c r="J1936" s="31">
        <v>45743</v>
      </c>
      <c r="K1936" s="31">
        <v>45746</v>
      </c>
      <c r="L1936" s="31"/>
      <c r="M1936" s="31"/>
      <c r="N1936" s="31"/>
      <c r="O1936" s="2" t="s">
        <v>425</v>
      </c>
    </row>
    <row r="1937" spans="1:15" ht="15.6">
      <c r="A1937" s="3">
        <f t="shared" si="31"/>
        <v>1936</v>
      </c>
      <c r="B1937" s="65" t="s">
        <v>3174</v>
      </c>
      <c r="C1937" s="1">
        <v>8340135120</v>
      </c>
      <c r="D1937" s="6"/>
      <c r="E1937" s="3" t="s">
        <v>1023</v>
      </c>
      <c r="F1937" s="85" t="s">
        <v>303</v>
      </c>
      <c r="G1937" s="2" t="s">
        <v>16</v>
      </c>
      <c r="H1937" s="2" t="s">
        <v>2535</v>
      </c>
      <c r="I1937" s="37" t="s">
        <v>94</v>
      </c>
      <c r="J1937" s="31">
        <v>45743</v>
      </c>
      <c r="K1937" s="31">
        <v>45746</v>
      </c>
      <c r="L1937" s="31">
        <v>45750</v>
      </c>
      <c r="M1937" s="31">
        <v>45780</v>
      </c>
      <c r="N1937" s="31">
        <v>45770</v>
      </c>
      <c r="O1937" s="2" t="s">
        <v>297</v>
      </c>
    </row>
    <row r="1938" spans="1:15" ht="15.6">
      <c r="A1938" s="3">
        <f t="shared" si="31"/>
        <v>1937</v>
      </c>
      <c r="B1938" s="65" t="s">
        <v>3175</v>
      </c>
      <c r="C1938" s="1">
        <v>9832077673</v>
      </c>
      <c r="D1938" s="6"/>
      <c r="E1938" s="3" t="s">
        <v>1023</v>
      </c>
      <c r="F1938" s="85" t="s">
        <v>303</v>
      </c>
      <c r="G1938" s="2" t="s">
        <v>424</v>
      </c>
      <c r="H1938" s="2" t="s">
        <v>2535</v>
      </c>
      <c r="I1938" s="37" t="s">
        <v>94</v>
      </c>
      <c r="J1938" s="31">
        <v>45743</v>
      </c>
      <c r="K1938" s="31">
        <v>45746</v>
      </c>
      <c r="L1938" s="31"/>
      <c r="M1938" s="31"/>
      <c r="N1938" s="31"/>
      <c r="O1938" s="2" t="s">
        <v>425</v>
      </c>
    </row>
    <row r="1939" spans="1:15" ht="15.6">
      <c r="A1939" s="3">
        <f t="shared" si="31"/>
        <v>1938</v>
      </c>
      <c r="B1939" s="65" t="s">
        <v>3176</v>
      </c>
      <c r="C1939" s="1">
        <v>9808909291</v>
      </c>
      <c r="D1939" s="6"/>
      <c r="E1939" s="3" t="s">
        <v>1023</v>
      </c>
      <c r="F1939" s="85" t="s">
        <v>303</v>
      </c>
      <c r="G1939" s="3" t="s">
        <v>295</v>
      </c>
      <c r="H1939" s="2" t="s">
        <v>2535</v>
      </c>
      <c r="I1939" s="37" t="s">
        <v>94</v>
      </c>
      <c r="J1939" s="31">
        <v>45743</v>
      </c>
      <c r="K1939" s="31">
        <v>45746</v>
      </c>
      <c r="L1939" s="31">
        <v>45749</v>
      </c>
      <c r="M1939" s="31">
        <v>45779</v>
      </c>
      <c r="N1939" s="31"/>
      <c r="O1939" s="2" t="s">
        <v>297</v>
      </c>
    </row>
    <row r="1940" spans="1:15" ht="15.6">
      <c r="A1940" s="3">
        <f t="shared" si="31"/>
        <v>1939</v>
      </c>
      <c r="B1940" s="65" t="s">
        <v>3177</v>
      </c>
      <c r="C1940" s="1">
        <v>7052834424</v>
      </c>
      <c r="D1940" s="6"/>
      <c r="E1940" s="7" t="s">
        <v>1624</v>
      </c>
      <c r="F1940" s="85" t="s">
        <v>2602</v>
      </c>
      <c r="G1940" s="2" t="s">
        <v>295</v>
      </c>
      <c r="H1940" s="2" t="s">
        <v>1186</v>
      </c>
      <c r="I1940" s="37" t="s">
        <v>94</v>
      </c>
      <c r="J1940" s="31">
        <v>45721</v>
      </c>
      <c r="K1940" s="31">
        <v>45721</v>
      </c>
      <c r="L1940" s="31">
        <v>45741</v>
      </c>
      <c r="M1940" s="31">
        <v>45768</v>
      </c>
      <c r="N1940" s="31"/>
      <c r="O1940" s="2" t="s">
        <v>297</v>
      </c>
    </row>
    <row r="1941" spans="1:15" ht="15.6">
      <c r="A1941" s="3">
        <f t="shared" si="31"/>
        <v>1940</v>
      </c>
      <c r="B1941" s="65" t="s">
        <v>3178</v>
      </c>
      <c r="C1941" s="1">
        <v>7569833984</v>
      </c>
      <c r="D1941" s="6"/>
      <c r="E1941" s="3" t="s">
        <v>90</v>
      </c>
      <c r="F1941" s="85"/>
      <c r="G1941" s="2" t="s">
        <v>16</v>
      </c>
      <c r="H1941" s="4" t="s">
        <v>679</v>
      </c>
      <c r="I1941" s="37" t="s">
        <v>42</v>
      </c>
      <c r="J1941" s="31">
        <v>45743</v>
      </c>
      <c r="K1941" s="31">
        <v>45743</v>
      </c>
      <c r="L1941" s="31">
        <v>45743</v>
      </c>
      <c r="M1941" s="31">
        <v>45751</v>
      </c>
      <c r="N1941" s="31">
        <v>45744</v>
      </c>
      <c r="O1941" s="2" t="s">
        <v>297</v>
      </c>
    </row>
    <row r="1942" spans="1:15" ht="15.6">
      <c r="A1942" s="3">
        <f t="shared" si="31"/>
        <v>1941</v>
      </c>
      <c r="B1942" s="65" t="s">
        <v>3179</v>
      </c>
      <c r="C1942" s="1">
        <v>9182220560</v>
      </c>
      <c r="D1942" s="6"/>
      <c r="E1942" s="3" t="s">
        <v>90</v>
      </c>
      <c r="F1942" s="85"/>
      <c r="G1942" s="2" t="s">
        <v>16</v>
      </c>
      <c r="H1942" s="4" t="s">
        <v>679</v>
      </c>
      <c r="I1942" s="37" t="s">
        <v>42</v>
      </c>
      <c r="J1942" s="31">
        <v>45743</v>
      </c>
      <c r="K1942" s="31">
        <v>45743</v>
      </c>
      <c r="L1942" s="31">
        <v>45743</v>
      </c>
      <c r="M1942" s="31">
        <v>45765</v>
      </c>
      <c r="N1942" s="31">
        <v>45765</v>
      </c>
      <c r="O1942" s="2" t="s">
        <v>297</v>
      </c>
    </row>
    <row r="1943" spans="1:15" ht="15.6">
      <c r="A1943" s="3">
        <f t="shared" si="31"/>
        <v>1942</v>
      </c>
      <c r="B1943" s="65" t="s">
        <v>3180</v>
      </c>
      <c r="C1943" s="1">
        <v>7830838517</v>
      </c>
      <c r="D1943" s="6"/>
      <c r="E1943" s="36" t="s">
        <v>113</v>
      </c>
      <c r="F1943" s="85" t="s">
        <v>2892</v>
      </c>
      <c r="G1943" s="2" t="s">
        <v>16</v>
      </c>
      <c r="H1943" s="4" t="s">
        <v>102</v>
      </c>
      <c r="I1943" s="37" t="s">
        <v>42</v>
      </c>
      <c r="J1943" s="31">
        <v>45743</v>
      </c>
      <c r="K1943" s="31">
        <v>45744</v>
      </c>
      <c r="L1943" s="31">
        <v>45749</v>
      </c>
      <c r="M1943" s="31">
        <v>45779</v>
      </c>
      <c r="N1943" s="31">
        <v>45779</v>
      </c>
      <c r="O1943" s="2" t="s">
        <v>297</v>
      </c>
    </row>
    <row r="1944" spans="1:15" ht="15.6">
      <c r="A1944" s="3">
        <f t="shared" si="31"/>
        <v>1943</v>
      </c>
      <c r="B1944" s="65" t="s">
        <v>3181</v>
      </c>
      <c r="C1944" s="1">
        <v>8299205082</v>
      </c>
      <c r="D1944" s="6"/>
      <c r="E1944" s="3" t="s">
        <v>107</v>
      </c>
      <c r="F1944" s="85" t="s">
        <v>2463</v>
      </c>
      <c r="G1944" s="2" t="s">
        <v>16</v>
      </c>
      <c r="H1944" s="4" t="s">
        <v>102</v>
      </c>
      <c r="I1944" s="37" t="s">
        <v>42</v>
      </c>
      <c r="J1944" s="31">
        <v>45743</v>
      </c>
      <c r="K1944" s="31">
        <v>45744</v>
      </c>
      <c r="L1944" s="31">
        <v>45747</v>
      </c>
      <c r="M1944" s="31">
        <v>45777</v>
      </c>
      <c r="N1944" s="31">
        <v>45768</v>
      </c>
      <c r="O1944" s="2" t="s">
        <v>297</v>
      </c>
    </row>
    <row r="1945" spans="1:15" ht="15.6">
      <c r="A1945" s="3">
        <f t="shared" si="31"/>
        <v>1944</v>
      </c>
      <c r="B1945" s="65" t="s">
        <v>3182</v>
      </c>
      <c r="C1945" s="1">
        <v>7849090641</v>
      </c>
      <c r="D1945" s="6"/>
      <c r="E1945" s="36" t="s">
        <v>113</v>
      </c>
      <c r="F1945" s="85" t="s">
        <v>3183</v>
      </c>
      <c r="G1945" s="2" t="s">
        <v>16</v>
      </c>
      <c r="H1945" s="4" t="s">
        <v>102</v>
      </c>
      <c r="I1945" s="37" t="s">
        <v>42</v>
      </c>
      <c r="J1945" s="31">
        <v>45743</v>
      </c>
      <c r="K1945" s="31">
        <v>45744</v>
      </c>
      <c r="L1945" s="31">
        <v>45751</v>
      </c>
      <c r="M1945" s="31">
        <v>45761</v>
      </c>
      <c r="N1945" s="31">
        <v>45761</v>
      </c>
      <c r="O1945" s="2" t="s">
        <v>297</v>
      </c>
    </row>
    <row r="1946" spans="1:15" ht="15.6">
      <c r="A1946" s="3">
        <f t="shared" si="31"/>
        <v>1945</v>
      </c>
      <c r="B1946" s="65" t="s">
        <v>3184</v>
      </c>
      <c r="C1946" s="1">
        <v>8885703353</v>
      </c>
      <c r="D1946" s="6"/>
      <c r="E1946" s="3" t="s">
        <v>85</v>
      </c>
      <c r="F1946" s="85" t="s">
        <v>1060</v>
      </c>
      <c r="G1946" s="2" t="s">
        <v>16</v>
      </c>
      <c r="H1946" s="4" t="s">
        <v>102</v>
      </c>
      <c r="I1946" s="37" t="s">
        <v>42</v>
      </c>
      <c r="J1946" s="31">
        <v>45743</v>
      </c>
      <c r="K1946" s="31">
        <v>45744</v>
      </c>
      <c r="L1946" s="31">
        <v>45758</v>
      </c>
      <c r="M1946" s="31">
        <v>45824</v>
      </c>
      <c r="N1946" s="31">
        <v>45825</v>
      </c>
      <c r="O1946" s="2" t="s">
        <v>297</v>
      </c>
    </row>
    <row r="1947" spans="1:15" ht="15.6">
      <c r="A1947" s="3">
        <f t="shared" si="31"/>
        <v>1946</v>
      </c>
      <c r="B1947" s="65" t="s">
        <v>3185</v>
      </c>
      <c r="C1947" s="1">
        <v>8125754097</v>
      </c>
      <c r="D1947" s="6"/>
      <c r="E1947" s="7" t="s">
        <v>1786</v>
      </c>
      <c r="F1947" s="85" t="s">
        <v>3186</v>
      </c>
      <c r="G1947" s="3" t="s">
        <v>1175</v>
      </c>
      <c r="H1947" s="4" t="s">
        <v>3187</v>
      </c>
      <c r="I1947" s="37" t="s">
        <v>88</v>
      </c>
      <c r="J1947" s="31">
        <v>45743</v>
      </c>
      <c r="K1947" s="31"/>
      <c r="L1947" s="31"/>
      <c r="M1947" s="31"/>
      <c r="N1947" s="31"/>
      <c r="O1947" s="2" t="s">
        <v>1004</v>
      </c>
    </row>
    <row r="1948" spans="1:15" ht="15.6">
      <c r="A1948" s="3">
        <f t="shared" si="31"/>
        <v>1947</v>
      </c>
      <c r="B1948" s="65" t="s">
        <v>3188</v>
      </c>
      <c r="C1948" s="1">
        <v>9100208108</v>
      </c>
      <c r="D1948" s="6"/>
      <c r="E1948" s="3" t="s">
        <v>90</v>
      </c>
      <c r="F1948" s="85" t="s">
        <v>294</v>
      </c>
      <c r="G1948" s="3" t="s">
        <v>416</v>
      </c>
      <c r="H1948" s="4" t="s">
        <v>1432</v>
      </c>
      <c r="I1948" s="37" t="s">
        <v>88</v>
      </c>
      <c r="J1948" s="31">
        <v>45744</v>
      </c>
      <c r="K1948" s="31">
        <v>45748</v>
      </c>
      <c r="L1948" s="31"/>
      <c r="M1948" s="31"/>
      <c r="N1948" s="31"/>
      <c r="O1948" s="2" t="s">
        <v>297</v>
      </c>
    </row>
    <row r="1949" spans="1:15" ht="15.6">
      <c r="A1949" s="3">
        <f t="shared" si="31"/>
        <v>1948</v>
      </c>
      <c r="B1949" s="65" t="s">
        <v>3189</v>
      </c>
      <c r="C1949" s="1">
        <v>7763834964</v>
      </c>
      <c r="D1949" s="6"/>
      <c r="E1949" s="7" t="s">
        <v>2889</v>
      </c>
      <c r="F1949" s="85" t="s">
        <v>3190</v>
      </c>
      <c r="G1949" s="2" t="s">
        <v>16</v>
      </c>
      <c r="H1949" s="4" t="s">
        <v>717</v>
      </c>
      <c r="I1949" s="37" t="s">
        <v>94</v>
      </c>
      <c r="J1949" s="31">
        <v>45735</v>
      </c>
      <c r="K1949" s="31">
        <v>45735</v>
      </c>
      <c r="L1949" s="31">
        <v>45741</v>
      </c>
      <c r="M1949" s="31">
        <v>45757</v>
      </c>
      <c r="N1949" s="31">
        <v>45757</v>
      </c>
      <c r="O1949" s="2" t="s">
        <v>297</v>
      </c>
    </row>
    <row r="1950" spans="1:15" ht="15.6">
      <c r="A1950" s="3">
        <f t="shared" si="31"/>
        <v>1949</v>
      </c>
      <c r="B1950" s="65" t="s">
        <v>3191</v>
      </c>
      <c r="C1950" s="1">
        <v>9877245629</v>
      </c>
      <c r="D1950" s="6">
        <v>8918077737</v>
      </c>
      <c r="E1950" s="7" t="s">
        <v>530</v>
      </c>
      <c r="F1950" s="85" t="s">
        <v>3192</v>
      </c>
      <c r="G1950" s="2" t="s">
        <v>16</v>
      </c>
      <c r="H1950" s="4" t="s">
        <v>1096</v>
      </c>
      <c r="I1950" s="37" t="s">
        <v>94</v>
      </c>
      <c r="J1950" s="31">
        <v>45731</v>
      </c>
      <c r="K1950" s="31">
        <v>45731</v>
      </c>
      <c r="L1950" s="31">
        <v>45741</v>
      </c>
      <c r="M1950" s="31">
        <v>45762</v>
      </c>
      <c r="N1950" s="31">
        <v>45761</v>
      </c>
      <c r="O1950" s="2" t="s">
        <v>297</v>
      </c>
    </row>
    <row r="1951" spans="1:15" ht="15.6">
      <c r="A1951" s="3">
        <f t="shared" si="31"/>
        <v>1950</v>
      </c>
      <c r="B1951" s="65" t="s">
        <v>618</v>
      </c>
      <c r="C1951" s="1">
        <v>8085209392</v>
      </c>
      <c r="D1951" s="6"/>
      <c r="E1951" s="3" t="s">
        <v>1023</v>
      </c>
      <c r="F1951" s="85" t="s">
        <v>612</v>
      </c>
      <c r="G1951" s="3" t="s">
        <v>295</v>
      </c>
      <c r="H1951" s="2" t="s">
        <v>2535</v>
      </c>
      <c r="I1951" s="37" t="s">
        <v>94</v>
      </c>
      <c r="J1951" s="31">
        <v>45744</v>
      </c>
      <c r="K1951" s="31">
        <v>45746</v>
      </c>
      <c r="L1951" s="31">
        <v>45758</v>
      </c>
      <c r="M1951" s="31">
        <v>45788</v>
      </c>
      <c r="N1951" s="31"/>
      <c r="O1951" s="2" t="s">
        <v>297</v>
      </c>
    </row>
    <row r="1952" spans="1:15" ht="15.6">
      <c r="A1952" s="3">
        <f t="shared" si="31"/>
        <v>1951</v>
      </c>
      <c r="B1952" s="65" t="s">
        <v>3193</v>
      </c>
      <c r="C1952" s="1">
        <v>9752357982</v>
      </c>
      <c r="D1952" s="6"/>
      <c r="E1952" s="3" t="s">
        <v>1023</v>
      </c>
      <c r="F1952" s="85" t="s">
        <v>3194</v>
      </c>
      <c r="G1952" s="2" t="s">
        <v>18</v>
      </c>
      <c r="H1952" s="2" t="s">
        <v>2535</v>
      </c>
      <c r="I1952" s="37" t="s">
        <v>94</v>
      </c>
      <c r="J1952" s="31">
        <v>45744</v>
      </c>
      <c r="K1952" s="31">
        <v>45746</v>
      </c>
      <c r="L1952" s="31"/>
      <c r="M1952" s="31"/>
      <c r="N1952" s="31"/>
      <c r="O1952" s="2" t="s">
        <v>297</v>
      </c>
    </row>
    <row r="1953" spans="1:15" ht="15.6">
      <c r="A1953" s="3">
        <f t="shared" si="31"/>
        <v>1952</v>
      </c>
      <c r="B1953" s="65" t="s">
        <v>3195</v>
      </c>
      <c r="C1953" s="1">
        <v>9156927718</v>
      </c>
      <c r="D1953" s="6"/>
      <c r="E1953" s="3" t="s">
        <v>1023</v>
      </c>
      <c r="F1953" s="85" t="s">
        <v>612</v>
      </c>
      <c r="G1953" s="2" t="s">
        <v>16</v>
      </c>
      <c r="H1953" s="2" t="s">
        <v>2535</v>
      </c>
      <c r="I1953" s="37" t="s">
        <v>94</v>
      </c>
      <c r="J1953" s="31">
        <v>45744</v>
      </c>
      <c r="K1953" s="31">
        <v>45746</v>
      </c>
      <c r="L1953" s="31">
        <v>45749</v>
      </c>
      <c r="M1953" s="31">
        <v>45779</v>
      </c>
      <c r="N1953" s="31">
        <v>45757</v>
      </c>
      <c r="O1953" s="2" t="s">
        <v>297</v>
      </c>
    </row>
    <row r="1954" spans="1:15" ht="15.6">
      <c r="A1954" s="3">
        <f t="shared" si="31"/>
        <v>1953</v>
      </c>
      <c r="B1954" s="65" t="s">
        <v>3196</v>
      </c>
      <c r="C1954" s="1">
        <v>7999535765</v>
      </c>
      <c r="D1954" s="6"/>
      <c r="E1954" s="3" t="s">
        <v>1023</v>
      </c>
      <c r="F1954" s="85" t="s">
        <v>303</v>
      </c>
      <c r="G1954" s="2" t="s">
        <v>330</v>
      </c>
      <c r="H1954" s="2" t="s">
        <v>2535</v>
      </c>
      <c r="I1954" s="37" t="s">
        <v>94</v>
      </c>
      <c r="J1954" s="31">
        <v>45744</v>
      </c>
      <c r="K1954" s="31">
        <v>45746</v>
      </c>
      <c r="L1954" s="31">
        <v>45750</v>
      </c>
      <c r="M1954" s="31">
        <v>45780</v>
      </c>
      <c r="N1954" s="31">
        <v>45757</v>
      </c>
      <c r="O1954" s="2" t="s">
        <v>297</v>
      </c>
    </row>
    <row r="1955" spans="1:15">
      <c r="A1955" s="3">
        <f t="shared" si="31"/>
        <v>1954</v>
      </c>
      <c r="B1955" s="65" t="s">
        <v>3197</v>
      </c>
      <c r="C1955" s="1">
        <v>7805804766</v>
      </c>
      <c r="D1955" s="6"/>
      <c r="E1955" s="2" t="s">
        <v>1023</v>
      </c>
      <c r="F1955" s="31" t="s">
        <v>612</v>
      </c>
      <c r="G1955" s="49" t="s">
        <v>16</v>
      </c>
      <c r="H1955" s="18" t="s">
        <v>2535</v>
      </c>
      <c r="I1955" s="1" t="s">
        <v>94</v>
      </c>
      <c r="J1955" s="31">
        <v>45744</v>
      </c>
      <c r="K1955" s="31">
        <v>45746</v>
      </c>
      <c r="L1955" s="31">
        <v>45749</v>
      </c>
      <c r="M1955" s="31">
        <v>45792</v>
      </c>
      <c r="N1955" s="31">
        <v>45794</v>
      </c>
      <c r="O1955" s="37" t="s">
        <v>297</v>
      </c>
    </row>
    <row r="1956" spans="1:15" ht="15.6">
      <c r="A1956" s="3">
        <f t="shared" si="31"/>
        <v>1955</v>
      </c>
      <c r="B1956" s="65" t="s">
        <v>3198</v>
      </c>
      <c r="C1956" s="1">
        <v>9754962110</v>
      </c>
      <c r="D1956" s="6"/>
      <c r="E1956" s="3" t="s">
        <v>1023</v>
      </c>
      <c r="F1956" s="85" t="s">
        <v>612</v>
      </c>
      <c r="G1956" s="2" t="s">
        <v>424</v>
      </c>
      <c r="H1956" s="2" t="s">
        <v>2535</v>
      </c>
      <c r="I1956" s="37" t="s">
        <v>94</v>
      </c>
      <c r="J1956" s="31">
        <v>45744</v>
      </c>
      <c r="K1956" s="31">
        <v>45746</v>
      </c>
      <c r="L1956" s="31"/>
      <c r="M1956" s="31"/>
      <c r="N1956" s="31"/>
      <c r="O1956" s="2" t="s">
        <v>425</v>
      </c>
    </row>
    <row r="1957" spans="1:15" ht="15.6">
      <c r="A1957" s="3">
        <f t="shared" si="31"/>
        <v>1956</v>
      </c>
      <c r="B1957" s="65" t="s">
        <v>3199</v>
      </c>
      <c r="C1957" s="1">
        <v>9399333213</v>
      </c>
      <c r="D1957" s="6"/>
      <c r="E1957" s="3" t="s">
        <v>1023</v>
      </c>
      <c r="F1957" s="85" t="s">
        <v>303</v>
      </c>
      <c r="G1957" s="2" t="s">
        <v>424</v>
      </c>
      <c r="H1957" s="2" t="s">
        <v>2535</v>
      </c>
      <c r="I1957" s="37" t="s">
        <v>94</v>
      </c>
      <c r="J1957" s="31">
        <v>45744</v>
      </c>
      <c r="K1957" s="31">
        <v>45746</v>
      </c>
      <c r="L1957" s="31"/>
      <c r="M1957" s="31"/>
      <c r="N1957" s="31"/>
      <c r="O1957" s="2" t="s">
        <v>425</v>
      </c>
    </row>
    <row r="1958" spans="1:15" ht="15.6">
      <c r="A1958" s="3">
        <f t="shared" si="31"/>
        <v>1957</v>
      </c>
      <c r="B1958" s="65" t="s">
        <v>3200</v>
      </c>
      <c r="C1958" s="1">
        <v>7027155609</v>
      </c>
      <c r="D1958" s="6"/>
      <c r="E1958" s="3" t="s">
        <v>1023</v>
      </c>
      <c r="F1958" s="85" t="s">
        <v>575</v>
      </c>
      <c r="G1958" s="2" t="s">
        <v>424</v>
      </c>
      <c r="H1958" s="2" t="s">
        <v>2535</v>
      </c>
      <c r="I1958" s="37" t="s">
        <v>94</v>
      </c>
      <c r="J1958" s="31">
        <v>45744</v>
      </c>
      <c r="K1958" s="31">
        <v>45746</v>
      </c>
      <c r="L1958" s="31"/>
      <c r="M1958" s="31"/>
      <c r="N1958" s="31"/>
      <c r="O1958" s="2" t="s">
        <v>425</v>
      </c>
    </row>
    <row r="1959" spans="1:15" ht="15.6">
      <c r="A1959" s="3">
        <f t="shared" si="31"/>
        <v>1958</v>
      </c>
      <c r="B1959" s="65" t="s">
        <v>3201</v>
      </c>
      <c r="C1959" s="1">
        <v>7748999579</v>
      </c>
      <c r="D1959" s="6"/>
      <c r="E1959" s="3" t="s">
        <v>1023</v>
      </c>
      <c r="F1959" s="85" t="s">
        <v>490</v>
      </c>
      <c r="G1959" s="2" t="s">
        <v>424</v>
      </c>
      <c r="H1959" s="2" t="s">
        <v>2535</v>
      </c>
      <c r="I1959" s="37" t="s">
        <v>94</v>
      </c>
      <c r="J1959" s="31">
        <v>45744</v>
      </c>
      <c r="K1959" s="31">
        <v>45746</v>
      </c>
      <c r="L1959" s="31"/>
      <c r="M1959" s="31"/>
      <c r="N1959" s="31"/>
      <c r="O1959" s="2" t="s">
        <v>425</v>
      </c>
    </row>
    <row r="1960" spans="1:15" ht="15.6">
      <c r="A1960" s="3">
        <f t="shared" si="31"/>
        <v>1959</v>
      </c>
      <c r="B1960" s="65" t="s">
        <v>3202</v>
      </c>
      <c r="C1960" s="1">
        <v>6232928626</v>
      </c>
      <c r="D1960" s="6"/>
      <c r="E1960" s="3" t="s">
        <v>1023</v>
      </c>
      <c r="F1960" s="85" t="s">
        <v>612</v>
      </c>
      <c r="G1960" s="2" t="s">
        <v>424</v>
      </c>
      <c r="H1960" s="2" t="s">
        <v>2535</v>
      </c>
      <c r="I1960" s="37" t="s">
        <v>94</v>
      </c>
      <c r="J1960" s="31">
        <v>45744</v>
      </c>
      <c r="K1960" s="31">
        <v>45746</v>
      </c>
      <c r="L1960" s="31"/>
      <c r="M1960" s="31"/>
      <c r="N1960" s="31"/>
      <c r="O1960" s="2" t="s">
        <v>425</v>
      </c>
    </row>
    <row r="1961" spans="1:15" ht="15.6">
      <c r="A1961" s="3">
        <f t="shared" si="31"/>
        <v>1960</v>
      </c>
      <c r="B1961" s="65" t="s">
        <v>535</v>
      </c>
      <c r="C1961" s="1">
        <v>7580808101</v>
      </c>
      <c r="D1961" s="6"/>
      <c r="E1961" s="3" t="s">
        <v>1023</v>
      </c>
      <c r="F1961" s="85" t="s">
        <v>303</v>
      </c>
      <c r="G1961" s="2" t="s">
        <v>16</v>
      </c>
      <c r="H1961" s="2" t="s">
        <v>2535</v>
      </c>
      <c r="I1961" s="37" t="s">
        <v>94</v>
      </c>
      <c r="J1961" s="31">
        <v>45744</v>
      </c>
      <c r="K1961" s="31">
        <v>45746</v>
      </c>
      <c r="L1961" s="31">
        <v>45749</v>
      </c>
      <c r="M1961" s="31">
        <v>45782</v>
      </c>
      <c r="N1961" s="31">
        <v>45782</v>
      </c>
      <c r="O1961" s="2" t="s">
        <v>297</v>
      </c>
    </row>
    <row r="1962" spans="1:15" ht="15.6">
      <c r="A1962" s="3">
        <f t="shared" si="31"/>
        <v>1961</v>
      </c>
      <c r="B1962" s="65" t="s">
        <v>3203</v>
      </c>
      <c r="C1962" s="1">
        <v>7041268922</v>
      </c>
      <c r="D1962" s="6"/>
      <c r="E1962" s="3" t="s">
        <v>1023</v>
      </c>
      <c r="F1962" s="85" t="s">
        <v>303</v>
      </c>
      <c r="G1962" s="2" t="s">
        <v>424</v>
      </c>
      <c r="H1962" s="2" t="s">
        <v>2535</v>
      </c>
      <c r="I1962" s="37" t="s">
        <v>94</v>
      </c>
      <c r="J1962" s="31">
        <v>45744</v>
      </c>
      <c r="K1962" s="31">
        <v>45746</v>
      </c>
      <c r="L1962" s="31"/>
      <c r="M1962" s="31"/>
      <c r="N1962" s="31"/>
      <c r="O1962" s="2" t="s">
        <v>425</v>
      </c>
    </row>
    <row r="1963" spans="1:15" ht="15.6">
      <c r="A1963" s="3">
        <f t="shared" si="31"/>
        <v>1962</v>
      </c>
      <c r="B1963" s="65" t="s">
        <v>3204</v>
      </c>
      <c r="C1963" s="1">
        <v>7037981933</v>
      </c>
      <c r="D1963" s="6"/>
      <c r="E1963" s="3" t="s">
        <v>1023</v>
      </c>
      <c r="F1963" s="85" t="s">
        <v>490</v>
      </c>
      <c r="G1963" s="2" t="s">
        <v>424</v>
      </c>
      <c r="H1963" s="2" t="s">
        <v>2535</v>
      </c>
      <c r="I1963" s="37" t="s">
        <v>94</v>
      </c>
      <c r="J1963" s="31">
        <v>45744</v>
      </c>
      <c r="K1963" s="31">
        <v>45746</v>
      </c>
      <c r="L1963" s="31"/>
      <c r="M1963" s="31"/>
      <c r="N1963" s="31"/>
      <c r="O1963" s="2" t="s">
        <v>425</v>
      </c>
    </row>
    <row r="1964" spans="1:15" ht="15.6">
      <c r="A1964" s="3">
        <f t="shared" si="31"/>
        <v>1963</v>
      </c>
      <c r="B1964" s="65" t="s">
        <v>3205</v>
      </c>
      <c r="C1964" s="1">
        <v>8085265648</v>
      </c>
      <c r="D1964" s="6"/>
      <c r="E1964" s="3" t="s">
        <v>1023</v>
      </c>
      <c r="F1964" s="85" t="s">
        <v>303</v>
      </c>
      <c r="G1964" s="2" t="s">
        <v>424</v>
      </c>
      <c r="H1964" s="2" t="s">
        <v>2535</v>
      </c>
      <c r="I1964" s="37" t="s">
        <v>94</v>
      </c>
      <c r="J1964" s="31">
        <v>45744</v>
      </c>
      <c r="K1964" s="31">
        <v>45747</v>
      </c>
      <c r="L1964" s="31"/>
      <c r="M1964" s="31"/>
      <c r="N1964" s="31"/>
      <c r="O1964" s="2" t="s">
        <v>425</v>
      </c>
    </row>
    <row r="1965" spans="1:15" ht="15.6">
      <c r="A1965" s="3">
        <f t="shared" si="31"/>
        <v>1964</v>
      </c>
      <c r="B1965" s="65" t="s">
        <v>3206</v>
      </c>
      <c r="C1965" s="1">
        <v>6290204537</v>
      </c>
      <c r="D1965" s="6"/>
      <c r="E1965" s="3" t="s">
        <v>1023</v>
      </c>
      <c r="F1965" s="85" t="s">
        <v>303</v>
      </c>
      <c r="G1965" s="2" t="s">
        <v>16</v>
      </c>
      <c r="H1965" s="2" t="s">
        <v>2535</v>
      </c>
      <c r="I1965" s="37" t="s">
        <v>94</v>
      </c>
      <c r="J1965" s="31">
        <v>45744</v>
      </c>
      <c r="K1965" s="31">
        <v>45747</v>
      </c>
      <c r="L1965" s="31">
        <v>45758</v>
      </c>
      <c r="M1965" s="31">
        <v>45783</v>
      </c>
      <c r="N1965" s="31">
        <v>45783</v>
      </c>
      <c r="O1965" s="2" t="s">
        <v>297</v>
      </c>
    </row>
    <row r="1966" spans="1:15" ht="15.6">
      <c r="A1966" s="3">
        <f t="shared" si="31"/>
        <v>1965</v>
      </c>
      <c r="B1966" s="65" t="s">
        <v>3207</v>
      </c>
      <c r="C1966" s="1">
        <v>9719683688</v>
      </c>
      <c r="D1966" s="6"/>
      <c r="E1966" s="3" t="s">
        <v>1023</v>
      </c>
      <c r="F1966" s="85" t="s">
        <v>303</v>
      </c>
      <c r="G1966" s="2" t="s">
        <v>16</v>
      </c>
      <c r="H1966" s="2" t="s">
        <v>2535</v>
      </c>
      <c r="I1966" s="37" t="s">
        <v>94</v>
      </c>
      <c r="J1966" s="31">
        <v>45744</v>
      </c>
      <c r="K1966" s="31">
        <v>45747</v>
      </c>
      <c r="L1966" s="31">
        <v>45758</v>
      </c>
      <c r="M1966" s="31">
        <v>45788</v>
      </c>
      <c r="N1966" s="31">
        <v>45788</v>
      </c>
      <c r="O1966" s="2" t="s">
        <v>297</v>
      </c>
    </row>
    <row r="1967" spans="1:15" ht="15.6">
      <c r="A1967" s="3">
        <f t="shared" si="31"/>
        <v>1966</v>
      </c>
      <c r="B1967" s="65" t="s">
        <v>3208</v>
      </c>
      <c r="C1967" s="1">
        <v>7873155145</v>
      </c>
      <c r="D1967" s="6"/>
      <c r="E1967" s="3" t="s">
        <v>1023</v>
      </c>
      <c r="F1967" s="85" t="s">
        <v>612</v>
      </c>
      <c r="G1967" s="2" t="s">
        <v>330</v>
      </c>
      <c r="H1967" s="2" t="s">
        <v>2535</v>
      </c>
      <c r="I1967" s="37" t="s">
        <v>94</v>
      </c>
      <c r="J1967" s="31">
        <v>45744</v>
      </c>
      <c r="K1967" s="31">
        <v>45747</v>
      </c>
      <c r="L1967" s="31">
        <v>45758</v>
      </c>
      <c r="M1967" s="31">
        <v>45770</v>
      </c>
      <c r="N1967" s="31">
        <v>45770</v>
      </c>
      <c r="O1967" s="2" t="s">
        <v>297</v>
      </c>
    </row>
    <row r="1968" spans="1:15" ht="15.6">
      <c r="A1968" s="3">
        <f t="shared" si="31"/>
        <v>1967</v>
      </c>
      <c r="B1968" s="65" t="s">
        <v>3209</v>
      </c>
      <c r="C1968" s="1">
        <v>9573911298</v>
      </c>
      <c r="D1968" s="6"/>
      <c r="E1968" s="3" t="s">
        <v>1023</v>
      </c>
      <c r="F1968" s="85" t="s">
        <v>612</v>
      </c>
      <c r="G1968" s="2" t="s">
        <v>16</v>
      </c>
      <c r="H1968" s="2" t="s">
        <v>2535</v>
      </c>
      <c r="I1968" s="37" t="s">
        <v>94</v>
      </c>
      <c r="J1968" s="31">
        <v>45744</v>
      </c>
      <c r="K1968" s="31">
        <v>45747</v>
      </c>
      <c r="L1968" s="31">
        <v>45758</v>
      </c>
      <c r="M1968" s="31">
        <v>45788</v>
      </c>
      <c r="N1968" s="31">
        <v>45791</v>
      </c>
      <c r="O1968" s="2" t="s">
        <v>297</v>
      </c>
    </row>
    <row r="1969" spans="1:15" ht="15.6">
      <c r="A1969" s="3">
        <f t="shared" si="31"/>
        <v>1968</v>
      </c>
      <c r="B1969" s="65" t="s">
        <v>1639</v>
      </c>
      <c r="C1969" s="1">
        <v>8476848557</v>
      </c>
      <c r="D1969" s="6"/>
      <c r="E1969" s="3" t="s">
        <v>1023</v>
      </c>
      <c r="F1969" s="85" t="s">
        <v>329</v>
      </c>
      <c r="G1969" s="2" t="s">
        <v>424</v>
      </c>
      <c r="H1969" s="2" t="s">
        <v>2535</v>
      </c>
      <c r="I1969" s="37" t="s">
        <v>94</v>
      </c>
      <c r="J1969" s="31">
        <v>45744</v>
      </c>
      <c r="K1969" s="31">
        <v>45747</v>
      </c>
      <c r="L1969" s="31"/>
      <c r="M1969" s="31"/>
      <c r="N1969" s="31"/>
      <c r="O1969" s="2" t="s">
        <v>425</v>
      </c>
    </row>
    <row r="1970" spans="1:15" ht="15.6">
      <c r="A1970" s="3">
        <f t="shared" ref="A1970:A2033" si="32">ROW()-1</f>
        <v>1969</v>
      </c>
      <c r="B1970" s="65" t="s">
        <v>3210</v>
      </c>
      <c r="C1970" s="1">
        <v>7608864101</v>
      </c>
      <c r="D1970" s="6"/>
      <c r="E1970" s="3" t="s">
        <v>1023</v>
      </c>
      <c r="F1970" s="85" t="s">
        <v>303</v>
      </c>
      <c r="G1970" s="2" t="s">
        <v>330</v>
      </c>
      <c r="H1970" s="2" t="s">
        <v>2535</v>
      </c>
      <c r="I1970" s="37" t="s">
        <v>94</v>
      </c>
      <c r="J1970" s="31">
        <v>45744</v>
      </c>
      <c r="K1970" s="31">
        <v>45747</v>
      </c>
      <c r="L1970" s="31">
        <v>45750</v>
      </c>
      <c r="M1970" s="31">
        <v>45780</v>
      </c>
      <c r="N1970" s="31">
        <v>45766</v>
      </c>
      <c r="O1970" s="2" t="s">
        <v>297</v>
      </c>
    </row>
    <row r="1971" spans="1:15" ht="15.6">
      <c r="A1971" s="3">
        <f t="shared" si="32"/>
        <v>1970</v>
      </c>
      <c r="B1971" s="65" t="s">
        <v>3211</v>
      </c>
      <c r="C1971" s="1">
        <v>9852126957</v>
      </c>
      <c r="D1971" s="6"/>
      <c r="E1971" s="3" t="s">
        <v>1023</v>
      </c>
      <c r="F1971" s="85" t="s">
        <v>303</v>
      </c>
      <c r="G1971" s="2" t="s">
        <v>330</v>
      </c>
      <c r="H1971" s="2" t="s">
        <v>2535</v>
      </c>
      <c r="I1971" s="37" t="s">
        <v>94</v>
      </c>
      <c r="J1971" s="31">
        <v>45744</v>
      </c>
      <c r="K1971" s="31">
        <v>45747</v>
      </c>
      <c r="L1971" s="31">
        <v>45750</v>
      </c>
      <c r="M1971" s="31">
        <v>45780</v>
      </c>
      <c r="N1971" s="31">
        <v>45766</v>
      </c>
      <c r="O1971" s="2" t="s">
        <v>297</v>
      </c>
    </row>
    <row r="1972" spans="1:15" ht="15.6">
      <c r="A1972" s="3">
        <f t="shared" si="32"/>
        <v>1971</v>
      </c>
      <c r="B1972" s="65" t="s">
        <v>3212</v>
      </c>
      <c r="C1972" s="1">
        <v>8271137548</v>
      </c>
      <c r="D1972" s="6"/>
      <c r="E1972" s="3" t="s">
        <v>1023</v>
      </c>
      <c r="F1972" s="85" t="s">
        <v>3213</v>
      </c>
      <c r="G1972" s="2" t="s">
        <v>16</v>
      </c>
      <c r="H1972" s="2" t="s">
        <v>2535</v>
      </c>
      <c r="I1972" s="37" t="s">
        <v>94</v>
      </c>
      <c r="J1972" s="31">
        <v>45744</v>
      </c>
      <c r="K1972" s="31">
        <v>45747</v>
      </c>
      <c r="L1972" s="31">
        <v>45750</v>
      </c>
      <c r="M1972" s="31">
        <v>45780</v>
      </c>
      <c r="N1972" s="31">
        <v>45764</v>
      </c>
      <c r="O1972" s="2" t="s">
        <v>297</v>
      </c>
    </row>
    <row r="1973" spans="1:15" ht="15.6">
      <c r="A1973" s="3">
        <f t="shared" si="32"/>
        <v>1972</v>
      </c>
      <c r="B1973" s="65" t="s">
        <v>3214</v>
      </c>
      <c r="C1973" s="1">
        <v>9027090056</v>
      </c>
      <c r="D1973" s="6"/>
      <c r="E1973" s="3" t="s">
        <v>1023</v>
      </c>
      <c r="F1973" s="85" t="s">
        <v>3213</v>
      </c>
      <c r="G1973" s="2" t="s">
        <v>424</v>
      </c>
      <c r="H1973" s="2" t="s">
        <v>2535</v>
      </c>
      <c r="I1973" s="37" t="s">
        <v>94</v>
      </c>
      <c r="J1973" s="31">
        <v>45744</v>
      </c>
      <c r="K1973" s="31">
        <v>45747</v>
      </c>
      <c r="L1973" s="31"/>
      <c r="M1973" s="31"/>
      <c r="N1973" s="31"/>
      <c r="O1973" s="2" t="s">
        <v>749</v>
      </c>
    </row>
    <row r="1974" spans="1:15" ht="15.6">
      <c r="A1974" s="3">
        <f t="shared" si="32"/>
        <v>1973</v>
      </c>
      <c r="B1974" s="65" t="s">
        <v>3215</v>
      </c>
      <c r="C1974" s="1">
        <v>7983772184</v>
      </c>
      <c r="D1974" s="6"/>
      <c r="E1974" s="3" t="s">
        <v>1023</v>
      </c>
      <c r="F1974" s="85" t="s">
        <v>3213</v>
      </c>
      <c r="G1974" s="2" t="s">
        <v>424</v>
      </c>
      <c r="H1974" s="2" t="s">
        <v>2535</v>
      </c>
      <c r="I1974" s="37" t="s">
        <v>94</v>
      </c>
      <c r="J1974" s="31">
        <v>45744</v>
      </c>
      <c r="K1974" s="31">
        <v>45747</v>
      </c>
      <c r="L1974" s="31"/>
      <c r="M1974" s="31"/>
      <c r="N1974" s="31"/>
      <c r="O1974" s="2" t="s">
        <v>749</v>
      </c>
    </row>
    <row r="1975" spans="1:15" ht="15.6">
      <c r="A1975" s="3">
        <f t="shared" si="32"/>
        <v>1974</v>
      </c>
      <c r="B1975" s="65" t="s">
        <v>3216</v>
      </c>
      <c r="C1975" s="1">
        <v>8741801392</v>
      </c>
      <c r="D1975" s="6"/>
      <c r="E1975" s="3" t="s">
        <v>1023</v>
      </c>
      <c r="F1975" s="85" t="s">
        <v>303</v>
      </c>
      <c r="G1975" s="2" t="s">
        <v>16</v>
      </c>
      <c r="H1975" s="2" t="s">
        <v>2535</v>
      </c>
      <c r="I1975" s="37" t="s">
        <v>94</v>
      </c>
      <c r="J1975" s="31">
        <v>45744</v>
      </c>
      <c r="K1975" s="31">
        <v>45747</v>
      </c>
      <c r="L1975" s="31">
        <v>45750</v>
      </c>
      <c r="M1975" s="31">
        <v>45780</v>
      </c>
      <c r="N1975" s="31">
        <v>45761</v>
      </c>
      <c r="O1975" s="2" t="s">
        <v>297</v>
      </c>
    </row>
    <row r="1976" spans="1:15" ht="15.6">
      <c r="A1976" s="3">
        <f t="shared" si="32"/>
        <v>1975</v>
      </c>
      <c r="B1976" s="65" t="s">
        <v>3217</v>
      </c>
      <c r="C1976" s="1">
        <v>7379599712</v>
      </c>
      <c r="D1976" s="6"/>
      <c r="E1976" s="3" t="s">
        <v>1023</v>
      </c>
      <c r="F1976" s="85" t="s">
        <v>3213</v>
      </c>
      <c r="G1976" s="2" t="s">
        <v>424</v>
      </c>
      <c r="H1976" s="2" t="s">
        <v>2535</v>
      </c>
      <c r="I1976" s="37" t="s">
        <v>94</v>
      </c>
      <c r="J1976" s="31">
        <v>45744</v>
      </c>
      <c r="K1976" s="31">
        <v>45747</v>
      </c>
      <c r="L1976" s="31"/>
      <c r="M1976" s="31"/>
      <c r="N1976" s="31"/>
      <c r="O1976" s="2" t="s">
        <v>425</v>
      </c>
    </row>
    <row r="1977" spans="1:15" ht="15.6">
      <c r="A1977" s="3">
        <f t="shared" si="32"/>
        <v>1976</v>
      </c>
      <c r="B1977" s="65" t="s">
        <v>3218</v>
      </c>
      <c r="C1977" s="1">
        <v>9838888217</v>
      </c>
      <c r="D1977" s="6"/>
      <c r="E1977" s="3" t="s">
        <v>1023</v>
      </c>
      <c r="F1977" s="85" t="s">
        <v>3213</v>
      </c>
      <c r="G1977" s="2" t="s">
        <v>16</v>
      </c>
      <c r="H1977" s="2" t="s">
        <v>2535</v>
      </c>
      <c r="I1977" s="37" t="s">
        <v>94</v>
      </c>
      <c r="J1977" s="31">
        <v>45744</v>
      </c>
      <c r="K1977" s="31">
        <v>45747</v>
      </c>
      <c r="L1977" s="31">
        <v>45758</v>
      </c>
      <c r="M1977" s="31">
        <v>45773</v>
      </c>
      <c r="N1977" s="31">
        <v>45777</v>
      </c>
      <c r="O1977" s="2" t="s">
        <v>297</v>
      </c>
    </row>
    <row r="1978" spans="1:15" ht="15.6">
      <c r="A1978" s="3">
        <f t="shared" si="32"/>
        <v>1977</v>
      </c>
      <c r="B1978" s="65" t="s">
        <v>3219</v>
      </c>
      <c r="C1978" s="1">
        <v>7388499542</v>
      </c>
      <c r="D1978" s="6"/>
      <c r="E1978" s="7" t="s">
        <v>3073</v>
      </c>
      <c r="F1978" s="85" t="s">
        <v>461</v>
      </c>
      <c r="G1978" s="2" t="s">
        <v>16</v>
      </c>
      <c r="H1978" s="2" t="s">
        <v>361</v>
      </c>
      <c r="I1978" s="37" t="s">
        <v>88</v>
      </c>
      <c r="J1978" s="31">
        <v>45744</v>
      </c>
      <c r="K1978" s="31">
        <v>45750</v>
      </c>
      <c r="L1978" s="31">
        <v>45765</v>
      </c>
      <c r="M1978" s="31">
        <v>45795</v>
      </c>
      <c r="N1978" s="31">
        <v>45795</v>
      </c>
      <c r="O1978" s="2" t="s">
        <v>297</v>
      </c>
    </row>
    <row r="1979" spans="1:15" ht="15.6">
      <c r="A1979" s="3">
        <f t="shared" si="32"/>
        <v>1978</v>
      </c>
      <c r="B1979" s="65" t="s">
        <v>3220</v>
      </c>
      <c r="C1979" s="1">
        <v>8948248052</v>
      </c>
      <c r="D1979" s="6"/>
      <c r="E1979" s="7" t="s">
        <v>1741</v>
      </c>
      <c r="F1979" s="85" t="s">
        <v>461</v>
      </c>
      <c r="G1979" s="2" t="s">
        <v>424</v>
      </c>
      <c r="H1979" s="2" t="s">
        <v>361</v>
      </c>
      <c r="I1979" s="37" t="s">
        <v>88</v>
      </c>
      <c r="J1979" s="31">
        <v>45744</v>
      </c>
      <c r="K1979" s="31">
        <v>45842</v>
      </c>
      <c r="L1979" s="31"/>
      <c r="M1979" s="31"/>
      <c r="N1979" s="31"/>
      <c r="O1979" s="2" t="s">
        <v>425</v>
      </c>
    </row>
    <row r="1980" spans="1:15" ht="15.6">
      <c r="A1980" s="3">
        <f t="shared" si="32"/>
        <v>1979</v>
      </c>
      <c r="B1980" s="65" t="s">
        <v>3221</v>
      </c>
      <c r="C1980" s="1">
        <v>9765452414</v>
      </c>
      <c r="D1980" s="6"/>
      <c r="E1980" s="7" t="s">
        <v>1741</v>
      </c>
      <c r="F1980" s="85" t="s">
        <v>945</v>
      </c>
      <c r="G1980" s="2" t="s">
        <v>764</v>
      </c>
      <c r="H1980" s="2" t="s">
        <v>361</v>
      </c>
      <c r="I1980" s="37" t="s">
        <v>88</v>
      </c>
      <c r="J1980" s="31">
        <v>45744</v>
      </c>
      <c r="K1980" s="31">
        <v>45750</v>
      </c>
      <c r="L1980" s="31"/>
      <c r="M1980" s="31"/>
      <c r="N1980" s="31"/>
      <c r="O1980" s="2" t="s">
        <v>425</v>
      </c>
    </row>
    <row r="1981" spans="1:15">
      <c r="A1981" s="3">
        <f t="shared" si="32"/>
        <v>1980</v>
      </c>
      <c r="B1981" s="86" t="s">
        <v>3222</v>
      </c>
      <c r="C1981" s="56">
        <v>8885944082</v>
      </c>
      <c r="D1981" s="6"/>
      <c r="E1981" s="56" t="s">
        <v>3223</v>
      </c>
      <c r="F1981" s="86" t="s">
        <v>3224</v>
      </c>
      <c r="G1981" s="2" t="s">
        <v>16</v>
      </c>
      <c r="H1981" s="3" t="s">
        <v>2425</v>
      </c>
      <c r="I1981" s="37" t="s">
        <v>42</v>
      </c>
      <c r="J1981" s="31">
        <v>45744</v>
      </c>
      <c r="K1981" s="31">
        <v>45749</v>
      </c>
      <c r="L1981" s="31">
        <v>45749</v>
      </c>
      <c r="M1981" s="31">
        <v>45779</v>
      </c>
      <c r="N1981" s="31">
        <v>45783</v>
      </c>
      <c r="O1981" s="2" t="s">
        <v>297</v>
      </c>
    </row>
    <row r="1982" spans="1:15">
      <c r="A1982" s="3">
        <f t="shared" si="32"/>
        <v>1981</v>
      </c>
      <c r="B1982" s="86" t="s">
        <v>3225</v>
      </c>
      <c r="C1982" s="56">
        <v>8247354690</v>
      </c>
      <c r="D1982" s="6"/>
      <c r="E1982" s="56" t="s">
        <v>3226</v>
      </c>
      <c r="F1982" s="86" t="s">
        <v>3227</v>
      </c>
      <c r="G1982" s="2" t="s">
        <v>18</v>
      </c>
      <c r="H1982" s="3" t="s">
        <v>2425</v>
      </c>
      <c r="I1982" s="37" t="s">
        <v>42</v>
      </c>
      <c r="J1982" s="31">
        <v>45744</v>
      </c>
      <c r="K1982" s="31">
        <v>45750</v>
      </c>
      <c r="L1982" s="31"/>
      <c r="M1982" s="31"/>
      <c r="N1982" s="31"/>
      <c r="O1982" s="2" t="s">
        <v>297</v>
      </c>
    </row>
    <row r="1983" spans="1:15">
      <c r="A1983" s="3">
        <f t="shared" si="32"/>
        <v>1982</v>
      </c>
      <c r="B1983" s="86" t="s">
        <v>3228</v>
      </c>
      <c r="C1983" s="56">
        <v>9059090674</v>
      </c>
      <c r="D1983" s="6">
        <v>7337441152</v>
      </c>
      <c r="E1983" s="17" t="s">
        <v>148</v>
      </c>
      <c r="F1983" s="86" t="s">
        <v>3229</v>
      </c>
      <c r="G1983" s="2" t="s">
        <v>16</v>
      </c>
      <c r="H1983" s="2" t="s">
        <v>42</v>
      </c>
      <c r="I1983" s="37" t="s">
        <v>42</v>
      </c>
      <c r="J1983" s="31">
        <v>45744</v>
      </c>
      <c r="K1983" s="31">
        <v>45749</v>
      </c>
      <c r="L1983" s="31">
        <v>46024</v>
      </c>
      <c r="M1983" s="31">
        <v>46039</v>
      </c>
      <c r="N1983" s="31">
        <v>46039</v>
      </c>
      <c r="O1983" s="2" t="s">
        <v>297</v>
      </c>
    </row>
    <row r="1984" spans="1:15">
      <c r="A1984" s="3">
        <f t="shared" si="32"/>
        <v>1983</v>
      </c>
      <c r="B1984" s="86" t="s">
        <v>3230</v>
      </c>
      <c r="C1984" s="56">
        <v>6304470104</v>
      </c>
      <c r="D1984" s="6">
        <v>9848381176</v>
      </c>
      <c r="E1984" s="3" t="s">
        <v>151</v>
      </c>
      <c r="F1984" s="86" t="s">
        <v>3231</v>
      </c>
      <c r="G1984" s="2" t="s">
        <v>424</v>
      </c>
      <c r="H1984" s="2" t="s">
        <v>42</v>
      </c>
      <c r="I1984" s="37" t="s">
        <v>42</v>
      </c>
      <c r="J1984" s="31">
        <v>45744</v>
      </c>
      <c r="K1984" s="31">
        <v>45749</v>
      </c>
      <c r="L1984" s="31"/>
      <c r="M1984" s="31"/>
      <c r="N1984" s="31"/>
      <c r="O1984" s="2" t="s">
        <v>425</v>
      </c>
    </row>
    <row r="1985" spans="1:15">
      <c r="A1985" s="3">
        <f t="shared" si="32"/>
        <v>1984</v>
      </c>
      <c r="B1985" s="87" t="s">
        <v>3232</v>
      </c>
      <c r="C1985" s="57">
        <v>8790323765</v>
      </c>
      <c r="D1985" s="6"/>
      <c r="E1985" s="3" t="s">
        <v>151</v>
      </c>
      <c r="F1985" s="87" t="s">
        <v>3233</v>
      </c>
      <c r="G1985" s="2" t="s">
        <v>424</v>
      </c>
      <c r="H1985" s="2" t="s">
        <v>42</v>
      </c>
      <c r="I1985" s="37" t="s">
        <v>42</v>
      </c>
      <c r="J1985" s="31">
        <v>45744</v>
      </c>
      <c r="K1985" s="31">
        <v>45786</v>
      </c>
      <c r="L1985" s="31"/>
      <c r="M1985" s="31"/>
      <c r="N1985" s="31"/>
      <c r="O1985" s="2" t="s">
        <v>425</v>
      </c>
    </row>
    <row r="1986" spans="1:15">
      <c r="A1986" s="3">
        <f t="shared" si="32"/>
        <v>1985</v>
      </c>
      <c r="B1986" s="87" t="s">
        <v>3234</v>
      </c>
      <c r="C1986" s="57">
        <v>9989209338</v>
      </c>
      <c r="D1986" s="6"/>
      <c r="E1986" s="17" t="s">
        <v>148</v>
      </c>
      <c r="F1986" s="87" t="s">
        <v>3235</v>
      </c>
      <c r="G1986" s="2" t="s">
        <v>424</v>
      </c>
      <c r="H1986" s="2" t="s">
        <v>42</v>
      </c>
      <c r="I1986" s="37" t="s">
        <v>42</v>
      </c>
      <c r="J1986" s="31">
        <v>45744</v>
      </c>
      <c r="K1986" s="31">
        <v>45786</v>
      </c>
      <c r="L1986" s="31"/>
      <c r="M1986" s="31"/>
      <c r="N1986" s="31"/>
      <c r="O1986" s="2" t="s">
        <v>425</v>
      </c>
    </row>
    <row r="1987" spans="1:15">
      <c r="A1987" s="3">
        <f t="shared" si="32"/>
        <v>1986</v>
      </c>
      <c r="B1987" s="86" t="s">
        <v>3236</v>
      </c>
      <c r="C1987" s="56">
        <v>6303742221</v>
      </c>
      <c r="D1987" s="6"/>
      <c r="E1987" s="56" t="s">
        <v>3226</v>
      </c>
      <c r="F1987" s="86" t="s">
        <v>3237</v>
      </c>
      <c r="G1987" s="2" t="s">
        <v>18</v>
      </c>
      <c r="H1987" s="3" t="s">
        <v>785</v>
      </c>
      <c r="I1987" s="37" t="s">
        <v>42</v>
      </c>
      <c r="J1987" s="31">
        <v>45744</v>
      </c>
      <c r="K1987" s="31">
        <v>45842</v>
      </c>
      <c r="L1987" s="31"/>
      <c r="M1987" s="31"/>
      <c r="N1987" s="31"/>
      <c r="O1987" s="2" t="s">
        <v>297</v>
      </c>
    </row>
    <row r="1988" spans="1:15">
      <c r="A1988" s="3">
        <f t="shared" si="32"/>
        <v>1987</v>
      </c>
      <c r="B1988" s="86" t="s">
        <v>3238</v>
      </c>
      <c r="C1988" s="56">
        <v>9966771756</v>
      </c>
      <c r="D1988" s="6">
        <v>8790057390</v>
      </c>
      <c r="E1988" s="3" t="s">
        <v>59</v>
      </c>
      <c r="F1988" s="80" t="s">
        <v>3239</v>
      </c>
      <c r="G1988" s="2" t="s">
        <v>424</v>
      </c>
      <c r="H1988" s="3" t="s">
        <v>3240</v>
      </c>
      <c r="I1988" s="37" t="s">
        <v>42</v>
      </c>
      <c r="J1988" s="31">
        <v>45744</v>
      </c>
      <c r="K1988" s="31">
        <v>45755</v>
      </c>
      <c r="L1988" s="31"/>
      <c r="M1988" s="31"/>
      <c r="N1988" s="31"/>
      <c r="O1988" s="2" t="s">
        <v>749</v>
      </c>
    </row>
    <row r="1989" spans="1:15">
      <c r="A1989" s="3">
        <f t="shared" si="32"/>
        <v>1988</v>
      </c>
      <c r="B1989" s="86" t="s">
        <v>3241</v>
      </c>
      <c r="C1989" s="56">
        <v>9494999100</v>
      </c>
      <c r="D1989" s="6">
        <v>7842972649</v>
      </c>
      <c r="E1989" s="3" t="s">
        <v>72</v>
      </c>
      <c r="F1989" s="80" t="s">
        <v>3242</v>
      </c>
      <c r="G1989" s="2" t="s">
        <v>16</v>
      </c>
      <c r="H1989" s="3" t="s">
        <v>3240</v>
      </c>
      <c r="I1989" s="37" t="s">
        <v>42</v>
      </c>
      <c r="J1989" s="31">
        <v>45744</v>
      </c>
      <c r="K1989" s="31">
        <v>45763</v>
      </c>
      <c r="L1989" s="31">
        <v>45770</v>
      </c>
      <c r="M1989" s="31">
        <v>45800</v>
      </c>
      <c r="N1989" s="31">
        <v>45792</v>
      </c>
      <c r="O1989" s="2" t="s">
        <v>297</v>
      </c>
    </row>
    <row r="1990" spans="1:15">
      <c r="A1990" s="3">
        <f t="shared" si="32"/>
        <v>1989</v>
      </c>
      <c r="B1990" s="86" t="s">
        <v>3243</v>
      </c>
      <c r="C1990" s="56">
        <v>8790249523</v>
      </c>
      <c r="D1990" s="6"/>
      <c r="E1990" s="3" t="s">
        <v>67</v>
      </c>
      <c r="F1990" s="80" t="s">
        <v>3244</v>
      </c>
      <c r="G1990" s="2" t="s">
        <v>16</v>
      </c>
      <c r="H1990" s="3" t="s">
        <v>3240</v>
      </c>
      <c r="I1990" s="37" t="s">
        <v>42</v>
      </c>
      <c r="J1990" s="31">
        <v>45744</v>
      </c>
      <c r="K1990" s="31">
        <v>45751</v>
      </c>
      <c r="L1990" s="31">
        <v>45758</v>
      </c>
      <c r="M1990" s="31">
        <v>45775</v>
      </c>
      <c r="N1990" s="31">
        <v>45775</v>
      </c>
      <c r="O1990" s="2" t="s">
        <v>297</v>
      </c>
    </row>
    <row r="1991" spans="1:15">
      <c r="A1991" s="3">
        <f t="shared" si="32"/>
        <v>1990</v>
      </c>
      <c r="B1991" s="86" t="s">
        <v>3245</v>
      </c>
      <c r="C1991" s="56">
        <v>9990509320</v>
      </c>
      <c r="D1991" s="6"/>
      <c r="E1991" s="3" t="s">
        <v>67</v>
      </c>
      <c r="F1991" s="80" t="s">
        <v>3246</v>
      </c>
      <c r="G1991" s="2" t="s">
        <v>424</v>
      </c>
      <c r="H1991" s="3" t="s">
        <v>3240</v>
      </c>
      <c r="I1991" s="37" t="s">
        <v>42</v>
      </c>
      <c r="J1991" s="31">
        <v>45744</v>
      </c>
      <c r="K1991" s="31">
        <v>45751</v>
      </c>
      <c r="L1991" s="31"/>
      <c r="M1991" s="31"/>
      <c r="N1991" s="31"/>
      <c r="O1991" s="2" t="s">
        <v>749</v>
      </c>
    </row>
    <row r="1992" spans="1:15">
      <c r="A1992" s="3">
        <f t="shared" si="32"/>
        <v>1991</v>
      </c>
      <c r="B1992" s="86" t="s">
        <v>3247</v>
      </c>
      <c r="C1992" s="56">
        <v>9307117558</v>
      </c>
      <c r="D1992" s="6">
        <v>9908656762</v>
      </c>
      <c r="E1992" s="3" t="s">
        <v>72</v>
      </c>
      <c r="F1992" s="80" t="s">
        <v>3242</v>
      </c>
      <c r="G1992" s="2" t="s">
        <v>764</v>
      </c>
      <c r="H1992" s="3" t="s">
        <v>3240</v>
      </c>
      <c r="I1992" s="37" t="s">
        <v>42</v>
      </c>
      <c r="J1992" s="31">
        <v>45744</v>
      </c>
      <c r="K1992" s="31">
        <v>45768</v>
      </c>
      <c r="L1992" s="31"/>
      <c r="M1992" s="31"/>
      <c r="N1992" s="31"/>
      <c r="O1992" s="2" t="s">
        <v>425</v>
      </c>
    </row>
    <row r="1993" spans="1:15">
      <c r="A1993" s="3">
        <f t="shared" si="32"/>
        <v>1992</v>
      </c>
      <c r="B1993" s="86" t="s">
        <v>3248</v>
      </c>
      <c r="C1993" s="56">
        <v>9347889891</v>
      </c>
      <c r="D1993" s="6"/>
      <c r="E1993" s="3" t="s">
        <v>72</v>
      </c>
      <c r="F1993" s="80" t="s">
        <v>3249</v>
      </c>
      <c r="G1993" s="2" t="s">
        <v>764</v>
      </c>
      <c r="H1993" s="3" t="s">
        <v>3240</v>
      </c>
      <c r="I1993" s="37" t="s">
        <v>42</v>
      </c>
      <c r="J1993" s="31">
        <v>45744</v>
      </c>
      <c r="K1993" s="31">
        <v>45768</v>
      </c>
      <c r="L1993" s="31"/>
      <c r="M1993" s="31"/>
      <c r="N1993" s="31"/>
      <c r="O1993" s="2" t="s">
        <v>425</v>
      </c>
    </row>
    <row r="1994" spans="1:15">
      <c r="A1994" s="3">
        <f t="shared" si="32"/>
        <v>1993</v>
      </c>
      <c r="B1994" s="86" t="s">
        <v>3250</v>
      </c>
      <c r="C1994" s="56">
        <v>9963520481</v>
      </c>
      <c r="D1994" s="6"/>
      <c r="E1994" s="3" t="s">
        <v>67</v>
      </c>
      <c r="F1994" s="80" t="s">
        <v>2446</v>
      </c>
      <c r="G1994" s="2" t="s">
        <v>330</v>
      </c>
      <c r="H1994" s="3" t="s">
        <v>3240</v>
      </c>
      <c r="I1994" s="37" t="s">
        <v>42</v>
      </c>
      <c r="J1994" s="31">
        <v>45744</v>
      </c>
      <c r="K1994" s="31">
        <v>45751</v>
      </c>
      <c r="L1994" s="31">
        <v>45758</v>
      </c>
      <c r="M1994" s="31">
        <v>45800</v>
      </c>
      <c r="N1994" s="31">
        <v>45801</v>
      </c>
      <c r="O1994" s="2" t="s">
        <v>297</v>
      </c>
    </row>
    <row r="1995" spans="1:15">
      <c r="A1995" s="3">
        <f t="shared" si="32"/>
        <v>1994</v>
      </c>
      <c r="B1995" s="86" t="s">
        <v>3251</v>
      </c>
      <c r="C1995" s="56">
        <v>9642650121</v>
      </c>
      <c r="D1995" s="6"/>
      <c r="E1995" s="3" t="s">
        <v>67</v>
      </c>
      <c r="F1995" s="80" t="s">
        <v>2446</v>
      </c>
      <c r="G1995" s="2" t="s">
        <v>416</v>
      </c>
      <c r="H1995" s="3" t="s">
        <v>3240</v>
      </c>
      <c r="I1995" s="37" t="s">
        <v>42</v>
      </c>
      <c r="J1995" s="31">
        <v>45744</v>
      </c>
      <c r="K1995" s="31">
        <v>45751</v>
      </c>
      <c r="L1995" s="31"/>
      <c r="M1995" s="31"/>
      <c r="N1995" s="31"/>
      <c r="O1995" s="2" t="s">
        <v>297</v>
      </c>
    </row>
    <row r="1996" spans="1:15">
      <c r="A1996" s="3">
        <f t="shared" si="32"/>
        <v>1995</v>
      </c>
      <c r="B1996" s="86" t="s">
        <v>3252</v>
      </c>
      <c r="C1996" s="56">
        <v>9491909526</v>
      </c>
      <c r="D1996" s="6">
        <v>9391232400</v>
      </c>
      <c r="E1996" s="3" t="s">
        <v>67</v>
      </c>
      <c r="F1996" s="80" t="s">
        <v>2446</v>
      </c>
      <c r="G1996" s="2" t="s">
        <v>416</v>
      </c>
      <c r="H1996" s="3" t="s">
        <v>3240</v>
      </c>
      <c r="I1996" s="37" t="s">
        <v>42</v>
      </c>
      <c r="J1996" s="31">
        <v>45744</v>
      </c>
      <c r="K1996" s="31">
        <v>45751</v>
      </c>
      <c r="L1996" s="31"/>
      <c r="M1996" s="31"/>
      <c r="N1996" s="31"/>
      <c r="O1996" s="2" t="s">
        <v>297</v>
      </c>
    </row>
    <row r="1997" spans="1:15">
      <c r="A1997" s="3">
        <f t="shared" si="32"/>
        <v>1996</v>
      </c>
      <c r="B1997" s="86" t="s">
        <v>3253</v>
      </c>
      <c r="C1997" s="56">
        <v>829920582</v>
      </c>
      <c r="D1997" s="6"/>
      <c r="E1997" s="3" t="s">
        <v>124</v>
      </c>
      <c r="F1997" s="80" t="s">
        <v>2630</v>
      </c>
      <c r="G1997" s="2" t="s">
        <v>16</v>
      </c>
      <c r="H1997" s="4" t="s">
        <v>102</v>
      </c>
      <c r="I1997" s="37" t="s">
        <v>42</v>
      </c>
      <c r="J1997" s="31">
        <v>45726</v>
      </c>
      <c r="K1997" s="31">
        <v>45731</v>
      </c>
      <c r="L1997" s="31">
        <v>45744</v>
      </c>
      <c r="M1997" s="31">
        <v>45775</v>
      </c>
      <c r="N1997" s="31">
        <v>45784</v>
      </c>
      <c r="O1997" s="2" t="s">
        <v>297</v>
      </c>
    </row>
    <row r="1998" spans="1:15">
      <c r="A1998" s="3">
        <f t="shared" si="32"/>
        <v>1997</v>
      </c>
      <c r="B1998" s="86" t="s">
        <v>3254</v>
      </c>
      <c r="C1998" s="56">
        <v>9547906734</v>
      </c>
      <c r="D1998" s="6"/>
      <c r="E1998" s="17" t="s">
        <v>1462</v>
      </c>
      <c r="F1998" s="80" t="s">
        <v>1452</v>
      </c>
      <c r="G1998" s="2" t="s">
        <v>16</v>
      </c>
      <c r="H1998" s="4" t="s">
        <v>3255</v>
      </c>
      <c r="I1998" s="37" t="s">
        <v>88</v>
      </c>
      <c r="J1998" s="31">
        <v>45742</v>
      </c>
      <c r="K1998" s="31">
        <v>45742</v>
      </c>
      <c r="L1998" s="31">
        <v>45744</v>
      </c>
      <c r="M1998" s="31">
        <v>45774</v>
      </c>
      <c r="N1998" s="31">
        <v>45774</v>
      </c>
      <c r="O1998" s="2" t="s">
        <v>297</v>
      </c>
    </row>
    <row r="1999" spans="1:15">
      <c r="A1999" s="3">
        <f t="shared" si="32"/>
        <v>1998</v>
      </c>
      <c r="B1999" s="118" t="s">
        <v>3256</v>
      </c>
      <c r="C1999" s="58">
        <v>8978581302</v>
      </c>
      <c r="D1999" s="6">
        <v>9121874139</v>
      </c>
      <c r="E1999" s="3" t="s">
        <v>1023</v>
      </c>
      <c r="F1999" s="80" t="s">
        <v>303</v>
      </c>
      <c r="G1999" s="2" t="s">
        <v>16</v>
      </c>
      <c r="H1999" s="2" t="s">
        <v>2535</v>
      </c>
      <c r="I1999" s="37" t="s">
        <v>42</v>
      </c>
      <c r="J1999" s="31">
        <v>45744</v>
      </c>
      <c r="K1999" s="31">
        <v>45747</v>
      </c>
      <c r="L1999" s="31">
        <v>45758</v>
      </c>
      <c r="M1999" s="31">
        <v>45768</v>
      </c>
      <c r="N1999" s="31">
        <v>45768</v>
      </c>
      <c r="O1999" s="2" t="s">
        <v>297</v>
      </c>
    </row>
    <row r="2000" spans="1:15">
      <c r="A2000" s="3">
        <f t="shared" si="32"/>
        <v>1999</v>
      </c>
      <c r="B2000" s="118" t="s">
        <v>3257</v>
      </c>
      <c r="C2000" s="58">
        <v>9381667068</v>
      </c>
      <c r="D2000" s="6"/>
      <c r="E2000" s="3" t="s">
        <v>1023</v>
      </c>
      <c r="F2000" s="80" t="s">
        <v>303</v>
      </c>
      <c r="G2000" s="2" t="s">
        <v>16</v>
      </c>
      <c r="H2000" s="2" t="s">
        <v>2535</v>
      </c>
      <c r="I2000" s="37" t="s">
        <v>42</v>
      </c>
      <c r="J2000" s="31">
        <v>45744</v>
      </c>
      <c r="K2000" s="31">
        <v>45747</v>
      </c>
      <c r="L2000" s="31">
        <v>45751</v>
      </c>
      <c r="M2000" s="31">
        <v>45771</v>
      </c>
      <c r="N2000" s="31">
        <v>45763</v>
      </c>
      <c r="O2000" s="2" t="s">
        <v>297</v>
      </c>
    </row>
    <row r="2001" spans="1:15">
      <c r="A2001" s="3">
        <f t="shared" si="32"/>
        <v>2000</v>
      </c>
      <c r="B2001" s="118" t="s">
        <v>3258</v>
      </c>
      <c r="C2001" s="58">
        <v>9101220087</v>
      </c>
      <c r="D2001" s="6"/>
      <c r="E2001" s="3" t="s">
        <v>1023</v>
      </c>
      <c r="F2001" s="80" t="s">
        <v>3213</v>
      </c>
      <c r="G2001" s="2" t="s">
        <v>16</v>
      </c>
      <c r="H2001" s="2" t="s">
        <v>2535</v>
      </c>
      <c r="I2001" s="37" t="s">
        <v>42</v>
      </c>
      <c r="J2001" s="31">
        <v>45744</v>
      </c>
      <c r="K2001" s="31">
        <v>45747</v>
      </c>
      <c r="L2001" s="31">
        <v>45750</v>
      </c>
      <c r="M2001" s="31">
        <v>45780</v>
      </c>
      <c r="N2001" s="31">
        <v>45763</v>
      </c>
      <c r="O2001" s="2" t="s">
        <v>297</v>
      </c>
    </row>
    <row r="2002" spans="1:15">
      <c r="A2002" s="3">
        <f t="shared" si="32"/>
        <v>2001</v>
      </c>
      <c r="B2002" s="65" t="s">
        <v>3259</v>
      </c>
      <c r="C2002" s="59">
        <v>8974813100</v>
      </c>
      <c r="D2002" s="6"/>
      <c r="E2002" s="3" t="s">
        <v>1023</v>
      </c>
      <c r="F2002" s="65" t="s">
        <v>303</v>
      </c>
      <c r="G2002" s="2" t="s">
        <v>424</v>
      </c>
      <c r="H2002" s="2" t="s">
        <v>2535</v>
      </c>
      <c r="I2002" s="37" t="s">
        <v>94</v>
      </c>
      <c r="J2002" s="31">
        <v>45744</v>
      </c>
      <c r="K2002" s="31">
        <v>45747</v>
      </c>
      <c r="L2002" s="31"/>
      <c r="M2002" s="31"/>
      <c r="N2002" s="31"/>
      <c r="O2002" s="2" t="s">
        <v>425</v>
      </c>
    </row>
    <row r="2003" spans="1:15">
      <c r="A2003" s="3">
        <f t="shared" si="32"/>
        <v>2002</v>
      </c>
      <c r="B2003" s="65" t="s">
        <v>2215</v>
      </c>
      <c r="C2003" s="59">
        <v>6355417707</v>
      </c>
      <c r="D2003" s="6"/>
      <c r="E2003" s="3" t="s">
        <v>1023</v>
      </c>
      <c r="F2003" s="65" t="s">
        <v>303</v>
      </c>
      <c r="G2003" s="2" t="s">
        <v>16</v>
      </c>
      <c r="H2003" s="2" t="s">
        <v>2535</v>
      </c>
      <c r="I2003" s="37" t="s">
        <v>94</v>
      </c>
      <c r="J2003" s="31">
        <v>45744</v>
      </c>
      <c r="K2003" s="31">
        <v>45747</v>
      </c>
      <c r="L2003" s="31">
        <v>45758</v>
      </c>
      <c r="M2003" s="31">
        <v>45788</v>
      </c>
      <c r="N2003" s="31">
        <v>45790</v>
      </c>
      <c r="O2003" s="2" t="s">
        <v>297</v>
      </c>
    </row>
    <row r="2004" spans="1:15">
      <c r="A2004" s="3">
        <f t="shared" si="32"/>
        <v>2003</v>
      </c>
      <c r="B2004" s="65" t="s">
        <v>3260</v>
      </c>
      <c r="C2004" s="59">
        <v>6301041552</v>
      </c>
      <c r="D2004" s="6"/>
      <c r="E2004" s="3" t="s">
        <v>1023</v>
      </c>
      <c r="F2004" s="65" t="s">
        <v>303</v>
      </c>
      <c r="G2004" s="3" t="s">
        <v>295</v>
      </c>
      <c r="H2004" s="2" t="s">
        <v>2535</v>
      </c>
      <c r="I2004" s="37" t="s">
        <v>94</v>
      </c>
      <c r="J2004" s="31">
        <v>45744</v>
      </c>
      <c r="K2004" s="31">
        <v>45747</v>
      </c>
      <c r="L2004" s="31">
        <v>45765</v>
      </c>
      <c r="M2004" s="31">
        <v>45782</v>
      </c>
      <c r="N2004" s="31"/>
      <c r="O2004" s="2" t="s">
        <v>297</v>
      </c>
    </row>
    <row r="2005" spans="1:15">
      <c r="A2005" s="3">
        <f t="shared" si="32"/>
        <v>2004</v>
      </c>
      <c r="B2005" s="65" t="s">
        <v>3261</v>
      </c>
      <c r="C2005" s="59">
        <v>9807894105</v>
      </c>
      <c r="D2005" s="6"/>
      <c r="E2005" s="3" t="s">
        <v>1023</v>
      </c>
      <c r="F2005" s="65" t="s">
        <v>303</v>
      </c>
      <c r="G2005" s="2" t="s">
        <v>16</v>
      </c>
      <c r="H2005" s="2" t="s">
        <v>2535</v>
      </c>
      <c r="I2005" s="37" t="s">
        <v>94</v>
      </c>
      <c r="J2005" s="31">
        <v>45744</v>
      </c>
      <c r="K2005" s="31">
        <v>45747</v>
      </c>
      <c r="L2005" s="31">
        <v>45758</v>
      </c>
      <c r="M2005" s="31">
        <v>45788</v>
      </c>
      <c r="N2005" s="31">
        <v>45789</v>
      </c>
      <c r="O2005" s="2" t="s">
        <v>297</v>
      </c>
    </row>
    <row r="2006" spans="1:15">
      <c r="A2006" s="3">
        <f t="shared" si="32"/>
        <v>2005</v>
      </c>
      <c r="B2006" s="65" t="s">
        <v>3262</v>
      </c>
      <c r="C2006" s="59">
        <v>9956532508</v>
      </c>
      <c r="D2006" s="6">
        <v>7024639398</v>
      </c>
      <c r="E2006" s="3" t="s">
        <v>1023</v>
      </c>
      <c r="F2006" s="65" t="s">
        <v>303</v>
      </c>
      <c r="G2006" s="2" t="s">
        <v>16</v>
      </c>
      <c r="H2006" s="2" t="s">
        <v>2535</v>
      </c>
      <c r="I2006" s="37" t="s">
        <v>94</v>
      </c>
      <c r="J2006" s="31">
        <v>45744</v>
      </c>
      <c r="K2006" s="31">
        <v>45747</v>
      </c>
      <c r="L2006" s="31">
        <v>45758</v>
      </c>
      <c r="M2006" s="31">
        <v>45775</v>
      </c>
      <c r="N2006" s="31">
        <v>45775</v>
      </c>
      <c r="O2006" s="2" t="s">
        <v>297</v>
      </c>
    </row>
    <row r="2007" spans="1:15">
      <c r="A2007" s="3">
        <f t="shared" si="32"/>
        <v>2006</v>
      </c>
      <c r="B2007" s="65" t="s">
        <v>3263</v>
      </c>
      <c r="C2007" s="59">
        <v>9179431369</v>
      </c>
      <c r="D2007" s="6"/>
      <c r="E2007" s="3" t="s">
        <v>1023</v>
      </c>
      <c r="F2007" s="65" t="s">
        <v>303</v>
      </c>
      <c r="G2007" s="2" t="s">
        <v>16</v>
      </c>
      <c r="H2007" s="2" t="s">
        <v>2535</v>
      </c>
      <c r="I2007" s="37" t="s">
        <v>94</v>
      </c>
      <c r="J2007" s="31">
        <v>45744</v>
      </c>
      <c r="K2007" s="31">
        <v>45747</v>
      </c>
      <c r="L2007" s="31">
        <v>45758</v>
      </c>
      <c r="M2007" s="31">
        <v>45773</v>
      </c>
      <c r="N2007" s="31">
        <v>45775</v>
      </c>
      <c r="O2007" s="2" t="s">
        <v>297</v>
      </c>
    </row>
    <row r="2008" spans="1:15">
      <c r="A2008" s="3">
        <f t="shared" si="32"/>
        <v>2007</v>
      </c>
      <c r="B2008" s="65" t="s">
        <v>3264</v>
      </c>
      <c r="C2008" s="59">
        <v>6299349154</v>
      </c>
      <c r="D2008" s="6"/>
      <c r="E2008" s="3" t="s">
        <v>1023</v>
      </c>
      <c r="F2008" s="65" t="s">
        <v>303</v>
      </c>
      <c r="G2008" s="2" t="s">
        <v>16</v>
      </c>
      <c r="H2008" s="2" t="s">
        <v>2535</v>
      </c>
      <c r="I2008" s="37" t="s">
        <v>94</v>
      </c>
      <c r="J2008" s="31">
        <v>45744</v>
      </c>
      <c r="K2008" s="31">
        <v>45748</v>
      </c>
      <c r="L2008" s="31">
        <v>45758</v>
      </c>
      <c r="M2008" s="31">
        <v>45783</v>
      </c>
      <c r="N2008" s="31">
        <v>45783</v>
      </c>
      <c r="O2008" s="2" t="s">
        <v>297</v>
      </c>
    </row>
    <row r="2009" spans="1:15">
      <c r="A2009" s="3">
        <f t="shared" si="32"/>
        <v>2008</v>
      </c>
      <c r="B2009" s="65" t="s">
        <v>3265</v>
      </c>
      <c r="C2009" s="59">
        <v>9994491550</v>
      </c>
      <c r="D2009" s="6"/>
      <c r="E2009" s="3" t="s">
        <v>1023</v>
      </c>
      <c r="F2009" s="65" t="s">
        <v>303</v>
      </c>
      <c r="G2009" s="2" t="s">
        <v>18</v>
      </c>
      <c r="H2009" s="2" t="s">
        <v>2535</v>
      </c>
      <c r="I2009" s="37" t="s">
        <v>94</v>
      </c>
      <c r="J2009" s="31">
        <v>45744</v>
      </c>
      <c r="K2009" s="31">
        <v>45748</v>
      </c>
      <c r="L2009" s="31"/>
      <c r="M2009" s="31"/>
      <c r="N2009" s="31"/>
      <c r="O2009" s="2" t="s">
        <v>297</v>
      </c>
    </row>
    <row r="2010" spans="1:15">
      <c r="A2010" s="3">
        <f t="shared" si="32"/>
        <v>2009</v>
      </c>
      <c r="B2010" s="65" t="s">
        <v>3266</v>
      </c>
      <c r="C2010" s="59">
        <v>8269483940</v>
      </c>
      <c r="D2010" s="6"/>
      <c r="E2010" s="3" t="s">
        <v>1023</v>
      </c>
      <c r="F2010" s="65" t="s">
        <v>303</v>
      </c>
      <c r="G2010" s="3" t="s">
        <v>1175</v>
      </c>
      <c r="H2010" s="2" t="s">
        <v>2535</v>
      </c>
      <c r="I2010" s="37" t="s">
        <v>94</v>
      </c>
      <c r="J2010" s="31">
        <v>45744</v>
      </c>
      <c r="K2010" s="31"/>
      <c r="L2010" s="31"/>
      <c r="M2010" s="31"/>
      <c r="N2010" s="31"/>
      <c r="O2010" s="2" t="s">
        <v>1004</v>
      </c>
    </row>
    <row r="2011" spans="1:15">
      <c r="A2011" s="3">
        <f t="shared" si="32"/>
        <v>2010</v>
      </c>
      <c r="B2011" s="65" t="s">
        <v>3267</v>
      </c>
      <c r="C2011" s="59">
        <v>9666116981</v>
      </c>
      <c r="D2011" s="6"/>
      <c r="E2011" s="3" t="s">
        <v>1023</v>
      </c>
      <c r="F2011" s="65" t="s">
        <v>303</v>
      </c>
      <c r="G2011" s="3" t="s">
        <v>1175</v>
      </c>
      <c r="H2011" s="2" t="s">
        <v>2535</v>
      </c>
      <c r="I2011" s="37" t="s">
        <v>94</v>
      </c>
      <c r="J2011" s="31">
        <v>45744</v>
      </c>
      <c r="K2011" s="31"/>
      <c r="L2011" s="31"/>
      <c r="M2011" s="31"/>
      <c r="N2011" s="31"/>
      <c r="O2011" s="2" t="s">
        <v>1004</v>
      </c>
    </row>
    <row r="2012" spans="1:15">
      <c r="A2012" s="3">
        <f t="shared" si="32"/>
        <v>2011</v>
      </c>
      <c r="B2012" s="65" t="s">
        <v>3268</v>
      </c>
      <c r="C2012" s="59">
        <v>7000967078</v>
      </c>
      <c r="D2012" s="6"/>
      <c r="E2012" s="3" t="s">
        <v>1023</v>
      </c>
      <c r="F2012" s="65" t="s">
        <v>303</v>
      </c>
      <c r="G2012" s="2" t="s">
        <v>16</v>
      </c>
      <c r="H2012" s="2" t="s">
        <v>2535</v>
      </c>
      <c r="I2012" s="37" t="s">
        <v>94</v>
      </c>
      <c r="J2012" s="31">
        <v>45744</v>
      </c>
      <c r="K2012" s="31">
        <v>45748</v>
      </c>
      <c r="L2012" s="31">
        <v>45758</v>
      </c>
      <c r="M2012" s="31">
        <v>45768</v>
      </c>
      <c r="N2012" s="31">
        <v>45768</v>
      </c>
      <c r="O2012" s="2" t="s">
        <v>297</v>
      </c>
    </row>
    <row r="2013" spans="1:15">
      <c r="A2013" s="3">
        <f t="shared" si="32"/>
        <v>2012</v>
      </c>
      <c r="B2013" s="65" t="s">
        <v>3269</v>
      </c>
      <c r="C2013" s="59">
        <v>8331804851</v>
      </c>
      <c r="D2013" s="6"/>
      <c r="E2013" s="3" t="s">
        <v>1023</v>
      </c>
      <c r="F2013" s="65" t="s">
        <v>303</v>
      </c>
      <c r="G2013" s="2" t="s">
        <v>416</v>
      </c>
      <c r="H2013" s="2" t="s">
        <v>2535</v>
      </c>
      <c r="I2013" s="37" t="s">
        <v>94</v>
      </c>
      <c r="J2013" s="31">
        <v>45744</v>
      </c>
      <c r="K2013" s="31">
        <v>45749</v>
      </c>
      <c r="L2013" s="31"/>
      <c r="M2013" s="31"/>
      <c r="N2013" s="31"/>
      <c r="O2013" s="2" t="s">
        <v>297</v>
      </c>
    </row>
    <row r="2014" spans="1:15">
      <c r="A2014" s="3">
        <f t="shared" si="32"/>
        <v>2013</v>
      </c>
      <c r="B2014" s="65" t="s">
        <v>3270</v>
      </c>
      <c r="C2014" s="59">
        <v>8602374094</v>
      </c>
      <c r="D2014" s="6"/>
      <c r="E2014" s="3" t="s">
        <v>1023</v>
      </c>
      <c r="F2014" s="65" t="s">
        <v>303</v>
      </c>
      <c r="G2014" s="2" t="s">
        <v>16</v>
      </c>
      <c r="H2014" s="2" t="s">
        <v>2535</v>
      </c>
      <c r="I2014" s="37" t="s">
        <v>94</v>
      </c>
      <c r="J2014" s="31">
        <v>45744</v>
      </c>
      <c r="K2014" s="31">
        <v>45749</v>
      </c>
      <c r="L2014" s="31">
        <v>45758</v>
      </c>
      <c r="M2014" s="31">
        <v>45773</v>
      </c>
      <c r="N2014" s="31">
        <v>45774</v>
      </c>
      <c r="O2014" s="2" t="s">
        <v>297</v>
      </c>
    </row>
    <row r="2015" spans="1:15">
      <c r="A2015" s="3">
        <f t="shared" si="32"/>
        <v>2014</v>
      </c>
      <c r="B2015" s="118" t="s">
        <v>3271</v>
      </c>
      <c r="C2015" s="7">
        <v>7075120179</v>
      </c>
      <c r="D2015" s="6"/>
      <c r="E2015" s="3" t="s">
        <v>107</v>
      </c>
      <c r="F2015" s="80" t="s">
        <v>2360</v>
      </c>
      <c r="G2015" s="2" t="s">
        <v>764</v>
      </c>
      <c r="H2015" s="4" t="s">
        <v>102</v>
      </c>
      <c r="I2015" s="37" t="s">
        <v>42</v>
      </c>
      <c r="J2015" s="31">
        <v>45744</v>
      </c>
      <c r="K2015" s="31">
        <v>45749</v>
      </c>
      <c r="L2015" s="31"/>
      <c r="M2015" s="31"/>
      <c r="N2015" s="31"/>
      <c r="O2015" s="2" t="s">
        <v>425</v>
      </c>
    </row>
    <row r="2016" spans="1:15">
      <c r="A2016" s="3">
        <f t="shared" si="32"/>
        <v>2015</v>
      </c>
      <c r="B2016" s="118" t="s">
        <v>3272</v>
      </c>
      <c r="C2016" s="60">
        <v>9912331494</v>
      </c>
      <c r="D2016" s="6"/>
      <c r="E2016" s="3" t="s">
        <v>79</v>
      </c>
      <c r="F2016" s="80" t="s">
        <v>2865</v>
      </c>
      <c r="G2016" s="2" t="s">
        <v>416</v>
      </c>
      <c r="H2016" s="2" t="s">
        <v>3117</v>
      </c>
      <c r="I2016" s="37" t="s">
        <v>42</v>
      </c>
      <c r="J2016" s="31">
        <v>45744</v>
      </c>
      <c r="K2016" s="31">
        <v>45747</v>
      </c>
      <c r="L2016" s="31"/>
      <c r="M2016" s="31"/>
      <c r="N2016" s="31"/>
      <c r="O2016" s="2" t="s">
        <v>297</v>
      </c>
    </row>
    <row r="2017" spans="1:15">
      <c r="A2017" s="3">
        <f t="shared" si="32"/>
        <v>2016</v>
      </c>
      <c r="B2017" s="121" t="s">
        <v>3273</v>
      </c>
      <c r="C2017" s="58">
        <v>9676781507</v>
      </c>
      <c r="D2017" s="6"/>
      <c r="E2017" s="17" t="s">
        <v>85</v>
      </c>
      <c r="F2017" s="80" t="s">
        <v>1312</v>
      </c>
      <c r="G2017" s="2" t="s">
        <v>295</v>
      </c>
      <c r="H2017" s="2" t="s">
        <v>3117</v>
      </c>
      <c r="I2017" s="37" t="s">
        <v>42</v>
      </c>
      <c r="J2017" s="31">
        <v>45744</v>
      </c>
      <c r="K2017" s="31">
        <v>45747</v>
      </c>
      <c r="L2017" s="31">
        <v>45750</v>
      </c>
      <c r="M2017" s="31">
        <v>45792</v>
      </c>
      <c r="N2017" s="31"/>
      <c r="O2017" s="2" t="s">
        <v>297</v>
      </c>
    </row>
    <row r="2018" spans="1:15">
      <c r="A2018" s="3">
        <f t="shared" si="32"/>
        <v>2017</v>
      </c>
      <c r="B2018" s="118" t="s">
        <v>3274</v>
      </c>
      <c r="C2018" s="58">
        <v>9966541291</v>
      </c>
      <c r="D2018" s="6"/>
      <c r="E2018" s="3" t="s">
        <v>85</v>
      </c>
      <c r="F2018" s="80" t="s">
        <v>920</v>
      </c>
      <c r="G2018" s="2" t="s">
        <v>416</v>
      </c>
      <c r="H2018" s="2" t="s">
        <v>3117</v>
      </c>
      <c r="I2018" s="37" t="s">
        <v>42</v>
      </c>
      <c r="J2018" s="31">
        <v>45744</v>
      </c>
      <c r="K2018" s="31">
        <v>45747</v>
      </c>
      <c r="L2018" s="31"/>
      <c r="M2018" s="31"/>
      <c r="N2018" s="31"/>
      <c r="O2018" s="2" t="s">
        <v>297</v>
      </c>
    </row>
    <row r="2019" spans="1:15">
      <c r="A2019" s="3">
        <f t="shared" si="32"/>
        <v>2018</v>
      </c>
      <c r="B2019" s="118" t="s">
        <v>3275</v>
      </c>
      <c r="C2019" s="58">
        <v>8247208826</v>
      </c>
      <c r="D2019" s="6"/>
      <c r="E2019" s="17" t="s">
        <v>85</v>
      </c>
      <c r="F2019" s="80" t="s">
        <v>2865</v>
      </c>
      <c r="G2019" s="2" t="s">
        <v>295</v>
      </c>
      <c r="H2019" s="2" t="s">
        <v>3117</v>
      </c>
      <c r="I2019" s="37" t="s">
        <v>42</v>
      </c>
      <c r="J2019" s="31">
        <v>45744</v>
      </c>
      <c r="K2019" s="31">
        <v>45747</v>
      </c>
      <c r="L2019" s="31">
        <v>45749</v>
      </c>
      <c r="M2019" s="31">
        <v>45779</v>
      </c>
      <c r="N2019" s="31"/>
      <c r="O2019" s="2" t="s">
        <v>297</v>
      </c>
    </row>
    <row r="2020" spans="1:15">
      <c r="A2020" s="3">
        <f t="shared" si="32"/>
        <v>2019</v>
      </c>
      <c r="B2020" s="118" t="s">
        <v>3276</v>
      </c>
      <c r="C2020" s="58">
        <v>7355578449</v>
      </c>
      <c r="D2020" s="6"/>
      <c r="E2020" s="3" t="s">
        <v>79</v>
      </c>
      <c r="F2020" s="80" t="s">
        <v>2865</v>
      </c>
      <c r="G2020" s="2" t="s">
        <v>424</v>
      </c>
      <c r="H2020" s="2" t="s">
        <v>3117</v>
      </c>
      <c r="I2020" s="37" t="s">
        <v>42</v>
      </c>
      <c r="J2020" s="31">
        <v>45744</v>
      </c>
      <c r="K2020" s="31">
        <v>45747</v>
      </c>
      <c r="L2020" s="31"/>
      <c r="M2020" s="31"/>
      <c r="N2020" s="31"/>
      <c r="O2020" s="2" t="s">
        <v>425</v>
      </c>
    </row>
    <row r="2021" spans="1:15">
      <c r="A2021" s="3">
        <f t="shared" si="32"/>
        <v>2020</v>
      </c>
      <c r="B2021" s="118" t="s">
        <v>3277</v>
      </c>
      <c r="C2021" s="58">
        <v>9515033255</v>
      </c>
      <c r="D2021" s="6"/>
      <c r="E2021" s="3" t="s">
        <v>79</v>
      </c>
      <c r="F2021" s="80" t="s">
        <v>2865</v>
      </c>
      <c r="G2021" s="2" t="s">
        <v>424</v>
      </c>
      <c r="H2021" s="2" t="s">
        <v>3117</v>
      </c>
      <c r="I2021" s="37" t="s">
        <v>42</v>
      </c>
      <c r="J2021" s="31">
        <v>45744</v>
      </c>
      <c r="K2021" s="31">
        <v>45747</v>
      </c>
      <c r="L2021" s="31"/>
      <c r="M2021" s="31"/>
      <c r="N2021" s="31"/>
      <c r="O2021" s="2" t="s">
        <v>425</v>
      </c>
    </row>
    <row r="2022" spans="1:15">
      <c r="A2022" s="3">
        <f t="shared" si="32"/>
        <v>2021</v>
      </c>
      <c r="B2022" s="118" t="s">
        <v>3278</v>
      </c>
      <c r="C2022" s="58">
        <v>9695787132</v>
      </c>
      <c r="D2022" s="6"/>
      <c r="E2022" s="3" t="s">
        <v>90</v>
      </c>
      <c r="F2022" s="80" t="s">
        <v>294</v>
      </c>
      <c r="G2022" s="2" t="s">
        <v>416</v>
      </c>
      <c r="H2022" s="2" t="s">
        <v>3117</v>
      </c>
      <c r="I2022" s="37" t="s">
        <v>42</v>
      </c>
      <c r="J2022" s="31">
        <v>45744</v>
      </c>
      <c r="K2022" s="31">
        <v>45747</v>
      </c>
      <c r="L2022" s="31"/>
      <c r="M2022" s="31"/>
      <c r="N2022" s="31"/>
      <c r="O2022" s="2" t="s">
        <v>297</v>
      </c>
    </row>
    <row r="2023" spans="1:15">
      <c r="A2023" s="3">
        <f t="shared" si="32"/>
        <v>2022</v>
      </c>
      <c r="B2023" s="118" t="s">
        <v>2215</v>
      </c>
      <c r="C2023" s="58">
        <v>9690272425</v>
      </c>
      <c r="D2023" s="6">
        <v>7533878849</v>
      </c>
      <c r="E2023" s="17" t="s">
        <v>85</v>
      </c>
      <c r="F2023" s="80" t="s">
        <v>3279</v>
      </c>
      <c r="G2023" s="2" t="s">
        <v>16</v>
      </c>
      <c r="H2023" s="2" t="s">
        <v>3117</v>
      </c>
      <c r="I2023" s="37" t="s">
        <v>42</v>
      </c>
      <c r="J2023" s="31">
        <v>45744</v>
      </c>
      <c r="K2023" s="31">
        <v>45747</v>
      </c>
      <c r="L2023" s="31">
        <v>45749</v>
      </c>
      <c r="M2023" s="31">
        <v>45773</v>
      </c>
      <c r="N2023" s="31">
        <v>45773</v>
      </c>
      <c r="O2023" s="2" t="s">
        <v>297</v>
      </c>
    </row>
    <row r="2024" spans="1:15">
      <c r="A2024" s="3">
        <f t="shared" si="32"/>
        <v>2023</v>
      </c>
      <c r="B2024" s="121" t="s">
        <v>3280</v>
      </c>
      <c r="C2024" s="58">
        <v>7366936510</v>
      </c>
      <c r="D2024" s="6"/>
      <c r="E2024" s="17" t="s">
        <v>85</v>
      </c>
      <c r="F2024" s="80" t="s">
        <v>2812</v>
      </c>
      <c r="G2024" s="2" t="s">
        <v>16</v>
      </c>
      <c r="H2024" s="2" t="s">
        <v>3117</v>
      </c>
      <c r="I2024" s="37" t="s">
        <v>42</v>
      </c>
      <c r="J2024" s="31">
        <v>45744</v>
      </c>
      <c r="K2024" s="31">
        <v>45747</v>
      </c>
      <c r="L2024" s="31">
        <v>45751</v>
      </c>
      <c r="M2024" s="31">
        <v>45771</v>
      </c>
      <c r="N2024" s="31">
        <v>45767</v>
      </c>
      <c r="O2024" s="2" t="s">
        <v>297</v>
      </c>
    </row>
    <row r="2025" spans="1:15">
      <c r="A2025" s="3">
        <f t="shared" si="32"/>
        <v>2024</v>
      </c>
      <c r="B2025" s="118" t="s">
        <v>3281</v>
      </c>
      <c r="C2025" s="58">
        <v>8768173054</v>
      </c>
      <c r="D2025" s="6">
        <v>8910419744</v>
      </c>
      <c r="E2025" s="3" t="s">
        <v>90</v>
      </c>
      <c r="F2025" s="80" t="s">
        <v>3282</v>
      </c>
      <c r="G2025" s="2" t="s">
        <v>16</v>
      </c>
      <c r="H2025" s="2" t="s">
        <v>3117</v>
      </c>
      <c r="I2025" s="37" t="s">
        <v>42</v>
      </c>
      <c r="J2025" s="31">
        <v>45744</v>
      </c>
      <c r="K2025" s="31">
        <v>45747</v>
      </c>
      <c r="L2025" s="31">
        <v>45749</v>
      </c>
      <c r="M2025" s="31">
        <v>45758</v>
      </c>
      <c r="N2025" s="31">
        <v>45758</v>
      </c>
      <c r="O2025" s="2" t="s">
        <v>297</v>
      </c>
    </row>
    <row r="2026" spans="1:15">
      <c r="A2026" s="3">
        <f t="shared" si="32"/>
        <v>2025</v>
      </c>
      <c r="B2026" s="118" t="s">
        <v>3283</v>
      </c>
      <c r="C2026" s="58">
        <v>6305838486</v>
      </c>
      <c r="D2026" s="6"/>
      <c r="E2026" s="3" t="s">
        <v>90</v>
      </c>
      <c r="F2026" s="80" t="s">
        <v>294</v>
      </c>
      <c r="G2026" s="2" t="s">
        <v>18</v>
      </c>
      <c r="H2026" s="2" t="s">
        <v>3117</v>
      </c>
      <c r="I2026" s="37" t="s">
        <v>42</v>
      </c>
      <c r="J2026" s="31">
        <v>45744</v>
      </c>
      <c r="K2026" s="31">
        <v>45747</v>
      </c>
      <c r="L2026" s="31"/>
      <c r="M2026" s="31"/>
      <c r="N2026" s="31"/>
      <c r="O2026" s="2" t="s">
        <v>297</v>
      </c>
    </row>
    <row r="2027" spans="1:15" ht="15.6">
      <c r="A2027" s="3">
        <f t="shared" si="32"/>
        <v>2026</v>
      </c>
      <c r="B2027" s="118" t="s">
        <v>3284</v>
      </c>
      <c r="C2027" s="58">
        <v>9755675691</v>
      </c>
      <c r="D2027" s="6"/>
      <c r="E2027" s="7" t="s">
        <v>2714</v>
      </c>
      <c r="F2027" s="88" t="s">
        <v>3285</v>
      </c>
      <c r="G2027" s="2" t="s">
        <v>16</v>
      </c>
      <c r="H2027" s="2" t="s">
        <v>487</v>
      </c>
      <c r="I2027" s="37" t="s">
        <v>88</v>
      </c>
      <c r="J2027" s="31">
        <v>45747</v>
      </c>
      <c r="K2027" s="31">
        <v>45752</v>
      </c>
      <c r="L2027" s="31">
        <v>45765</v>
      </c>
      <c r="M2027" s="31">
        <v>45795</v>
      </c>
      <c r="N2027" s="31">
        <v>45795</v>
      </c>
      <c r="O2027" s="2" t="s">
        <v>297</v>
      </c>
    </row>
    <row r="2028" spans="1:15" ht="15.6">
      <c r="A2028" s="3">
        <f t="shared" si="32"/>
        <v>2027</v>
      </c>
      <c r="B2028" s="118" t="s">
        <v>3286</v>
      </c>
      <c r="C2028" s="58">
        <v>8580865832</v>
      </c>
      <c r="D2028" s="6">
        <v>9760653990</v>
      </c>
      <c r="E2028" s="7" t="s">
        <v>2714</v>
      </c>
      <c r="F2028" s="88" t="s">
        <v>3285</v>
      </c>
      <c r="G2028" s="2" t="s">
        <v>16</v>
      </c>
      <c r="H2028" s="2" t="s">
        <v>487</v>
      </c>
      <c r="I2028" s="37" t="s">
        <v>88</v>
      </c>
      <c r="J2028" s="31">
        <v>45747</v>
      </c>
      <c r="K2028" s="31">
        <v>45752</v>
      </c>
      <c r="L2028" s="31">
        <v>45758</v>
      </c>
      <c r="M2028" s="31">
        <v>45812</v>
      </c>
      <c r="N2028" s="31">
        <v>45812</v>
      </c>
      <c r="O2028" s="2" t="s">
        <v>297</v>
      </c>
    </row>
    <row r="2029" spans="1:15" ht="15.6">
      <c r="A2029" s="3">
        <f t="shared" si="32"/>
        <v>2028</v>
      </c>
      <c r="B2029" s="118" t="s">
        <v>3287</v>
      </c>
      <c r="C2029" s="58">
        <v>7675928940</v>
      </c>
      <c r="D2029" s="6">
        <v>9635043351</v>
      </c>
      <c r="E2029" s="7" t="s">
        <v>2268</v>
      </c>
      <c r="F2029" s="88" t="s">
        <v>3055</v>
      </c>
      <c r="G2029" s="2" t="s">
        <v>16</v>
      </c>
      <c r="H2029" s="2" t="s">
        <v>487</v>
      </c>
      <c r="I2029" s="37" t="s">
        <v>88</v>
      </c>
      <c r="J2029" s="31">
        <v>45747</v>
      </c>
      <c r="K2029" s="31">
        <v>45752</v>
      </c>
      <c r="L2029" s="31">
        <v>45758</v>
      </c>
      <c r="M2029" s="31">
        <v>45788</v>
      </c>
      <c r="N2029" s="31">
        <v>45788</v>
      </c>
      <c r="O2029" s="2" t="s">
        <v>297</v>
      </c>
    </row>
    <row r="2030" spans="1:15" ht="15.6">
      <c r="A2030" s="3">
        <f t="shared" si="32"/>
        <v>2029</v>
      </c>
      <c r="B2030" s="118" t="s">
        <v>3288</v>
      </c>
      <c r="C2030" s="58">
        <v>9748364748</v>
      </c>
      <c r="D2030" s="6"/>
      <c r="E2030" s="7" t="s">
        <v>2268</v>
      </c>
      <c r="F2030" s="88" t="s">
        <v>3055</v>
      </c>
      <c r="G2030" s="2" t="s">
        <v>424</v>
      </c>
      <c r="H2030" s="2" t="s">
        <v>487</v>
      </c>
      <c r="I2030" s="37" t="s">
        <v>88</v>
      </c>
      <c r="J2030" s="31">
        <v>45747</v>
      </c>
      <c r="K2030" s="31">
        <v>45764</v>
      </c>
      <c r="L2030" s="31"/>
      <c r="M2030" s="31"/>
      <c r="N2030" s="31"/>
      <c r="O2030" s="2" t="s">
        <v>425</v>
      </c>
    </row>
    <row r="2031" spans="1:15" ht="15.6">
      <c r="A2031" s="3">
        <f t="shared" si="32"/>
        <v>2030</v>
      </c>
      <c r="B2031" s="118" t="s">
        <v>3289</v>
      </c>
      <c r="C2031" s="58">
        <v>6306749961</v>
      </c>
      <c r="D2031" s="6"/>
      <c r="E2031" s="3" t="s">
        <v>430</v>
      </c>
      <c r="F2031" s="88" t="s">
        <v>3285</v>
      </c>
      <c r="G2031" s="2" t="s">
        <v>16</v>
      </c>
      <c r="H2031" s="2" t="s">
        <v>487</v>
      </c>
      <c r="I2031" s="37" t="s">
        <v>88</v>
      </c>
      <c r="J2031" s="31">
        <v>45747</v>
      </c>
      <c r="K2031" s="31">
        <v>45752</v>
      </c>
      <c r="L2031" s="31">
        <v>45758</v>
      </c>
      <c r="M2031" s="31">
        <v>45788</v>
      </c>
      <c r="N2031" s="31">
        <v>45788</v>
      </c>
      <c r="O2031" s="2" t="s">
        <v>297</v>
      </c>
    </row>
    <row r="2032" spans="1:15" ht="15.6">
      <c r="A2032" s="3">
        <f t="shared" si="32"/>
        <v>2031</v>
      </c>
      <c r="B2032" s="118" t="s">
        <v>3290</v>
      </c>
      <c r="C2032" s="58">
        <v>7569978831</v>
      </c>
      <c r="D2032" s="6">
        <v>8984746336</v>
      </c>
      <c r="E2032" s="7" t="s">
        <v>2702</v>
      </c>
      <c r="F2032" s="88" t="s">
        <v>2261</v>
      </c>
      <c r="G2032" s="2" t="s">
        <v>330</v>
      </c>
      <c r="H2032" s="2" t="s">
        <v>487</v>
      </c>
      <c r="I2032" s="37" t="s">
        <v>88</v>
      </c>
      <c r="J2032" s="31">
        <v>45747</v>
      </c>
      <c r="K2032" s="31">
        <v>45752</v>
      </c>
      <c r="L2032" s="31">
        <v>45758</v>
      </c>
      <c r="M2032" s="31">
        <v>45788</v>
      </c>
      <c r="N2032" s="31">
        <v>45788</v>
      </c>
      <c r="O2032" s="2" t="s">
        <v>297</v>
      </c>
    </row>
    <row r="2033" spans="1:15" ht="15.6">
      <c r="A2033" s="3">
        <f t="shared" si="32"/>
        <v>2032</v>
      </c>
      <c r="B2033" s="118" t="s">
        <v>3291</v>
      </c>
      <c r="C2033" s="58">
        <v>7006455086</v>
      </c>
      <c r="D2033" s="6"/>
      <c r="E2033" s="7" t="s">
        <v>2716</v>
      </c>
      <c r="F2033" s="88" t="s">
        <v>3061</v>
      </c>
      <c r="G2033" s="2" t="s">
        <v>424</v>
      </c>
      <c r="H2033" s="2" t="s">
        <v>487</v>
      </c>
      <c r="I2033" s="37" t="s">
        <v>88</v>
      </c>
      <c r="J2033" s="31">
        <v>45747</v>
      </c>
      <c r="K2033" s="31">
        <v>45752</v>
      </c>
      <c r="L2033" s="31"/>
      <c r="M2033" s="31"/>
      <c r="N2033" s="31"/>
      <c r="O2033" s="2" t="s">
        <v>425</v>
      </c>
    </row>
    <row r="2034" spans="1:15" ht="15.6">
      <c r="A2034" s="3">
        <f t="shared" ref="A2034:A2097" si="33">ROW()-1</f>
        <v>2033</v>
      </c>
      <c r="B2034" s="118" t="s">
        <v>3292</v>
      </c>
      <c r="C2034" s="58">
        <v>8081492249</v>
      </c>
      <c r="D2034" s="6"/>
      <c r="E2034" s="7" t="s">
        <v>2716</v>
      </c>
      <c r="F2034" s="88" t="s">
        <v>3061</v>
      </c>
      <c r="G2034" s="2" t="s">
        <v>424</v>
      </c>
      <c r="H2034" s="2" t="s">
        <v>487</v>
      </c>
      <c r="I2034" s="37" t="s">
        <v>88</v>
      </c>
      <c r="J2034" s="31">
        <v>45747</v>
      </c>
      <c r="K2034" s="31">
        <v>45752</v>
      </c>
      <c r="L2034" s="31"/>
      <c r="M2034" s="31"/>
      <c r="N2034" s="31"/>
      <c r="O2034" s="2" t="s">
        <v>425</v>
      </c>
    </row>
    <row r="2035" spans="1:15" ht="15.6">
      <c r="A2035" s="3">
        <f t="shared" si="33"/>
        <v>2034</v>
      </c>
      <c r="B2035" s="118" t="s">
        <v>3293</v>
      </c>
      <c r="C2035" s="58">
        <v>7505132533</v>
      </c>
      <c r="D2035" s="6">
        <v>8126212382</v>
      </c>
      <c r="E2035" s="7" t="s">
        <v>2716</v>
      </c>
      <c r="F2035" s="88" t="s">
        <v>3061</v>
      </c>
      <c r="G2035" s="2" t="s">
        <v>424</v>
      </c>
      <c r="H2035" s="2" t="s">
        <v>487</v>
      </c>
      <c r="I2035" s="37" t="s">
        <v>88</v>
      </c>
      <c r="J2035" s="31">
        <v>45747</v>
      </c>
      <c r="K2035" s="31">
        <v>45752</v>
      </c>
      <c r="L2035" s="31"/>
      <c r="M2035" s="31"/>
      <c r="N2035" s="31"/>
      <c r="O2035" s="2" t="s">
        <v>425</v>
      </c>
    </row>
    <row r="2036" spans="1:15" ht="15.6">
      <c r="A2036" s="3">
        <f t="shared" si="33"/>
        <v>2035</v>
      </c>
      <c r="B2036" s="118" t="s">
        <v>3294</v>
      </c>
      <c r="C2036" s="58">
        <v>8292617976</v>
      </c>
      <c r="D2036" s="6"/>
      <c r="E2036" s="7" t="s">
        <v>3295</v>
      </c>
      <c r="F2036" s="88" t="s">
        <v>3061</v>
      </c>
      <c r="G2036" s="2" t="s">
        <v>424</v>
      </c>
      <c r="H2036" s="2" t="s">
        <v>487</v>
      </c>
      <c r="I2036" s="37" t="s">
        <v>88</v>
      </c>
      <c r="J2036" s="31">
        <v>45747</v>
      </c>
      <c r="K2036" s="31">
        <v>45752</v>
      </c>
      <c r="L2036" s="31"/>
      <c r="M2036" s="31"/>
      <c r="N2036" s="31"/>
      <c r="O2036" s="2" t="s">
        <v>425</v>
      </c>
    </row>
    <row r="2037" spans="1:15" ht="15.6">
      <c r="A2037" s="3">
        <f t="shared" si="33"/>
        <v>2036</v>
      </c>
      <c r="B2037" s="118" t="s">
        <v>3296</v>
      </c>
      <c r="C2037" s="58">
        <v>9548609003</v>
      </c>
      <c r="D2037" s="6"/>
      <c r="E2037" s="7" t="s">
        <v>3295</v>
      </c>
      <c r="F2037" s="88" t="s">
        <v>3061</v>
      </c>
      <c r="G2037" s="2" t="s">
        <v>424</v>
      </c>
      <c r="H2037" s="2" t="s">
        <v>487</v>
      </c>
      <c r="I2037" s="37" t="s">
        <v>88</v>
      </c>
      <c r="J2037" s="31">
        <v>45747</v>
      </c>
      <c r="K2037" s="31">
        <v>45752</v>
      </c>
      <c r="L2037" s="31"/>
      <c r="M2037" s="31"/>
      <c r="N2037" s="31"/>
      <c r="O2037" s="2" t="s">
        <v>425</v>
      </c>
    </row>
    <row r="2038" spans="1:15" ht="15.6">
      <c r="A2038" s="3">
        <f t="shared" si="33"/>
        <v>2037</v>
      </c>
      <c r="B2038" s="41" t="s">
        <v>3297</v>
      </c>
      <c r="C2038" s="30">
        <v>8160404504</v>
      </c>
      <c r="D2038" s="6"/>
      <c r="E2038" s="4" t="s">
        <v>2370</v>
      </c>
      <c r="F2038" s="78" t="s">
        <v>303</v>
      </c>
      <c r="G2038" s="2" t="s">
        <v>295</v>
      </c>
      <c r="H2038" s="2" t="s">
        <v>1096</v>
      </c>
      <c r="I2038" s="37" t="s">
        <v>94</v>
      </c>
      <c r="J2038" s="31">
        <v>45747</v>
      </c>
      <c r="K2038" s="31">
        <v>45760</v>
      </c>
      <c r="L2038" s="31">
        <v>45763</v>
      </c>
      <c r="M2038" s="31">
        <v>45783</v>
      </c>
      <c r="N2038" s="31"/>
      <c r="O2038" s="2" t="s">
        <v>297</v>
      </c>
    </row>
    <row r="2039" spans="1:15" ht="15.6">
      <c r="A2039" s="3">
        <f t="shared" si="33"/>
        <v>2038</v>
      </c>
      <c r="B2039" s="41" t="s">
        <v>3298</v>
      </c>
      <c r="C2039" s="30">
        <v>9766699144</v>
      </c>
      <c r="D2039" s="6"/>
      <c r="E2039" s="4" t="s">
        <v>2370</v>
      </c>
      <c r="F2039" s="78" t="s">
        <v>490</v>
      </c>
      <c r="G2039" s="2" t="s">
        <v>416</v>
      </c>
      <c r="H2039" s="2" t="s">
        <v>1096</v>
      </c>
      <c r="I2039" s="37" t="s">
        <v>94</v>
      </c>
      <c r="J2039" s="31">
        <v>45747</v>
      </c>
      <c r="K2039" s="31">
        <v>45760</v>
      </c>
      <c r="L2039" s="31"/>
      <c r="M2039" s="31"/>
      <c r="N2039" s="31"/>
      <c r="O2039" s="2" t="s">
        <v>297</v>
      </c>
    </row>
    <row r="2040" spans="1:15" ht="15.6">
      <c r="A2040" s="3">
        <f t="shared" si="33"/>
        <v>2039</v>
      </c>
      <c r="B2040" s="41" t="s">
        <v>3299</v>
      </c>
      <c r="C2040" s="30">
        <v>7607440086</v>
      </c>
      <c r="D2040" s="6"/>
      <c r="E2040" s="4" t="s">
        <v>3300</v>
      </c>
      <c r="F2040" s="78" t="s">
        <v>303</v>
      </c>
      <c r="G2040" s="2" t="s">
        <v>16</v>
      </c>
      <c r="H2040" s="2" t="s">
        <v>1096</v>
      </c>
      <c r="I2040" s="37" t="s">
        <v>94</v>
      </c>
      <c r="J2040" s="31">
        <v>45747</v>
      </c>
      <c r="K2040" s="31">
        <v>45762</v>
      </c>
      <c r="L2040" s="31">
        <v>45765</v>
      </c>
      <c r="M2040" s="31">
        <v>45957</v>
      </c>
      <c r="N2040" s="31">
        <v>45957</v>
      </c>
      <c r="O2040" s="2" t="s">
        <v>297</v>
      </c>
    </row>
    <row r="2041" spans="1:15">
      <c r="A2041" s="3">
        <f t="shared" si="33"/>
        <v>2040</v>
      </c>
      <c r="B2041" s="65" t="s">
        <v>3301</v>
      </c>
      <c r="C2041" s="1">
        <v>7354263358</v>
      </c>
      <c r="D2041" s="6"/>
      <c r="E2041" s="17" t="s">
        <v>2370</v>
      </c>
      <c r="F2041" s="65" t="s">
        <v>490</v>
      </c>
      <c r="G2041" s="2" t="s">
        <v>18</v>
      </c>
      <c r="H2041" s="2" t="s">
        <v>1096</v>
      </c>
      <c r="I2041" s="4" t="s">
        <v>94</v>
      </c>
      <c r="J2041" s="31">
        <v>45758</v>
      </c>
      <c r="K2041" s="31">
        <v>45760</v>
      </c>
      <c r="L2041" s="31"/>
      <c r="M2041" s="31"/>
      <c r="N2041" s="31"/>
      <c r="O2041" s="3" t="s">
        <v>297</v>
      </c>
    </row>
    <row r="2042" spans="1:15">
      <c r="A2042" s="3">
        <f t="shared" si="33"/>
        <v>2041</v>
      </c>
      <c r="B2042" s="65" t="s">
        <v>3302</v>
      </c>
      <c r="C2042" s="1">
        <v>8160039700</v>
      </c>
      <c r="D2042" s="6"/>
      <c r="E2042" s="17" t="s">
        <v>2373</v>
      </c>
      <c r="F2042" s="65" t="s">
        <v>303</v>
      </c>
      <c r="G2042" s="3" t="s">
        <v>16</v>
      </c>
      <c r="H2042" s="2" t="s">
        <v>1096</v>
      </c>
      <c r="I2042" s="4" t="s">
        <v>94</v>
      </c>
      <c r="J2042" s="31">
        <v>45758</v>
      </c>
      <c r="K2042" s="31">
        <v>45762</v>
      </c>
      <c r="L2042" s="31">
        <v>45763</v>
      </c>
      <c r="M2042" s="31">
        <v>45796</v>
      </c>
      <c r="N2042" s="31">
        <v>45796</v>
      </c>
      <c r="O2042" s="3" t="s">
        <v>297</v>
      </c>
    </row>
    <row r="2043" spans="1:15" ht="15.6">
      <c r="A2043" s="3">
        <f t="shared" si="33"/>
        <v>2042</v>
      </c>
      <c r="B2043" s="41" t="s">
        <v>3303</v>
      </c>
      <c r="C2043" s="30">
        <v>7737483855</v>
      </c>
      <c r="D2043" s="6"/>
      <c r="E2043" s="4" t="s">
        <v>2373</v>
      </c>
      <c r="F2043" s="78" t="s">
        <v>490</v>
      </c>
      <c r="G2043" s="2" t="s">
        <v>416</v>
      </c>
      <c r="H2043" s="2" t="s">
        <v>1096</v>
      </c>
      <c r="I2043" s="37" t="s">
        <v>94</v>
      </c>
      <c r="J2043" s="31">
        <v>45747</v>
      </c>
      <c r="K2043" s="31">
        <v>45764</v>
      </c>
      <c r="L2043" s="31"/>
      <c r="M2043" s="31"/>
      <c r="N2043" s="31"/>
      <c r="O2043" s="2" t="s">
        <v>297</v>
      </c>
    </row>
    <row r="2044" spans="1:15" ht="15.6">
      <c r="A2044" s="3">
        <f t="shared" si="33"/>
        <v>2043</v>
      </c>
      <c r="B2044" s="41" t="s">
        <v>3304</v>
      </c>
      <c r="C2044" s="30">
        <v>8158850741</v>
      </c>
      <c r="D2044" s="6"/>
      <c r="E2044" s="4" t="s">
        <v>1580</v>
      </c>
      <c r="F2044" s="78" t="s">
        <v>612</v>
      </c>
      <c r="G2044" s="2" t="s">
        <v>416</v>
      </c>
      <c r="H2044" s="2" t="s">
        <v>1096</v>
      </c>
      <c r="I2044" s="37" t="s">
        <v>94</v>
      </c>
      <c r="J2044" s="31">
        <v>45747</v>
      </c>
      <c r="K2044" s="31">
        <v>45762</v>
      </c>
      <c r="L2044" s="31"/>
      <c r="M2044" s="31"/>
      <c r="N2044" s="31"/>
      <c r="O2044" s="2" t="s">
        <v>297</v>
      </c>
    </row>
    <row r="2045" spans="1:15" ht="15.6">
      <c r="A2045" s="3">
        <f t="shared" si="33"/>
        <v>2044</v>
      </c>
      <c r="B2045" s="41" t="s">
        <v>3305</v>
      </c>
      <c r="C2045" s="30">
        <v>9755731785</v>
      </c>
      <c r="D2045" s="6"/>
      <c r="E2045" s="4" t="s">
        <v>1580</v>
      </c>
      <c r="F2045" s="78" t="s">
        <v>490</v>
      </c>
      <c r="G2045" s="3" t="s">
        <v>295</v>
      </c>
      <c r="H2045" s="2" t="s">
        <v>1096</v>
      </c>
      <c r="I2045" s="37" t="s">
        <v>94</v>
      </c>
      <c r="J2045" s="31">
        <v>45747</v>
      </c>
      <c r="K2045" s="31">
        <v>45760</v>
      </c>
      <c r="L2045" s="31">
        <v>45772</v>
      </c>
      <c r="M2045" s="31">
        <v>45803</v>
      </c>
      <c r="N2045" s="31"/>
      <c r="O2045" s="2" t="s">
        <v>297</v>
      </c>
    </row>
    <row r="2046" spans="1:15" ht="15.6">
      <c r="A2046" s="3">
        <f t="shared" si="33"/>
        <v>2045</v>
      </c>
      <c r="B2046" s="41" t="s">
        <v>3306</v>
      </c>
      <c r="C2046" s="30">
        <v>7987794742</v>
      </c>
      <c r="D2046" s="6"/>
      <c r="E2046" s="4" t="s">
        <v>1580</v>
      </c>
      <c r="F2046" s="78" t="s">
        <v>575</v>
      </c>
      <c r="G2046" s="2" t="s">
        <v>16</v>
      </c>
      <c r="H2046" s="2" t="s">
        <v>1096</v>
      </c>
      <c r="I2046" s="37" t="s">
        <v>94</v>
      </c>
      <c r="J2046" s="31">
        <v>45747</v>
      </c>
      <c r="K2046" s="31">
        <v>45760</v>
      </c>
      <c r="L2046" s="31">
        <v>45765</v>
      </c>
      <c r="M2046" s="31">
        <v>45795</v>
      </c>
      <c r="N2046" s="31">
        <v>45797</v>
      </c>
      <c r="O2046" s="2" t="s">
        <v>297</v>
      </c>
    </row>
    <row r="2047" spans="1:15" ht="15.6">
      <c r="A2047" s="3">
        <f t="shared" si="33"/>
        <v>2046</v>
      </c>
      <c r="B2047" s="41" t="s">
        <v>3307</v>
      </c>
      <c r="C2047" s="30">
        <v>7828764216</v>
      </c>
      <c r="D2047" s="6"/>
      <c r="E2047" s="4" t="s">
        <v>1580</v>
      </c>
      <c r="F2047" s="78" t="s">
        <v>303</v>
      </c>
      <c r="G2047" s="2" t="s">
        <v>16</v>
      </c>
      <c r="H2047" s="2" t="s">
        <v>1096</v>
      </c>
      <c r="I2047" s="37" t="s">
        <v>94</v>
      </c>
      <c r="J2047" s="31">
        <v>45747</v>
      </c>
      <c r="K2047" s="31">
        <v>45764</v>
      </c>
      <c r="L2047" s="31">
        <v>45772</v>
      </c>
      <c r="M2047" s="31">
        <v>45794</v>
      </c>
      <c r="N2047" s="31">
        <v>45794</v>
      </c>
      <c r="O2047" s="2" t="s">
        <v>297</v>
      </c>
    </row>
    <row r="2048" spans="1:15" ht="15.6">
      <c r="A2048" s="3">
        <f t="shared" si="33"/>
        <v>2047</v>
      </c>
      <c r="B2048" s="41" t="s">
        <v>3308</v>
      </c>
      <c r="C2048" s="30">
        <v>8806600726</v>
      </c>
      <c r="D2048" s="6"/>
      <c r="E2048" s="4" t="s">
        <v>3309</v>
      </c>
      <c r="F2048" s="78" t="s">
        <v>333</v>
      </c>
      <c r="G2048" s="2" t="s">
        <v>424</v>
      </c>
      <c r="H2048" s="2" t="s">
        <v>296</v>
      </c>
      <c r="I2048" s="37" t="s">
        <v>94</v>
      </c>
      <c r="J2048" s="31">
        <v>45747</v>
      </c>
      <c r="K2048" s="31">
        <v>45764</v>
      </c>
      <c r="L2048" s="31"/>
      <c r="M2048" s="31"/>
      <c r="N2048" s="31"/>
      <c r="O2048" s="2" t="s">
        <v>425</v>
      </c>
    </row>
    <row r="2049" spans="1:15" ht="15.6">
      <c r="A2049" s="3">
        <f t="shared" si="33"/>
        <v>2048</v>
      </c>
      <c r="B2049" s="41" t="s">
        <v>3310</v>
      </c>
      <c r="C2049" s="30">
        <v>9406605994</v>
      </c>
      <c r="D2049" s="6"/>
      <c r="E2049" s="4" t="s">
        <v>3309</v>
      </c>
      <c r="F2049" s="78" t="s">
        <v>333</v>
      </c>
      <c r="G2049" s="2" t="s">
        <v>424</v>
      </c>
      <c r="H2049" s="2" t="s">
        <v>296</v>
      </c>
      <c r="I2049" s="37" t="s">
        <v>94</v>
      </c>
      <c r="J2049" s="31">
        <v>45747</v>
      </c>
      <c r="K2049" s="31">
        <v>45764</v>
      </c>
      <c r="L2049" s="31"/>
      <c r="M2049" s="31"/>
      <c r="N2049" s="31"/>
      <c r="O2049" s="2" t="s">
        <v>425</v>
      </c>
    </row>
    <row r="2050" spans="1:15">
      <c r="A2050" s="3">
        <f t="shared" si="33"/>
        <v>2049</v>
      </c>
      <c r="B2050" s="122" t="s">
        <v>3311</v>
      </c>
      <c r="C2050" s="25">
        <v>7093254510</v>
      </c>
      <c r="D2050" s="6"/>
      <c r="E2050" s="61" t="s">
        <v>3312</v>
      </c>
      <c r="F2050" s="65"/>
      <c r="G2050" s="2" t="s">
        <v>18</v>
      </c>
      <c r="H2050" s="2" t="s">
        <v>3313</v>
      </c>
      <c r="I2050" s="37" t="s">
        <v>42</v>
      </c>
      <c r="J2050" s="31">
        <v>45748</v>
      </c>
      <c r="K2050" s="31">
        <v>45748</v>
      </c>
      <c r="L2050" s="31"/>
      <c r="M2050" s="31"/>
      <c r="N2050" s="31"/>
      <c r="O2050" s="2" t="s">
        <v>297</v>
      </c>
    </row>
    <row r="2051" spans="1:15">
      <c r="A2051" s="3">
        <f t="shared" si="33"/>
        <v>2050</v>
      </c>
      <c r="B2051" s="87" t="s">
        <v>3314</v>
      </c>
      <c r="C2051" s="62">
        <v>8977468977</v>
      </c>
      <c r="D2051" s="6"/>
      <c r="E2051" s="3" t="s">
        <v>151</v>
      </c>
      <c r="F2051" s="89" t="s">
        <v>3315</v>
      </c>
      <c r="G2051" s="2" t="s">
        <v>18</v>
      </c>
      <c r="H2051" s="2" t="s">
        <v>42</v>
      </c>
      <c r="I2051" s="37" t="s">
        <v>42</v>
      </c>
      <c r="J2051" s="31">
        <v>45748</v>
      </c>
      <c r="K2051" s="31">
        <v>45749</v>
      </c>
      <c r="L2051" s="31"/>
      <c r="M2051" s="31"/>
      <c r="N2051" s="31"/>
      <c r="O2051" s="2" t="s">
        <v>297</v>
      </c>
    </row>
    <row r="2052" spans="1:15">
      <c r="A2052" s="3">
        <f t="shared" si="33"/>
        <v>2051</v>
      </c>
      <c r="B2052" s="87" t="s">
        <v>3316</v>
      </c>
      <c r="C2052" s="62">
        <v>9948704304</v>
      </c>
      <c r="D2052" s="6"/>
      <c r="E2052" s="3" t="s">
        <v>151</v>
      </c>
      <c r="F2052" s="89" t="s">
        <v>3317</v>
      </c>
      <c r="G2052" s="2" t="s">
        <v>16</v>
      </c>
      <c r="H2052" s="2" t="s">
        <v>42</v>
      </c>
      <c r="I2052" s="37" t="s">
        <v>42</v>
      </c>
      <c r="J2052" s="31">
        <v>45748</v>
      </c>
      <c r="K2052" s="31">
        <v>45749</v>
      </c>
      <c r="L2052" s="31">
        <v>45751</v>
      </c>
      <c r="M2052" s="31">
        <v>45789</v>
      </c>
      <c r="N2052" s="31">
        <v>45789</v>
      </c>
      <c r="O2052" s="2" t="s">
        <v>297</v>
      </c>
    </row>
    <row r="2053" spans="1:15">
      <c r="A2053" s="3">
        <f t="shared" si="33"/>
        <v>2052</v>
      </c>
      <c r="B2053" s="87" t="s">
        <v>3318</v>
      </c>
      <c r="C2053" s="62">
        <v>9666954999</v>
      </c>
      <c r="D2053" s="6">
        <v>9701030178</v>
      </c>
      <c r="E2053" s="3" t="s">
        <v>151</v>
      </c>
      <c r="F2053" s="89" t="s">
        <v>3319</v>
      </c>
      <c r="G2053" s="2" t="s">
        <v>424</v>
      </c>
      <c r="H2053" s="2" t="s">
        <v>42</v>
      </c>
      <c r="I2053" s="37" t="s">
        <v>42</v>
      </c>
      <c r="J2053" s="31">
        <v>45748</v>
      </c>
      <c r="K2053" s="31">
        <v>45786</v>
      </c>
      <c r="L2053" s="31"/>
      <c r="M2053" s="31"/>
      <c r="N2053" s="31"/>
      <c r="O2053" s="2" t="s">
        <v>425</v>
      </c>
    </row>
    <row r="2054" spans="1:15">
      <c r="A2054" s="3">
        <f t="shared" si="33"/>
        <v>2053</v>
      </c>
      <c r="B2054" s="87" t="s">
        <v>3320</v>
      </c>
      <c r="C2054" s="62">
        <v>8106543627</v>
      </c>
      <c r="D2054" s="6"/>
      <c r="E2054" s="3" t="s">
        <v>151</v>
      </c>
      <c r="F2054" s="89" t="s">
        <v>3319</v>
      </c>
      <c r="G2054" s="2" t="s">
        <v>424</v>
      </c>
      <c r="H2054" s="2" t="s">
        <v>42</v>
      </c>
      <c r="I2054" s="37" t="s">
        <v>42</v>
      </c>
      <c r="J2054" s="31">
        <v>45748</v>
      </c>
      <c r="K2054" s="31">
        <v>45749</v>
      </c>
      <c r="L2054" s="31"/>
      <c r="M2054" s="31"/>
      <c r="N2054" s="31"/>
      <c r="O2054" s="2" t="s">
        <v>425</v>
      </c>
    </row>
    <row r="2055" spans="1:15">
      <c r="A2055" s="3">
        <f t="shared" si="33"/>
        <v>2054</v>
      </c>
      <c r="B2055" s="87" t="s">
        <v>3321</v>
      </c>
      <c r="C2055" s="54">
        <v>8780656745</v>
      </c>
      <c r="D2055" s="6"/>
      <c r="E2055" s="54" t="s">
        <v>2889</v>
      </c>
      <c r="F2055" s="65"/>
      <c r="G2055" s="2" t="s">
        <v>16</v>
      </c>
      <c r="H2055" s="4" t="s">
        <v>717</v>
      </c>
      <c r="I2055" s="37" t="s">
        <v>94</v>
      </c>
      <c r="J2055" s="31">
        <v>45733</v>
      </c>
      <c r="K2055" s="31">
        <v>45735</v>
      </c>
      <c r="L2055" s="31">
        <v>45742</v>
      </c>
      <c r="M2055" s="31">
        <v>45799</v>
      </c>
      <c r="N2055" s="31">
        <v>45743</v>
      </c>
      <c r="O2055" s="2" t="s">
        <v>297</v>
      </c>
    </row>
    <row r="2056" spans="1:15">
      <c r="A2056" s="3">
        <f t="shared" si="33"/>
        <v>2055</v>
      </c>
      <c r="B2056" s="87" t="s">
        <v>3322</v>
      </c>
      <c r="C2056" s="54">
        <v>7679159589</v>
      </c>
      <c r="D2056" s="6"/>
      <c r="E2056" s="54" t="s">
        <v>646</v>
      </c>
      <c r="F2056" s="65" t="s">
        <v>294</v>
      </c>
      <c r="G2056" s="2" t="s">
        <v>764</v>
      </c>
      <c r="H2056" s="4" t="s">
        <v>630</v>
      </c>
      <c r="I2056" s="37" t="s">
        <v>94</v>
      </c>
      <c r="J2056" s="31">
        <v>45748</v>
      </c>
      <c r="K2056" s="31">
        <v>45754</v>
      </c>
      <c r="L2056" s="31"/>
      <c r="M2056" s="31"/>
      <c r="N2056" s="31"/>
      <c r="O2056" s="2" t="s">
        <v>425</v>
      </c>
    </row>
    <row r="2057" spans="1:15">
      <c r="A2057" s="3">
        <f t="shared" si="33"/>
        <v>2056</v>
      </c>
      <c r="B2057" s="87" t="s">
        <v>3323</v>
      </c>
      <c r="C2057" s="54">
        <v>7001700731</v>
      </c>
      <c r="D2057" s="6"/>
      <c r="E2057" s="54" t="s">
        <v>646</v>
      </c>
      <c r="F2057" s="65" t="s">
        <v>294</v>
      </c>
      <c r="G2057" s="2" t="s">
        <v>764</v>
      </c>
      <c r="H2057" s="4" t="s">
        <v>630</v>
      </c>
      <c r="I2057" s="37" t="s">
        <v>94</v>
      </c>
      <c r="J2057" s="31">
        <v>45748</v>
      </c>
      <c r="K2057" s="31">
        <v>45754</v>
      </c>
      <c r="L2057" s="31"/>
      <c r="M2057" s="31"/>
      <c r="N2057" s="31"/>
      <c r="O2057" s="2" t="s">
        <v>425</v>
      </c>
    </row>
    <row r="2058" spans="1:15">
      <c r="A2058" s="3">
        <f t="shared" si="33"/>
        <v>2057</v>
      </c>
      <c r="B2058" s="87" t="s">
        <v>3324</v>
      </c>
      <c r="C2058" s="54">
        <v>8478035729</v>
      </c>
      <c r="D2058" s="6"/>
      <c r="E2058" s="54" t="s">
        <v>646</v>
      </c>
      <c r="F2058" s="65" t="s">
        <v>294</v>
      </c>
      <c r="G2058" s="2" t="s">
        <v>764</v>
      </c>
      <c r="H2058" s="4" t="s">
        <v>630</v>
      </c>
      <c r="I2058" s="37" t="s">
        <v>94</v>
      </c>
      <c r="J2058" s="31">
        <v>45748</v>
      </c>
      <c r="K2058" s="31">
        <v>45754</v>
      </c>
      <c r="L2058" s="31"/>
      <c r="M2058" s="31"/>
      <c r="N2058" s="31"/>
      <c r="O2058" s="2" t="s">
        <v>425</v>
      </c>
    </row>
    <row r="2059" spans="1:15">
      <c r="A2059" s="3">
        <f t="shared" si="33"/>
        <v>2058</v>
      </c>
      <c r="B2059" s="87" t="s">
        <v>3325</v>
      </c>
      <c r="C2059" s="54">
        <v>7674914741</v>
      </c>
      <c r="D2059" s="6"/>
      <c r="E2059" s="54" t="s">
        <v>3326</v>
      </c>
      <c r="F2059" s="65" t="s">
        <v>294</v>
      </c>
      <c r="G2059" s="2" t="s">
        <v>295</v>
      </c>
      <c r="H2059" s="4" t="s">
        <v>630</v>
      </c>
      <c r="I2059" s="37" t="s">
        <v>94</v>
      </c>
      <c r="J2059" s="31">
        <v>45748</v>
      </c>
      <c r="K2059" s="31">
        <v>45751</v>
      </c>
      <c r="L2059" s="31">
        <v>45842</v>
      </c>
      <c r="M2059" s="31">
        <v>45915</v>
      </c>
      <c r="N2059" s="31"/>
      <c r="O2059" s="2" t="s">
        <v>297</v>
      </c>
    </row>
    <row r="2060" spans="1:15">
      <c r="A2060" s="3">
        <f t="shared" si="33"/>
        <v>2059</v>
      </c>
      <c r="B2060" s="87" t="s">
        <v>3327</v>
      </c>
      <c r="C2060" s="54">
        <v>7017716479</v>
      </c>
      <c r="D2060" s="6"/>
      <c r="E2060" s="54" t="s">
        <v>646</v>
      </c>
      <c r="F2060" s="65" t="s">
        <v>294</v>
      </c>
      <c r="G2060" s="2" t="s">
        <v>764</v>
      </c>
      <c r="H2060" s="4" t="s">
        <v>630</v>
      </c>
      <c r="I2060" s="37" t="s">
        <v>94</v>
      </c>
      <c r="J2060" s="31">
        <v>45748</v>
      </c>
      <c r="K2060" s="31">
        <v>45765</v>
      </c>
      <c r="L2060" s="31"/>
      <c r="M2060" s="31"/>
      <c r="N2060" s="31"/>
      <c r="O2060" s="2" t="s">
        <v>425</v>
      </c>
    </row>
    <row r="2061" spans="1:15">
      <c r="A2061" s="3">
        <f t="shared" si="33"/>
        <v>2060</v>
      </c>
      <c r="B2061" s="87" t="s">
        <v>3328</v>
      </c>
      <c r="C2061" s="54">
        <v>9134119761</v>
      </c>
      <c r="D2061" s="6"/>
      <c r="E2061" s="54" t="s">
        <v>646</v>
      </c>
      <c r="F2061" s="65" t="s">
        <v>294</v>
      </c>
      <c r="G2061" s="2" t="s">
        <v>764</v>
      </c>
      <c r="H2061" s="4" t="s">
        <v>630</v>
      </c>
      <c r="I2061" s="37" t="s">
        <v>94</v>
      </c>
      <c r="J2061" s="31">
        <v>45748</v>
      </c>
      <c r="K2061" s="31">
        <v>45751</v>
      </c>
      <c r="L2061" s="31"/>
      <c r="M2061" s="31"/>
      <c r="N2061" s="31"/>
      <c r="O2061" s="2" t="s">
        <v>425</v>
      </c>
    </row>
    <row r="2062" spans="1:15">
      <c r="A2062" s="3">
        <f t="shared" si="33"/>
        <v>2061</v>
      </c>
      <c r="B2062" s="87" t="s">
        <v>3329</v>
      </c>
      <c r="C2062" s="54">
        <v>8788463583</v>
      </c>
      <c r="D2062" s="6"/>
      <c r="E2062" s="54" t="s">
        <v>646</v>
      </c>
      <c r="F2062" s="65" t="s">
        <v>294</v>
      </c>
      <c r="G2062" s="2" t="s">
        <v>764</v>
      </c>
      <c r="H2062" s="4" t="s">
        <v>630</v>
      </c>
      <c r="I2062" s="37" t="s">
        <v>94</v>
      </c>
      <c r="J2062" s="31">
        <v>45748</v>
      </c>
      <c r="K2062" s="31">
        <v>45754</v>
      </c>
      <c r="L2062" s="31"/>
      <c r="M2062" s="31"/>
      <c r="N2062" s="31"/>
      <c r="O2062" s="2" t="s">
        <v>425</v>
      </c>
    </row>
    <row r="2063" spans="1:15">
      <c r="A2063" s="3">
        <f t="shared" si="33"/>
        <v>2062</v>
      </c>
      <c r="B2063" s="87" t="s">
        <v>477</v>
      </c>
      <c r="C2063" s="54">
        <v>8707381533</v>
      </c>
      <c r="D2063" s="6"/>
      <c r="E2063" s="54" t="s">
        <v>646</v>
      </c>
      <c r="F2063" s="65" t="s">
        <v>294</v>
      </c>
      <c r="G2063" s="2" t="s">
        <v>764</v>
      </c>
      <c r="H2063" s="4" t="s">
        <v>630</v>
      </c>
      <c r="I2063" s="37" t="s">
        <v>94</v>
      </c>
      <c r="J2063" s="31">
        <v>45748</v>
      </c>
      <c r="K2063" s="31">
        <v>45752</v>
      </c>
      <c r="L2063" s="31"/>
      <c r="M2063" s="31"/>
      <c r="N2063" s="31"/>
      <c r="O2063" s="2" t="s">
        <v>425</v>
      </c>
    </row>
    <row r="2064" spans="1:15">
      <c r="A2064" s="3">
        <f t="shared" si="33"/>
        <v>2063</v>
      </c>
      <c r="B2064" s="65" t="s">
        <v>3330</v>
      </c>
      <c r="D2064" s="6"/>
      <c r="E2064" s="17" t="s">
        <v>96</v>
      </c>
      <c r="F2064" s="65" t="s">
        <v>503</v>
      </c>
      <c r="G2064" s="2" t="s">
        <v>16</v>
      </c>
      <c r="I2064" s="37" t="s">
        <v>42</v>
      </c>
      <c r="J2064" s="31">
        <v>45748</v>
      </c>
      <c r="K2064" s="31">
        <v>45748</v>
      </c>
      <c r="L2064" s="31">
        <v>45748</v>
      </c>
      <c r="M2064" s="31">
        <v>45748</v>
      </c>
      <c r="N2064" s="31">
        <v>45748</v>
      </c>
      <c r="O2064" s="2" t="s">
        <v>297</v>
      </c>
    </row>
    <row r="2065" spans="1:15">
      <c r="A2065" s="3">
        <f t="shared" si="33"/>
        <v>2064</v>
      </c>
      <c r="B2065" s="65" t="s">
        <v>3331</v>
      </c>
      <c r="D2065" s="6"/>
      <c r="E2065" s="17" t="s">
        <v>601</v>
      </c>
      <c r="F2065" s="65" t="s">
        <v>3332</v>
      </c>
      <c r="G2065" s="2" t="s">
        <v>16</v>
      </c>
      <c r="I2065" s="37" t="s">
        <v>42</v>
      </c>
      <c r="J2065" s="31">
        <v>45748</v>
      </c>
      <c r="K2065" s="31">
        <v>45748</v>
      </c>
      <c r="L2065" s="31">
        <v>45748</v>
      </c>
      <c r="M2065" s="31">
        <v>45748</v>
      </c>
      <c r="N2065" s="31">
        <v>45748</v>
      </c>
      <c r="O2065" s="2" t="s">
        <v>297</v>
      </c>
    </row>
    <row r="2066" spans="1:15">
      <c r="A2066" s="3">
        <f t="shared" si="33"/>
        <v>2065</v>
      </c>
      <c r="B2066" s="65" t="s">
        <v>3333</v>
      </c>
      <c r="D2066" s="6"/>
      <c r="E2066" s="3" t="s">
        <v>1023</v>
      </c>
      <c r="F2066" s="65" t="s">
        <v>2120</v>
      </c>
      <c r="G2066" s="2" t="s">
        <v>16</v>
      </c>
      <c r="I2066" s="37" t="s">
        <v>42</v>
      </c>
      <c r="J2066" s="31">
        <v>45748</v>
      </c>
      <c r="K2066" s="31">
        <v>45748</v>
      </c>
      <c r="L2066" s="31">
        <v>45748</v>
      </c>
      <c r="M2066" s="31">
        <v>45748</v>
      </c>
      <c r="N2066" s="31">
        <v>45748</v>
      </c>
      <c r="O2066" s="2" t="s">
        <v>297</v>
      </c>
    </row>
    <row r="2067" spans="1:15">
      <c r="A2067" s="3">
        <f t="shared" si="33"/>
        <v>2066</v>
      </c>
      <c r="B2067" s="65" t="s">
        <v>3334</v>
      </c>
      <c r="D2067" s="6"/>
      <c r="E2067" s="3" t="s">
        <v>67</v>
      </c>
      <c r="F2067" s="65" t="s">
        <v>3335</v>
      </c>
      <c r="G2067" s="2" t="s">
        <v>16</v>
      </c>
      <c r="I2067" s="37" t="s">
        <v>42</v>
      </c>
      <c r="J2067" s="31">
        <v>45748</v>
      </c>
      <c r="K2067" s="31">
        <v>45748</v>
      </c>
      <c r="L2067" s="31">
        <v>45748</v>
      </c>
      <c r="M2067" s="31">
        <v>45748</v>
      </c>
      <c r="N2067" s="31">
        <v>45748</v>
      </c>
      <c r="O2067" s="2" t="s">
        <v>297</v>
      </c>
    </row>
    <row r="2068" spans="1:15">
      <c r="A2068" s="3">
        <f t="shared" si="33"/>
        <v>2067</v>
      </c>
      <c r="B2068" s="65" t="s">
        <v>3336</v>
      </c>
      <c r="D2068" s="6"/>
      <c r="E2068" s="17" t="s">
        <v>2723</v>
      </c>
      <c r="F2068" s="65" t="s">
        <v>252</v>
      </c>
      <c r="G2068" s="2" t="s">
        <v>16</v>
      </c>
      <c r="I2068" s="37" t="s">
        <v>42</v>
      </c>
      <c r="J2068" s="31">
        <v>45748</v>
      </c>
      <c r="K2068" s="31">
        <v>45748</v>
      </c>
      <c r="L2068" s="31">
        <v>45748</v>
      </c>
      <c r="M2068" s="31">
        <v>45748</v>
      </c>
      <c r="N2068" s="31">
        <v>45748</v>
      </c>
      <c r="O2068" s="2" t="s">
        <v>297</v>
      </c>
    </row>
    <row r="2069" spans="1:15">
      <c r="A2069" s="3">
        <f t="shared" si="33"/>
        <v>2068</v>
      </c>
      <c r="B2069" s="65" t="s">
        <v>3337</v>
      </c>
      <c r="D2069" s="6"/>
      <c r="E2069" s="17" t="s">
        <v>2723</v>
      </c>
      <c r="F2069" s="65" t="s">
        <v>252</v>
      </c>
      <c r="G2069" s="2" t="s">
        <v>16</v>
      </c>
      <c r="I2069" s="37" t="s">
        <v>42</v>
      </c>
      <c r="J2069" s="31">
        <v>45748</v>
      </c>
      <c r="K2069" s="31">
        <v>45748</v>
      </c>
      <c r="L2069" s="31">
        <v>45748</v>
      </c>
      <c r="M2069" s="31">
        <v>45748</v>
      </c>
      <c r="N2069" s="31">
        <v>45748</v>
      </c>
      <c r="O2069" s="2" t="s">
        <v>297</v>
      </c>
    </row>
    <row r="2070" spans="1:15">
      <c r="A2070" s="3">
        <f t="shared" si="33"/>
        <v>2069</v>
      </c>
      <c r="B2070" s="65" t="s">
        <v>3338</v>
      </c>
      <c r="D2070" s="6"/>
      <c r="E2070" s="17" t="s">
        <v>3339</v>
      </c>
      <c r="F2070" s="65" t="s">
        <v>3340</v>
      </c>
      <c r="G2070" s="2" t="s">
        <v>16</v>
      </c>
      <c r="I2070" s="37" t="s">
        <v>42</v>
      </c>
      <c r="J2070" s="31">
        <v>45748</v>
      </c>
      <c r="K2070" s="31">
        <v>45748</v>
      </c>
      <c r="L2070" s="31">
        <v>45748</v>
      </c>
      <c r="M2070" s="31">
        <v>45748</v>
      </c>
      <c r="N2070" s="31">
        <v>45748</v>
      </c>
      <c r="O2070" s="2" t="s">
        <v>297</v>
      </c>
    </row>
    <row r="2071" spans="1:15">
      <c r="A2071" s="3">
        <f t="shared" si="33"/>
        <v>2070</v>
      </c>
      <c r="B2071" s="65" t="s">
        <v>3341</v>
      </c>
      <c r="C2071" s="1">
        <v>8886978297</v>
      </c>
      <c r="D2071" s="6"/>
      <c r="E2071" s="3" t="s">
        <v>584</v>
      </c>
      <c r="F2071" s="65" t="s">
        <v>3342</v>
      </c>
      <c r="G2071" s="2" t="s">
        <v>16</v>
      </c>
      <c r="I2071" s="37" t="s">
        <v>42</v>
      </c>
      <c r="J2071" s="31">
        <v>45748</v>
      </c>
      <c r="K2071" s="31">
        <v>45748</v>
      </c>
      <c r="L2071" s="31">
        <v>45748</v>
      </c>
      <c r="M2071" s="31">
        <v>45748</v>
      </c>
      <c r="N2071" s="31">
        <v>45748</v>
      </c>
      <c r="O2071" s="2" t="s">
        <v>297</v>
      </c>
    </row>
    <row r="2072" spans="1:15">
      <c r="A2072" s="3">
        <f t="shared" si="33"/>
        <v>2071</v>
      </c>
      <c r="B2072" s="65" t="s">
        <v>3343</v>
      </c>
      <c r="C2072" s="1">
        <v>9963580132</v>
      </c>
      <c r="D2072" s="6"/>
      <c r="E2072" s="36" t="s">
        <v>3344</v>
      </c>
      <c r="F2072" s="65" t="s">
        <v>1060</v>
      </c>
      <c r="G2072" s="2" t="s">
        <v>15</v>
      </c>
      <c r="H2072" s="1" t="s">
        <v>102</v>
      </c>
      <c r="I2072" s="37" t="s">
        <v>42</v>
      </c>
      <c r="J2072" s="31">
        <v>45748</v>
      </c>
      <c r="K2072" s="31">
        <v>45749</v>
      </c>
      <c r="L2072" s="31">
        <v>46087</v>
      </c>
      <c r="M2072" s="31">
        <v>46118</v>
      </c>
      <c r="N2072" s="31"/>
      <c r="O2072" s="2" t="s">
        <v>297</v>
      </c>
    </row>
    <row r="2073" spans="1:15">
      <c r="A2073" s="3">
        <f t="shared" si="33"/>
        <v>2072</v>
      </c>
      <c r="B2073" s="65" t="s">
        <v>3345</v>
      </c>
      <c r="C2073" s="46">
        <v>8500106189</v>
      </c>
      <c r="D2073" s="6">
        <v>6281571827</v>
      </c>
      <c r="E2073" s="36" t="s">
        <v>110</v>
      </c>
      <c r="F2073" s="65" t="s">
        <v>3346</v>
      </c>
      <c r="G2073" s="2" t="s">
        <v>764</v>
      </c>
      <c r="H2073" s="1" t="s">
        <v>102</v>
      </c>
      <c r="I2073" s="37" t="s">
        <v>42</v>
      </c>
      <c r="J2073" s="31">
        <v>45748</v>
      </c>
      <c r="K2073" s="31">
        <v>45750</v>
      </c>
      <c r="L2073" s="31"/>
      <c r="M2073" s="31"/>
      <c r="N2073" s="31"/>
      <c r="O2073" s="2" t="s">
        <v>425</v>
      </c>
    </row>
    <row r="2074" spans="1:15">
      <c r="A2074" s="3">
        <f t="shared" si="33"/>
        <v>2073</v>
      </c>
      <c r="B2074" s="65" t="s">
        <v>3347</v>
      </c>
      <c r="C2074" s="1">
        <v>8179509457</v>
      </c>
      <c r="D2074" s="6"/>
      <c r="E2074" s="36" t="s">
        <v>113</v>
      </c>
      <c r="F2074" s="65" t="s">
        <v>1060</v>
      </c>
      <c r="G2074" s="2" t="s">
        <v>764</v>
      </c>
      <c r="H2074" s="1" t="s">
        <v>102</v>
      </c>
      <c r="I2074" s="37" t="s">
        <v>42</v>
      </c>
      <c r="J2074" s="31">
        <v>45748</v>
      </c>
      <c r="K2074" s="31">
        <v>45750</v>
      </c>
      <c r="L2074" s="31"/>
      <c r="M2074" s="31"/>
      <c r="N2074" s="31"/>
      <c r="O2074" s="2" t="s">
        <v>425</v>
      </c>
    </row>
    <row r="2075" spans="1:15">
      <c r="A2075" s="3">
        <f t="shared" si="33"/>
        <v>2074</v>
      </c>
      <c r="B2075" s="65" t="s">
        <v>3348</v>
      </c>
      <c r="C2075" s="1">
        <v>9010114099</v>
      </c>
      <c r="D2075" s="6"/>
      <c r="E2075" s="36" t="s">
        <v>113</v>
      </c>
      <c r="F2075" s="65" t="s">
        <v>3349</v>
      </c>
      <c r="G2075" s="2" t="s">
        <v>16</v>
      </c>
      <c r="H2075" s="1" t="s">
        <v>102</v>
      </c>
      <c r="I2075" s="37" t="s">
        <v>42</v>
      </c>
      <c r="J2075" s="31">
        <v>45748</v>
      </c>
      <c r="K2075" s="31">
        <v>45750</v>
      </c>
      <c r="L2075" s="31">
        <v>45758</v>
      </c>
      <c r="M2075" s="31">
        <v>45788</v>
      </c>
      <c r="N2075" s="31">
        <v>45787</v>
      </c>
      <c r="O2075" s="2" t="s">
        <v>297</v>
      </c>
    </row>
    <row r="2076" spans="1:15">
      <c r="A2076" s="3">
        <f t="shared" si="33"/>
        <v>2075</v>
      </c>
      <c r="B2076" s="65" t="s">
        <v>3350</v>
      </c>
      <c r="C2076" s="1">
        <v>9505101854</v>
      </c>
      <c r="D2076" s="6"/>
      <c r="E2076" s="36" t="s">
        <v>113</v>
      </c>
      <c r="F2076" s="65" t="s">
        <v>3351</v>
      </c>
      <c r="G2076" s="2" t="s">
        <v>764</v>
      </c>
      <c r="H2076" s="1" t="s">
        <v>102</v>
      </c>
      <c r="I2076" s="37" t="s">
        <v>42</v>
      </c>
      <c r="J2076" s="31">
        <v>45748</v>
      </c>
      <c r="K2076" s="31">
        <v>45750</v>
      </c>
      <c r="L2076" s="31"/>
      <c r="M2076" s="31"/>
      <c r="N2076" s="31"/>
      <c r="O2076" s="2" t="s">
        <v>425</v>
      </c>
    </row>
    <row r="2077" spans="1:15">
      <c r="A2077" s="3">
        <f t="shared" si="33"/>
        <v>2076</v>
      </c>
      <c r="B2077" s="65" t="s">
        <v>3352</v>
      </c>
      <c r="C2077" s="1">
        <v>6361964577</v>
      </c>
      <c r="D2077" s="6"/>
      <c r="E2077" s="3" t="s">
        <v>2723</v>
      </c>
      <c r="F2077" s="65" t="s">
        <v>3353</v>
      </c>
      <c r="G2077" s="2" t="s">
        <v>16</v>
      </c>
      <c r="H2077" s="1" t="s">
        <v>368</v>
      </c>
      <c r="I2077" s="37" t="s">
        <v>94</v>
      </c>
      <c r="J2077" s="31">
        <v>45747</v>
      </c>
      <c r="K2077" s="31">
        <v>45747</v>
      </c>
      <c r="L2077" s="31">
        <v>45751</v>
      </c>
      <c r="M2077" s="31">
        <v>45769</v>
      </c>
      <c r="N2077" s="31">
        <v>45769</v>
      </c>
      <c r="O2077" s="2" t="s">
        <v>297</v>
      </c>
    </row>
    <row r="2078" spans="1:15">
      <c r="A2078" s="3">
        <f t="shared" si="33"/>
        <v>2077</v>
      </c>
      <c r="B2078" s="65" t="s">
        <v>3354</v>
      </c>
      <c r="D2078" s="6"/>
      <c r="E2078" s="3" t="s">
        <v>2723</v>
      </c>
      <c r="F2078" s="65" t="s">
        <v>3353</v>
      </c>
      <c r="G2078" s="2" t="s">
        <v>416</v>
      </c>
      <c r="H2078" s="1" t="s">
        <v>368</v>
      </c>
      <c r="I2078" s="37" t="s">
        <v>94</v>
      </c>
      <c r="J2078" s="31">
        <v>45747</v>
      </c>
      <c r="K2078" s="31">
        <v>45747</v>
      </c>
      <c r="L2078" s="31"/>
      <c r="M2078" s="31"/>
      <c r="N2078" s="31"/>
      <c r="O2078" s="2" t="s">
        <v>297</v>
      </c>
    </row>
    <row r="2079" spans="1:15">
      <c r="A2079" s="3">
        <f t="shared" si="33"/>
        <v>2078</v>
      </c>
      <c r="B2079" s="65" t="s">
        <v>3355</v>
      </c>
      <c r="C2079" s="1">
        <v>8273656928</v>
      </c>
      <c r="D2079" s="6"/>
      <c r="E2079" s="3" t="s">
        <v>2723</v>
      </c>
      <c r="F2079" s="65" t="s">
        <v>3353</v>
      </c>
      <c r="G2079" s="2" t="s">
        <v>16</v>
      </c>
      <c r="H2079" s="1" t="s">
        <v>368</v>
      </c>
      <c r="I2079" s="37" t="s">
        <v>94</v>
      </c>
      <c r="J2079" s="31">
        <v>45747</v>
      </c>
      <c r="K2079" s="31">
        <v>45747</v>
      </c>
      <c r="L2079" s="31">
        <v>45748</v>
      </c>
      <c r="M2079" s="31">
        <v>45752</v>
      </c>
      <c r="N2079" s="31">
        <v>45789</v>
      </c>
      <c r="O2079" s="2" t="s">
        <v>297</v>
      </c>
    </row>
    <row r="2080" spans="1:15">
      <c r="A2080" s="3">
        <f t="shared" si="33"/>
        <v>2079</v>
      </c>
      <c r="B2080" s="65" t="s">
        <v>3356</v>
      </c>
      <c r="C2080" s="1">
        <v>7415734900</v>
      </c>
      <c r="D2080" s="6"/>
      <c r="E2080" s="3" t="s">
        <v>2753</v>
      </c>
      <c r="F2080" s="65" t="s">
        <v>2004</v>
      </c>
      <c r="G2080" s="2" t="s">
        <v>330</v>
      </c>
      <c r="H2080" s="1" t="s">
        <v>913</v>
      </c>
      <c r="I2080" s="37" t="s">
        <v>94</v>
      </c>
      <c r="J2080" s="31">
        <v>45742</v>
      </c>
      <c r="K2080" s="31">
        <v>45742</v>
      </c>
      <c r="L2080" s="31">
        <v>45748</v>
      </c>
      <c r="M2080" s="31">
        <v>45768</v>
      </c>
      <c r="N2080" s="31">
        <v>45762</v>
      </c>
      <c r="O2080" s="2" t="s">
        <v>297</v>
      </c>
    </row>
    <row r="2081" spans="1:15">
      <c r="A2081" s="3">
        <f t="shared" si="33"/>
        <v>2080</v>
      </c>
      <c r="B2081" s="65" t="s">
        <v>3357</v>
      </c>
      <c r="C2081" s="1">
        <v>9848089957</v>
      </c>
      <c r="D2081" s="6"/>
      <c r="E2081" s="3" t="s">
        <v>151</v>
      </c>
      <c r="F2081" s="65" t="s">
        <v>3358</v>
      </c>
      <c r="G2081" s="2" t="s">
        <v>295</v>
      </c>
      <c r="H2081" s="1" t="s">
        <v>94</v>
      </c>
      <c r="I2081" s="37" t="s">
        <v>42</v>
      </c>
      <c r="J2081" s="31">
        <v>45747</v>
      </c>
      <c r="K2081" s="31">
        <v>45747</v>
      </c>
      <c r="L2081" s="31">
        <v>45748</v>
      </c>
      <c r="M2081" s="31">
        <v>45818</v>
      </c>
      <c r="N2081" s="31"/>
      <c r="O2081" s="2" t="s">
        <v>297</v>
      </c>
    </row>
    <row r="2082" spans="1:15">
      <c r="A2082" s="3">
        <f t="shared" si="33"/>
        <v>2081</v>
      </c>
      <c r="B2082" s="118" t="s">
        <v>3359</v>
      </c>
      <c r="C2082" s="7">
        <v>8688247683</v>
      </c>
      <c r="D2082" s="6"/>
      <c r="E2082" s="7" t="s">
        <v>2009</v>
      </c>
      <c r="F2082" s="80" t="s">
        <v>268</v>
      </c>
      <c r="G2082" s="2" t="s">
        <v>16</v>
      </c>
      <c r="H2082" s="2" t="s">
        <v>357</v>
      </c>
      <c r="I2082" s="37" t="s">
        <v>94</v>
      </c>
      <c r="J2082" s="31">
        <v>45747</v>
      </c>
      <c r="K2082" s="31">
        <v>45747</v>
      </c>
      <c r="L2082" s="31">
        <v>45748</v>
      </c>
      <c r="M2082" s="31">
        <v>45773</v>
      </c>
      <c r="N2082" s="31">
        <v>45775</v>
      </c>
      <c r="O2082" s="2" t="s">
        <v>297</v>
      </c>
    </row>
    <row r="2083" spans="1:15">
      <c r="A2083" s="3">
        <f t="shared" si="33"/>
        <v>2082</v>
      </c>
      <c r="B2083" s="118" t="s">
        <v>3360</v>
      </c>
      <c r="C2083" s="7">
        <v>9606267121</v>
      </c>
      <c r="D2083" s="6"/>
      <c r="E2083" s="36" t="s">
        <v>110</v>
      </c>
      <c r="F2083" s="80" t="s">
        <v>308</v>
      </c>
      <c r="G2083" s="2" t="s">
        <v>16</v>
      </c>
      <c r="H2083" s="1" t="s">
        <v>102</v>
      </c>
      <c r="I2083" s="37" t="s">
        <v>42</v>
      </c>
      <c r="J2083" s="31">
        <v>45749</v>
      </c>
      <c r="K2083" s="31">
        <v>45750</v>
      </c>
      <c r="L2083" s="31">
        <v>45758</v>
      </c>
      <c r="M2083" s="31">
        <v>45778</v>
      </c>
      <c r="N2083" s="31">
        <v>45778</v>
      </c>
      <c r="O2083" s="2" t="s">
        <v>297</v>
      </c>
    </row>
    <row r="2084" spans="1:15">
      <c r="A2084" s="3">
        <f t="shared" si="33"/>
        <v>2083</v>
      </c>
      <c r="B2084" s="118" t="s">
        <v>3361</v>
      </c>
      <c r="C2084" s="7">
        <v>9573396627</v>
      </c>
      <c r="D2084" s="6"/>
      <c r="E2084" s="3" t="s">
        <v>107</v>
      </c>
      <c r="F2084" s="80" t="s">
        <v>2463</v>
      </c>
      <c r="G2084" s="2" t="s">
        <v>16</v>
      </c>
      <c r="H2084" s="1" t="s">
        <v>102</v>
      </c>
      <c r="I2084" s="37" t="s">
        <v>42</v>
      </c>
      <c r="J2084" s="31">
        <v>45749</v>
      </c>
      <c r="K2084" s="31">
        <v>45751</v>
      </c>
      <c r="L2084" s="31">
        <v>45758</v>
      </c>
      <c r="M2084" s="31">
        <v>45775</v>
      </c>
      <c r="N2084" s="31">
        <v>45775</v>
      </c>
      <c r="O2084" s="2" t="s">
        <v>297</v>
      </c>
    </row>
    <row r="2085" spans="1:15">
      <c r="A2085" s="3">
        <f t="shared" si="33"/>
        <v>2084</v>
      </c>
      <c r="B2085" s="118" t="s">
        <v>3362</v>
      </c>
      <c r="C2085" s="7">
        <v>8790829362</v>
      </c>
      <c r="D2085" s="6"/>
      <c r="E2085" s="3" t="s">
        <v>107</v>
      </c>
      <c r="F2085" s="80" t="s">
        <v>3363</v>
      </c>
      <c r="G2085" s="2" t="s">
        <v>416</v>
      </c>
      <c r="H2085" s="1" t="s">
        <v>102</v>
      </c>
      <c r="I2085" s="37" t="s">
        <v>42</v>
      </c>
      <c r="J2085" s="31">
        <v>45749</v>
      </c>
      <c r="K2085" s="31">
        <v>45750</v>
      </c>
      <c r="L2085" s="31"/>
      <c r="M2085" s="31"/>
      <c r="N2085" s="31"/>
      <c r="O2085" s="2" t="s">
        <v>297</v>
      </c>
    </row>
    <row r="2086" spans="1:15">
      <c r="A2086" s="3">
        <f t="shared" si="33"/>
        <v>2085</v>
      </c>
      <c r="B2086" s="118" t="s">
        <v>3364</v>
      </c>
      <c r="C2086" s="7">
        <v>9642698300</v>
      </c>
      <c r="D2086" s="6">
        <v>8309166615</v>
      </c>
      <c r="E2086" s="36" t="s">
        <v>113</v>
      </c>
      <c r="F2086" s="80" t="s">
        <v>1236</v>
      </c>
      <c r="G2086" s="2" t="s">
        <v>16</v>
      </c>
      <c r="H2086" s="1" t="s">
        <v>102</v>
      </c>
      <c r="I2086" s="37" t="s">
        <v>42</v>
      </c>
      <c r="J2086" s="31">
        <v>45749</v>
      </c>
      <c r="K2086" s="31">
        <v>45750</v>
      </c>
      <c r="L2086" s="31">
        <v>45758</v>
      </c>
      <c r="M2086" s="31">
        <v>45776</v>
      </c>
      <c r="N2086" s="31">
        <v>45779</v>
      </c>
      <c r="O2086" s="2" t="s">
        <v>297</v>
      </c>
    </row>
    <row r="2087" spans="1:15">
      <c r="A2087" s="3">
        <f t="shared" si="33"/>
        <v>2086</v>
      </c>
      <c r="B2087" s="118" t="s">
        <v>3365</v>
      </c>
      <c r="C2087" s="7">
        <v>9408604479</v>
      </c>
      <c r="D2087" s="6"/>
      <c r="E2087" s="3" t="s">
        <v>107</v>
      </c>
      <c r="F2087" s="80" t="s">
        <v>1920</v>
      </c>
      <c r="G2087" s="2" t="s">
        <v>424</v>
      </c>
      <c r="H2087" s="1" t="s">
        <v>102</v>
      </c>
      <c r="I2087" s="37" t="s">
        <v>42</v>
      </c>
      <c r="J2087" s="31">
        <v>45749</v>
      </c>
      <c r="K2087" s="31">
        <v>45771</v>
      </c>
      <c r="L2087" s="31"/>
      <c r="M2087" s="31"/>
      <c r="N2087" s="31"/>
      <c r="O2087" s="2" t="s">
        <v>425</v>
      </c>
    </row>
    <row r="2088" spans="1:15">
      <c r="A2088" s="3">
        <f t="shared" si="33"/>
        <v>2087</v>
      </c>
      <c r="B2088" s="118" t="s">
        <v>3366</v>
      </c>
      <c r="C2088" s="7">
        <v>8688984251</v>
      </c>
      <c r="D2088" s="6"/>
      <c r="E2088" s="36" t="s">
        <v>110</v>
      </c>
      <c r="F2088" s="80" t="s">
        <v>1920</v>
      </c>
      <c r="G2088" s="2" t="s">
        <v>16</v>
      </c>
      <c r="H2088" s="1" t="s">
        <v>102</v>
      </c>
      <c r="I2088" s="37" t="s">
        <v>42</v>
      </c>
      <c r="J2088" s="31">
        <v>45749</v>
      </c>
      <c r="K2088" s="31">
        <v>45750</v>
      </c>
      <c r="L2088" s="31">
        <v>45751</v>
      </c>
      <c r="M2088" s="31">
        <v>45782</v>
      </c>
      <c r="N2088" s="31">
        <v>45783</v>
      </c>
      <c r="O2088" s="2" t="s">
        <v>297</v>
      </c>
    </row>
    <row r="2089" spans="1:15">
      <c r="A2089" s="3">
        <f t="shared" si="33"/>
        <v>2088</v>
      </c>
      <c r="B2089" s="118" t="s">
        <v>3367</v>
      </c>
      <c r="C2089" s="7">
        <v>9573354444</v>
      </c>
      <c r="D2089" s="6">
        <v>9573433555</v>
      </c>
      <c r="E2089" s="36" t="s">
        <v>113</v>
      </c>
      <c r="F2089" s="80" t="s">
        <v>1236</v>
      </c>
      <c r="G2089" s="2" t="s">
        <v>424</v>
      </c>
      <c r="H2089" s="1" t="s">
        <v>102</v>
      </c>
      <c r="I2089" s="37" t="s">
        <v>42</v>
      </c>
      <c r="J2089" s="31">
        <v>45749</v>
      </c>
      <c r="K2089" s="31">
        <v>45782</v>
      </c>
      <c r="L2089" s="31"/>
      <c r="M2089" s="31"/>
      <c r="N2089" s="31"/>
      <c r="O2089" s="2" t="s">
        <v>749</v>
      </c>
    </row>
    <row r="2090" spans="1:15">
      <c r="A2090" s="3">
        <f t="shared" si="33"/>
        <v>2089</v>
      </c>
      <c r="B2090" s="118" t="s">
        <v>3368</v>
      </c>
      <c r="C2090" s="7">
        <v>8106402634</v>
      </c>
      <c r="D2090" s="6">
        <v>9912031710</v>
      </c>
      <c r="E2090" s="36" t="s">
        <v>113</v>
      </c>
      <c r="F2090" s="80" t="s">
        <v>1236</v>
      </c>
      <c r="G2090" s="2" t="s">
        <v>764</v>
      </c>
      <c r="H2090" s="1" t="s">
        <v>102</v>
      </c>
      <c r="I2090" s="37" t="s">
        <v>42</v>
      </c>
      <c r="J2090" s="31">
        <v>45749</v>
      </c>
      <c r="K2090" s="31">
        <v>45751</v>
      </c>
      <c r="L2090" s="31"/>
      <c r="M2090" s="31"/>
      <c r="N2090" s="31"/>
      <c r="O2090" s="2" t="s">
        <v>425</v>
      </c>
    </row>
    <row r="2091" spans="1:15">
      <c r="A2091" s="3">
        <f t="shared" si="33"/>
        <v>2090</v>
      </c>
      <c r="B2091" s="118" t="s">
        <v>3369</v>
      </c>
      <c r="C2091" s="7">
        <v>7022420740</v>
      </c>
      <c r="D2091" s="6"/>
      <c r="E2091" s="36" t="s">
        <v>110</v>
      </c>
      <c r="F2091" s="80" t="s">
        <v>3370</v>
      </c>
      <c r="G2091" s="2" t="s">
        <v>764</v>
      </c>
      <c r="H2091" s="1" t="s">
        <v>102</v>
      </c>
      <c r="I2091" s="37" t="s">
        <v>42</v>
      </c>
      <c r="J2091" s="31">
        <v>45749</v>
      </c>
      <c r="K2091" s="31">
        <v>45751</v>
      </c>
      <c r="L2091" s="31"/>
      <c r="M2091" s="31"/>
      <c r="N2091" s="31"/>
      <c r="O2091" s="2" t="s">
        <v>425</v>
      </c>
    </row>
    <row r="2092" spans="1:15">
      <c r="A2092" s="3">
        <f t="shared" si="33"/>
        <v>2091</v>
      </c>
      <c r="B2092" s="118" t="s">
        <v>3371</v>
      </c>
      <c r="C2092" s="7">
        <v>9160092760</v>
      </c>
      <c r="D2092" s="6">
        <v>8185824542</v>
      </c>
      <c r="E2092" s="36" t="s">
        <v>113</v>
      </c>
      <c r="F2092" s="80" t="s">
        <v>1236</v>
      </c>
      <c r="G2092" s="2" t="s">
        <v>16</v>
      </c>
      <c r="H2092" s="1" t="s">
        <v>102</v>
      </c>
      <c r="I2092" s="37" t="s">
        <v>42</v>
      </c>
      <c r="J2092" s="31">
        <v>45749</v>
      </c>
      <c r="K2092" s="31">
        <v>45751</v>
      </c>
      <c r="L2092" s="31">
        <v>45765</v>
      </c>
      <c r="M2092" s="31">
        <v>45775</v>
      </c>
      <c r="N2092" s="31">
        <v>45775</v>
      </c>
      <c r="O2092" s="2" t="s">
        <v>297</v>
      </c>
    </row>
    <row r="2093" spans="1:15">
      <c r="A2093" s="3">
        <f t="shared" si="33"/>
        <v>2092</v>
      </c>
      <c r="B2093" s="118" t="s">
        <v>3372</v>
      </c>
      <c r="C2093" s="7">
        <v>9547008768</v>
      </c>
      <c r="D2093" s="6"/>
      <c r="E2093" s="7" t="s">
        <v>2389</v>
      </c>
      <c r="F2093" s="80" t="s">
        <v>294</v>
      </c>
      <c r="G2093" s="2" t="s">
        <v>16</v>
      </c>
      <c r="H2093" s="2" t="s">
        <v>296</v>
      </c>
      <c r="I2093" s="7" t="s">
        <v>94</v>
      </c>
      <c r="J2093" s="31">
        <v>45748</v>
      </c>
      <c r="K2093" s="31">
        <v>45748</v>
      </c>
      <c r="L2093" s="31">
        <v>45749</v>
      </c>
      <c r="M2093" s="31">
        <v>45756</v>
      </c>
      <c r="N2093" s="31">
        <v>45752</v>
      </c>
      <c r="O2093" s="2" t="s">
        <v>297</v>
      </c>
    </row>
    <row r="2094" spans="1:15">
      <c r="A2094" s="3">
        <f t="shared" si="33"/>
        <v>2093</v>
      </c>
      <c r="B2094" s="118" t="s">
        <v>3373</v>
      </c>
      <c r="C2094" s="6">
        <v>7898758238</v>
      </c>
      <c r="D2094" s="6"/>
      <c r="E2094" s="3" t="s">
        <v>90</v>
      </c>
      <c r="F2094" s="80" t="s">
        <v>3002</v>
      </c>
      <c r="G2094" s="2" t="s">
        <v>330</v>
      </c>
      <c r="H2094" s="2" t="s">
        <v>2535</v>
      </c>
      <c r="I2094" s="3" t="s">
        <v>88</v>
      </c>
      <c r="J2094" s="31">
        <v>45743</v>
      </c>
      <c r="K2094" s="31">
        <v>45745</v>
      </c>
      <c r="L2094" s="31">
        <v>45749</v>
      </c>
      <c r="M2094" s="31">
        <v>45782</v>
      </c>
      <c r="N2094" s="31">
        <v>45782</v>
      </c>
      <c r="O2094" s="2" t="s">
        <v>297</v>
      </c>
    </row>
    <row r="2095" spans="1:15">
      <c r="A2095" s="3">
        <f t="shared" si="33"/>
        <v>2094</v>
      </c>
      <c r="B2095" s="118" t="s">
        <v>3374</v>
      </c>
      <c r="C2095" s="7">
        <v>6378552267</v>
      </c>
      <c r="D2095" s="6"/>
      <c r="E2095" s="7" t="s">
        <v>2615</v>
      </c>
      <c r="F2095" s="80" t="s">
        <v>3375</v>
      </c>
      <c r="G2095" s="2" t="s">
        <v>416</v>
      </c>
      <c r="H2095" s="2" t="s">
        <v>94</v>
      </c>
      <c r="I2095" s="7" t="s">
        <v>94</v>
      </c>
      <c r="J2095" s="31">
        <v>45749</v>
      </c>
      <c r="K2095" s="31">
        <v>45749</v>
      </c>
      <c r="L2095" s="31"/>
      <c r="M2095" s="31"/>
      <c r="N2095" s="31"/>
      <c r="O2095" s="2" t="s">
        <v>297</v>
      </c>
    </row>
    <row r="2096" spans="1:15">
      <c r="A2096" s="3">
        <f t="shared" si="33"/>
        <v>2095</v>
      </c>
      <c r="B2096" s="118" t="s">
        <v>3376</v>
      </c>
      <c r="C2096" s="7">
        <v>7488044660</v>
      </c>
      <c r="D2096" s="6">
        <v>7250754037</v>
      </c>
      <c r="E2096" s="7" t="s">
        <v>2615</v>
      </c>
      <c r="F2096" s="80" t="s">
        <v>3375</v>
      </c>
      <c r="G2096" s="2" t="s">
        <v>295</v>
      </c>
      <c r="H2096" s="2" t="s">
        <v>94</v>
      </c>
      <c r="I2096" s="7" t="s">
        <v>94</v>
      </c>
      <c r="J2096" s="31">
        <v>45749</v>
      </c>
      <c r="K2096" s="31">
        <v>45749</v>
      </c>
      <c r="L2096" s="31">
        <v>45751</v>
      </c>
      <c r="M2096" s="31">
        <v>45771</v>
      </c>
      <c r="N2096" s="31"/>
      <c r="O2096" s="2" t="s">
        <v>297</v>
      </c>
    </row>
    <row r="2097" spans="1:15">
      <c r="A2097" s="3">
        <f t="shared" si="33"/>
        <v>2096</v>
      </c>
      <c r="B2097" s="118" t="s">
        <v>3377</v>
      </c>
      <c r="C2097" s="7">
        <v>7855886168</v>
      </c>
      <c r="D2097" s="6"/>
      <c r="E2097" s="17" t="s">
        <v>96</v>
      </c>
      <c r="F2097" s="80" t="s">
        <v>308</v>
      </c>
      <c r="G2097" s="2" t="s">
        <v>416</v>
      </c>
      <c r="H2097" s="2" t="s">
        <v>361</v>
      </c>
      <c r="I2097" s="7" t="s">
        <v>94</v>
      </c>
      <c r="J2097" s="31">
        <v>45750</v>
      </c>
      <c r="K2097" s="31">
        <v>45765</v>
      </c>
      <c r="L2097" s="31"/>
      <c r="M2097" s="31"/>
      <c r="N2097" s="31"/>
      <c r="O2097" s="2" t="s">
        <v>297</v>
      </c>
    </row>
    <row r="2098" spans="1:15">
      <c r="A2098" s="3">
        <f t="shared" ref="A2098:A2161" si="34">ROW()-1</f>
        <v>2097</v>
      </c>
      <c r="B2098" s="118" t="s">
        <v>3378</v>
      </c>
      <c r="C2098" s="7">
        <v>8919324423</v>
      </c>
      <c r="D2098" s="6"/>
      <c r="E2098" s="17" t="s">
        <v>96</v>
      </c>
      <c r="F2098" s="80" t="s">
        <v>308</v>
      </c>
      <c r="G2098" s="2" t="s">
        <v>18</v>
      </c>
      <c r="H2098" s="2" t="s">
        <v>361</v>
      </c>
      <c r="I2098" s="7" t="s">
        <v>94</v>
      </c>
      <c r="J2098" s="31">
        <v>45750</v>
      </c>
      <c r="K2098" s="31">
        <v>45765</v>
      </c>
      <c r="L2098" s="31"/>
      <c r="M2098" s="31"/>
      <c r="N2098" s="31"/>
      <c r="O2098" s="2" t="s">
        <v>297</v>
      </c>
    </row>
    <row r="2099" spans="1:15">
      <c r="A2099" s="3">
        <f t="shared" si="34"/>
        <v>2098</v>
      </c>
      <c r="B2099" s="118" t="s">
        <v>3379</v>
      </c>
      <c r="C2099" s="7">
        <v>9601528184</v>
      </c>
      <c r="D2099" s="6"/>
      <c r="E2099" s="3" t="s">
        <v>99</v>
      </c>
      <c r="F2099" s="80" t="s">
        <v>3380</v>
      </c>
      <c r="G2099" s="2" t="s">
        <v>416</v>
      </c>
      <c r="H2099" s="2" t="s">
        <v>361</v>
      </c>
      <c r="I2099" s="7" t="s">
        <v>94</v>
      </c>
      <c r="J2099" s="31">
        <v>45750</v>
      </c>
      <c r="K2099" s="31">
        <v>45765</v>
      </c>
      <c r="L2099" s="31"/>
      <c r="M2099" s="31"/>
      <c r="N2099" s="31"/>
      <c r="O2099" s="2" t="s">
        <v>297</v>
      </c>
    </row>
    <row r="2100" spans="1:15">
      <c r="A2100" s="3">
        <f t="shared" si="34"/>
        <v>2099</v>
      </c>
      <c r="B2100" s="118" t="s">
        <v>3381</v>
      </c>
      <c r="C2100" s="7">
        <v>8788997500</v>
      </c>
      <c r="D2100" s="6"/>
      <c r="E2100" s="3" t="s">
        <v>99</v>
      </c>
      <c r="F2100" s="80" t="s">
        <v>3380</v>
      </c>
      <c r="G2100" s="2" t="s">
        <v>424</v>
      </c>
      <c r="H2100" s="2" t="s">
        <v>361</v>
      </c>
      <c r="I2100" s="7" t="s">
        <v>94</v>
      </c>
      <c r="J2100" s="31">
        <v>45750</v>
      </c>
      <c r="K2100" s="31">
        <v>45765</v>
      </c>
      <c r="L2100" s="31"/>
      <c r="M2100" s="31"/>
      <c r="N2100" s="31"/>
      <c r="O2100" s="2" t="s">
        <v>425</v>
      </c>
    </row>
    <row r="2101" spans="1:15">
      <c r="A2101" s="3">
        <f t="shared" si="34"/>
        <v>2100</v>
      </c>
      <c r="B2101" s="118" t="s">
        <v>3382</v>
      </c>
      <c r="C2101" s="7">
        <v>9415780544</v>
      </c>
      <c r="D2101" s="6"/>
      <c r="E2101" s="3" t="s">
        <v>99</v>
      </c>
      <c r="F2101" s="80" t="s">
        <v>461</v>
      </c>
      <c r="G2101" s="2" t="s">
        <v>424</v>
      </c>
      <c r="H2101" s="2" t="s">
        <v>361</v>
      </c>
      <c r="I2101" s="7" t="s">
        <v>94</v>
      </c>
      <c r="J2101" s="31">
        <v>45750</v>
      </c>
      <c r="K2101" s="31">
        <v>45765</v>
      </c>
      <c r="L2101" s="31"/>
      <c r="M2101" s="31"/>
      <c r="N2101" s="31"/>
      <c r="O2101" s="2" t="s">
        <v>749</v>
      </c>
    </row>
    <row r="2102" spans="1:15">
      <c r="A2102" s="3">
        <f t="shared" si="34"/>
        <v>2101</v>
      </c>
      <c r="B2102" s="118" t="s">
        <v>3383</v>
      </c>
      <c r="C2102" s="7">
        <v>9005227727</v>
      </c>
      <c r="D2102" s="6"/>
      <c r="E2102" s="3" t="s">
        <v>99</v>
      </c>
      <c r="F2102" s="80" t="s">
        <v>3380</v>
      </c>
      <c r="G2102" s="3" t="s">
        <v>295</v>
      </c>
      <c r="H2102" s="2" t="s">
        <v>361</v>
      </c>
      <c r="I2102" s="7" t="s">
        <v>94</v>
      </c>
      <c r="J2102" s="31">
        <v>45750</v>
      </c>
      <c r="K2102" s="31">
        <v>45765</v>
      </c>
      <c r="L2102" s="31">
        <v>45772</v>
      </c>
      <c r="M2102" s="31">
        <v>45782</v>
      </c>
      <c r="N2102" s="31"/>
      <c r="O2102" s="2" t="s">
        <v>297</v>
      </c>
    </row>
    <row r="2103" spans="1:15">
      <c r="A2103" s="3">
        <f t="shared" si="34"/>
        <v>2102</v>
      </c>
      <c r="B2103" s="118" t="s">
        <v>3384</v>
      </c>
      <c r="C2103" s="7">
        <v>8290147679</v>
      </c>
      <c r="D2103" s="6"/>
      <c r="E2103" s="3" t="s">
        <v>99</v>
      </c>
      <c r="F2103" s="80" t="s">
        <v>461</v>
      </c>
      <c r="G2103" s="2" t="s">
        <v>416</v>
      </c>
      <c r="H2103" s="2" t="s">
        <v>361</v>
      </c>
      <c r="I2103" s="7" t="s">
        <v>94</v>
      </c>
      <c r="J2103" s="31">
        <v>45750</v>
      </c>
      <c r="K2103" s="31">
        <v>45765</v>
      </c>
      <c r="L2103" s="31"/>
      <c r="M2103" s="31"/>
      <c r="N2103" s="31"/>
      <c r="O2103" s="2" t="s">
        <v>297</v>
      </c>
    </row>
    <row r="2104" spans="1:15">
      <c r="A2104" s="3">
        <f t="shared" si="34"/>
        <v>2103</v>
      </c>
      <c r="B2104" s="118" t="s">
        <v>3385</v>
      </c>
      <c r="C2104" s="7">
        <v>9939668211</v>
      </c>
      <c r="D2104" s="6"/>
      <c r="E2104" s="3" t="s">
        <v>99</v>
      </c>
      <c r="F2104" s="80" t="s">
        <v>461</v>
      </c>
      <c r="G2104" s="2" t="s">
        <v>424</v>
      </c>
      <c r="H2104" s="2" t="s">
        <v>361</v>
      </c>
      <c r="I2104" s="7" t="s">
        <v>94</v>
      </c>
      <c r="J2104" s="31">
        <v>45750</v>
      </c>
      <c r="K2104" s="31">
        <v>45765</v>
      </c>
      <c r="L2104" s="31"/>
      <c r="M2104" s="31"/>
      <c r="N2104" s="31"/>
      <c r="O2104" s="2" t="s">
        <v>425</v>
      </c>
    </row>
    <row r="2105" spans="1:15">
      <c r="A2105" s="3">
        <f t="shared" si="34"/>
        <v>2104</v>
      </c>
      <c r="B2105" s="118" t="s">
        <v>3386</v>
      </c>
      <c r="C2105" s="7">
        <v>8010677254</v>
      </c>
      <c r="D2105" s="6"/>
      <c r="E2105" s="3" t="s">
        <v>99</v>
      </c>
      <c r="F2105" s="80" t="s">
        <v>461</v>
      </c>
      <c r="G2105" s="2" t="s">
        <v>764</v>
      </c>
      <c r="H2105" s="2" t="s">
        <v>361</v>
      </c>
      <c r="I2105" s="7" t="s">
        <v>94</v>
      </c>
      <c r="J2105" s="31">
        <v>45750</v>
      </c>
      <c r="K2105" s="31">
        <v>45765</v>
      </c>
      <c r="L2105" s="31"/>
      <c r="M2105" s="31"/>
      <c r="N2105" s="31"/>
      <c r="O2105" s="2" t="s">
        <v>425</v>
      </c>
    </row>
    <row r="2106" spans="1:15">
      <c r="A2106" s="3">
        <f t="shared" si="34"/>
        <v>2105</v>
      </c>
      <c r="B2106" s="118" t="s">
        <v>3387</v>
      </c>
      <c r="C2106" s="7">
        <v>6294758266</v>
      </c>
      <c r="D2106" s="6"/>
      <c r="E2106" s="3" t="s">
        <v>99</v>
      </c>
      <c r="F2106" s="80" t="s">
        <v>461</v>
      </c>
      <c r="G2106" s="2" t="s">
        <v>424</v>
      </c>
      <c r="H2106" s="2" t="s">
        <v>361</v>
      </c>
      <c r="I2106" s="7" t="s">
        <v>94</v>
      </c>
      <c r="J2106" s="31">
        <v>45750</v>
      </c>
      <c r="K2106" s="31">
        <v>45765</v>
      </c>
      <c r="L2106" s="31"/>
      <c r="M2106" s="31"/>
      <c r="N2106" s="31"/>
      <c r="O2106" s="2" t="s">
        <v>425</v>
      </c>
    </row>
    <row r="2107" spans="1:15">
      <c r="A2107" s="3">
        <f t="shared" si="34"/>
        <v>2106</v>
      </c>
      <c r="B2107" s="118" t="s">
        <v>3388</v>
      </c>
      <c r="C2107" s="7">
        <v>9099947690</v>
      </c>
      <c r="D2107" s="6"/>
      <c r="E2107" s="3" t="s">
        <v>118</v>
      </c>
      <c r="F2107" s="80" t="s">
        <v>3389</v>
      </c>
      <c r="G2107" s="2" t="s">
        <v>424</v>
      </c>
      <c r="H2107" s="2" t="s">
        <v>660</v>
      </c>
      <c r="I2107" s="7" t="s">
        <v>42</v>
      </c>
      <c r="J2107" s="31">
        <v>45750</v>
      </c>
      <c r="K2107" s="31">
        <v>45753</v>
      </c>
      <c r="L2107" s="31"/>
      <c r="M2107" s="31"/>
      <c r="N2107" s="31"/>
      <c r="O2107" s="2" t="s">
        <v>425</v>
      </c>
    </row>
    <row r="2108" spans="1:15">
      <c r="A2108" s="3">
        <f t="shared" si="34"/>
        <v>2107</v>
      </c>
      <c r="B2108" s="118" t="s">
        <v>3390</v>
      </c>
      <c r="C2108" s="7">
        <v>6302414144</v>
      </c>
      <c r="D2108" s="6"/>
      <c r="E2108" s="3" t="s">
        <v>121</v>
      </c>
      <c r="F2108" s="80" t="s">
        <v>3391</v>
      </c>
      <c r="G2108" s="2" t="s">
        <v>424</v>
      </c>
      <c r="H2108" s="2" t="s">
        <v>660</v>
      </c>
      <c r="I2108" s="7" t="s">
        <v>42</v>
      </c>
      <c r="J2108" s="31">
        <v>45750</v>
      </c>
      <c r="K2108" s="31">
        <v>45753</v>
      </c>
      <c r="L2108" s="31"/>
      <c r="M2108" s="31"/>
      <c r="N2108" s="31"/>
      <c r="O2108" s="2" t="s">
        <v>425</v>
      </c>
    </row>
    <row r="2109" spans="1:15">
      <c r="A2109" s="3">
        <f t="shared" si="34"/>
        <v>2108</v>
      </c>
      <c r="B2109" s="118" t="s">
        <v>3392</v>
      </c>
      <c r="C2109" s="7">
        <v>9948111241</v>
      </c>
      <c r="D2109" s="6"/>
      <c r="E2109" s="3" t="s">
        <v>121</v>
      </c>
      <c r="F2109" s="80" t="s">
        <v>3393</v>
      </c>
      <c r="G2109" s="2" t="s">
        <v>424</v>
      </c>
      <c r="H2109" s="2" t="s">
        <v>660</v>
      </c>
      <c r="I2109" s="7" t="s">
        <v>42</v>
      </c>
      <c r="J2109" s="31">
        <v>45750</v>
      </c>
      <c r="K2109" s="31">
        <v>45753</v>
      </c>
      <c r="L2109" s="31"/>
      <c r="M2109" s="31"/>
      <c r="N2109" s="31"/>
      <c r="O2109" s="2" t="s">
        <v>425</v>
      </c>
    </row>
    <row r="2110" spans="1:15">
      <c r="A2110" s="3">
        <f t="shared" si="34"/>
        <v>2109</v>
      </c>
      <c r="B2110" s="118" t="s">
        <v>363</v>
      </c>
      <c r="C2110" s="7">
        <v>9394543220</v>
      </c>
      <c r="D2110" s="6"/>
      <c r="E2110" s="7" t="s">
        <v>3394</v>
      </c>
      <c r="F2110" s="80" t="s">
        <v>3395</v>
      </c>
      <c r="G2110" s="2" t="s">
        <v>16</v>
      </c>
      <c r="H2110" s="2" t="s">
        <v>487</v>
      </c>
      <c r="I2110" s="7" t="s">
        <v>88</v>
      </c>
      <c r="J2110" s="31">
        <v>45750</v>
      </c>
      <c r="K2110" s="31">
        <v>45751</v>
      </c>
      <c r="L2110" s="31">
        <v>45758</v>
      </c>
      <c r="M2110" s="31">
        <v>45798</v>
      </c>
      <c r="N2110" s="31">
        <v>45798</v>
      </c>
      <c r="O2110" s="2" t="s">
        <v>297</v>
      </c>
    </row>
    <row r="2111" spans="1:15">
      <c r="A2111" s="3">
        <f t="shared" si="34"/>
        <v>2110</v>
      </c>
      <c r="B2111" s="118" t="s">
        <v>3396</v>
      </c>
      <c r="C2111" s="7">
        <v>7889409699</v>
      </c>
      <c r="D2111" s="6">
        <v>9858747760</v>
      </c>
      <c r="E2111" s="7" t="s">
        <v>3397</v>
      </c>
      <c r="F2111" s="80" t="s">
        <v>3395</v>
      </c>
      <c r="G2111" s="2" t="s">
        <v>424</v>
      </c>
      <c r="H2111" s="2" t="s">
        <v>487</v>
      </c>
      <c r="I2111" s="7" t="s">
        <v>88</v>
      </c>
      <c r="J2111" s="31">
        <v>45750</v>
      </c>
      <c r="K2111" s="31">
        <v>45751</v>
      </c>
      <c r="L2111" s="31"/>
      <c r="M2111" s="31"/>
      <c r="N2111" s="31"/>
      <c r="O2111" s="2" t="s">
        <v>425</v>
      </c>
    </row>
    <row r="2112" spans="1:15">
      <c r="A2112" s="3">
        <f t="shared" si="34"/>
        <v>2111</v>
      </c>
      <c r="B2112" s="118" t="s">
        <v>3398</v>
      </c>
      <c r="C2112" s="7">
        <v>7980170412</v>
      </c>
      <c r="D2112" s="6"/>
      <c r="E2112" s="7" t="s">
        <v>3397</v>
      </c>
      <c r="F2112" s="80" t="s">
        <v>3395</v>
      </c>
      <c r="G2112" s="2" t="s">
        <v>295</v>
      </c>
      <c r="H2112" s="2" t="s">
        <v>487</v>
      </c>
      <c r="I2112" s="7" t="s">
        <v>88</v>
      </c>
      <c r="J2112" s="31">
        <v>45750</v>
      </c>
      <c r="K2112" s="31">
        <v>45751</v>
      </c>
      <c r="L2112" s="31">
        <v>45758</v>
      </c>
      <c r="M2112" s="31">
        <v>45823</v>
      </c>
      <c r="N2112" s="31"/>
      <c r="O2112" s="2" t="s">
        <v>297</v>
      </c>
    </row>
    <row r="2113" spans="1:15">
      <c r="A2113" s="3">
        <f t="shared" si="34"/>
        <v>2112</v>
      </c>
      <c r="B2113" s="118" t="s">
        <v>3399</v>
      </c>
      <c r="C2113" s="7">
        <v>7006452993</v>
      </c>
      <c r="D2113" s="6"/>
      <c r="E2113" s="7" t="s">
        <v>3400</v>
      </c>
      <c r="F2113" s="80" t="s">
        <v>3401</v>
      </c>
      <c r="G2113" s="2" t="s">
        <v>416</v>
      </c>
      <c r="H2113" s="2" t="s">
        <v>487</v>
      </c>
      <c r="I2113" s="7" t="s">
        <v>88</v>
      </c>
      <c r="J2113" s="31">
        <v>45750</v>
      </c>
      <c r="K2113" s="31">
        <v>45751</v>
      </c>
      <c r="L2113" s="31"/>
      <c r="M2113" s="31"/>
      <c r="N2113" s="31"/>
      <c r="O2113" s="2" t="s">
        <v>297</v>
      </c>
    </row>
    <row r="2114" spans="1:15">
      <c r="A2114" s="3">
        <f t="shared" si="34"/>
        <v>2113</v>
      </c>
      <c r="B2114" s="118" t="s">
        <v>3402</v>
      </c>
      <c r="C2114" s="7">
        <v>9666363436</v>
      </c>
      <c r="D2114" s="6"/>
      <c r="E2114" s="7" t="s">
        <v>3400</v>
      </c>
      <c r="F2114" s="80" t="s">
        <v>3401</v>
      </c>
      <c r="G2114" s="2" t="s">
        <v>16</v>
      </c>
      <c r="H2114" s="2" t="s">
        <v>487</v>
      </c>
      <c r="I2114" s="7" t="s">
        <v>88</v>
      </c>
      <c r="J2114" s="31">
        <v>45750</v>
      </c>
      <c r="K2114" s="31">
        <v>45751</v>
      </c>
      <c r="L2114" s="31">
        <v>45758</v>
      </c>
      <c r="M2114" s="31">
        <v>45788</v>
      </c>
      <c r="N2114" s="31">
        <v>45788</v>
      </c>
      <c r="O2114" s="2" t="s">
        <v>297</v>
      </c>
    </row>
    <row r="2115" spans="1:15">
      <c r="A2115" s="3">
        <f t="shared" si="34"/>
        <v>2114</v>
      </c>
      <c r="B2115" s="118" t="s">
        <v>3403</v>
      </c>
      <c r="C2115" s="7">
        <v>8115550986</v>
      </c>
      <c r="D2115" s="6"/>
      <c r="E2115" s="7" t="s">
        <v>3400</v>
      </c>
      <c r="F2115" s="80" t="s">
        <v>3401</v>
      </c>
      <c r="G2115" s="2" t="s">
        <v>424</v>
      </c>
      <c r="H2115" s="2" t="s">
        <v>487</v>
      </c>
      <c r="I2115" s="7" t="s">
        <v>88</v>
      </c>
      <c r="J2115" s="31">
        <v>45750</v>
      </c>
      <c r="K2115" s="31">
        <v>45751</v>
      </c>
      <c r="L2115" s="31"/>
      <c r="M2115" s="31"/>
      <c r="N2115" s="31"/>
      <c r="O2115" s="2" t="s">
        <v>425</v>
      </c>
    </row>
    <row r="2116" spans="1:15">
      <c r="A2116" s="3">
        <f t="shared" si="34"/>
        <v>2115</v>
      </c>
      <c r="B2116" s="118" t="s">
        <v>3404</v>
      </c>
      <c r="C2116" s="7">
        <v>6201333136</v>
      </c>
      <c r="D2116" s="6"/>
      <c r="E2116" s="7" t="s">
        <v>3405</v>
      </c>
      <c r="F2116" s="80" t="s">
        <v>2261</v>
      </c>
      <c r="G2116" s="2" t="s">
        <v>424</v>
      </c>
      <c r="H2116" s="2" t="s">
        <v>487</v>
      </c>
      <c r="I2116" s="7" t="s">
        <v>88</v>
      </c>
      <c r="J2116" s="31">
        <v>45750</v>
      </c>
      <c r="K2116" s="31">
        <v>45751</v>
      </c>
      <c r="L2116" s="31"/>
      <c r="M2116" s="31"/>
      <c r="N2116" s="31"/>
      <c r="O2116" s="2" t="s">
        <v>425</v>
      </c>
    </row>
    <row r="2117" spans="1:15">
      <c r="A2117" s="3">
        <f t="shared" si="34"/>
        <v>2116</v>
      </c>
      <c r="B2117" s="118" t="s">
        <v>3406</v>
      </c>
      <c r="C2117" s="7">
        <v>9633373328</v>
      </c>
      <c r="D2117" s="6"/>
      <c r="E2117" s="7" t="s">
        <v>3405</v>
      </c>
      <c r="F2117" s="80" t="s">
        <v>2261</v>
      </c>
      <c r="G2117" s="2" t="s">
        <v>424</v>
      </c>
      <c r="H2117" s="2" t="s">
        <v>487</v>
      </c>
      <c r="I2117" s="7" t="s">
        <v>88</v>
      </c>
      <c r="J2117" s="31">
        <v>45750</v>
      </c>
      <c r="K2117" s="31">
        <v>45751</v>
      </c>
      <c r="L2117" s="31"/>
      <c r="M2117" s="31"/>
      <c r="N2117" s="31"/>
      <c r="O2117" s="2" t="s">
        <v>425</v>
      </c>
    </row>
    <row r="2118" spans="1:15">
      <c r="A2118" s="3">
        <f t="shared" si="34"/>
        <v>2117</v>
      </c>
      <c r="B2118" s="118" t="s">
        <v>3407</v>
      </c>
      <c r="C2118" s="7">
        <v>7077063244</v>
      </c>
      <c r="D2118" s="6"/>
      <c r="E2118" s="7" t="s">
        <v>3405</v>
      </c>
      <c r="F2118" s="80" t="s">
        <v>2261</v>
      </c>
      <c r="G2118" s="2" t="s">
        <v>16</v>
      </c>
      <c r="H2118" s="2" t="s">
        <v>487</v>
      </c>
      <c r="I2118" s="7" t="s">
        <v>88</v>
      </c>
      <c r="J2118" s="31">
        <v>45750</v>
      </c>
      <c r="K2118" s="31">
        <v>45751</v>
      </c>
      <c r="L2118" s="31">
        <v>45758</v>
      </c>
      <c r="M2118" s="31">
        <v>45788</v>
      </c>
      <c r="N2118" s="31">
        <v>45788</v>
      </c>
      <c r="O2118" s="2" t="s">
        <v>297</v>
      </c>
    </row>
    <row r="2119" spans="1:15">
      <c r="A2119" s="3">
        <f t="shared" si="34"/>
        <v>2118</v>
      </c>
      <c r="B2119" s="118" t="s">
        <v>3408</v>
      </c>
      <c r="C2119" s="7">
        <v>8509346659</v>
      </c>
      <c r="D2119" s="6">
        <v>6294348072</v>
      </c>
      <c r="E2119" s="7" t="s">
        <v>3409</v>
      </c>
      <c r="F2119" s="80" t="s">
        <v>2269</v>
      </c>
      <c r="G2119" s="2" t="s">
        <v>16</v>
      </c>
      <c r="H2119" s="2" t="s">
        <v>487</v>
      </c>
      <c r="I2119" s="7" t="s">
        <v>88</v>
      </c>
      <c r="J2119" s="31">
        <v>45750</v>
      </c>
      <c r="K2119" s="31">
        <v>45751</v>
      </c>
      <c r="L2119" s="31">
        <v>45758</v>
      </c>
      <c r="M2119" s="31">
        <v>45788</v>
      </c>
      <c r="N2119" s="31">
        <v>45788</v>
      </c>
      <c r="O2119" s="2" t="s">
        <v>297</v>
      </c>
    </row>
    <row r="2120" spans="1:15">
      <c r="A2120" s="3">
        <f t="shared" si="34"/>
        <v>2119</v>
      </c>
      <c r="B2120" s="118" t="s">
        <v>3410</v>
      </c>
      <c r="C2120" s="7">
        <v>9106009063</v>
      </c>
      <c r="D2120" s="6">
        <v>8972719643</v>
      </c>
      <c r="E2120" s="7" t="s">
        <v>3409</v>
      </c>
      <c r="F2120" s="80" t="s">
        <v>2269</v>
      </c>
      <c r="G2120" s="2" t="s">
        <v>16</v>
      </c>
      <c r="H2120" s="2" t="s">
        <v>487</v>
      </c>
      <c r="I2120" s="7" t="s">
        <v>88</v>
      </c>
      <c r="J2120" s="31">
        <v>45750</v>
      </c>
      <c r="K2120" s="31">
        <v>45751</v>
      </c>
      <c r="L2120" s="31">
        <v>45758</v>
      </c>
      <c r="M2120" s="31">
        <v>45800</v>
      </c>
      <c r="N2120" s="31">
        <v>45800</v>
      </c>
      <c r="O2120" s="2" t="s">
        <v>297</v>
      </c>
    </row>
    <row r="2121" spans="1:15">
      <c r="A2121" s="3">
        <f t="shared" si="34"/>
        <v>2120</v>
      </c>
      <c r="B2121" s="118" t="s">
        <v>3411</v>
      </c>
      <c r="C2121" s="7">
        <v>8790083369</v>
      </c>
      <c r="D2121" s="6">
        <v>7659912367</v>
      </c>
      <c r="E2121" s="7" t="s">
        <v>3016</v>
      </c>
      <c r="F2121" s="80" t="s">
        <v>2272</v>
      </c>
      <c r="G2121" s="2" t="s">
        <v>424</v>
      </c>
      <c r="H2121" s="2" t="s">
        <v>487</v>
      </c>
      <c r="I2121" s="7" t="s">
        <v>88</v>
      </c>
      <c r="J2121" s="31">
        <v>45750</v>
      </c>
      <c r="K2121" s="31">
        <v>45751</v>
      </c>
      <c r="L2121" s="31"/>
      <c r="M2121" s="31"/>
      <c r="N2121" s="31"/>
      <c r="O2121" s="2" t="s">
        <v>425</v>
      </c>
    </row>
    <row r="2122" spans="1:15">
      <c r="A2122" s="3">
        <f t="shared" si="34"/>
        <v>2121</v>
      </c>
      <c r="B2122" s="118" t="s">
        <v>3412</v>
      </c>
      <c r="C2122" s="7">
        <v>9014971833</v>
      </c>
      <c r="D2122" s="6">
        <v>8367095912</v>
      </c>
      <c r="E2122" s="7" t="s">
        <v>3016</v>
      </c>
      <c r="F2122" s="80" t="s">
        <v>2272</v>
      </c>
      <c r="G2122" s="2" t="s">
        <v>424</v>
      </c>
      <c r="H2122" s="2" t="s">
        <v>487</v>
      </c>
      <c r="I2122" s="7" t="s">
        <v>88</v>
      </c>
      <c r="J2122" s="31">
        <v>45750</v>
      </c>
      <c r="K2122" s="31">
        <v>45751</v>
      </c>
      <c r="L2122" s="31"/>
      <c r="M2122" s="31"/>
      <c r="N2122" s="31"/>
      <c r="O2122" s="2" t="s">
        <v>425</v>
      </c>
    </row>
    <row r="2123" spans="1:15">
      <c r="A2123" s="3">
        <f t="shared" si="34"/>
        <v>2122</v>
      </c>
      <c r="B2123" s="118" t="s">
        <v>3413</v>
      </c>
      <c r="C2123" s="7">
        <v>8918762635</v>
      </c>
      <c r="D2123" s="6"/>
      <c r="E2123" s="7" t="s">
        <v>3409</v>
      </c>
      <c r="F2123" s="80" t="s">
        <v>2269</v>
      </c>
      <c r="G2123" s="2" t="s">
        <v>16</v>
      </c>
      <c r="H2123" s="2" t="s">
        <v>487</v>
      </c>
      <c r="I2123" s="7" t="s">
        <v>88</v>
      </c>
      <c r="J2123" s="31">
        <v>45750</v>
      </c>
      <c r="K2123" s="31">
        <v>45751</v>
      </c>
      <c r="L2123" s="31">
        <v>45758</v>
      </c>
      <c r="M2123" s="31">
        <v>45774</v>
      </c>
      <c r="N2123" s="31">
        <v>45774</v>
      </c>
      <c r="O2123" s="2" t="s">
        <v>297</v>
      </c>
    </row>
    <row r="2124" spans="1:15">
      <c r="A2124" s="3">
        <f t="shared" si="34"/>
        <v>2123</v>
      </c>
      <c r="B2124" s="118" t="s">
        <v>3414</v>
      </c>
      <c r="C2124" s="7">
        <v>9594239475</v>
      </c>
      <c r="D2124" s="6"/>
      <c r="E2124" s="7" t="s">
        <v>1458</v>
      </c>
      <c r="F2124" s="80" t="s">
        <v>1459</v>
      </c>
      <c r="G2124" s="2" t="s">
        <v>295</v>
      </c>
      <c r="H2124" s="2" t="s">
        <v>487</v>
      </c>
      <c r="I2124" s="7" t="s">
        <v>88</v>
      </c>
      <c r="J2124" s="31">
        <v>45741</v>
      </c>
      <c r="K2124" s="31">
        <v>45744</v>
      </c>
      <c r="L2124" s="31">
        <v>45749</v>
      </c>
      <c r="M2124" s="31">
        <v>45779</v>
      </c>
      <c r="N2124" s="31"/>
      <c r="O2124" s="2" t="s">
        <v>297</v>
      </c>
    </row>
    <row r="2125" spans="1:15">
      <c r="A2125" s="3">
        <f t="shared" si="34"/>
        <v>2124</v>
      </c>
      <c r="B2125" s="118" t="s">
        <v>3415</v>
      </c>
      <c r="C2125" s="7">
        <v>8260566342</v>
      </c>
      <c r="D2125" s="6"/>
      <c r="E2125" s="7" t="s">
        <v>2858</v>
      </c>
      <c r="F2125" s="80" t="s">
        <v>3416</v>
      </c>
      <c r="G2125" s="2" t="s">
        <v>16</v>
      </c>
      <c r="H2125" s="2" t="s">
        <v>815</v>
      </c>
      <c r="I2125" s="7" t="s">
        <v>88</v>
      </c>
      <c r="J2125" s="31">
        <v>45741</v>
      </c>
      <c r="K2125" s="31">
        <v>45742</v>
      </c>
      <c r="L2125" s="31">
        <v>45749</v>
      </c>
      <c r="M2125" s="31">
        <v>45779</v>
      </c>
      <c r="N2125" s="31">
        <v>45779</v>
      </c>
      <c r="O2125" s="2" t="s">
        <v>297</v>
      </c>
    </row>
    <row r="2126" spans="1:15">
      <c r="A2126" s="3">
        <f t="shared" si="34"/>
        <v>2125</v>
      </c>
      <c r="B2126" s="118" t="s">
        <v>3417</v>
      </c>
      <c r="C2126" s="7">
        <v>7893938524</v>
      </c>
      <c r="D2126" s="6">
        <v>7680814463</v>
      </c>
      <c r="E2126" s="17" t="s">
        <v>2854</v>
      </c>
      <c r="F2126" s="80" t="s">
        <v>1827</v>
      </c>
      <c r="G2126" s="2" t="s">
        <v>416</v>
      </c>
      <c r="H2126" s="2" t="s">
        <v>815</v>
      </c>
      <c r="I2126" s="7" t="s">
        <v>88</v>
      </c>
      <c r="J2126" s="31">
        <v>45750</v>
      </c>
      <c r="K2126" s="31">
        <v>45765</v>
      </c>
      <c r="L2126" s="31"/>
      <c r="M2126" s="31"/>
      <c r="N2126" s="31"/>
      <c r="O2126" s="2" t="s">
        <v>297</v>
      </c>
    </row>
    <row r="2127" spans="1:15">
      <c r="A2127" s="3">
        <f t="shared" si="34"/>
        <v>2126</v>
      </c>
      <c r="B2127" s="118" t="s">
        <v>506</v>
      </c>
      <c r="C2127" s="7">
        <v>8545924548</v>
      </c>
      <c r="D2127" s="6"/>
      <c r="E2127" s="3" t="s">
        <v>141</v>
      </c>
      <c r="F2127" s="80" t="s">
        <v>3418</v>
      </c>
      <c r="G2127" s="2" t="s">
        <v>16</v>
      </c>
      <c r="H2127" s="2" t="s">
        <v>815</v>
      </c>
      <c r="I2127" s="7" t="s">
        <v>88</v>
      </c>
      <c r="J2127" s="31">
        <v>45750</v>
      </c>
      <c r="K2127" s="31">
        <v>45765</v>
      </c>
      <c r="L2127" s="31">
        <v>45770</v>
      </c>
      <c r="M2127" s="31">
        <v>45785</v>
      </c>
      <c r="N2127" s="31">
        <v>45784</v>
      </c>
      <c r="O2127" s="2" t="s">
        <v>297</v>
      </c>
    </row>
    <row r="2128" spans="1:15">
      <c r="A2128" s="3">
        <f t="shared" si="34"/>
        <v>2127</v>
      </c>
      <c r="B2128" s="118" t="s">
        <v>3419</v>
      </c>
      <c r="C2128" s="7">
        <v>9392471324</v>
      </c>
      <c r="D2128" s="6"/>
      <c r="E2128" s="3" t="s">
        <v>141</v>
      </c>
      <c r="F2128" s="80" t="s">
        <v>863</v>
      </c>
      <c r="G2128" s="2" t="s">
        <v>424</v>
      </c>
      <c r="H2128" s="2" t="s">
        <v>815</v>
      </c>
      <c r="I2128" s="7" t="s">
        <v>88</v>
      </c>
      <c r="J2128" s="31">
        <v>45750</v>
      </c>
      <c r="K2128" s="31">
        <v>45765</v>
      </c>
      <c r="L2128" s="31"/>
      <c r="M2128" s="31"/>
      <c r="N2128" s="31"/>
      <c r="O2128" s="2" t="s">
        <v>425</v>
      </c>
    </row>
    <row r="2129" spans="1:15">
      <c r="A2129" s="3">
        <f t="shared" si="34"/>
        <v>2128</v>
      </c>
      <c r="B2129" s="118" t="s">
        <v>3420</v>
      </c>
      <c r="C2129" s="7">
        <v>9381243548</v>
      </c>
      <c r="D2129" s="6"/>
      <c r="E2129" s="3" t="s">
        <v>1023</v>
      </c>
      <c r="F2129" s="80" t="s">
        <v>490</v>
      </c>
      <c r="G2129" s="2" t="s">
        <v>16</v>
      </c>
      <c r="H2129" s="2" t="s">
        <v>2535</v>
      </c>
      <c r="I2129" s="7" t="s">
        <v>42</v>
      </c>
      <c r="J2129" s="31">
        <v>45750</v>
      </c>
      <c r="K2129" s="31">
        <v>45751</v>
      </c>
      <c r="L2129" s="31">
        <v>45758</v>
      </c>
      <c r="M2129" s="31">
        <v>45788</v>
      </c>
      <c r="N2129" s="31">
        <v>45793</v>
      </c>
      <c r="O2129" s="2" t="s">
        <v>297</v>
      </c>
    </row>
    <row r="2130" spans="1:15">
      <c r="A2130" s="3">
        <f t="shared" si="34"/>
        <v>2129</v>
      </c>
      <c r="B2130" s="118" t="s">
        <v>3421</v>
      </c>
      <c r="C2130" s="7">
        <v>8106049087</v>
      </c>
      <c r="D2130" s="6"/>
      <c r="E2130" s="3" t="s">
        <v>1023</v>
      </c>
      <c r="F2130" s="80" t="s">
        <v>575</v>
      </c>
      <c r="G2130" s="2" t="s">
        <v>416</v>
      </c>
      <c r="H2130" s="2" t="s">
        <v>2535</v>
      </c>
      <c r="I2130" s="7" t="s">
        <v>42</v>
      </c>
      <c r="J2130" s="31">
        <v>45750</v>
      </c>
      <c r="K2130" s="31">
        <v>45751</v>
      </c>
      <c r="L2130" s="31"/>
      <c r="M2130" s="31"/>
      <c r="N2130" s="31"/>
      <c r="O2130" s="2" t="s">
        <v>297</v>
      </c>
    </row>
    <row r="2131" spans="1:15">
      <c r="A2131" s="3">
        <f t="shared" si="34"/>
        <v>2130</v>
      </c>
      <c r="B2131" s="118" t="s">
        <v>3422</v>
      </c>
      <c r="C2131" s="7">
        <v>6305457971</v>
      </c>
      <c r="D2131" s="6"/>
      <c r="E2131" s="3" t="s">
        <v>1023</v>
      </c>
      <c r="F2131" s="80" t="s">
        <v>3423</v>
      </c>
      <c r="G2131" s="2" t="s">
        <v>16</v>
      </c>
      <c r="H2131" s="2" t="s">
        <v>2535</v>
      </c>
      <c r="I2131" s="7" t="s">
        <v>42</v>
      </c>
      <c r="J2131" s="31">
        <v>45750</v>
      </c>
      <c r="K2131" s="31">
        <v>45751</v>
      </c>
      <c r="L2131" s="31">
        <v>45785</v>
      </c>
      <c r="M2131" s="31">
        <v>45792</v>
      </c>
      <c r="N2131" s="31">
        <v>45789</v>
      </c>
      <c r="O2131" s="2" t="s">
        <v>297</v>
      </c>
    </row>
    <row r="2132" spans="1:15">
      <c r="A2132" s="3">
        <f t="shared" si="34"/>
        <v>2131</v>
      </c>
      <c r="B2132" s="118" t="s">
        <v>3424</v>
      </c>
      <c r="C2132" s="7">
        <v>6302779845</v>
      </c>
      <c r="D2132" s="6"/>
      <c r="E2132" s="3" t="s">
        <v>1023</v>
      </c>
      <c r="F2132" s="80" t="s">
        <v>303</v>
      </c>
      <c r="G2132" s="2" t="s">
        <v>16</v>
      </c>
      <c r="H2132" s="2" t="s">
        <v>2535</v>
      </c>
      <c r="I2132" s="7" t="s">
        <v>42</v>
      </c>
      <c r="J2132" s="31">
        <v>45750</v>
      </c>
      <c r="K2132" s="31">
        <v>45751</v>
      </c>
      <c r="L2132" s="31">
        <v>45763</v>
      </c>
      <c r="M2132" s="31">
        <v>45775</v>
      </c>
      <c r="N2132" s="31">
        <v>45772</v>
      </c>
      <c r="O2132" s="2" t="s">
        <v>297</v>
      </c>
    </row>
    <row r="2133" spans="1:15">
      <c r="A2133" s="3">
        <f t="shared" si="34"/>
        <v>2132</v>
      </c>
      <c r="B2133" s="118" t="s">
        <v>3425</v>
      </c>
      <c r="C2133" s="7">
        <v>7008300804</v>
      </c>
      <c r="D2133" s="6"/>
      <c r="E2133" s="3" t="s">
        <v>1023</v>
      </c>
      <c r="F2133" s="80" t="s">
        <v>612</v>
      </c>
      <c r="G2133" s="2" t="s">
        <v>424</v>
      </c>
      <c r="H2133" s="2" t="s">
        <v>2535</v>
      </c>
      <c r="I2133" s="7" t="s">
        <v>42</v>
      </c>
      <c r="J2133" s="31">
        <v>45750</v>
      </c>
      <c r="K2133" s="31">
        <v>45751</v>
      </c>
      <c r="L2133" s="31"/>
      <c r="M2133" s="31"/>
      <c r="N2133" s="31"/>
      <c r="O2133" s="2" t="s">
        <v>425</v>
      </c>
    </row>
    <row r="2134" spans="1:15">
      <c r="A2134" s="3">
        <f t="shared" si="34"/>
        <v>2133</v>
      </c>
      <c r="B2134" s="123" t="s">
        <v>3426</v>
      </c>
      <c r="C2134" s="7">
        <v>7893842909</v>
      </c>
      <c r="D2134" s="6"/>
      <c r="E2134" s="17" t="s">
        <v>75</v>
      </c>
      <c r="F2134" s="80" t="s">
        <v>768</v>
      </c>
      <c r="G2134" s="2" t="s">
        <v>16</v>
      </c>
      <c r="H2134" s="2" t="s">
        <v>2810</v>
      </c>
      <c r="I2134" s="7" t="s">
        <v>42</v>
      </c>
      <c r="J2134" s="31">
        <v>45750</v>
      </c>
      <c r="K2134" s="31">
        <v>45751</v>
      </c>
      <c r="L2134" s="31">
        <v>45758</v>
      </c>
      <c r="M2134" s="31">
        <v>45788</v>
      </c>
      <c r="N2134" s="31">
        <v>45793</v>
      </c>
      <c r="O2134" s="2" t="s">
        <v>297</v>
      </c>
    </row>
    <row r="2135" spans="1:15">
      <c r="A2135" s="3">
        <f t="shared" si="34"/>
        <v>2134</v>
      </c>
      <c r="B2135" s="118" t="s">
        <v>3427</v>
      </c>
      <c r="C2135" s="7">
        <v>8179174389</v>
      </c>
      <c r="D2135" s="6"/>
      <c r="E2135" s="3" t="s">
        <v>79</v>
      </c>
      <c r="F2135" s="80" t="s">
        <v>3428</v>
      </c>
      <c r="G2135" s="2" t="s">
        <v>416</v>
      </c>
      <c r="H2135" s="2" t="s">
        <v>2810</v>
      </c>
      <c r="I2135" s="7" t="s">
        <v>42</v>
      </c>
      <c r="J2135" s="31">
        <v>45750</v>
      </c>
      <c r="K2135" s="31">
        <v>45751</v>
      </c>
      <c r="L2135" s="31"/>
      <c r="M2135" s="31"/>
      <c r="N2135" s="31"/>
      <c r="O2135" s="2" t="s">
        <v>297</v>
      </c>
    </row>
    <row r="2136" spans="1:15">
      <c r="A2136" s="3">
        <f t="shared" si="34"/>
        <v>2135</v>
      </c>
      <c r="B2136" s="118" t="s">
        <v>3429</v>
      </c>
      <c r="C2136" s="7">
        <v>7569098343</v>
      </c>
      <c r="D2136" s="6"/>
      <c r="E2136" s="3" t="s">
        <v>79</v>
      </c>
      <c r="F2136" s="80" t="s">
        <v>3428</v>
      </c>
      <c r="G2136" s="2" t="s">
        <v>416</v>
      </c>
      <c r="H2136" s="2" t="s">
        <v>2810</v>
      </c>
      <c r="I2136" s="7" t="s">
        <v>42</v>
      </c>
      <c r="J2136" s="31">
        <v>45750</v>
      </c>
      <c r="K2136" s="31">
        <v>45751</v>
      </c>
      <c r="L2136" s="31"/>
      <c r="M2136" s="31"/>
      <c r="N2136" s="31"/>
      <c r="O2136" s="2" t="s">
        <v>297</v>
      </c>
    </row>
    <row r="2137" spans="1:15">
      <c r="A2137" s="3">
        <f t="shared" si="34"/>
        <v>2136</v>
      </c>
      <c r="B2137" s="118" t="s">
        <v>3430</v>
      </c>
      <c r="C2137" s="7">
        <v>7568520455</v>
      </c>
      <c r="D2137" s="6">
        <v>8562013282</v>
      </c>
      <c r="E2137" s="3" t="s">
        <v>107</v>
      </c>
      <c r="F2137" s="80" t="s">
        <v>3431</v>
      </c>
      <c r="G2137" s="2" t="s">
        <v>424</v>
      </c>
      <c r="H2137" s="2" t="s">
        <v>102</v>
      </c>
      <c r="I2137" s="7" t="s">
        <v>42</v>
      </c>
      <c r="J2137" s="31">
        <v>45750</v>
      </c>
      <c r="K2137" s="31">
        <v>45771</v>
      </c>
      <c r="L2137" s="31"/>
      <c r="M2137" s="31"/>
      <c r="N2137" s="31"/>
      <c r="O2137" s="2" t="s">
        <v>425</v>
      </c>
    </row>
    <row r="2138" spans="1:15">
      <c r="A2138" s="3">
        <f t="shared" si="34"/>
        <v>2137</v>
      </c>
      <c r="B2138" s="118" t="s">
        <v>3432</v>
      </c>
      <c r="C2138" s="7">
        <v>9178657807</v>
      </c>
      <c r="D2138" s="6"/>
      <c r="E2138" s="36" t="s">
        <v>113</v>
      </c>
      <c r="F2138" s="80" t="s">
        <v>1236</v>
      </c>
      <c r="G2138" s="2" t="s">
        <v>16</v>
      </c>
      <c r="H2138" s="2" t="s">
        <v>102</v>
      </c>
      <c r="I2138" s="7" t="s">
        <v>42</v>
      </c>
      <c r="J2138" s="31">
        <v>45750</v>
      </c>
      <c r="K2138" s="31">
        <v>45751</v>
      </c>
      <c r="L2138" s="31">
        <v>45758</v>
      </c>
      <c r="M2138" s="31">
        <v>45788</v>
      </c>
      <c r="N2138" s="31">
        <v>45788</v>
      </c>
      <c r="O2138" s="2" t="s">
        <v>297</v>
      </c>
    </row>
    <row r="2139" spans="1:15">
      <c r="A2139" s="3">
        <f t="shared" si="34"/>
        <v>2138</v>
      </c>
      <c r="B2139" s="118" t="s">
        <v>3433</v>
      </c>
      <c r="C2139" s="7">
        <v>9701052909</v>
      </c>
      <c r="D2139" s="6"/>
      <c r="E2139" s="3" t="s">
        <v>107</v>
      </c>
      <c r="F2139" s="80" t="s">
        <v>3434</v>
      </c>
      <c r="G2139" s="2" t="s">
        <v>330</v>
      </c>
      <c r="H2139" s="2" t="s">
        <v>102</v>
      </c>
      <c r="I2139" s="7" t="s">
        <v>42</v>
      </c>
      <c r="J2139" s="31">
        <v>45750</v>
      </c>
      <c r="K2139" s="31">
        <v>45751</v>
      </c>
      <c r="L2139" s="31">
        <v>45758</v>
      </c>
      <c r="M2139" s="31">
        <v>45797</v>
      </c>
      <c r="N2139" s="31">
        <v>45789</v>
      </c>
      <c r="O2139" s="2" t="s">
        <v>297</v>
      </c>
    </row>
    <row r="2140" spans="1:15">
      <c r="A2140" s="3">
        <f t="shared" si="34"/>
        <v>2139</v>
      </c>
      <c r="B2140" s="118" t="s">
        <v>3435</v>
      </c>
      <c r="C2140" s="7">
        <v>7396256832</v>
      </c>
      <c r="D2140" s="6"/>
      <c r="E2140" s="17" t="s">
        <v>104</v>
      </c>
      <c r="F2140" s="80" t="s">
        <v>2463</v>
      </c>
      <c r="G2140" s="2" t="s">
        <v>330</v>
      </c>
      <c r="H2140" s="2" t="s">
        <v>102</v>
      </c>
      <c r="I2140" s="7" t="s">
        <v>42</v>
      </c>
      <c r="J2140" s="31">
        <v>45750</v>
      </c>
      <c r="K2140" s="31">
        <v>45751</v>
      </c>
      <c r="L2140" s="31">
        <v>45765</v>
      </c>
      <c r="M2140" s="31">
        <v>45775</v>
      </c>
      <c r="N2140" s="31">
        <v>45775</v>
      </c>
      <c r="O2140" s="2" t="s">
        <v>297</v>
      </c>
    </row>
    <row r="2141" spans="1:15">
      <c r="A2141" s="3">
        <f t="shared" si="34"/>
        <v>2140</v>
      </c>
      <c r="B2141" s="118" t="s">
        <v>3436</v>
      </c>
      <c r="C2141" s="7">
        <v>7702658658</v>
      </c>
      <c r="D2141" s="6"/>
      <c r="E2141" s="36" t="s">
        <v>110</v>
      </c>
      <c r="F2141" s="80" t="s">
        <v>3437</v>
      </c>
      <c r="G2141" s="2" t="s">
        <v>416</v>
      </c>
      <c r="H2141" s="2" t="s">
        <v>102</v>
      </c>
      <c r="I2141" s="7" t="s">
        <v>42</v>
      </c>
      <c r="J2141" s="31">
        <v>45750</v>
      </c>
      <c r="K2141" s="31">
        <v>45751</v>
      </c>
      <c r="L2141" s="31"/>
      <c r="M2141" s="31"/>
      <c r="N2141" s="31"/>
      <c r="O2141" s="2" t="s">
        <v>297</v>
      </c>
    </row>
    <row r="2142" spans="1:15">
      <c r="A2142" s="3">
        <f t="shared" si="34"/>
        <v>2141</v>
      </c>
      <c r="B2142" s="118" t="s">
        <v>3438</v>
      </c>
      <c r="C2142" s="7">
        <v>9160190036</v>
      </c>
      <c r="D2142" s="6"/>
      <c r="E2142" s="36" t="s">
        <v>113</v>
      </c>
      <c r="F2142" s="80" t="s">
        <v>3439</v>
      </c>
      <c r="G2142" s="2" t="s">
        <v>16</v>
      </c>
      <c r="H2142" s="2" t="s">
        <v>102</v>
      </c>
      <c r="I2142" s="7" t="s">
        <v>42</v>
      </c>
      <c r="J2142" s="31">
        <v>45750</v>
      </c>
      <c r="K2142" s="31">
        <v>45751</v>
      </c>
      <c r="L2142" s="31">
        <v>45758</v>
      </c>
      <c r="M2142" s="31">
        <v>45779</v>
      </c>
      <c r="N2142" s="31">
        <v>45779</v>
      </c>
      <c r="O2142" s="2" t="s">
        <v>297</v>
      </c>
    </row>
    <row r="2143" spans="1:15">
      <c r="A2143" s="3">
        <f t="shared" si="34"/>
        <v>2142</v>
      </c>
      <c r="B2143" s="118" t="s">
        <v>413</v>
      </c>
      <c r="C2143" s="7">
        <v>6387568159</v>
      </c>
      <c r="D2143" s="6"/>
      <c r="E2143" s="36" t="s">
        <v>113</v>
      </c>
      <c r="F2143" s="80" t="s">
        <v>1060</v>
      </c>
      <c r="G2143" s="2" t="s">
        <v>424</v>
      </c>
      <c r="H2143" s="2" t="s">
        <v>102</v>
      </c>
      <c r="I2143" s="7" t="s">
        <v>42</v>
      </c>
      <c r="J2143" s="31">
        <v>45750</v>
      </c>
      <c r="K2143" s="31">
        <v>45751</v>
      </c>
      <c r="L2143" s="31"/>
      <c r="M2143" s="31"/>
      <c r="N2143" s="31"/>
      <c r="O2143" s="2" t="s">
        <v>749</v>
      </c>
    </row>
    <row r="2144" spans="1:15">
      <c r="A2144" s="3">
        <f t="shared" si="34"/>
        <v>2143</v>
      </c>
      <c r="B2144" s="118" t="s">
        <v>3440</v>
      </c>
      <c r="C2144" s="7">
        <v>7353874569</v>
      </c>
      <c r="D2144" s="6"/>
      <c r="E2144" s="3" t="s">
        <v>1023</v>
      </c>
      <c r="F2144" s="80" t="s">
        <v>612</v>
      </c>
      <c r="G2144" s="2" t="s">
        <v>16</v>
      </c>
      <c r="H2144" s="2" t="s">
        <v>2535</v>
      </c>
      <c r="I2144" s="7" t="s">
        <v>42</v>
      </c>
      <c r="J2144" s="31">
        <v>45750</v>
      </c>
      <c r="K2144" s="31">
        <v>45751</v>
      </c>
      <c r="L2144" s="31">
        <v>45759</v>
      </c>
      <c r="M2144" s="31">
        <v>45776</v>
      </c>
      <c r="N2144" s="31">
        <v>45776</v>
      </c>
      <c r="O2144" s="2" t="s">
        <v>297</v>
      </c>
    </row>
    <row r="2145" spans="1:15">
      <c r="A2145" s="3">
        <f t="shared" si="34"/>
        <v>2144</v>
      </c>
      <c r="B2145" s="118" t="s">
        <v>3441</v>
      </c>
      <c r="C2145" s="7">
        <v>6300248963</v>
      </c>
      <c r="D2145" s="6"/>
      <c r="E2145" s="3" t="s">
        <v>1023</v>
      </c>
      <c r="F2145" s="80" t="s">
        <v>612</v>
      </c>
      <c r="G2145" s="3" t="s">
        <v>1175</v>
      </c>
      <c r="H2145" s="2" t="s">
        <v>2535</v>
      </c>
      <c r="I2145" s="7" t="s">
        <v>42</v>
      </c>
      <c r="J2145" s="31">
        <v>45750</v>
      </c>
      <c r="K2145" s="31"/>
      <c r="L2145" s="31"/>
      <c r="M2145" s="31"/>
      <c r="N2145" s="31"/>
      <c r="O2145" s="2" t="s">
        <v>1004</v>
      </c>
    </row>
    <row r="2146" spans="1:15">
      <c r="A2146" s="3">
        <f t="shared" si="34"/>
        <v>2145</v>
      </c>
      <c r="B2146" s="118" t="s">
        <v>3442</v>
      </c>
      <c r="C2146" s="7">
        <v>9024028035</v>
      </c>
      <c r="D2146" s="6"/>
      <c r="E2146" s="3" t="s">
        <v>1023</v>
      </c>
      <c r="F2146" s="80" t="s">
        <v>612</v>
      </c>
      <c r="G2146" s="2" t="s">
        <v>18</v>
      </c>
      <c r="H2146" s="2" t="s">
        <v>2535</v>
      </c>
      <c r="I2146" s="7" t="s">
        <v>42</v>
      </c>
      <c r="J2146" s="31">
        <v>45750</v>
      </c>
      <c r="K2146" s="31">
        <v>45751</v>
      </c>
      <c r="L2146" s="31"/>
      <c r="M2146" s="31"/>
      <c r="N2146" s="31"/>
      <c r="O2146" s="2" t="s">
        <v>297</v>
      </c>
    </row>
    <row r="2147" spans="1:15">
      <c r="A2147" s="3">
        <f t="shared" si="34"/>
        <v>2146</v>
      </c>
      <c r="B2147" s="118" t="s">
        <v>3443</v>
      </c>
      <c r="C2147" s="7">
        <v>6387420369</v>
      </c>
      <c r="D2147" s="6"/>
      <c r="E2147" s="3" t="s">
        <v>1023</v>
      </c>
      <c r="F2147" s="80" t="s">
        <v>612</v>
      </c>
      <c r="G2147" s="2" t="s">
        <v>295</v>
      </c>
      <c r="H2147" s="2" t="s">
        <v>2535</v>
      </c>
      <c r="I2147" s="7" t="s">
        <v>42</v>
      </c>
      <c r="J2147" s="31">
        <v>45750</v>
      </c>
      <c r="K2147" s="31">
        <v>45751</v>
      </c>
      <c r="L2147" s="31">
        <v>45758</v>
      </c>
      <c r="M2147" s="31">
        <v>45788</v>
      </c>
      <c r="N2147" s="31"/>
      <c r="O2147" s="2" t="s">
        <v>297</v>
      </c>
    </row>
    <row r="2148" spans="1:15">
      <c r="A2148" s="3">
        <f t="shared" si="34"/>
        <v>2147</v>
      </c>
      <c r="B2148" s="118" t="s">
        <v>3444</v>
      </c>
      <c r="C2148" s="7">
        <v>9987446003</v>
      </c>
      <c r="D2148" s="6"/>
      <c r="E2148" s="3" t="s">
        <v>1023</v>
      </c>
      <c r="F2148" s="80" t="s">
        <v>3445</v>
      </c>
      <c r="G2148" s="2" t="s">
        <v>16</v>
      </c>
      <c r="H2148" s="2" t="s">
        <v>2535</v>
      </c>
      <c r="I2148" s="7" t="s">
        <v>42</v>
      </c>
      <c r="J2148" s="31">
        <v>45750</v>
      </c>
      <c r="K2148" s="31">
        <v>45751</v>
      </c>
      <c r="L2148" s="31">
        <v>45763</v>
      </c>
      <c r="M2148" s="31">
        <v>45793</v>
      </c>
      <c r="N2148" s="31">
        <v>45787</v>
      </c>
      <c r="O2148" s="2" t="s">
        <v>297</v>
      </c>
    </row>
    <row r="2149" spans="1:15">
      <c r="A2149" s="3">
        <f t="shared" si="34"/>
        <v>2148</v>
      </c>
      <c r="B2149" s="118" t="s">
        <v>3446</v>
      </c>
      <c r="C2149" s="7">
        <v>9608829852</v>
      </c>
      <c r="D2149" s="6"/>
      <c r="E2149" s="3" t="s">
        <v>1023</v>
      </c>
      <c r="F2149" s="80" t="s">
        <v>3447</v>
      </c>
      <c r="G2149" s="2" t="s">
        <v>424</v>
      </c>
      <c r="H2149" s="2" t="s">
        <v>2535</v>
      </c>
      <c r="I2149" s="7" t="s">
        <v>42</v>
      </c>
      <c r="J2149" s="31">
        <v>45750</v>
      </c>
      <c r="K2149" s="31">
        <v>45751</v>
      </c>
      <c r="L2149" s="31"/>
      <c r="M2149" s="31"/>
      <c r="N2149" s="31"/>
      <c r="O2149" s="2" t="s">
        <v>749</v>
      </c>
    </row>
    <row r="2150" spans="1:15">
      <c r="A2150" s="3">
        <f t="shared" si="34"/>
        <v>2149</v>
      </c>
      <c r="B2150" s="118" t="s">
        <v>3448</v>
      </c>
      <c r="C2150" s="7">
        <v>9740654695</v>
      </c>
      <c r="D2150" s="6"/>
      <c r="E2150" s="3" t="s">
        <v>85</v>
      </c>
      <c r="F2150" s="80" t="s">
        <v>3449</v>
      </c>
      <c r="G2150" s="2" t="s">
        <v>16</v>
      </c>
      <c r="H2150" s="2" t="s">
        <v>2810</v>
      </c>
      <c r="I2150" s="7" t="s">
        <v>42</v>
      </c>
      <c r="J2150" s="31">
        <v>45750</v>
      </c>
      <c r="K2150" s="31">
        <v>45751</v>
      </c>
      <c r="L2150" s="31">
        <v>45758</v>
      </c>
      <c r="M2150" s="31">
        <v>45801</v>
      </c>
      <c r="N2150" s="31">
        <v>45802</v>
      </c>
      <c r="O2150" s="2" t="s">
        <v>297</v>
      </c>
    </row>
    <row r="2151" spans="1:15">
      <c r="A2151" s="3">
        <f t="shared" si="34"/>
        <v>2150</v>
      </c>
      <c r="B2151" s="118" t="s">
        <v>3450</v>
      </c>
      <c r="C2151" s="7">
        <v>6305478989</v>
      </c>
      <c r="D2151" s="6"/>
      <c r="E2151" s="7" t="s">
        <v>1619</v>
      </c>
      <c r="F2151" s="80" t="s">
        <v>3451</v>
      </c>
      <c r="G2151" s="2" t="s">
        <v>16</v>
      </c>
      <c r="H2151" s="2" t="s">
        <v>296</v>
      </c>
      <c r="I2151" s="7" t="s">
        <v>94</v>
      </c>
      <c r="J2151" s="31">
        <v>45750</v>
      </c>
      <c r="K2151" s="31">
        <v>45750</v>
      </c>
      <c r="L2151" s="31">
        <v>45750</v>
      </c>
      <c r="M2151" s="31">
        <v>45780</v>
      </c>
      <c r="N2151" s="31">
        <v>45762</v>
      </c>
      <c r="O2151" s="2" t="s">
        <v>297</v>
      </c>
    </row>
    <row r="2152" spans="1:15">
      <c r="A2152" s="3">
        <f t="shared" si="34"/>
        <v>2151</v>
      </c>
      <c r="B2152" s="118" t="s">
        <v>3452</v>
      </c>
      <c r="C2152" s="7">
        <v>8179539463</v>
      </c>
      <c r="D2152" s="6"/>
      <c r="E2152" s="36" t="s">
        <v>113</v>
      </c>
      <c r="F2152" s="80" t="s">
        <v>419</v>
      </c>
      <c r="G2152" s="2" t="s">
        <v>764</v>
      </c>
      <c r="H2152" s="2" t="s">
        <v>102</v>
      </c>
      <c r="I2152" s="7" t="s">
        <v>42</v>
      </c>
      <c r="J2152" s="31">
        <v>45751</v>
      </c>
      <c r="K2152" s="31">
        <v>45751</v>
      </c>
      <c r="L2152" s="31"/>
      <c r="M2152" s="31"/>
      <c r="N2152" s="31"/>
      <c r="O2152" s="2" t="s">
        <v>425</v>
      </c>
    </row>
    <row r="2153" spans="1:15">
      <c r="A2153" s="3">
        <f t="shared" si="34"/>
        <v>2152</v>
      </c>
      <c r="B2153" s="118" t="s">
        <v>3453</v>
      </c>
      <c r="C2153" s="7">
        <v>8429706872</v>
      </c>
      <c r="D2153" s="6"/>
      <c r="E2153" s="36" t="s">
        <v>113</v>
      </c>
      <c r="F2153" s="80" t="s">
        <v>1060</v>
      </c>
      <c r="G2153" s="2" t="s">
        <v>764</v>
      </c>
      <c r="H2153" s="2" t="s">
        <v>102</v>
      </c>
      <c r="I2153" s="7" t="s">
        <v>42</v>
      </c>
      <c r="J2153" s="31">
        <v>45751</v>
      </c>
      <c r="K2153" s="31">
        <v>45751</v>
      </c>
      <c r="L2153" s="31"/>
      <c r="M2153" s="31"/>
      <c r="N2153" s="31"/>
      <c r="O2153" s="2" t="s">
        <v>425</v>
      </c>
    </row>
    <row r="2154" spans="1:15">
      <c r="A2154" s="3">
        <f t="shared" si="34"/>
        <v>2153</v>
      </c>
      <c r="B2154" s="118" t="s">
        <v>3454</v>
      </c>
      <c r="C2154" s="7">
        <v>7794945843</v>
      </c>
      <c r="D2154" s="6"/>
      <c r="E2154" s="36" t="s">
        <v>113</v>
      </c>
      <c r="F2154" s="80" t="s">
        <v>1236</v>
      </c>
      <c r="G2154" s="2" t="s">
        <v>764</v>
      </c>
      <c r="H2154" s="2" t="s">
        <v>102</v>
      </c>
      <c r="I2154" s="7" t="s">
        <v>42</v>
      </c>
      <c r="J2154" s="31">
        <v>45751</v>
      </c>
      <c r="K2154" s="31">
        <v>45751</v>
      </c>
      <c r="L2154" s="31"/>
      <c r="M2154" s="31"/>
      <c r="N2154" s="31"/>
      <c r="O2154" s="2" t="s">
        <v>425</v>
      </c>
    </row>
    <row r="2155" spans="1:15">
      <c r="A2155" s="3">
        <f t="shared" si="34"/>
        <v>2154</v>
      </c>
      <c r="B2155" s="118" t="s">
        <v>3455</v>
      </c>
      <c r="C2155" s="7">
        <v>6303346490</v>
      </c>
      <c r="D2155" s="6">
        <v>8859604468</v>
      </c>
      <c r="E2155" s="36" t="s">
        <v>113</v>
      </c>
      <c r="F2155" s="80" t="s">
        <v>1236</v>
      </c>
      <c r="G2155" s="2" t="s">
        <v>16</v>
      </c>
      <c r="H2155" s="2" t="s">
        <v>102</v>
      </c>
      <c r="I2155" s="7" t="s">
        <v>42</v>
      </c>
      <c r="J2155" s="31">
        <v>45751</v>
      </c>
      <c r="K2155" s="31">
        <v>45758</v>
      </c>
      <c r="L2155" s="31">
        <v>45763</v>
      </c>
      <c r="M2155" s="31">
        <v>45781</v>
      </c>
      <c r="N2155" s="31">
        <v>45781</v>
      </c>
      <c r="O2155" s="2" t="s">
        <v>297</v>
      </c>
    </row>
    <row r="2156" spans="1:15">
      <c r="A2156" s="3">
        <f t="shared" si="34"/>
        <v>2155</v>
      </c>
      <c r="B2156" s="118" t="s">
        <v>3456</v>
      </c>
      <c r="C2156" s="7">
        <v>9398682792</v>
      </c>
      <c r="D2156" s="6">
        <v>8158850741</v>
      </c>
      <c r="E2156" s="36" t="s">
        <v>113</v>
      </c>
      <c r="F2156" s="80" t="s">
        <v>1236</v>
      </c>
      <c r="G2156" s="2" t="s">
        <v>16</v>
      </c>
      <c r="H2156" s="2" t="s">
        <v>102</v>
      </c>
      <c r="I2156" s="7" t="s">
        <v>42</v>
      </c>
      <c r="J2156" s="31">
        <v>45751</v>
      </c>
      <c r="K2156" s="31">
        <v>45751</v>
      </c>
      <c r="L2156" s="31">
        <v>45758</v>
      </c>
      <c r="M2156" s="31">
        <v>45767</v>
      </c>
      <c r="N2156" s="31">
        <v>45767</v>
      </c>
      <c r="O2156" s="2" t="s">
        <v>297</v>
      </c>
    </row>
    <row r="2157" spans="1:15">
      <c r="A2157" s="3">
        <f t="shared" si="34"/>
        <v>2156</v>
      </c>
      <c r="B2157" s="118" t="s">
        <v>3457</v>
      </c>
      <c r="C2157" s="7">
        <v>8459514183</v>
      </c>
      <c r="D2157" s="6"/>
      <c r="E2157" s="7" t="s">
        <v>598</v>
      </c>
      <c r="F2157" s="80" t="s">
        <v>2116</v>
      </c>
      <c r="G2157" s="2" t="s">
        <v>295</v>
      </c>
      <c r="H2157" s="2" t="s">
        <v>3458</v>
      </c>
      <c r="I2157" s="7" t="s">
        <v>88</v>
      </c>
      <c r="J2157" s="31">
        <v>45738</v>
      </c>
      <c r="K2157" s="31">
        <v>45740</v>
      </c>
      <c r="L2157" s="31">
        <v>45751</v>
      </c>
      <c r="M2157" s="31">
        <v>45781</v>
      </c>
      <c r="N2157" s="31"/>
      <c r="O2157" s="2" t="s">
        <v>297</v>
      </c>
    </row>
    <row r="2158" spans="1:15">
      <c r="A2158" s="3">
        <f t="shared" si="34"/>
        <v>2157</v>
      </c>
      <c r="B2158" s="118" t="s">
        <v>3459</v>
      </c>
      <c r="C2158" s="7">
        <v>8853713933</v>
      </c>
      <c r="D2158" s="6"/>
      <c r="E2158" s="7" t="s">
        <v>3295</v>
      </c>
      <c r="F2158" s="80" t="s">
        <v>3061</v>
      </c>
      <c r="G2158" s="2" t="s">
        <v>16</v>
      </c>
      <c r="H2158" s="2" t="s">
        <v>487</v>
      </c>
      <c r="I2158" s="7" t="s">
        <v>88</v>
      </c>
      <c r="J2158" s="31">
        <v>45734</v>
      </c>
      <c r="K2158" s="31">
        <v>45735</v>
      </c>
      <c r="L2158" s="31">
        <v>45751</v>
      </c>
      <c r="M2158" s="31">
        <v>45781</v>
      </c>
      <c r="N2158" s="31">
        <v>45781</v>
      </c>
      <c r="O2158" s="2" t="s">
        <v>297</v>
      </c>
    </row>
    <row r="2159" spans="1:15">
      <c r="A2159" s="3">
        <f t="shared" si="34"/>
        <v>2158</v>
      </c>
      <c r="B2159" s="118" t="s">
        <v>3460</v>
      </c>
      <c r="C2159" s="7">
        <v>8731958552</v>
      </c>
      <c r="D2159" s="6"/>
      <c r="E2159" s="7" t="s">
        <v>650</v>
      </c>
      <c r="F2159" s="80" t="s">
        <v>651</v>
      </c>
      <c r="G2159" s="2" t="s">
        <v>16</v>
      </c>
      <c r="H2159" s="2" t="s">
        <v>3461</v>
      </c>
      <c r="I2159" s="7" t="s">
        <v>88</v>
      </c>
      <c r="J2159" s="31">
        <v>45740</v>
      </c>
      <c r="K2159" s="31">
        <v>45741</v>
      </c>
      <c r="L2159" s="31">
        <v>45751</v>
      </c>
      <c r="M2159" s="31">
        <v>45781</v>
      </c>
      <c r="N2159" s="31">
        <v>45781</v>
      </c>
      <c r="O2159" s="2" t="s">
        <v>297</v>
      </c>
    </row>
    <row r="2160" spans="1:15">
      <c r="A2160" s="3">
        <f t="shared" si="34"/>
        <v>2159</v>
      </c>
      <c r="B2160" s="118" t="s">
        <v>3462</v>
      </c>
      <c r="C2160" s="7">
        <v>7081813158</v>
      </c>
      <c r="D2160" s="6"/>
      <c r="E2160" s="17" t="s">
        <v>3463</v>
      </c>
      <c r="F2160" s="80" t="s">
        <v>3464</v>
      </c>
      <c r="G2160" s="2" t="s">
        <v>330</v>
      </c>
      <c r="H2160" s="2" t="s">
        <v>88</v>
      </c>
      <c r="I2160" s="7" t="s">
        <v>88</v>
      </c>
      <c r="J2160" s="31">
        <v>45717</v>
      </c>
      <c r="K2160" s="31">
        <v>45719</v>
      </c>
      <c r="L2160" s="31">
        <v>45751</v>
      </c>
      <c r="M2160" s="31">
        <v>45781</v>
      </c>
      <c r="N2160" s="31">
        <v>45781</v>
      </c>
      <c r="O2160" s="2" t="s">
        <v>297</v>
      </c>
    </row>
    <row r="2161" spans="1:15">
      <c r="A2161" s="3">
        <f t="shared" si="34"/>
        <v>2160</v>
      </c>
      <c r="B2161" s="118" t="s">
        <v>3465</v>
      </c>
      <c r="C2161" s="7">
        <v>8541065731</v>
      </c>
      <c r="D2161" s="6"/>
      <c r="E2161" s="17" t="s">
        <v>1923</v>
      </c>
      <c r="F2161" s="80" t="s">
        <v>329</v>
      </c>
      <c r="G2161" s="2" t="s">
        <v>16</v>
      </c>
      <c r="H2161" s="2" t="s">
        <v>368</v>
      </c>
      <c r="I2161" s="7" t="s">
        <v>94</v>
      </c>
      <c r="J2161" s="31">
        <v>45751</v>
      </c>
      <c r="K2161" s="31">
        <v>45762</v>
      </c>
      <c r="L2161" s="31">
        <v>45763</v>
      </c>
      <c r="M2161" s="31">
        <v>45848</v>
      </c>
      <c r="N2161" s="31">
        <v>45849</v>
      </c>
      <c r="O2161" s="2" t="s">
        <v>297</v>
      </c>
    </row>
    <row r="2162" spans="1:15">
      <c r="A2162" s="3">
        <f t="shared" ref="A2162:A2220" si="35">ROW()-1</f>
        <v>2161</v>
      </c>
      <c r="B2162" s="118" t="s">
        <v>3466</v>
      </c>
      <c r="C2162" s="7">
        <v>8318549307</v>
      </c>
      <c r="D2162" s="6"/>
      <c r="E2162" s="17" t="s">
        <v>1923</v>
      </c>
      <c r="F2162" s="80" t="s">
        <v>329</v>
      </c>
      <c r="G2162" s="2" t="s">
        <v>424</v>
      </c>
      <c r="H2162" s="2" t="s">
        <v>368</v>
      </c>
      <c r="I2162" s="7" t="s">
        <v>94</v>
      </c>
      <c r="J2162" s="31">
        <v>45751</v>
      </c>
      <c r="K2162" s="31">
        <v>45762</v>
      </c>
      <c r="L2162" s="31"/>
      <c r="M2162" s="31"/>
      <c r="N2162" s="31"/>
      <c r="O2162" s="2" t="s">
        <v>425</v>
      </c>
    </row>
    <row r="2163" spans="1:15">
      <c r="A2163" s="3">
        <f t="shared" si="35"/>
        <v>2162</v>
      </c>
      <c r="B2163" s="118" t="s">
        <v>3467</v>
      </c>
      <c r="C2163" s="7">
        <v>9010582143</v>
      </c>
      <c r="D2163" s="6"/>
      <c r="E2163" s="17" t="s">
        <v>2413</v>
      </c>
      <c r="F2163" s="80" t="s">
        <v>569</v>
      </c>
      <c r="G2163" s="3" t="s">
        <v>424</v>
      </c>
      <c r="H2163" s="2" t="s">
        <v>1186</v>
      </c>
      <c r="I2163" s="7" t="s">
        <v>88</v>
      </c>
      <c r="J2163" s="31">
        <v>45751</v>
      </c>
      <c r="K2163" s="31">
        <v>45805</v>
      </c>
      <c r="L2163" s="31"/>
      <c r="M2163" s="31"/>
      <c r="N2163" s="31"/>
      <c r="O2163" s="2" t="s">
        <v>425</v>
      </c>
    </row>
    <row r="2164" spans="1:15">
      <c r="A2164" s="3">
        <f t="shared" si="35"/>
        <v>2163</v>
      </c>
      <c r="B2164" s="118" t="s">
        <v>3468</v>
      </c>
      <c r="C2164" s="7">
        <v>9010064451</v>
      </c>
      <c r="D2164" s="6">
        <v>9010064451</v>
      </c>
      <c r="E2164" s="17" t="s">
        <v>2413</v>
      </c>
      <c r="F2164" s="80" t="s">
        <v>569</v>
      </c>
      <c r="G2164" s="3" t="s">
        <v>16</v>
      </c>
      <c r="H2164" s="2" t="s">
        <v>1186</v>
      </c>
      <c r="I2164" s="7" t="s">
        <v>88</v>
      </c>
      <c r="J2164" s="31">
        <v>45751</v>
      </c>
      <c r="K2164" s="31">
        <v>45805</v>
      </c>
      <c r="L2164" s="31">
        <v>45840</v>
      </c>
      <c r="M2164" s="31">
        <v>45953</v>
      </c>
      <c r="N2164" s="31">
        <v>45948</v>
      </c>
      <c r="O2164" s="2" t="s">
        <v>297</v>
      </c>
    </row>
    <row r="2165" spans="1:15">
      <c r="A2165" s="3">
        <f t="shared" si="35"/>
        <v>2164</v>
      </c>
      <c r="B2165" s="118" t="s">
        <v>3469</v>
      </c>
      <c r="C2165" s="7">
        <v>9500888152</v>
      </c>
      <c r="D2165" s="6"/>
      <c r="E2165" s="17" t="s">
        <v>2481</v>
      </c>
      <c r="F2165" s="80" t="s">
        <v>3470</v>
      </c>
      <c r="G2165" s="2" t="s">
        <v>416</v>
      </c>
      <c r="H2165" s="2" t="s">
        <v>1186</v>
      </c>
      <c r="I2165" s="7" t="s">
        <v>88</v>
      </c>
      <c r="J2165" s="31">
        <v>45751</v>
      </c>
      <c r="K2165" s="31">
        <v>45806</v>
      </c>
      <c r="L2165" s="31"/>
      <c r="M2165" s="31"/>
      <c r="N2165" s="31"/>
      <c r="O2165" s="2" t="s">
        <v>297</v>
      </c>
    </row>
    <row r="2166" spans="1:15">
      <c r="A2166" s="3">
        <f t="shared" si="35"/>
        <v>2165</v>
      </c>
      <c r="B2166" s="118" t="s">
        <v>3471</v>
      </c>
      <c r="C2166" s="7">
        <v>8555970531</v>
      </c>
      <c r="D2166" s="6"/>
      <c r="E2166" s="17" t="s">
        <v>2413</v>
      </c>
      <c r="F2166" s="80" t="s">
        <v>569</v>
      </c>
      <c r="G2166" s="2" t="s">
        <v>416</v>
      </c>
      <c r="H2166" s="2" t="s">
        <v>1186</v>
      </c>
      <c r="I2166" s="7" t="s">
        <v>88</v>
      </c>
      <c r="J2166" s="31">
        <v>45751</v>
      </c>
      <c r="K2166" s="31">
        <v>45806</v>
      </c>
      <c r="L2166" s="31"/>
      <c r="M2166" s="31"/>
      <c r="N2166" s="31"/>
      <c r="O2166" s="2" t="s">
        <v>297</v>
      </c>
    </row>
    <row r="2167" spans="1:15">
      <c r="A2167" s="3">
        <f t="shared" si="35"/>
        <v>2166</v>
      </c>
      <c r="B2167" s="118" t="s">
        <v>3472</v>
      </c>
      <c r="C2167" s="7">
        <v>8374040480</v>
      </c>
      <c r="D2167" s="6"/>
      <c r="E2167" s="17" t="s">
        <v>2481</v>
      </c>
      <c r="F2167" s="80" t="s">
        <v>308</v>
      </c>
      <c r="G2167" s="3" t="s">
        <v>16</v>
      </c>
      <c r="H2167" s="2" t="s">
        <v>1186</v>
      </c>
      <c r="I2167" s="7" t="s">
        <v>88</v>
      </c>
      <c r="J2167" s="31">
        <v>45751</v>
      </c>
      <c r="K2167" s="31">
        <v>45806</v>
      </c>
      <c r="L2167" s="31">
        <v>45840</v>
      </c>
      <c r="M2167" s="31">
        <v>45887</v>
      </c>
      <c r="N2167" s="31">
        <v>45915</v>
      </c>
      <c r="O2167" s="2" t="s">
        <v>297</v>
      </c>
    </row>
    <row r="2168" spans="1:15">
      <c r="A2168" s="3">
        <f t="shared" si="35"/>
        <v>2167</v>
      </c>
      <c r="B2168" s="118" t="s">
        <v>3473</v>
      </c>
      <c r="C2168" s="7">
        <v>9177053735</v>
      </c>
      <c r="D2168" s="6"/>
      <c r="E2168" s="17" t="s">
        <v>2481</v>
      </c>
      <c r="F2168" s="80" t="s">
        <v>308</v>
      </c>
      <c r="G2168" s="3" t="s">
        <v>424</v>
      </c>
      <c r="H2168" s="2" t="s">
        <v>1186</v>
      </c>
      <c r="I2168" s="7" t="s">
        <v>88</v>
      </c>
      <c r="J2168" s="31">
        <v>45751</v>
      </c>
      <c r="K2168" s="31">
        <v>45806</v>
      </c>
      <c r="L2168" s="31"/>
      <c r="M2168" s="31"/>
      <c r="N2168" s="31"/>
      <c r="O2168" s="2" t="s">
        <v>425</v>
      </c>
    </row>
    <row r="2169" spans="1:15">
      <c r="A2169" s="3">
        <f t="shared" si="35"/>
        <v>2168</v>
      </c>
      <c r="B2169" s="118" t="s">
        <v>3474</v>
      </c>
      <c r="C2169" s="7">
        <v>6301016650</v>
      </c>
      <c r="D2169" s="6"/>
      <c r="E2169" s="17" t="s">
        <v>2416</v>
      </c>
      <c r="F2169" s="80" t="s">
        <v>3475</v>
      </c>
      <c r="G2169" s="3" t="s">
        <v>16</v>
      </c>
      <c r="H2169" s="2" t="s">
        <v>1186</v>
      </c>
      <c r="I2169" s="7" t="s">
        <v>88</v>
      </c>
      <c r="J2169" s="31">
        <v>45751</v>
      </c>
      <c r="K2169" s="31">
        <v>45806</v>
      </c>
      <c r="L2169" s="31">
        <v>45840</v>
      </c>
      <c r="M2169" s="31">
        <v>45887</v>
      </c>
      <c r="N2169" s="31">
        <v>45887</v>
      </c>
      <c r="O2169" s="2" t="s">
        <v>297</v>
      </c>
    </row>
    <row r="2170" spans="1:15">
      <c r="A2170" s="3">
        <f t="shared" si="35"/>
        <v>2169</v>
      </c>
      <c r="B2170" s="118" t="s">
        <v>3476</v>
      </c>
      <c r="C2170" s="7">
        <v>9655797019</v>
      </c>
      <c r="D2170" s="6"/>
      <c r="E2170" s="17" t="s">
        <v>2416</v>
      </c>
      <c r="F2170" s="80" t="s">
        <v>451</v>
      </c>
      <c r="G2170" s="3" t="s">
        <v>16</v>
      </c>
      <c r="H2170" s="2" t="s">
        <v>1186</v>
      </c>
      <c r="I2170" s="7" t="s">
        <v>88</v>
      </c>
      <c r="J2170" s="31">
        <v>45751</v>
      </c>
      <c r="K2170" s="31">
        <v>45806</v>
      </c>
      <c r="L2170" s="31">
        <v>45826</v>
      </c>
      <c r="M2170" s="31">
        <v>45901</v>
      </c>
      <c r="N2170" s="31">
        <v>45901</v>
      </c>
      <c r="O2170" s="2" t="s">
        <v>297</v>
      </c>
    </row>
    <row r="2171" spans="1:15">
      <c r="A2171" s="3">
        <f t="shared" si="35"/>
        <v>2170</v>
      </c>
      <c r="B2171" s="118" t="s">
        <v>3477</v>
      </c>
      <c r="C2171" s="7">
        <v>7995220818</v>
      </c>
      <c r="D2171" s="6"/>
      <c r="E2171" s="17" t="s">
        <v>75</v>
      </c>
      <c r="F2171" s="80" t="s">
        <v>3478</v>
      </c>
      <c r="G2171" s="2" t="s">
        <v>295</v>
      </c>
      <c r="H2171" s="2" t="s">
        <v>1436</v>
      </c>
      <c r="I2171" s="7" t="s">
        <v>42</v>
      </c>
      <c r="J2171" s="31">
        <v>45751</v>
      </c>
      <c r="K2171" s="31">
        <v>45752</v>
      </c>
      <c r="L2171" s="31">
        <v>45758</v>
      </c>
      <c r="M2171" s="31">
        <v>45795</v>
      </c>
      <c r="N2171" s="31"/>
      <c r="O2171" s="2" t="s">
        <v>297</v>
      </c>
    </row>
    <row r="2172" spans="1:15">
      <c r="A2172" s="3">
        <f t="shared" si="35"/>
        <v>2171</v>
      </c>
      <c r="B2172" s="118" t="s">
        <v>3479</v>
      </c>
      <c r="C2172" s="7">
        <v>6302587012</v>
      </c>
      <c r="D2172" s="6"/>
      <c r="E2172" s="3" t="s">
        <v>90</v>
      </c>
      <c r="F2172" s="80" t="s">
        <v>294</v>
      </c>
      <c r="G2172" s="2" t="s">
        <v>16</v>
      </c>
      <c r="H2172" s="2" t="s">
        <v>1436</v>
      </c>
      <c r="I2172" s="7" t="s">
        <v>42</v>
      </c>
      <c r="J2172" s="31">
        <v>45751</v>
      </c>
      <c r="K2172" s="31">
        <v>45752</v>
      </c>
      <c r="L2172" s="31">
        <v>45758</v>
      </c>
      <c r="M2172" s="31">
        <v>45788</v>
      </c>
      <c r="N2172" s="31">
        <v>45793</v>
      </c>
      <c r="O2172" s="2" t="s">
        <v>297</v>
      </c>
    </row>
    <row r="2173" spans="1:15">
      <c r="A2173" s="3">
        <f t="shared" si="35"/>
        <v>2172</v>
      </c>
      <c r="B2173" s="118" t="s">
        <v>3480</v>
      </c>
      <c r="C2173" s="7">
        <v>7382027988</v>
      </c>
      <c r="D2173" s="6"/>
      <c r="E2173" s="3" t="s">
        <v>107</v>
      </c>
      <c r="F2173" s="80" t="s">
        <v>3481</v>
      </c>
      <c r="G2173" s="2" t="s">
        <v>424</v>
      </c>
      <c r="H2173" s="2" t="s">
        <v>102</v>
      </c>
      <c r="I2173" s="7" t="s">
        <v>42</v>
      </c>
      <c r="J2173" s="31">
        <v>45751</v>
      </c>
      <c r="K2173" s="31">
        <v>45771</v>
      </c>
      <c r="L2173" s="31"/>
      <c r="M2173" s="31"/>
      <c r="N2173" s="31"/>
      <c r="O2173" s="2" t="s">
        <v>425</v>
      </c>
    </row>
    <row r="2174" spans="1:15">
      <c r="A2174" s="3">
        <f t="shared" si="35"/>
        <v>2173</v>
      </c>
      <c r="B2174" s="118" t="s">
        <v>413</v>
      </c>
      <c r="C2174" s="7">
        <v>9494948344</v>
      </c>
      <c r="D2174" s="6"/>
      <c r="E2174" s="3" t="s">
        <v>107</v>
      </c>
      <c r="F2174" s="80" t="s">
        <v>3482</v>
      </c>
      <c r="G2174" s="2" t="s">
        <v>764</v>
      </c>
      <c r="H2174" s="2" t="s">
        <v>102</v>
      </c>
      <c r="I2174" s="7" t="s">
        <v>42</v>
      </c>
      <c r="J2174" s="31">
        <v>45751</v>
      </c>
      <c r="K2174" s="31">
        <v>45751</v>
      </c>
      <c r="L2174" s="31"/>
      <c r="M2174" s="31"/>
      <c r="N2174" s="31"/>
      <c r="O2174" s="2" t="s">
        <v>425</v>
      </c>
    </row>
    <row r="2175" spans="1:15">
      <c r="A2175" s="3">
        <f t="shared" si="35"/>
        <v>2174</v>
      </c>
      <c r="B2175" s="118" t="s">
        <v>3483</v>
      </c>
      <c r="C2175" s="7">
        <v>9951439984</v>
      </c>
      <c r="D2175" s="6"/>
      <c r="E2175" s="3" t="s">
        <v>107</v>
      </c>
      <c r="F2175" s="80" t="s">
        <v>3484</v>
      </c>
      <c r="G2175" s="2" t="s">
        <v>764</v>
      </c>
      <c r="H2175" s="2" t="s">
        <v>102</v>
      </c>
      <c r="I2175" s="7" t="s">
        <v>42</v>
      </c>
      <c r="J2175" s="31">
        <v>45751</v>
      </c>
      <c r="K2175" s="31">
        <v>45751</v>
      </c>
      <c r="L2175" s="31"/>
      <c r="M2175" s="31"/>
      <c r="N2175" s="31"/>
      <c r="O2175" s="2" t="s">
        <v>425</v>
      </c>
    </row>
    <row r="2176" spans="1:15">
      <c r="A2176" s="3">
        <f t="shared" si="35"/>
        <v>2175</v>
      </c>
      <c r="B2176" s="118" t="s">
        <v>3485</v>
      </c>
      <c r="C2176" s="7">
        <v>7084682813</v>
      </c>
      <c r="D2176" s="6"/>
      <c r="E2176" s="36" t="s">
        <v>113</v>
      </c>
      <c r="F2176" s="80" t="s">
        <v>1060</v>
      </c>
      <c r="G2176" s="2" t="s">
        <v>330</v>
      </c>
      <c r="H2176" s="2" t="s">
        <v>102</v>
      </c>
      <c r="I2176" s="7" t="s">
        <v>42</v>
      </c>
      <c r="J2176" s="31">
        <v>45751</v>
      </c>
      <c r="K2176" s="31">
        <v>45751</v>
      </c>
      <c r="L2176" s="31">
        <v>45761</v>
      </c>
      <c r="M2176" s="31">
        <v>45790</v>
      </c>
      <c r="N2176" s="31">
        <v>45790</v>
      </c>
      <c r="O2176" s="2" t="s">
        <v>297</v>
      </c>
    </row>
    <row r="2177" spans="1:15">
      <c r="A2177" s="3">
        <f t="shared" si="35"/>
        <v>2176</v>
      </c>
      <c r="B2177" s="118" t="s">
        <v>3486</v>
      </c>
      <c r="C2177" s="7">
        <v>7386351154</v>
      </c>
      <c r="D2177" s="6">
        <v>9912051154</v>
      </c>
      <c r="E2177" s="36" t="s">
        <v>110</v>
      </c>
      <c r="F2177" s="80" t="s">
        <v>3487</v>
      </c>
      <c r="G2177" s="2" t="s">
        <v>16</v>
      </c>
      <c r="H2177" s="2" t="s">
        <v>102</v>
      </c>
      <c r="I2177" s="7" t="s">
        <v>42</v>
      </c>
      <c r="J2177" s="31">
        <v>45751</v>
      </c>
      <c r="K2177" s="31">
        <v>45751</v>
      </c>
      <c r="L2177" s="31">
        <v>45758</v>
      </c>
      <c r="M2177" s="31">
        <v>45797</v>
      </c>
      <c r="N2177" s="31">
        <v>45797</v>
      </c>
      <c r="O2177" s="2" t="s">
        <v>297</v>
      </c>
    </row>
    <row r="2178" spans="1:15">
      <c r="A2178" s="3">
        <f t="shared" si="35"/>
        <v>2177</v>
      </c>
      <c r="B2178" s="118" t="s">
        <v>3488</v>
      </c>
      <c r="C2178" s="7">
        <v>9131520669</v>
      </c>
      <c r="D2178" s="6"/>
      <c r="E2178" s="3" t="s">
        <v>107</v>
      </c>
      <c r="F2178" s="80" t="s">
        <v>3489</v>
      </c>
      <c r="G2178" s="2" t="s">
        <v>764</v>
      </c>
      <c r="H2178" s="2" t="s">
        <v>102</v>
      </c>
      <c r="I2178" s="7" t="s">
        <v>42</v>
      </c>
      <c r="J2178" s="31">
        <v>45751</v>
      </c>
      <c r="K2178" s="31">
        <v>45751</v>
      </c>
      <c r="L2178" s="31"/>
      <c r="M2178" s="31"/>
      <c r="N2178" s="31"/>
      <c r="O2178" s="2" t="s">
        <v>425</v>
      </c>
    </row>
    <row r="2179" spans="1:15">
      <c r="A2179" s="3">
        <f t="shared" si="35"/>
        <v>2178</v>
      </c>
      <c r="B2179" s="118" t="s">
        <v>3490</v>
      </c>
      <c r="C2179" s="7">
        <v>9666707575</v>
      </c>
      <c r="D2179" s="6"/>
      <c r="E2179" s="36" t="s">
        <v>110</v>
      </c>
      <c r="F2179" s="80" t="s">
        <v>2340</v>
      </c>
      <c r="G2179" s="2" t="s">
        <v>16</v>
      </c>
      <c r="H2179" s="2" t="s">
        <v>102</v>
      </c>
      <c r="I2179" s="7" t="s">
        <v>42</v>
      </c>
      <c r="J2179" s="31">
        <v>45751</v>
      </c>
      <c r="K2179" s="31">
        <v>45751</v>
      </c>
      <c r="L2179" s="31">
        <v>45758</v>
      </c>
      <c r="M2179" s="31">
        <v>45788</v>
      </c>
      <c r="N2179" s="31">
        <v>45790</v>
      </c>
      <c r="O2179" s="2" t="s">
        <v>297</v>
      </c>
    </row>
    <row r="2180" spans="1:15">
      <c r="A2180" s="3">
        <f t="shared" si="35"/>
        <v>2179</v>
      </c>
      <c r="B2180" s="121" t="s">
        <v>3491</v>
      </c>
      <c r="C2180" s="7">
        <v>6302109784</v>
      </c>
      <c r="D2180" s="6"/>
      <c r="E2180" s="17" t="s">
        <v>85</v>
      </c>
      <c r="F2180" s="80"/>
      <c r="G2180" s="2" t="s">
        <v>16</v>
      </c>
      <c r="H2180" s="2" t="s">
        <v>3117</v>
      </c>
      <c r="I2180" s="7" t="s">
        <v>94</v>
      </c>
      <c r="J2180" s="31">
        <v>45738</v>
      </c>
      <c r="K2180" s="31">
        <v>45740</v>
      </c>
      <c r="L2180" s="31">
        <v>45751</v>
      </c>
      <c r="M2180" s="31">
        <v>45801</v>
      </c>
      <c r="N2180" s="31">
        <v>45771</v>
      </c>
      <c r="O2180" s="2" t="s">
        <v>297</v>
      </c>
    </row>
    <row r="2181" spans="1:15">
      <c r="A2181" s="3">
        <f t="shared" si="35"/>
        <v>2180</v>
      </c>
      <c r="B2181" s="124" t="s">
        <v>3492</v>
      </c>
      <c r="C2181" s="7">
        <v>9505818054</v>
      </c>
      <c r="D2181" s="6"/>
      <c r="E2181" s="17" t="s">
        <v>72</v>
      </c>
      <c r="F2181" s="80"/>
      <c r="G2181" s="2" t="s">
        <v>16</v>
      </c>
      <c r="H2181" s="2" t="s">
        <v>3117</v>
      </c>
      <c r="I2181" s="7" t="s">
        <v>94</v>
      </c>
      <c r="J2181" s="31">
        <v>45738</v>
      </c>
      <c r="K2181" s="31">
        <v>45740</v>
      </c>
      <c r="L2181" s="31">
        <v>45751</v>
      </c>
      <c r="M2181" s="31">
        <v>45796</v>
      </c>
      <c r="N2181" s="31">
        <v>45761</v>
      </c>
      <c r="O2181" s="2" t="s">
        <v>297</v>
      </c>
    </row>
    <row r="2182" spans="1:15">
      <c r="A2182" s="3">
        <f t="shared" si="35"/>
        <v>2181</v>
      </c>
      <c r="B2182" s="41" t="s">
        <v>3493</v>
      </c>
      <c r="C2182" s="4">
        <v>9164277792</v>
      </c>
      <c r="D2182" s="6"/>
      <c r="E2182" s="4" t="s">
        <v>3494</v>
      </c>
      <c r="F2182" s="67"/>
      <c r="G2182" s="2" t="s">
        <v>16</v>
      </c>
      <c r="H2182" s="2" t="s">
        <v>1544</v>
      </c>
      <c r="I2182" s="4" t="s">
        <v>42</v>
      </c>
      <c r="J2182" s="31">
        <v>45751</v>
      </c>
      <c r="K2182" s="31">
        <v>45751</v>
      </c>
      <c r="L2182" s="31">
        <v>45751</v>
      </c>
      <c r="M2182" s="31">
        <v>45790</v>
      </c>
      <c r="N2182" s="31">
        <v>45792</v>
      </c>
      <c r="O2182" s="2" t="s">
        <v>297</v>
      </c>
    </row>
    <row r="2183" spans="1:15">
      <c r="A2183" s="3">
        <f t="shared" si="35"/>
        <v>2182</v>
      </c>
      <c r="B2183" s="41" t="s">
        <v>3495</v>
      </c>
      <c r="C2183" s="4">
        <v>9949095669</v>
      </c>
      <c r="D2183" s="6"/>
      <c r="E2183" s="3" t="s">
        <v>59</v>
      </c>
      <c r="F2183" s="67" t="s">
        <v>3496</v>
      </c>
      <c r="G2183" s="2" t="s">
        <v>295</v>
      </c>
      <c r="H2183" s="2" t="s">
        <v>679</v>
      </c>
      <c r="I2183" s="4" t="s">
        <v>42</v>
      </c>
      <c r="J2183" s="31">
        <v>45752</v>
      </c>
      <c r="K2183" s="31">
        <v>45753</v>
      </c>
      <c r="L2183" s="31">
        <v>45763</v>
      </c>
      <c r="M2183" s="31">
        <v>45877</v>
      </c>
      <c r="N2183" s="31"/>
      <c r="O2183" s="2" t="s">
        <v>297</v>
      </c>
    </row>
    <row r="2184" spans="1:15">
      <c r="A2184" s="3">
        <f t="shared" si="35"/>
        <v>2183</v>
      </c>
      <c r="B2184" s="41" t="s">
        <v>3497</v>
      </c>
      <c r="C2184" s="4">
        <v>8919767064</v>
      </c>
      <c r="D2184" s="6"/>
      <c r="E2184" s="3" t="s">
        <v>56</v>
      </c>
      <c r="F2184" s="67" t="s">
        <v>1361</v>
      </c>
      <c r="G2184" s="2" t="s">
        <v>424</v>
      </c>
      <c r="H2184" s="2" t="s">
        <v>679</v>
      </c>
      <c r="I2184" s="4" t="s">
        <v>42</v>
      </c>
      <c r="J2184" s="31">
        <v>45752</v>
      </c>
      <c r="K2184" s="31">
        <v>45753</v>
      </c>
      <c r="L2184" s="31"/>
      <c r="M2184" s="31"/>
      <c r="N2184" s="31"/>
      <c r="O2184" s="2" t="s">
        <v>425</v>
      </c>
    </row>
    <row r="2185" spans="1:15">
      <c r="A2185" s="3">
        <f t="shared" si="35"/>
        <v>2184</v>
      </c>
      <c r="B2185" s="41" t="s">
        <v>3498</v>
      </c>
      <c r="C2185" s="4">
        <v>9030878422</v>
      </c>
      <c r="D2185" s="6">
        <v>9581548164</v>
      </c>
      <c r="E2185" s="3" t="s">
        <v>56</v>
      </c>
      <c r="F2185" s="67" t="s">
        <v>3499</v>
      </c>
      <c r="G2185" s="2" t="s">
        <v>16</v>
      </c>
      <c r="H2185" s="2" t="s">
        <v>679</v>
      </c>
      <c r="I2185" s="4" t="s">
        <v>42</v>
      </c>
      <c r="J2185" s="31">
        <v>45752</v>
      </c>
      <c r="K2185" s="31">
        <v>45753</v>
      </c>
      <c r="L2185" s="31">
        <v>45758</v>
      </c>
      <c r="M2185" s="31">
        <v>45761</v>
      </c>
      <c r="N2185" s="31">
        <v>45763</v>
      </c>
      <c r="O2185" s="2" t="s">
        <v>297</v>
      </c>
    </row>
    <row r="2186" spans="1:15">
      <c r="A2186" s="3">
        <f t="shared" si="35"/>
        <v>2185</v>
      </c>
      <c r="B2186" s="41" t="s">
        <v>1229</v>
      </c>
      <c r="C2186" s="4">
        <v>9949734619</v>
      </c>
      <c r="D2186" s="6"/>
      <c r="E2186" s="3" t="s">
        <v>59</v>
      </c>
      <c r="F2186" s="67" t="s">
        <v>3500</v>
      </c>
      <c r="G2186" s="2" t="s">
        <v>424</v>
      </c>
      <c r="H2186" s="2" t="s">
        <v>679</v>
      </c>
      <c r="I2186" s="4" t="s">
        <v>42</v>
      </c>
      <c r="J2186" s="31">
        <v>45752</v>
      </c>
      <c r="K2186" s="31">
        <v>45753</v>
      </c>
      <c r="L2186" s="31"/>
      <c r="M2186" s="31"/>
      <c r="N2186" s="31"/>
      <c r="O2186" s="2" t="s">
        <v>425</v>
      </c>
    </row>
    <row r="2187" spans="1:15">
      <c r="A2187" s="3">
        <f t="shared" si="35"/>
        <v>2186</v>
      </c>
      <c r="B2187" s="41" t="s">
        <v>3501</v>
      </c>
      <c r="C2187" s="4">
        <v>8096593456</v>
      </c>
      <c r="D2187" s="6">
        <v>7816016831</v>
      </c>
      <c r="E2187" s="3" t="s">
        <v>56</v>
      </c>
      <c r="F2187" s="67" t="s">
        <v>3499</v>
      </c>
      <c r="G2187" s="2" t="s">
        <v>764</v>
      </c>
      <c r="H2187" s="2" t="s">
        <v>679</v>
      </c>
      <c r="I2187" s="4" t="s">
        <v>42</v>
      </c>
      <c r="J2187" s="31">
        <v>45752</v>
      </c>
      <c r="K2187" s="31">
        <v>45776</v>
      </c>
      <c r="L2187" s="31"/>
      <c r="M2187" s="31"/>
      <c r="N2187" s="31"/>
      <c r="O2187" s="2" t="s">
        <v>425</v>
      </c>
    </row>
    <row r="2188" spans="1:15">
      <c r="A2188" s="3">
        <f t="shared" si="35"/>
        <v>2187</v>
      </c>
      <c r="B2188" s="41" t="s">
        <v>3502</v>
      </c>
      <c r="C2188" s="4">
        <v>9882005498</v>
      </c>
      <c r="D2188" s="6">
        <v>8384876357</v>
      </c>
      <c r="E2188" s="3" t="s">
        <v>56</v>
      </c>
      <c r="F2188" s="67" t="s">
        <v>2346</v>
      </c>
      <c r="G2188" s="2" t="s">
        <v>764</v>
      </c>
      <c r="H2188" s="2" t="s">
        <v>679</v>
      </c>
      <c r="I2188" s="4" t="s">
        <v>42</v>
      </c>
      <c r="J2188" s="31">
        <v>45752</v>
      </c>
      <c r="K2188" s="31">
        <v>45753</v>
      </c>
      <c r="L2188" s="31"/>
      <c r="M2188" s="31"/>
      <c r="N2188" s="31"/>
      <c r="O2188" s="2" t="s">
        <v>425</v>
      </c>
    </row>
    <row r="2189" spans="1:15">
      <c r="A2189" s="3">
        <f t="shared" si="35"/>
        <v>2188</v>
      </c>
      <c r="B2189" s="41" t="s">
        <v>3503</v>
      </c>
      <c r="C2189" s="4">
        <v>9963836689</v>
      </c>
      <c r="D2189" s="6"/>
      <c r="E2189" s="3" t="s">
        <v>56</v>
      </c>
      <c r="F2189" s="67" t="s">
        <v>2346</v>
      </c>
      <c r="G2189" s="2" t="s">
        <v>416</v>
      </c>
      <c r="H2189" s="2" t="s">
        <v>679</v>
      </c>
      <c r="I2189" s="4" t="s">
        <v>42</v>
      </c>
      <c r="J2189" s="31">
        <v>45752</v>
      </c>
      <c r="K2189" s="31">
        <v>45753</v>
      </c>
      <c r="L2189" s="31"/>
      <c r="M2189" s="31"/>
      <c r="N2189" s="31"/>
      <c r="O2189" s="2" t="s">
        <v>297</v>
      </c>
    </row>
    <row r="2190" spans="1:15">
      <c r="A2190" s="3">
        <f t="shared" si="35"/>
        <v>2189</v>
      </c>
      <c r="B2190" s="41" t="s">
        <v>3096</v>
      </c>
      <c r="C2190" s="4">
        <v>9155605052</v>
      </c>
      <c r="D2190" s="6"/>
      <c r="E2190" s="61" t="s">
        <v>3312</v>
      </c>
      <c r="F2190" s="67" t="s">
        <v>252</v>
      </c>
      <c r="G2190" s="2" t="s">
        <v>416</v>
      </c>
      <c r="H2190" s="2" t="s">
        <v>3313</v>
      </c>
      <c r="I2190" s="4" t="s">
        <v>42</v>
      </c>
      <c r="J2190" s="31">
        <v>45754</v>
      </c>
      <c r="K2190" s="31">
        <v>45770</v>
      </c>
      <c r="L2190" s="31"/>
      <c r="M2190" s="31"/>
      <c r="N2190" s="31"/>
      <c r="O2190" s="2" t="s">
        <v>297</v>
      </c>
    </row>
    <row r="2191" spans="1:15">
      <c r="A2191" s="3">
        <f t="shared" si="35"/>
        <v>2190</v>
      </c>
      <c r="B2191" s="41" t="s">
        <v>3504</v>
      </c>
      <c r="C2191" s="4">
        <v>9603388477</v>
      </c>
      <c r="D2191" s="6"/>
      <c r="E2191" s="61" t="s">
        <v>3312</v>
      </c>
      <c r="F2191" s="67" t="s">
        <v>3505</v>
      </c>
      <c r="G2191" s="2" t="s">
        <v>16</v>
      </c>
      <c r="H2191" s="2" t="s">
        <v>3313</v>
      </c>
      <c r="I2191" s="4" t="s">
        <v>42</v>
      </c>
      <c r="J2191" s="31">
        <v>45754</v>
      </c>
      <c r="K2191" s="31">
        <v>45762</v>
      </c>
      <c r="L2191" s="31">
        <v>45765</v>
      </c>
      <c r="M2191" s="31">
        <v>45772</v>
      </c>
      <c r="N2191" s="31">
        <v>45767</v>
      </c>
      <c r="O2191" s="2" t="s">
        <v>297</v>
      </c>
    </row>
    <row r="2192" spans="1:15">
      <c r="A2192" s="3">
        <f t="shared" si="35"/>
        <v>2191</v>
      </c>
      <c r="B2192" s="41" t="s">
        <v>3506</v>
      </c>
      <c r="C2192" s="4">
        <v>7032345034</v>
      </c>
      <c r="D2192" s="6"/>
      <c r="E2192" s="36" t="s">
        <v>113</v>
      </c>
      <c r="F2192" s="67" t="s">
        <v>1060</v>
      </c>
      <c r="G2192" s="2" t="s">
        <v>16</v>
      </c>
      <c r="H2192" s="2" t="s">
        <v>102</v>
      </c>
      <c r="I2192" s="4" t="s">
        <v>42</v>
      </c>
      <c r="J2192" s="31">
        <v>45755</v>
      </c>
      <c r="K2192" s="31">
        <v>45756</v>
      </c>
      <c r="L2192" s="31">
        <v>45758</v>
      </c>
      <c r="M2192" s="31">
        <v>45765</v>
      </c>
      <c r="N2192" s="31">
        <v>45765</v>
      </c>
      <c r="O2192" s="2" t="s">
        <v>297</v>
      </c>
    </row>
    <row r="2193" spans="1:15">
      <c r="A2193" s="3">
        <f t="shared" si="35"/>
        <v>2192</v>
      </c>
      <c r="B2193" s="41" t="s">
        <v>3507</v>
      </c>
      <c r="C2193" s="4">
        <v>9744568233</v>
      </c>
      <c r="D2193" s="6"/>
      <c r="E2193" s="3" t="s">
        <v>107</v>
      </c>
      <c r="F2193" s="67" t="s">
        <v>2463</v>
      </c>
      <c r="G2193" s="2" t="s">
        <v>424</v>
      </c>
      <c r="H2193" s="2" t="s">
        <v>102</v>
      </c>
      <c r="I2193" s="4" t="s">
        <v>42</v>
      </c>
      <c r="J2193" s="31">
        <v>45755</v>
      </c>
      <c r="K2193" s="31">
        <v>45771</v>
      </c>
      <c r="L2193" s="31"/>
      <c r="M2193" s="31"/>
      <c r="N2193" s="31"/>
      <c r="O2193" s="2" t="s">
        <v>425</v>
      </c>
    </row>
    <row r="2194" spans="1:15">
      <c r="A2194" s="3">
        <f t="shared" si="35"/>
        <v>2193</v>
      </c>
      <c r="B2194" s="41" t="s">
        <v>3508</v>
      </c>
      <c r="C2194" s="4">
        <v>8008437337</v>
      </c>
      <c r="D2194" s="6"/>
      <c r="E2194" s="3" t="s">
        <v>107</v>
      </c>
      <c r="F2194" s="67" t="s">
        <v>3481</v>
      </c>
      <c r="G2194" s="2" t="s">
        <v>764</v>
      </c>
      <c r="H2194" s="2" t="s">
        <v>102</v>
      </c>
      <c r="I2194" s="4" t="s">
        <v>42</v>
      </c>
      <c r="J2194" s="31">
        <v>45755</v>
      </c>
      <c r="K2194" s="31">
        <v>45756</v>
      </c>
      <c r="L2194" s="31"/>
      <c r="M2194" s="31"/>
      <c r="N2194" s="31"/>
      <c r="O2194" s="2" t="s">
        <v>425</v>
      </c>
    </row>
    <row r="2195" spans="1:15">
      <c r="A2195" s="3">
        <f t="shared" si="35"/>
        <v>2194</v>
      </c>
      <c r="B2195" s="41" t="s">
        <v>3509</v>
      </c>
      <c r="C2195" s="4">
        <v>9494202605</v>
      </c>
      <c r="D2195" s="6"/>
      <c r="E2195" s="3" t="s">
        <v>107</v>
      </c>
      <c r="F2195" s="67" t="s">
        <v>2360</v>
      </c>
      <c r="G2195" s="2" t="s">
        <v>424</v>
      </c>
      <c r="H2195" s="2" t="s">
        <v>102</v>
      </c>
      <c r="I2195" s="4" t="s">
        <v>42</v>
      </c>
      <c r="J2195" s="31">
        <v>45755</v>
      </c>
      <c r="K2195" s="31">
        <v>45771</v>
      </c>
      <c r="L2195" s="31"/>
      <c r="M2195" s="31"/>
      <c r="N2195" s="31"/>
      <c r="O2195" s="2" t="s">
        <v>425</v>
      </c>
    </row>
    <row r="2196" spans="1:15">
      <c r="A2196" s="3">
        <f t="shared" si="35"/>
        <v>2195</v>
      </c>
      <c r="B2196" s="41" t="s">
        <v>3510</v>
      </c>
      <c r="C2196" s="4">
        <v>9494254255</v>
      </c>
      <c r="D2196" s="6"/>
      <c r="E2196" s="3" t="s">
        <v>107</v>
      </c>
      <c r="F2196" s="67" t="s">
        <v>3481</v>
      </c>
      <c r="G2196" s="2" t="s">
        <v>424</v>
      </c>
      <c r="H2196" s="2" t="s">
        <v>102</v>
      </c>
      <c r="I2196" s="4" t="s">
        <v>42</v>
      </c>
      <c r="J2196" s="31">
        <v>45755</v>
      </c>
      <c r="K2196" s="31">
        <v>45771</v>
      </c>
      <c r="L2196" s="31"/>
      <c r="M2196" s="31"/>
      <c r="N2196" s="31"/>
      <c r="O2196" s="2" t="s">
        <v>425</v>
      </c>
    </row>
    <row r="2197" spans="1:15">
      <c r="A2197" s="3">
        <f t="shared" si="35"/>
        <v>2196</v>
      </c>
      <c r="B2197" s="41" t="s">
        <v>3511</v>
      </c>
      <c r="C2197" s="4">
        <v>9642255430</v>
      </c>
      <c r="D2197" s="6"/>
      <c r="E2197" s="36" t="s">
        <v>113</v>
      </c>
      <c r="F2197" s="67" t="s">
        <v>3512</v>
      </c>
      <c r="G2197" s="2" t="s">
        <v>764</v>
      </c>
      <c r="H2197" s="2" t="s">
        <v>102</v>
      </c>
      <c r="I2197" s="4" t="s">
        <v>42</v>
      </c>
      <c r="J2197" s="31">
        <v>45755</v>
      </c>
      <c r="K2197" s="31">
        <v>45756</v>
      </c>
      <c r="L2197" s="31"/>
      <c r="M2197" s="31"/>
      <c r="N2197" s="31"/>
      <c r="O2197" s="2" t="s">
        <v>425</v>
      </c>
    </row>
    <row r="2198" spans="1:15">
      <c r="A2198" s="3">
        <f t="shared" si="35"/>
        <v>2197</v>
      </c>
      <c r="B2198" s="41" t="s">
        <v>3513</v>
      </c>
      <c r="C2198" s="4">
        <v>6395919229</v>
      </c>
      <c r="D2198" s="6">
        <v>9051583988</v>
      </c>
      <c r="E2198" s="36" t="s">
        <v>110</v>
      </c>
      <c r="F2198" s="67" t="s">
        <v>2900</v>
      </c>
      <c r="G2198" s="2" t="s">
        <v>764</v>
      </c>
      <c r="H2198" s="2" t="s">
        <v>102</v>
      </c>
      <c r="I2198" s="4" t="s">
        <v>42</v>
      </c>
      <c r="J2198" s="31">
        <v>45755</v>
      </c>
      <c r="K2198" s="31">
        <v>45756</v>
      </c>
      <c r="L2198" s="31"/>
      <c r="M2198" s="31"/>
      <c r="N2198" s="31"/>
      <c r="O2198" s="2" t="s">
        <v>425</v>
      </c>
    </row>
    <row r="2199" spans="1:15">
      <c r="A2199" s="3">
        <f t="shared" si="35"/>
        <v>2198</v>
      </c>
      <c r="B2199" s="41" t="s">
        <v>3514</v>
      </c>
      <c r="C2199" s="4">
        <v>9353513121</v>
      </c>
      <c r="D2199" s="6"/>
      <c r="E2199" s="36" t="s">
        <v>110</v>
      </c>
      <c r="F2199" s="67" t="s">
        <v>3515</v>
      </c>
      <c r="G2199" s="2" t="s">
        <v>764</v>
      </c>
      <c r="H2199" s="2" t="s">
        <v>102</v>
      </c>
      <c r="I2199" s="4" t="s">
        <v>42</v>
      </c>
      <c r="J2199" s="31">
        <v>45755</v>
      </c>
      <c r="K2199" s="31">
        <v>45756</v>
      </c>
      <c r="L2199" s="31"/>
      <c r="M2199" s="31"/>
      <c r="N2199" s="31"/>
      <c r="O2199" s="2" t="s">
        <v>425</v>
      </c>
    </row>
    <row r="2200" spans="1:15">
      <c r="A2200" s="3">
        <f t="shared" si="35"/>
        <v>2199</v>
      </c>
      <c r="B2200" s="41" t="s">
        <v>3516</v>
      </c>
      <c r="C2200" s="4">
        <v>7671046287</v>
      </c>
      <c r="D2200" s="6"/>
      <c r="E2200" s="36" t="s">
        <v>110</v>
      </c>
      <c r="F2200" s="67" t="s">
        <v>2340</v>
      </c>
      <c r="G2200" s="2" t="s">
        <v>295</v>
      </c>
      <c r="H2200" s="2" t="s">
        <v>102</v>
      </c>
      <c r="I2200" s="4" t="s">
        <v>42</v>
      </c>
      <c r="J2200" s="31">
        <v>45755</v>
      </c>
      <c r="K2200" s="31">
        <v>45756</v>
      </c>
      <c r="L2200" s="31">
        <v>45772</v>
      </c>
      <c r="M2200" s="31">
        <v>45803</v>
      </c>
      <c r="N2200" s="31"/>
      <c r="O2200" s="2" t="s">
        <v>297</v>
      </c>
    </row>
    <row r="2201" spans="1:15">
      <c r="A2201" s="3">
        <f t="shared" si="35"/>
        <v>2200</v>
      </c>
      <c r="B2201" s="41" t="s">
        <v>3517</v>
      </c>
      <c r="C2201" s="4">
        <v>9948541932</v>
      </c>
      <c r="D2201" s="6"/>
      <c r="E2201" s="17" t="s">
        <v>75</v>
      </c>
      <c r="F2201" s="67" t="s">
        <v>3518</v>
      </c>
      <c r="G2201" s="2" t="s">
        <v>16</v>
      </c>
      <c r="H2201" s="2" t="s">
        <v>2810</v>
      </c>
      <c r="I2201" s="4" t="s">
        <v>42</v>
      </c>
      <c r="J2201" s="31">
        <v>45756</v>
      </c>
      <c r="K2201" s="31">
        <v>45757</v>
      </c>
      <c r="L2201" s="31">
        <v>45763</v>
      </c>
      <c r="M2201" s="31">
        <v>45810</v>
      </c>
      <c r="N2201" s="31">
        <v>45797</v>
      </c>
      <c r="O2201" s="2" t="s">
        <v>297</v>
      </c>
    </row>
    <row r="2202" spans="1:15">
      <c r="A2202" s="3">
        <f t="shared" si="35"/>
        <v>2201</v>
      </c>
      <c r="B2202" s="41" t="s">
        <v>3519</v>
      </c>
      <c r="C2202" s="4">
        <v>9293805705</v>
      </c>
      <c r="D2202" s="6"/>
      <c r="E2202" s="3" t="s">
        <v>85</v>
      </c>
      <c r="F2202" s="67" t="s">
        <v>3518</v>
      </c>
      <c r="G2202" s="2" t="s">
        <v>424</v>
      </c>
      <c r="H2202" s="2" t="s">
        <v>2810</v>
      </c>
      <c r="I2202" s="4" t="s">
        <v>42</v>
      </c>
      <c r="J2202" s="31">
        <v>45756</v>
      </c>
      <c r="K2202" s="31">
        <v>45757</v>
      </c>
      <c r="L2202" s="31"/>
      <c r="M2202" s="31"/>
      <c r="N2202" s="31"/>
      <c r="O2202" s="2" t="s">
        <v>425</v>
      </c>
    </row>
    <row r="2203" spans="1:15">
      <c r="A2203" s="3">
        <f t="shared" si="35"/>
        <v>2202</v>
      </c>
      <c r="B2203" s="41" t="s">
        <v>3520</v>
      </c>
      <c r="C2203" s="4">
        <v>9170368970</v>
      </c>
      <c r="D2203" s="6"/>
      <c r="E2203" s="3" t="s">
        <v>85</v>
      </c>
      <c r="F2203" s="67" t="s">
        <v>3518</v>
      </c>
      <c r="G2203" s="2" t="s">
        <v>424</v>
      </c>
      <c r="H2203" s="2" t="s">
        <v>2810</v>
      </c>
      <c r="I2203" s="4" t="s">
        <v>42</v>
      </c>
      <c r="J2203" s="31">
        <v>45756</v>
      </c>
      <c r="K2203" s="31">
        <v>45757</v>
      </c>
      <c r="L2203" s="31"/>
      <c r="M2203" s="31"/>
      <c r="N2203" s="31"/>
      <c r="O2203" s="2" t="s">
        <v>749</v>
      </c>
    </row>
    <row r="2204" spans="1:15">
      <c r="A2204" s="3">
        <f t="shared" si="35"/>
        <v>2203</v>
      </c>
      <c r="B2204" s="41" t="s">
        <v>737</v>
      </c>
      <c r="C2204" s="4">
        <v>9981231978</v>
      </c>
      <c r="D2204" s="6">
        <v>7987194901</v>
      </c>
      <c r="E2204" s="17" t="s">
        <v>75</v>
      </c>
      <c r="F2204" s="67" t="s">
        <v>2438</v>
      </c>
      <c r="G2204" s="2" t="s">
        <v>16</v>
      </c>
      <c r="H2204" s="2" t="s">
        <v>2810</v>
      </c>
      <c r="I2204" s="4" t="s">
        <v>42</v>
      </c>
      <c r="J2204" s="31">
        <v>45756</v>
      </c>
      <c r="K2204" s="31">
        <v>45757</v>
      </c>
      <c r="L2204" s="31">
        <v>45759</v>
      </c>
      <c r="M2204" s="31">
        <v>45776</v>
      </c>
      <c r="N2204" s="31">
        <v>45779</v>
      </c>
      <c r="O2204" s="2" t="s">
        <v>297</v>
      </c>
    </row>
    <row r="2205" spans="1:15">
      <c r="A2205" s="3">
        <f t="shared" si="35"/>
        <v>2204</v>
      </c>
      <c r="B2205" s="41" t="s">
        <v>3521</v>
      </c>
      <c r="C2205" s="4">
        <v>7093299102</v>
      </c>
      <c r="D2205" s="6"/>
      <c r="E2205" s="17" t="s">
        <v>75</v>
      </c>
      <c r="F2205" s="67" t="s">
        <v>3478</v>
      </c>
      <c r="G2205" s="2" t="s">
        <v>16</v>
      </c>
      <c r="H2205" s="2" t="s">
        <v>2810</v>
      </c>
      <c r="I2205" s="4" t="s">
        <v>42</v>
      </c>
      <c r="J2205" s="31">
        <v>45756</v>
      </c>
      <c r="K2205" s="31">
        <v>45757</v>
      </c>
      <c r="L2205" s="31">
        <v>45758</v>
      </c>
      <c r="M2205" s="31">
        <v>45770</v>
      </c>
      <c r="N2205" s="31">
        <v>45768</v>
      </c>
      <c r="O2205" s="2" t="s">
        <v>297</v>
      </c>
    </row>
    <row r="2206" spans="1:15">
      <c r="A2206" s="3">
        <f t="shared" si="35"/>
        <v>2205</v>
      </c>
      <c r="B2206" s="41" t="s">
        <v>3522</v>
      </c>
      <c r="C2206" s="4">
        <v>9182348494</v>
      </c>
      <c r="D2206" s="6"/>
      <c r="E2206" s="17" t="s">
        <v>75</v>
      </c>
      <c r="F2206" s="67" t="s">
        <v>3478</v>
      </c>
      <c r="G2206" s="2" t="s">
        <v>295</v>
      </c>
      <c r="H2206" s="2" t="s">
        <v>2810</v>
      </c>
      <c r="I2206" s="4" t="s">
        <v>42</v>
      </c>
      <c r="J2206" s="31">
        <v>45756</v>
      </c>
      <c r="K2206" s="31">
        <v>45757</v>
      </c>
      <c r="L2206" s="31">
        <v>45759</v>
      </c>
      <c r="M2206" s="31">
        <v>45795</v>
      </c>
      <c r="N2206" s="31"/>
      <c r="O2206" s="2" t="s">
        <v>297</v>
      </c>
    </row>
    <row r="2207" spans="1:15">
      <c r="A2207" s="3">
        <f t="shared" si="35"/>
        <v>2206</v>
      </c>
      <c r="B2207" s="41" t="s">
        <v>3523</v>
      </c>
      <c r="C2207" s="4">
        <v>7780649409</v>
      </c>
      <c r="D2207" s="6"/>
      <c r="E2207" s="36" t="s">
        <v>113</v>
      </c>
      <c r="F2207" s="67" t="s">
        <v>1236</v>
      </c>
      <c r="G2207" s="2" t="s">
        <v>16</v>
      </c>
      <c r="H2207" s="2" t="s">
        <v>102</v>
      </c>
      <c r="I2207" s="4" t="s">
        <v>42</v>
      </c>
      <c r="J2207" s="31">
        <v>45756</v>
      </c>
      <c r="K2207" s="31">
        <v>45758</v>
      </c>
      <c r="L2207" s="31">
        <v>45765</v>
      </c>
      <c r="M2207" s="31">
        <v>45795</v>
      </c>
      <c r="N2207" s="31">
        <v>45797</v>
      </c>
      <c r="O2207" s="2" t="s">
        <v>297</v>
      </c>
    </row>
    <row r="2208" spans="1:15">
      <c r="A2208" s="3">
        <f t="shared" si="35"/>
        <v>2207</v>
      </c>
      <c r="B2208" s="41" t="s">
        <v>3524</v>
      </c>
      <c r="C2208" s="4">
        <v>7080670490</v>
      </c>
      <c r="D2208" s="6"/>
      <c r="E2208" s="36" t="s">
        <v>110</v>
      </c>
      <c r="F2208" s="67" t="s">
        <v>2340</v>
      </c>
      <c r="G2208" s="2" t="s">
        <v>764</v>
      </c>
      <c r="H2208" s="2" t="s">
        <v>102</v>
      </c>
      <c r="I2208" s="4" t="s">
        <v>42</v>
      </c>
      <c r="J2208" s="31">
        <v>45756</v>
      </c>
      <c r="K2208" s="31">
        <v>45761</v>
      </c>
      <c r="L2208" s="31"/>
      <c r="M2208" s="31"/>
      <c r="N2208" s="31"/>
      <c r="O2208" s="2" t="s">
        <v>425</v>
      </c>
    </row>
    <row r="2209" spans="1:15">
      <c r="A2209" s="3">
        <f t="shared" si="35"/>
        <v>2208</v>
      </c>
      <c r="B2209" s="41" t="s">
        <v>3525</v>
      </c>
      <c r="C2209" s="4">
        <v>9121766083</v>
      </c>
      <c r="D2209" s="6"/>
      <c r="E2209" s="36" t="s">
        <v>110</v>
      </c>
      <c r="F2209" s="67" t="s">
        <v>2340</v>
      </c>
      <c r="G2209" s="2" t="s">
        <v>764</v>
      </c>
      <c r="H2209" s="2" t="s">
        <v>102</v>
      </c>
      <c r="I2209" s="4" t="s">
        <v>42</v>
      </c>
      <c r="J2209" s="31">
        <v>45756</v>
      </c>
      <c r="K2209" s="31">
        <v>45761</v>
      </c>
      <c r="L2209" s="31"/>
      <c r="M2209" s="31"/>
      <c r="N2209" s="31"/>
      <c r="O2209" s="2" t="s">
        <v>425</v>
      </c>
    </row>
    <row r="2210" spans="1:15">
      <c r="A2210" s="3">
        <f t="shared" si="35"/>
        <v>2209</v>
      </c>
      <c r="B2210" s="41" t="s">
        <v>3526</v>
      </c>
      <c r="C2210" s="4">
        <v>9550739996</v>
      </c>
      <c r="D2210" s="6"/>
      <c r="E2210" s="3" t="s">
        <v>107</v>
      </c>
      <c r="F2210" s="67" t="s">
        <v>3527</v>
      </c>
      <c r="G2210" s="2" t="s">
        <v>416</v>
      </c>
      <c r="H2210" s="2" t="s">
        <v>102</v>
      </c>
      <c r="I2210" s="4" t="s">
        <v>42</v>
      </c>
      <c r="J2210" s="31">
        <v>45756</v>
      </c>
      <c r="K2210" s="31">
        <v>45758</v>
      </c>
      <c r="L2210" s="31"/>
      <c r="M2210" s="31"/>
      <c r="N2210" s="31"/>
      <c r="O2210" s="2" t="s">
        <v>297</v>
      </c>
    </row>
    <row r="2211" spans="1:15">
      <c r="A2211" s="3">
        <f t="shared" si="35"/>
        <v>2210</v>
      </c>
      <c r="B2211" s="41" t="s">
        <v>3528</v>
      </c>
      <c r="C2211" s="4">
        <v>9502831339</v>
      </c>
      <c r="D2211" s="6"/>
      <c r="E2211" s="36" t="s">
        <v>110</v>
      </c>
      <c r="F2211" s="67" t="s">
        <v>2340</v>
      </c>
      <c r="G2211" s="2" t="s">
        <v>764</v>
      </c>
      <c r="H2211" s="2" t="s">
        <v>102</v>
      </c>
      <c r="I2211" s="4" t="s">
        <v>42</v>
      </c>
      <c r="J2211" s="31">
        <v>45756</v>
      </c>
      <c r="K2211" s="31">
        <v>45761</v>
      </c>
      <c r="L2211" s="31"/>
      <c r="M2211" s="31"/>
      <c r="N2211" s="31"/>
      <c r="O2211" s="2" t="s">
        <v>425</v>
      </c>
    </row>
    <row r="2212" spans="1:15">
      <c r="A2212" s="3">
        <f t="shared" si="35"/>
        <v>2211</v>
      </c>
      <c r="B2212" s="41" t="s">
        <v>3529</v>
      </c>
      <c r="C2212" s="4">
        <v>6309461580</v>
      </c>
      <c r="D2212" s="6"/>
      <c r="E2212" s="3" t="s">
        <v>56</v>
      </c>
      <c r="F2212" s="67" t="s">
        <v>3530</v>
      </c>
      <c r="G2212" s="2" t="s">
        <v>295</v>
      </c>
      <c r="H2212" s="2" t="s">
        <v>660</v>
      </c>
      <c r="I2212" s="4" t="s">
        <v>42</v>
      </c>
      <c r="J2212" s="31">
        <v>45756</v>
      </c>
      <c r="K2212" s="31">
        <v>45776</v>
      </c>
      <c r="L2212" s="31">
        <v>45779</v>
      </c>
      <c r="M2212" s="31">
        <v>45848</v>
      </c>
      <c r="N2212" s="31"/>
      <c r="O2212" s="2" t="s">
        <v>297</v>
      </c>
    </row>
    <row r="2213" spans="1:15">
      <c r="A2213" s="3">
        <f t="shared" si="35"/>
        <v>2212</v>
      </c>
      <c r="B2213" s="41" t="s">
        <v>3531</v>
      </c>
      <c r="C2213" s="4">
        <v>7981929827</v>
      </c>
      <c r="D2213" s="6"/>
      <c r="E2213" s="3" t="s">
        <v>56</v>
      </c>
      <c r="F2213" s="67" t="s">
        <v>54</v>
      </c>
      <c r="G2213" s="2" t="s">
        <v>424</v>
      </c>
      <c r="H2213" s="2" t="s">
        <v>660</v>
      </c>
      <c r="I2213" s="4" t="s">
        <v>42</v>
      </c>
      <c r="J2213" s="31">
        <v>45756</v>
      </c>
      <c r="K2213" s="31">
        <v>45776</v>
      </c>
      <c r="L2213" s="31"/>
      <c r="M2213" s="31"/>
      <c r="N2213" s="31"/>
      <c r="O2213" s="2" t="s">
        <v>425</v>
      </c>
    </row>
    <row r="2214" spans="1:15">
      <c r="A2214" s="3">
        <f t="shared" si="35"/>
        <v>2213</v>
      </c>
      <c r="B2214" s="41" t="s">
        <v>3532</v>
      </c>
      <c r="C2214" s="4">
        <v>9493236662</v>
      </c>
      <c r="D2214" s="6"/>
      <c r="E2214" s="3" t="s">
        <v>121</v>
      </c>
      <c r="F2214" s="67" t="s">
        <v>3533</v>
      </c>
      <c r="G2214" s="3" t="s">
        <v>330</v>
      </c>
      <c r="H2214" s="2" t="s">
        <v>660</v>
      </c>
      <c r="I2214" s="4" t="s">
        <v>42</v>
      </c>
      <c r="J2214" s="31">
        <v>45756</v>
      </c>
      <c r="K2214" s="31">
        <v>45777</v>
      </c>
      <c r="L2214" s="31">
        <v>45779</v>
      </c>
      <c r="M2214" s="31">
        <v>45822</v>
      </c>
      <c r="N2214" s="31">
        <v>45814</v>
      </c>
      <c r="O2214" s="2" t="s">
        <v>297</v>
      </c>
    </row>
    <row r="2215" spans="1:15">
      <c r="A2215" s="3">
        <f t="shared" si="35"/>
        <v>2214</v>
      </c>
      <c r="B2215" s="41" t="s">
        <v>3534</v>
      </c>
      <c r="C2215" s="4">
        <v>9581481745</v>
      </c>
      <c r="D2215" s="6"/>
      <c r="E2215" s="3" t="s">
        <v>90</v>
      </c>
      <c r="F2215" s="67" t="s">
        <v>294</v>
      </c>
      <c r="G2215" s="2" t="s">
        <v>424</v>
      </c>
      <c r="H2215" s="2" t="s">
        <v>3117</v>
      </c>
      <c r="I2215" s="4" t="s">
        <v>42</v>
      </c>
      <c r="J2215" s="31">
        <v>45756</v>
      </c>
      <c r="K2215" s="31">
        <v>45764</v>
      </c>
      <c r="L2215" s="31"/>
      <c r="M2215" s="31"/>
      <c r="N2215" s="31"/>
      <c r="O2215" s="2" t="s">
        <v>425</v>
      </c>
    </row>
    <row r="2216" spans="1:15">
      <c r="A2216" s="3">
        <f t="shared" si="35"/>
        <v>2215</v>
      </c>
      <c r="B2216" s="41" t="s">
        <v>3535</v>
      </c>
      <c r="C2216" s="4">
        <v>9339459286</v>
      </c>
      <c r="D2216" s="6"/>
      <c r="E2216" s="3" t="s">
        <v>90</v>
      </c>
      <c r="F2216" s="67" t="s">
        <v>294</v>
      </c>
      <c r="G2216" s="2" t="s">
        <v>16</v>
      </c>
      <c r="H2216" s="2" t="s">
        <v>3117</v>
      </c>
      <c r="I2216" s="4" t="s">
        <v>42</v>
      </c>
      <c r="J2216" s="31">
        <v>45756</v>
      </c>
      <c r="K2216" s="31">
        <v>45764</v>
      </c>
      <c r="L2216" s="31">
        <v>45765</v>
      </c>
      <c r="M2216" s="31">
        <v>45782</v>
      </c>
      <c r="N2216" s="31">
        <v>45779</v>
      </c>
      <c r="O2216" s="2" t="s">
        <v>297</v>
      </c>
    </row>
    <row r="2217" spans="1:15">
      <c r="A2217" s="3">
        <f t="shared" si="35"/>
        <v>2216</v>
      </c>
      <c r="B2217" s="41" t="s">
        <v>3536</v>
      </c>
      <c r="C2217" s="4">
        <v>8142164288</v>
      </c>
      <c r="D2217" s="6">
        <v>8143464918</v>
      </c>
      <c r="E2217" s="3" t="s">
        <v>72</v>
      </c>
      <c r="F2217" s="67" t="s">
        <v>3537</v>
      </c>
      <c r="G2217" s="2" t="s">
        <v>16</v>
      </c>
      <c r="H2217" s="2" t="s">
        <v>3117</v>
      </c>
      <c r="I2217" s="4" t="s">
        <v>42</v>
      </c>
      <c r="J2217" s="31">
        <v>45756</v>
      </c>
      <c r="K2217" s="31">
        <v>45764</v>
      </c>
      <c r="L2217" s="31">
        <v>45770</v>
      </c>
      <c r="M2217" s="31">
        <v>45790</v>
      </c>
      <c r="N2217" s="31">
        <v>45792</v>
      </c>
      <c r="O2217" s="2" t="s">
        <v>297</v>
      </c>
    </row>
    <row r="2218" spans="1:15">
      <c r="A2218" s="3">
        <f t="shared" si="35"/>
        <v>2217</v>
      </c>
      <c r="B2218" s="41" t="s">
        <v>3538</v>
      </c>
      <c r="C2218" s="4">
        <v>8008350599</v>
      </c>
      <c r="D2218" s="6"/>
      <c r="E2218" s="3" t="s">
        <v>72</v>
      </c>
      <c r="F2218" s="67" t="s">
        <v>3537</v>
      </c>
      <c r="G2218" s="2" t="s">
        <v>424</v>
      </c>
      <c r="H2218" s="2" t="s">
        <v>3117</v>
      </c>
      <c r="I2218" s="4" t="s">
        <v>42</v>
      </c>
      <c r="J2218" s="31">
        <v>45756</v>
      </c>
      <c r="K2218" s="31">
        <v>45764</v>
      </c>
      <c r="L2218" s="31"/>
      <c r="M2218" s="31"/>
      <c r="N2218" s="31"/>
      <c r="O2218" s="2" t="s">
        <v>425</v>
      </c>
    </row>
    <row r="2219" spans="1:15">
      <c r="A2219" s="3">
        <f t="shared" si="35"/>
        <v>2218</v>
      </c>
      <c r="B2219" s="41" t="s">
        <v>3539</v>
      </c>
      <c r="C2219" s="4">
        <v>7008853613</v>
      </c>
      <c r="D2219" s="6"/>
      <c r="E2219" s="3" t="s">
        <v>72</v>
      </c>
      <c r="F2219" s="67" t="s">
        <v>746</v>
      </c>
      <c r="G2219" s="2" t="s">
        <v>16</v>
      </c>
      <c r="H2219" s="2" t="s">
        <v>3117</v>
      </c>
      <c r="I2219" s="4" t="s">
        <v>42</v>
      </c>
      <c r="J2219" s="31">
        <v>45756</v>
      </c>
      <c r="K2219" s="31">
        <v>45764</v>
      </c>
      <c r="L2219" s="31">
        <v>45772</v>
      </c>
      <c r="M2219" s="31">
        <v>45810</v>
      </c>
      <c r="N2219" s="31">
        <v>45810</v>
      </c>
      <c r="O2219" s="2" t="s">
        <v>297</v>
      </c>
    </row>
    <row r="2220" spans="1:15">
      <c r="A2220" s="3">
        <f t="shared" si="35"/>
        <v>2219</v>
      </c>
      <c r="B2220" s="41" t="s">
        <v>3540</v>
      </c>
      <c r="C2220" s="4">
        <v>9182891281</v>
      </c>
      <c r="D2220" s="6"/>
      <c r="E2220" s="4" t="s">
        <v>3226</v>
      </c>
      <c r="F2220" s="67" t="s">
        <v>1149</v>
      </c>
      <c r="G2220" s="2" t="s">
        <v>424</v>
      </c>
      <c r="H2220" s="2" t="s">
        <v>2425</v>
      </c>
      <c r="I2220" s="4" t="s">
        <v>42</v>
      </c>
      <c r="J2220" s="31">
        <v>45757</v>
      </c>
      <c r="K2220" s="31">
        <v>45824</v>
      </c>
      <c r="L2220" s="31"/>
      <c r="M2220" s="31"/>
      <c r="N2220" s="31"/>
      <c r="O2220" s="2" t="s">
        <v>425</v>
      </c>
    </row>
    <row r="2221" spans="1:15">
      <c r="A2221" s="3">
        <f t="shared" ref="A2221:A2278" si="36">ROW()-1</f>
        <v>2220</v>
      </c>
      <c r="B2221" s="41" t="s">
        <v>3541</v>
      </c>
      <c r="C2221" s="4">
        <v>6300024066</v>
      </c>
      <c r="D2221" s="6"/>
      <c r="E2221" s="4" t="s">
        <v>3226</v>
      </c>
      <c r="F2221" s="67" t="s">
        <v>3542</v>
      </c>
      <c r="G2221" s="2" t="s">
        <v>295</v>
      </c>
      <c r="H2221" s="2" t="s">
        <v>2425</v>
      </c>
      <c r="I2221" s="4" t="s">
        <v>42</v>
      </c>
      <c r="J2221" s="31">
        <v>45757</v>
      </c>
      <c r="K2221" s="31">
        <v>45762</v>
      </c>
      <c r="L2221" s="31">
        <v>45763</v>
      </c>
      <c r="M2221" s="31">
        <v>45823</v>
      </c>
      <c r="N2221" s="31"/>
      <c r="O2221" s="2" t="s">
        <v>297</v>
      </c>
    </row>
    <row r="2222" spans="1:15">
      <c r="A2222" s="3">
        <f t="shared" si="36"/>
        <v>2221</v>
      </c>
      <c r="B2222" s="41" t="s">
        <v>3543</v>
      </c>
      <c r="C2222" s="4">
        <v>7569621820</v>
      </c>
      <c r="D2222" s="6"/>
      <c r="E2222" s="36" t="s">
        <v>113</v>
      </c>
      <c r="F2222" s="67" t="s">
        <v>3544</v>
      </c>
      <c r="G2222" s="2" t="s">
        <v>16</v>
      </c>
      <c r="H2222" s="2" t="s">
        <v>102</v>
      </c>
      <c r="I2222" s="4" t="s">
        <v>42</v>
      </c>
      <c r="J2222" s="31">
        <v>45757</v>
      </c>
      <c r="K2222" s="31">
        <v>45758</v>
      </c>
      <c r="L2222" s="31">
        <v>45763</v>
      </c>
      <c r="M2222" s="31">
        <v>45781</v>
      </c>
      <c r="N2222" s="31">
        <v>45784</v>
      </c>
      <c r="O2222" s="2" t="s">
        <v>297</v>
      </c>
    </row>
    <row r="2223" spans="1:15">
      <c r="A2223" s="3">
        <f t="shared" si="36"/>
        <v>2222</v>
      </c>
      <c r="B2223" s="41" t="s">
        <v>3545</v>
      </c>
      <c r="C2223" s="4">
        <v>8106627484</v>
      </c>
      <c r="D2223" s="6"/>
      <c r="E2223" s="36" t="s">
        <v>113</v>
      </c>
      <c r="F2223" s="67" t="s">
        <v>3546</v>
      </c>
      <c r="G2223" s="2" t="s">
        <v>16</v>
      </c>
      <c r="H2223" s="2" t="s">
        <v>102</v>
      </c>
      <c r="I2223" s="4" t="s">
        <v>42</v>
      </c>
      <c r="J2223" s="31">
        <v>45757</v>
      </c>
      <c r="K2223" s="31">
        <v>45758</v>
      </c>
      <c r="L2223" s="31">
        <v>45763</v>
      </c>
      <c r="M2223" s="31">
        <v>45778</v>
      </c>
      <c r="N2223" s="31">
        <v>45772</v>
      </c>
      <c r="O2223" s="2" t="s">
        <v>297</v>
      </c>
    </row>
    <row r="2224" spans="1:15">
      <c r="A2224" s="3">
        <f t="shared" si="36"/>
        <v>2223</v>
      </c>
      <c r="B2224" s="41" t="s">
        <v>3547</v>
      </c>
      <c r="C2224" s="4">
        <v>6305644722</v>
      </c>
      <c r="D2224" s="6"/>
      <c r="E2224" s="36" t="s">
        <v>110</v>
      </c>
      <c r="F2224" s="67" t="s">
        <v>3548</v>
      </c>
      <c r="G2224" s="2" t="s">
        <v>764</v>
      </c>
      <c r="H2224" s="2" t="s">
        <v>102</v>
      </c>
      <c r="I2224" s="4" t="s">
        <v>42</v>
      </c>
      <c r="J2224" s="31">
        <v>45757</v>
      </c>
      <c r="K2224" s="31">
        <v>45758</v>
      </c>
      <c r="L2224" s="31"/>
      <c r="M2224" s="31"/>
      <c r="N2224" s="31"/>
      <c r="O2224" s="2" t="s">
        <v>425</v>
      </c>
    </row>
    <row r="2225" spans="1:15">
      <c r="A2225" s="3">
        <f t="shared" si="36"/>
        <v>2224</v>
      </c>
      <c r="B2225" s="41" t="s">
        <v>1639</v>
      </c>
      <c r="C2225" s="4">
        <v>7408316112</v>
      </c>
      <c r="D2225" s="6"/>
      <c r="E2225" s="36" t="s">
        <v>110</v>
      </c>
      <c r="F2225" s="67" t="s">
        <v>3549</v>
      </c>
      <c r="G2225" s="2" t="s">
        <v>764</v>
      </c>
      <c r="H2225" s="2" t="s">
        <v>102</v>
      </c>
      <c r="I2225" s="4" t="s">
        <v>42</v>
      </c>
      <c r="J2225" s="31">
        <v>45757</v>
      </c>
      <c r="K2225" s="31">
        <v>45758</v>
      </c>
      <c r="L2225" s="31"/>
      <c r="M2225" s="31"/>
      <c r="N2225" s="31"/>
      <c r="O2225" s="2" t="s">
        <v>425</v>
      </c>
    </row>
    <row r="2226" spans="1:15">
      <c r="A2226" s="3">
        <f t="shared" si="36"/>
        <v>2225</v>
      </c>
      <c r="B2226" s="41" t="s">
        <v>3550</v>
      </c>
      <c r="C2226" s="4">
        <v>8142484950</v>
      </c>
      <c r="D2226" s="6"/>
      <c r="E2226" s="3" t="s">
        <v>107</v>
      </c>
      <c r="F2226" s="67" t="s">
        <v>3481</v>
      </c>
      <c r="G2226" s="2" t="s">
        <v>16</v>
      </c>
      <c r="H2226" s="2" t="s">
        <v>102</v>
      </c>
      <c r="I2226" s="4" t="s">
        <v>42</v>
      </c>
      <c r="J2226" s="31">
        <v>45757</v>
      </c>
      <c r="K2226" s="31">
        <v>45758</v>
      </c>
      <c r="L2226" s="31">
        <v>45763</v>
      </c>
      <c r="M2226" s="31">
        <v>45795</v>
      </c>
      <c r="N2226" s="31">
        <v>45800</v>
      </c>
      <c r="O2226" s="2" t="s">
        <v>297</v>
      </c>
    </row>
    <row r="2227" spans="1:15">
      <c r="A2227" s="3">
        <f t="shared" si="36"/>
        <v>2226</v>
      </c>
      <c r="B2227" s="41" t="s">
        <v>3551</v>
      </c>
      <c r="C2227" s="4">
        <v>8074644491</v>
      </c>
      <c r="D2227" s="6"/>
      <c r="E2227" s="3" t="s">
        <v>121</v>
      </c>
      <c r="F2227" s="67" t="s">
        <v>710</v>
      </c>
      <c r="G2227" s="2" t="s">
        <v>764</v>
      </c>
      <c r="H2227" s="2" t="s">
        <v>660</v>
      </c>
      <c r="I2227" s="4" t="s">
        <v>42</v>
      </c>
      <c r="J2227" s="31">
        <v>45757</v>
      </c>
      <c r="K2227" s="31">
        <v>45776</v>
      </c>
      <c r="L2227" s="31"/>
      <c r="M2227" s="31"/>
      <c r="N2227" s="31"/>
      <c r="O2227" s="2" t="s">
        <v>425</v>
      </c>
    </row>
    <row r="2228" spans="1:15">
      <c r="A2228" s="3">
        <f t="shared" si="36"/>
        <v>2227</v>
      </c>
      <c r="B2228" s="41" t="s">
        <v>3552</v>
      </c>
      <c r="C2228" s="4">
        <v>8317536724</v>
      </c>
      <c r="D2228" s="6"/>
      <c r="E2228" s="3" t="s">
        <v>56</v>
      </c>
      <c r="F2228" s="67" t="s">
        <v>3553</v>
      </c>
      <c r="G2228" s="2" t="s">
        <v>16</v>
      </c>
      <c r="H2228" s="2" t="s">
        <v>660</v>
      </c>
      <c r="I2228" s="4" t="s">
        <v>42</v>
      </c>
      <c r="J2228" s="31">
        <v>45757</v>
      </c>
      <c r="K2228" s="31">
        <v>45777</v>
      </c>
      <c r="L2228" s="31">
        <v>45779</v>
      </c>
      <c r="M2228" s="31">
        <v>45810</v>
      </c>
      <c r="N2228" s="31">
        <v>45799</v>
      </c>
      <c r="O2228" s="2" t="s">
        <v>297</v>
      </c>
    </row>
    <row r="2229" spans="1:15">
      <c r="A2229" s="3">
        <f t="shared" si="36"/>
        <v>2228</v>
      </c>
      <c r="B2229" s="41" t="s">
        <v>3554</v>
      </c>
      <c r="C2229" s="4">
        <v>8074122925</v>
      </c>
      <c r="D2229" s="6"/>
      <c r="E2229" s="3" t="s">
        <v>59</v>
      </c>
      <c r="F2229" s="67" t="s">
        <v>3555</v>
      </c>
      <c r="G2229" s="2" t="s">
        <v>295</v>
      </c>
      <c r="H2229" s="2" t="s">
        <v>660</v>
      </c>
      <c r="I2229" s="4" t="s">
        <v>42</v>
      </c>
      <c r="J2229" s="31">
        <v>45757</v>
      </c>
      <c r="K2229" s="31">
        <v>45764</v>
      </c>
      <c r="L2229" s="31">
        <v>45772</v>
      </c>
      <c r="M2229" s="31">
        <v>45803</v>
      </c>
      <c r="N2229" s="31"/>
      <c r="O2229" s="2" t="s">
        <v>297</v>
      </c>
    </row>
    <row r="2230" spans="1:15">
      <c r="A2230" s="3">
        <f t="shared" si="36"/>
        <v>2229</v>
      </c>
      <c r="B2230" s="41" t="s">
        <v>3556</v>
      </c>
      <c r="C2230" s="4">
        <v>9398349103</v>
      </c>
      <c r="D2230" s="6"/>
      <c r="E2230" s="3" t="s">
        <v>121</v>
      </c>
      <c r="F2230" s="67" t="s">
        <v>3557</v>
      </c>
      <c r="G2230" s="2" t="s">
        <v>424</v>
      </c>
      <c r="H2230" s="2" t="s">
        <v>660</v>
      </c>
      <c r="I2230" s="4" t="s">
        <v>42</v>
      </c>
      <c r="J2230" s="31">
        <v>45757</v>
      </c>
      <c r="K2230" s="31">
        <v>45758</v>
      </c>
      <c r="L2230" s="31"/>
      <c r="M2230" s="31"/>
      <c r="N2230" s="31"/>
      <c r="O2230" s="2" t="s">
        <v>425</v>
      </c>
    </row>
    <row r="2231" spans="1:15">
      <c r="A2231" s="3">
        <f t="shared" si="36"/>
        <v>2230</v>
      </c>
      <c r="B2231" s="41" t="s">
        <v>3558</v>
      </c>
      <c r="C2231" s="4">
        <v>6281741138</v>
      </c>
      <c r="D2231" s="6"/>
      <c r="E2231" s="3" t="s">
        <v>90</v>
      </c>
      <c r="F2231" s="67" t="s">
        <v>3559</v>
      </c>
      <c r="G2231" s="2" t="s">
        <v>416</v>
      </c>
      <c r="H2231" s="2" t="s">
        <v>3117</v>
      </c>
      <c r="I2231" s="4" t="s">
        <v>42</v>
      </c>
      <c r="J2231" s="31">
        <v>45757</v>
      </c>
      <c r="K2231" s="31">
        <v>45763</v>
      </c>
      <c r="L2231" s="31"/>
      <c r="M2231" s="31"/>
      <c r="N2231" s="31"/>
      <c r="O2231" s="2" t="s">
        <v>297</v>
      </c>
    </row>
    <row r="2232" spans="1:15">
      <c r="A2232" s="3">
        <f t="shared" si="36"/>
        <v>2231</v>
      </c>
      <c r="B2232" s="41" t="s">
        <v>3560</v>
      </c>
      <c r="C2232" s="4">
        <v>7225938432</v>
      </c>
      <c r="D2232" s="6"/>
      <c r="E2232" s="3" t="s">
        <v>1023</v>
      </c>
      <c r="F2232" s="67" t="s">
        <v>177</v>
      </c>
      <c r="G2232" s="2" t="s">
        <v>424</v>
      </c>
      <c r="H2232" s="2" t="s">
        <v>2535</v>
      </c>
      <c r="I2232" s="4" t="s">
        <v>88</v>
      </c>
      <c r="J2232" s="31">
        <v>45758</v>
      </c>
      <c r="K2232" s="31">
        <v>45764</v>
      </c>
      <c r="L2232" s="31"/>
      <c r="M2232" s="31"/>
      <c r="N2232" s="31"/>
      <c r="O2232" s="2" t="s">
        <v>425</v>
      </c>
    </row>
    <row r="2233" spans="1:15">
      <c r="A2233" s="3">
        <f t="shared" si="36"/>
        <v>2232</v>
      </c>
      <c r="B2233" s="41" t="s">
        <v>3561</v>
      </c>
      <c r="C2233" s="4">
        <v>7987639496</v>
      </c>
      <c r="D2233" s="6"/>
      <c r="E2233" s="3" t="s">
        <v>1023</v>
      </c>
      <c r="F2233" s="67" t="s">
        <v>177</v>
      </c>
      <c r="G2233" s="2" t="s">
        <v>16</v>
      </c>
      <c r="H2233" s="2" t="s">
        <v>2535</v>
      </c>
      <c r="I2233" s="4" t="s">
        <v>88</v>
      </c>
      <c r="J2233" s="31">
        <v>45758</v>
      </c>
      <c r="K2233" s="31">
        <v>45764</v>
      </c>
      <c r="L2233" s="31">
        <v>45765</v>
      </c>
      <c r="M2233" s="31">
        <v>45795</v>
      </c>
      <c r="N2233" s="31">
        <v>45795</v>
      </c>
      <c r="O2233" s="2" t="s">
        <v>297</v>
      </c>
    </row>
    <row r="2234" spans="1:15">
      <c r="A2234" s="3">
        <f t="shared" si="36"/>
        <v>2233</v>
      </c>
      <c r="B2234" s="41" t="s">
        <v>3562</v>
      </c>
      <c r="C2234" s="4">
        <v>9666969572</v>
      </c>
      <c r="D2234" s="6"/>
      <c r="E2234" s="3" t="s">
        <v>1023</v>
      </c>
      <c r="F2234" s="67" t="s">
        <v>177</v>
      </c>
      <c r="G2234" s="2" t="s">
        <v>424</v>
      </c>
      <c r="H2234" s="2" t="s">
        <v>2535</v>
      </c>
      <c r="I2234" s="4" t="s">
        <v>88</v>
      </c>
      <c r="J2234" s="31">
        <v>45758</v>
      </c>
      <c r="K2234" s="31">
        <v>45764</v>
      </c>
      <c r="L2234" s="31"/>
      <c r="M2234" s="31"/>
      <c r="N2234" s="31"/>
      <c r="O2234" s="2" t="s">
        <v>425</v>
      </c>
    </row>
    <row r="2235" spans="1:15">
      <c r="A2235" s="3">
        <f t="shared" si="36"/>
        <v>2234</v>
      </c>
      <c r="B2235" s="41" t="s">
        <v>3563</v>
      </c>
      <c r="C2235" s="4">
        <v>9502671631</v>
      </c>
      <c r="D2235" s="6"/>
      <c r="E2235" s="3" t="s">
        <v>1023</v>
      </c>
      <c r="F2235" s="67" t="s">
        <v>177</v>
      </c>
      <c r="G2235" s="3" t="s">
        <v>1175</v>
      </c>
      <c r="H2235" s="2" t="s">
        <v>2535</v>
      </c>
      <c r="I2235" s="4" t="s">
        <v>88</v>
      </c>
      <c r="J2235" s="31">
        <v>45758</v>
      </c>
      <c r="K2235" s="31"/>
      <c r="L2235" s="31"/>
      <c r="M2235" s="31"/>
      <c r="N2235" s="31"/>
      <c r="O2235" s="2" t="s">
        <v>1004</v>
      </c>
    </row>
    <row r="2236" spans="1:15">
      <c r="A2236" s="3">
        <f t="shared" si="36"/>
        <v>2235</v>
      </c>
      <c r="B2236" s="41" t="s">
        <v>3564</v>
      </c>
      <c r="C2236" s="4">
        <v>8686541007</v>
      </c>
      <c r="D2236" s="6"/>
      <c r="E2236" s="3" t="s">
        <v>1023</v>
      </c>
      <c r="F2236" s="67" t="s">
        <v>177</v>
      </c>
      <c r="G2236" s="2" t="s">
        <v>330</v>
      </c>
      <c r="H2236" s="2" t="s">
        <v>2535</v>
      </c>
      <c r="I2236" s="4" t="s">
        <v>88</v>
      </c>
      <c r="J2236" s="31">
        <v>45758</v>
      </c>
      <c r="K2236" s="31">
        <v>45764</v>
      </c>
      <c r="L2236" s="31">
        <v>45765</v>
      </c>
      <c r="M2236" s="31">
        <v>45804</v>
      </c>
      <c r="N2236" s="31">
        <v>45804</v>
      </c>
      <c r="O2236" s="2" t="s">
        <v>297</v>
      </c>
    </row>
    <row r="2237" spans="1:15">
      <c r="A2237" s="3">
        <f t="shared" si="36"/>
        <v>2236</v>
      </c>
      <c r="B2237" s="41" t="s">
        <v>3565</v>
      </c>
      <c r="C2237" s="4">
        <v>8707745933</v>
      </c>
      <c r="D2237" s="6">
        <v>9305704851</v>
      </c>
      <c r="E2237" s="3" t="s">
        <v>1023</v>
      </c>
      <c r="F2237" s="67" t="s">
        <v>177</v>
      </c>
      <c r="G2237" s="2" t="s">
        <v>16</v>
      </c>
      <c r="H2237" s="2" t="s">
        <v>2535</v>
      </c>
      <c r="I2237" s="4" t="s">
        <v>88</v>
      </c>
      <c r="J2237" s="31">
        <v>45758</v>
      </c>
      <c r="K2237" s="31">
        <v>45764</v>
      </c>
      <c r="L2237" s="31">
        <v>45765</v>
      </c>
      <c r="M2237" s="31">
        <v>45823</v>
      </c>
      <c r="N2237" s="31">
        <v>45823</v>
      </c>
      <c r="O2237" s="2" t="s">
        <v>297</v>
      </c>
    </row>
    <row r="2238" spans="1:15">
      <c r="A2238" s="3">
        <f t="shared" si="36"/>
        <v>2237</v>
      </c>
      <c r="B2238" s="41" t="s">
        <v>3566</v>
      </c>
      <c r="C2238" s="4">
        <v>6397552045</v>
      </c>
      <c r="D2238" s="6"/>
      <c r="E2238" s="3" t="s">
        <v>1023</v>
      </c>
      <c r="F2238" s="67" t="s">
        <v>177</v>
      </c>
      <c r="G2238" s="2" t="s">
        <v>16</v>
      </c>
      <c r="H2238" s="2" t="s">
        <v>2535</v>
      </c>
      <c r="I2238" s="4" t="s">
        <v>88</v>
      </c>
      <c r="J2238" s="31">
        <v>45758</v>
      </c>
      <c r="K2238" s="31">
        <v>45764</v>
      </c>
      <c r="L2238" s="31">
        <v>45765</v>
      </c>
      <c r="M2238" s="31">
        <v>45804</v>
      </c>
      <c r="N2238" s="31">
        <v>46041</v>
      </c>
      <c r="O2238" s="2" t="s">
        <v>297</v>
      </c>
    </row>
    <row r="2239" spans="1:15">
      <c r="A2239" s="3">
        <f t="shared" si="36"/>
        <v>2238</v>
      </c>
      <c r="B2239" s="41" t="s">
        <v>3567</v>
      </c>
      <c r="C2239" s="3">
        <v>9885416469</v>
      </c>
      <c r="D2239" s="6"/>
      <c r="E2239" s="3" t="s">
        <v>3568</v>
      </c>
      <c r="F2239" s="41" t="s">
        <v>3569</v>
      </c>
      <c r="G2239" s="3" t="s">
        <v>16</v>
      </c>
      <c r="H2239" s="3" t="s">
        <v>162</v>
      </c>
      <c r="I2239" s="3" t="s">
        <v>42</v>
      </c>
      <c r="J2239" s="31">
        <v>45758</v>
      </c>
      <c r="K2239" s="31">
        <v>45758</v>
      </c>
      <c r="L2239" s="31">
        <v>45759</v>
      </c>
      <c r="M2239" s="31">
        <v>45764</v>
      </c>
      <c r="N2239" s="31">
        <v>45764</v>
      </c>
      <c r="O2239" s="3" t="s">
        <v>297</v>
      </c>
    </row>
    <row r="2240" spans="1:15">
      <c r="A2240" s="3">
        <f t="shared" si="36"/>
        <v>2239</v>
      </c>
      <c r="B2240" s="41" t="s">
        <v>3570</v>
      </c>
      <c r="C2240" s="3">
        <v>9398057626</v>
      </c>
      <c r="D2240" s="6">
        <v>9885632256</v>
      </c>
      <c r="E2240" s="3" t="s">
        <v>2481</v>
      </c>
      <c r="F2240" s="41" t="s">
        <v>451</v>
      </c>
      <c r="G2240" s="2" t="s">
        <v>416</v>
      </c>
      <c r="H2240" s="2" t="s">
        <v>788</v>
      </c>
      <c r="I2240" s="3" t="s">
        <v>88</v>
      </c>
      <c r="J2240" s="31">
        <v>45758</v>
      </c>
      <c r="K2240" s="31">
        <v>45779</v>
      </c>
      <c r="L2240" s="31"/>
      <c r="M2240" s="31"/>
      <c r="N2240" s="31"/>
      <c r="O2240" s="3" t="s">
        <v>297</v>
      </c>
    </row>
    <row r="2241" spans="1:15">
      <c r="A2241" s="3">
        <f t="shared" si="36"/>
        <v>2240</v>
      </c>
      <c r="B2241" s="41" t="s">
        <v>3571</v>
      </c>
      <c r="C2241" s="3">
        <v>8686167165</v>
      </c>
      <c r="D2241" s="6"/>
      <c r="E2241" s="3" t="s">
        <v>2413</v>
      </c>
      <c r="F2241" s="41" t="s">
        <v>2199</v>
      </c>
      <c r="G2241" s="3" t="s">
        <v>1175</v>
      </c>
      <c r="H2241" s="2" t="s">
        <v>788</v>
      </c>
      <c r="I2241" s="3" t="s">
        <v>88</v>
      </c>
      <c r="J2241" s="31">
        <v>45758</v>
      </c>
      <c r="K2241" s="31"/>
      <c r="L2241" s="31"/>
      <c r="M2241" s="31"/>
      <c r="N2241" s="31"/>
      <c r="O2241" s="3" t="s">
        <v>1004</v>
      </c>
    </row>
    <row r="2242" spans="1:15">
      <c r="A2242" s="3">
        <f t="shared" si="36"/>
        <v>2241</v>
      </c>
      <c r="B2242" s="41" t="s">
        <v>3572</v>
      </c>
      <c r="C2242" s="3">
        <v>7978720751</v>
      </c>
      <c r="D2242" s="6">
        <v>8908890818</v>
      </c>
      <c r="E2242" s="3" t="s">
        <v>2416</v>
      </c>
      <c r="F2242" s="41" t="s">
        <v>3573</v>
      </c>
      <c r="G2242" s="2" t="s">
        <v>416</v>
      </c>
      <c r="H2242" s="2" t="s">
        <v>788</v>
      </c>
      <c r="I2242" s="3" t="s">
        <v>88</v>
      </c>
      <c r="J2242" s="31">
        <v>45758</v>
      </c>
      <c r="K2242" s="31">
        <v>45779</v>
      </c>
      <c r="L2242" s="31"/>
      <c r="M2242" s="31"/>
      <c r="N2242" s="31"/>
      <c r="O2242" s="3" t="s">
        <v>297</v>
      </c>
    </row>
    <row r="2243" spans="1:15">
      <c r="A2243" s="3">
        <f t="shared" si="36"/>
        <v>2242</v>
      </c>
      <c r="B2243" s="41" t="s">
        <v>3574</v>
      </c>
      <c r="C2243" s="3">
        <v>6005732965</v>
      </c>
      <c r="D2243" s="6"/>
      <c r="E2243" s="3" t="s">
        <v>2716</v>
      </c>
      <c r="F2243" s="41" t="s">
        <v>3061</v>
      </c>
      <c r="G2243" s="3" t="s">
        <v>424</v>
      </c>
      <c r="H2243" s="2" t="s">
        <v>487</v>
      </c>
      <c r="I2243" s="3" t="s">
        <v>88</v>
      </c>
      <c r="J2243" s="31">
        <v>45758</v>
      </c>
      <c r="K2243" s="31">
        <v>45764</v>
      </c>
      <c r="L2243" s="31"/>
      <c r="M2243" s="31"/>
      <c r="N2243" s="31"/>
      <c r="O2243" s="3" t="s">
        <v>425</v>
      </c>
    </row>
    <row r="2244" spans="1:15">
      <c r="A2244" s="3">
        <f t="shared" si="36"/>
        <v>2243</v>
      </c>
      <c r="B2244" s="41" t="s">
        <v>3575</v>
      </c>
      <c r="C2244" s="3">
        <v>9559165129</v>
      </c>
      <c r="D2244" s="6"/>
      <c r="E2244" s="3" t="s">
        <v>2716</v>
      </c>
      <c r="F2244" s="41" t="s">
        <v>3061</v>
      </c>
      <c r="G2244" s="3" t="s">
        <v>16</v>
      </c>
      <c r="H2244" s="2" t="s">
        <v>487</v>
      </c>
      <c r="I2244" s="3" t="s">
        <v>88</v>
      </c>
      <c r="J2244" s="31">
        <v>45758</v>
      </c>
      <c r="K2244" s="31">
        <v>45764</v>
      </c>
      <c r="L2244" s="31">
        <v>45772</v>
      </c>
      <c r="M2244" s="31">
        <v>45802</v>
      </c>
      <c r="N2244" s="31">
        <v>45802</v>
      </c>
      <c r="O2244" s="3" t="s">
        <v>297</v>
      </c>
    </row>
    <row r="2245" spans="1:15">
      <c r="A2245" s="3">
        <f t="shared" si="36"/>
        <v>2244</v>
      </c>
      <c r="B2245" s="41" t="s">
        <v>3576</v>
      </c>
      <c r="C2245" s="3">
        <v>8392823102</v>
      </c>
      <c r="D2245" s="6"/>
      <c r="E2245" s="3" t="s">
        <v>3295</v>
      </c>
      <c r="F2245" s="41" t="s">
        <v>3061</v>
      </c>
      <c r="G2245" s="3" t="s">
        <v>295</v>
      </c>
      <c r="H2245" s="2" t="s">
        <v>487</v>
      </c>
      <c r="I2245" s="3" t="s">
        <v>88</v>
      </c>
      <c r="J2245" s="31">
        <v>45758</v>
      </c>
      <c r="K2245" s="31">
        <v>45765</v>
      </c>
      <c r="L2245" s="31">
        <v>45777</v>
      </c>
      <c r="M2245" s="31">
        <v>45838</v>
      </c>
      <c r="N2245" s="31"/>
      <c r="O2245" s="3" t="s">
        <v>297</v>
      </c>
    </row>
    <row r="2246" spans="1:15">
      <c r="A2246" s="3">
        <f t="shared" si="36"/>
        <v>2245</v>
      </c>
      <c r="B2246" s="41" t="s">
        <v>3577</v>
      </c>
      <c r="C2246" s="3">
        <v>9906224751</v>
      </c>
      <c r="D2246" s="6"/>
      <c r="E2246" s="3" t="s">
        <v>3295</v>
      </c>
      <c r="F2246" s="41" t="s">
        <v>3061</v>
      </c>
      <c r="G2246" s="3" t="s">
        <v>416</v>
      </c>
      <c r="H2246" s="2" t="s">
        <v>487</v>
      </c>
      <c r="I2246" s="3" t="s">
        <v>88</v>
      </c>
      <c r="J2246" s="31">
        <v>45758</v>
      </c>
      <c r="K2246" s="31">
        <v>45765</v>
      </c>
      <c r="L2246" s="31"/>
      <c r="M2246" s="31"/>
      <c r="N2246" s="31"/>
      <c r="O2246" s="3" t="s">
        <v>297</v>
      </c>
    </row>
    <row r="2247" spans="1:15">
      <c r="A2247" s="3">
        <f t="shared" si="36"/>
        <v>2246</v>
      </c>
      <c r="B2247" s="41" t="s">
        <v>1598</v>
      </c>
      <c r="C2247" s="3">
        <v>8679391775</v>
      </c>
      <c r="D2247" s="6">
        <v>7018256473</v>
      </c>
      <c r="E2247" s="3" t="s">
        <v>3295</v>
      </c>
      <c r="F2247" s="41" t="s">
        <v>3061</v>
      </c>
      <c r="G2247" s="3" t="s">
        <v>416</v>
      </c>
      <c r="H2247" s="2" t="s">
        <v>487</v>
      </c>
      <c r="I2247" s="3" t="s">
        <v>88</v>
      </c>
      <c r="J2247" s="31">
        <v>45758</v>
      </c>
      <c r="K2247" s="31">
        <v>45776</v>
      </c>
      <c r="L2247" s="31"/>
      <c r="M2247" s="31"/>
      <c r="N2247" s="31"/>
      <c r="O2247" s="3" t="s">
        <v>297</v>
      </c>
    </row>
    <row r="2248" spans="1:15">
      <c r="A2248" s="3">
        <f t="shared" si="36"/>
        <v>2247</v>
      </c>
      <c r="B2248" s="41" t="s">
        <v>3578</v>
      </c>
      <c r="C2248" s="3">
        <v>7006536376</v>
      </c>
      <c r="D2248" s="6"/>
      <c r="E2248" s="3" t="s">
        <v>3295</v>
      </c>
      <c r="F2248" s="41" t="s">
        <v>3061</v>
      </c>
      <c r="G2248" s="3" t="s">
        <v>16</v>
      </c>
      <c r="H2248" s="2" t="s">
        <v>487</v>
      </c>
      <c r="I2248" s="3" t="s">
        <v>88</v>
      </c>
      <c r="J2248" s="31">
        <v>45758</v>
      </c>
      <c r="K2248" s="31">
        <v>45765</v>
      </c>
      <c r="L2248" s="31">
        <v>45777</v>
      </c>
      <c r="M2248" s="31">
        <v>45818</v>
      </c>
      <c r="N2248" s="31">
        <v>45818</v>
      </c>
      <c r="O2248" s="3" t="s">
        <v>297</v>
      </c>
    </row>
    <row r="2249" spans="1:15">
      <c r="A2249" s="3">
        <f t="shared" si="36"/>
        <v>2248</v>
      </c>
      <c r="B2249" s="41" t="s">
        <v>3579</v>
      </c>
      <c r="C2249" s="3">
        <v>9816145502</v>
      </c>
      <c r="D2249" s="6"/>
      <c r="E2249" s="3" t="s">
        <v>3580</v>
      </c>
      <c r="F2249" s="41" t="s">
        <v>2280</v>
      </c>
      <c r="G2249" s="3" t="s">
        <v>424</v>
      </c>
      <c r="H2249" s="2" t="s">
        <v>487</v>
      </c>
      <c r="I2249" s="3" t="s">
        <v>88</v>
      </c>
      <c r="J2249" s="31">
        <v>45758</v>
      </c>
      <c r="K2249" s="31">
        <v>45765</v>
      </c>
      <c r="L2249" s="31"/>
      <c r="M2249" s="31"/>
      <c r="N2249" s="31"/>
      <c r="O2249" s="3" t="s">
        <v>425</v>
      </c>
    </row>
    <row r="2250" spans="1:15">
      <c r="A2250" s="3">
        <f t="shared" si="36"/>
        <v>2249</v>
      </c>
      <c r="B2250" s="41" t="s">
        <v>3581</v>
      </c>
      <c r="C2250" s="3">
        <v>7001393810</v>
      </c>
      <c r="D2250" s="6">
        <v>9002053550</v>
      </c>
      <c r="E2250" s="3" t="s">
        <v>292</v>
      </c>
      <c r="F2250" s="41" t="s">
        <v>2269</v>
      </c>
      <c r="G2250" s="3" t="s">
        <v>295</v>
      </c>
      <c r="H2250" s="2" t="s">
        <v>487</v>
      </c>
      <c r="I2250" s="3" t="s">
        <v>88</v>
      </c>
      <c r="J2250" s="31">
        <v>45758</v>
      </c>
      <c r="K2250" s="31">
        <v>45765</v>
      </c>
      <c r="L2250" s="31">
        <v>45779</v>
      </c>
      <c r="M2250" s="31">
        <v>45810</v>
      </c>
      <c r="N2250" s="31"/>
      <c r="O2250" s="3" t="s">
        <v>297</v>
      </c>
    </row>
    <row r="2251" spans="1:15">
      <c r="A2251" s="3">
        <f t="shared" si="36"/>
        <v>2250</v>
      </c>
      <c r="B2251" s="41" t="s">
        <v>3582</v>
      </c>
      <c r="C2251" s="3">
        <v>6005128106</v>
      </c>
      <c r="D2251" s="6"/>
      <c r="E2251" s="3" t="s">
        <v>3580</v>
      </c>
      <c r="F2251" s="41" t="s">
        <v>2280</v>
      </c>
      <c r="G2251" s="3" t="s">
        <v>424</v>
      </c>
      <c r="H2251" s="2" t="s">
        <v>487</v>
      </c>
      <c r="I2251" s="3" t="s">
        <v>88</v>
      </c>
      <c r="J2251" s="31">
        <v>45758</v>
      </c>
      <c r="K2251" s="31">
        <v>45765</v>
      </c>
      <c r="L2251" s="31"/>
      <c r="M2251" s="31"/>
      <c r="N2251" s="31"/>
      <c r="O2251" s="3" t="s">
        <v>425</v>
      </c>
    </row>
    <row r="2252" spans="1:15">
      <c r="A2252" s="3">
        <f t="shared" si="36"/>
        <v>2251</v>
      </c>
      <c r="B2252" s="41" t="s">
        <v>3583</v>
      </c>
      <c r="C2252" s="3">
        <v>8059514447</v>
      </c>
      <c r="D2252" s="6"/>
      <c r="E2252" s="3" t="s">
        <v>1458</v>
      </c>
      <c r="F2252" s="41" t="s">
        <v>1459</v>
      </c>
      <c r="G2252" s="3" t="s">
        <v>416</v>
      </c>
      <c r="H2252" s="2" t="s">
        <v>487</v>
      </c>
      <c r="I2252" s="3" t="s">
        <v>88</v>
      </c>
      <c r="J2252" s="31">
        <v>45758</v>
      </c>
      <c r="K2252" s="31">
        <v>45765</v>
      </c>
      <c r="L2252" s="31"/>
      <c r="M2252" s="31"/>
      <c r="N2252" s="31"/>
      <c r="O2252" s="3" t="s">
        <v>297</v>
      </c>
    </row>
    <row r="2253" spans="1:15">
      <c r="A2253" s="3">
        <f t="shared" si="36"/>
        <v>2252</v>
      </c>
      <c r="B2253" s="41" t="s">
        <v>3584</v>
      </c>
      <c r="C2253" s="3">
        <v>9877165355</v>
      </c>
      <c r="D2253" s="6"/>
      <c r="E2253" s="3" t="s">
        <v>3580</v>
      </c>
      <c r="F2253" s="41" t="s">
        <v>2280</v>
      </c>
      <c r="G2253" s="3" t="s">
        <v>424</v>
      </c>
      <c r="H2253" s="2" t="s">
        <v>487</v>
      </c>
      <c r="I2253" s="3" t="s">
        <v>88</v>
      </c>
      <c r="J2253" s="31">
        <v>45758</v>
      </c>
      <c r="K2253" s="31">
        <v>45765</v>
      </c>
      <c r="L2253" s="31"/>
      <c r="M2253" s="31"/>
      <c r="N2253" s="31"/>
      <c r="O2253" s="3" t="s">
        <v>425</v>
      </c>
    </row>
    <row r="2254" spans="1:15">
      <c r="A2254" s="3">
        <f t="shared" si="36"/>
        <v>2253</v>
      </c>
      <c r="B2254" s="41" t="s">
        <v>3585</v>
      </c>
      <c r="C2254" s="3">
        <v>7004717955</v>
      </c>
      <c r="D2254" s="6"/>
      <c r="E2254" s="3" t="s">
        <v>3580</v>
      </c>
      <c r="F2254" s="41" t="s">
        <v>2280</v>
      </c>
      <c r="G2254" s="3" t="s">
        <v>424</v>
      </c>
      <c r="H2254" s="2" t="s">
        <v>487</v>
      </c>
      <c r="I2254" s="3" t="s">
        <v>88</v>
      </c>
      <c r="J2254" s="31">
        <v>45758</v>
      </c>
      <c r="K2254" s="31">
        <v>45765</v>
      </c>
      <c r="L2254" s="31"/>
      <c r="M2254" s="31"/>
      <c r="N2254" s="31"/>
      <c r="O2254" s="3" t="s">
        <v>425</v>
      </c>
    </row>
    <row r="2255" spans="1:15">
      <c r="A2255" s="3">
        <f t="shared" si="36"/>
        <v>2254</v>
      </c>
      <c r="B2255" s="41" t="s">
        <v>3586</v>
      </c>
      <c r="C2255" s="3">
        <v>8791811876</v>
      </c>
      <c r="D2255" s="6"/>
      <c r="E2255" s="3" t="s">
        <v>2908</v>
      </c>
      <c r="F2255" s="41" t="s">
        <v>294</v>
      </c>
      <c r="G2255" s="3" t="s">
        <v>16</v>
      </c>
      <c r="H2255" s="2" t="s">
        <v>296</v>
      </c>
      <c r="I2255" s="7" t="s">
        <v>94</v>
      </c>
      <c r="J2255" s="31">
        <v>45758</v>
      </c>
      <c r="K2255" s="31">
        <v>45764</v>
      </c>
      <c r="L2255" s="31">
        <v>45770</v>
      </c>
      <c r="M2255" s="31">
        <v>45799</v>
      </c>
      <c r="N2255" s="31">
        <v>45800</v>
      </c>
      <c r="O2255" s="3" t="s">
        <v>297</v>
      </c>
    </row>
    <row r="2256" spans="1:15">
      <c r="A2256" s="3">
        <f t="shared" si="36"/>
        <v>2255</v>
      </c>
      <c r="B2256" s="41" t="s">
        <v>3587</v>
      </c>
      <c r="C2256" s="3">
        <v>9380782631</v>
      </c>
      <c r="D2256" s="6"/>
      <c r="E2256" s="3" t="s">
        <v>2908</v>
      </c>
      <c r="F2256" s="41" t="s">
        <v>277</v>
      </c>
      <c r="G2256" s="2" t="s">
        <v>416</v>
      </c>
      <c r="H2256" s="2" t="s">
        <v>296</v>
      </c>
      <c r="I2256" s="7" t="s">
        <v>94</v>
      </c>
      <c r="J2256" s="31">
        <v>45758</v>
      </c>
      <c r="K2256" s="31">
        <v>45790</v>
      </c>
      <c r="L2256" s="31"/>
      <c r="M2256" s="31"/>
      <c r="N2256" s="31"/>
      <c r="O2256" s="3" t="s">
        <v>297</v>
      </c>
    </row>
    <row r="2257" spans="1:15">
      <c r="A2257" s="3">
        <f t="shared" si="36"/>
        <v>2256</v>
      </c>
      <c r="B2257" s="41" t="s">
        <v>3588</v>
      </c>
      <c r="C2257" s="3">
        <v>7679111523</v>
      </c>
      <c r="D2257" s="6"/>
      <c r="E2257" s="3" t="s">
        <v>2908</v>
      </c>
      <c r="F2257" s="41" t="s">
        <v>277</v>
      </c>
      <c r="G2257" s="2" t="s">
        <v>416</v>
      </c>
      <c r="H2257" s="2" t="s">
        <v>296</v>
      </c>
      <c r="I2257" s="7" t="s">
        <v>94</v>
      </c>
      <c r="J2257" s="31">
        <v>45758</v>
      </c>
      <c r="K2257" s="31">
        <v>45772</v>
      </c>
      <c r="L2257" s="31"/>
      <c r="M2257" s="31"/>
      <c r="N2257" s="31"/>
      <c r="O2257" s="3" t="s">
        <v>297</v>
      </c>
    </row>
    <row r="2258" spans="1:15">
      <c r="A2258" s="3">
        <f t="shared" si="36"/>
        <v>2257</v>
      </c>
      <c r="B2258" s="41" t="s">
        <v>3589</v>
      </c>
      <c r="C2258" s="3">
        <v>9689451708</v>
      </c>
      <c r="D2258" s="6"/>
      <c r="E2258" s="3" t="s">
        <v>2380</v>
      </c>
      <c r="F2258" s="41" t="s">
        <v>277</v>
      </c>
      <c r="G2258" s="3" t="s">
        <v>295</v>
      </c>
      <c r="H2258" s="2" t="s">
        <v>296</v>
      </c>
      <c r="I2258" s="7" t="s">
        <v>94</v>
      </c>
      <c r="J2258" s="31">
        <v>45758</v>
      </c>
      <c r="K2258" s="31">
        <v>45793</v>
      </c>
      <c r="L2258" s="31">
        <v>45800</v>
      </c>
      <c r="M2258" s="31">
        <v>45874</v>
      </c>
      <c r="N2258" s="31"/>
      <c r="O2258" s="3" t="s">
        <v>297</v>
      </c>
    </row>
    <row r="2259" spans="1:15">
      <c r="A2259" s="3">
        <f t="shared" si="36"/>
        <v>2258</v>
      </c>
      <c r="B2259" s="65" t="s">
        <v>3590</v>
      </c>
      <c r="C2259" s="1">
        <v>6296077176</v>
      </c>
      <c r="D2259" s="6"/>
      <c r="E2259" s="17" t="s">
        <v>3591</v>
      </c>
      <c r="F2259" s="65" t="s">
        <v>294</v>
      </c>
      <c r="G2259" s="3" t="s">
        <v>424</v>
      </c>
      <c r="H2259" s="2" t="s">
        <v>296</v>
      </c>
      <c r="I2259" s="7" t="s">
        <v>94</v>
      </c>
      <c r="J2259" s="31">
        <v>45758</v>
      </c>
      <c r="K2259" s="31">
        <v>45771</v>
      </c>
      <c r="L2259" s="31"/>
      <c r="M2259" s="31"/>
      <c r="N2259" s="31"/>
      <c r="O2259" s="3" t="s">
        <v>425</v>
      </c>
    </row>
    <row r="2260" spans="1:15">
      <c r="A2260" s="3">
        <f t="shared" si="36"/>
        <v>2259</v>
      </c>
      <c r="B2260" s="65" t="s">
        <v>1337</v>
      </c>
      <c r="C2260" s="1">
        <v>7573060953</v>
      </c>
      <c r="D2260" s="6"/>
      <c r="E2260" s="17" t="s">
        <v>3592</v>
      </c>
      <c r="F2260" s="65" t="s">
        <v>277</v>
      </c>
      <c r="G2260" s="3" t="s">
        <v>295</v>
      </c>
      <c r="H2260" s="2" t="s">
        <v>296</v>
      </c>
      <c r="I2260" s="7" t="s">
        <v>94</v>
      </c>
      <c r="J2260" s="31">
        <v>45758</v>
      </c>
      <c r="K2260" s="31">
        <v>45771</v>
      </c>
      <c r="L2260" s="31">
        <v>45959</v>
      </c>
      <c r="M2260" s="31">
        <v>45978</v>
      </c>
      <c r="N2260" s="31"/>
      <c r="O2260" s="3" t="s">
        <v>297</v>
      </c>
    </row>
    <row r="2261" spans="1:15">
      <c r="A2261" s="3">
        <f t="shared" si="36"/>
        <v>2260</v>
      </c>
      <c r="B2261" s="65" t="s">
        <v>1340</v>
      </c>
      <c r="C2261" s="1">
        <v>9068617003</v>
      </c>
      <c r="D2261" s="6"/>
      <c r="E2261" s="17" t="s">
        <v>3591</v>
      </c>
      <c r="F2261" s="65" t="s">
        <v>294</v>
      </c>
      <c r="G2261" s="3" t="s">
        <v>416</v>
      </c>
      <c r="H2261" s="2" t="s">
        <v>296</v>
      </c>
      <c r="I2261" s="7" t="s">
        <v>94</v>
      </c>
      <c r="J2261" s="31">
        <v>45758</v>
      </c>
      <c r="K2261" s="31">
        <v>45766</v>
      </c>
      <c r="L2261" s="31"/>
      <c r="M2261" s="31"/>
      <c r="N2261" s="31"/>
      <c r="O2261" s="3" t="s">
        <v>297</v>
      </c>
    </row>
    <row r="2262" spans="1:15">
      <c r="A2262" s="3">
        <f t="shared" si="36"/>
        <v>2261</v>
      </c>
      <c r="B2262" s="65" t="s">
        <v>1347</v>
      </c>
      <c r="C2262" s="1">
        <v>9120983225</v>
      </c>
      <c r="D2262" s="6"/>
      <c r="E2262" s="17" t="s">
        <v>3591</v>
      </c>
      <c r="F2262" s="65" t="s">
        <v>277</v>
      </c>
      <c r="G2262" s="3" t="s">
        <v>424</v>
      </c>
      <c r="H2262" s="2" t="s">
        <v>296</v>
      </c>
      <c r="I2262" s="7" t="s">
        <v>94</v>
      </c>
      <c r="J2262" s="31">
        <v>45758</v>
      </c>
      <c r="K2262" s="31">
        <v>45765</v>
      </c>
      <c r="L2262" s="31"/>
      <c r="M2262" s="31"/>
      <c r="N2262" s="31"/>
      <c r="O2262" s="3" t="s">
        <v>425</v>
      </c>
    </row>
    <row r="2263" spans="1:15">
      <c r="A2263" s="3">
        <f t="shared" si="36"/>
        <v>2262</v>
      </c>
      <c r="B2263" s="118" t="s">
        <v>3593</v>
      </c>
      <c r="C2263" s="7">
        <v>9392336252</v>
      </c>
      <c r="D2263" s="6"/>
      <c r="E2263" s="3" t="s">
        <v>1023</v>
      </c>
      <c r="F2263" s="80" t="s">
        <v>3594</v>
      </c>
      <c r="G2263" s="3" t="s">
        <v>16</v>
      </c>
      <c r="H2263" s="2" t="s">
        <v>2535</v>
      </c>
      <c r="I2263" s="3" t="s">
        <v>42</v>
      </c>
      <c r="J2263" s="31">
        <v>45758</v>
      </c>
      <c r="K2263" s="31">
        <v>45765</v>
      </c>
      <c r="L2263" s="31">
        <v>45765</v>
      </c>
      <c r="M2263" s="31">
        <v>45782</v>
      </c>
      <c r="N2263" s="31">
        <v>45783</v>
      </c>
      <c r="O2263" s="3" t="s">
        <v>297</v>
      </c>
    </row>
    <row r="2264" spans="1:15">
      <c r="A2264" s="3">
        <f t="shared" si="36"/>
        <v>2263</v>
      </c>
      <c r="B2264" s="118" t="s">
        <v>3595</v>
      </c>
      <c r="C2264" s="7">
        <v>9493222095</v>
      </c>
      <c r="D2264" s="6"/>
      <c r="E2264" s="3" t="s">
        <v>1023</v>
      </c>
      <c r="F2264" s="80" t="s">
        <v>3594</v>
      </c>
      <c r="G2264" s="3" t="s">
        <v>424</v>
      </c>
      <c r="H2264" s="2" t="s">
        <v>2535</v>
      </c>
      <c r="I2264" s="3" t="s">
        <v>42</v>
      </c>
      <c r="J2264" s="31">
        <v>45758</v>
      </c>
      <c r="K2264" s="31">
        <v>45765</v>
      </c>
      <c r="L2264" s="31"/>
      <c r="M2264" s="31"/>
      <c r="N2264" s="31"/>
      <c r="O2264" s="3" t="s">
        <v>425</v>
      </c>
    </row>
    <row r="2265" spans="1:15">
      <c r="A2265" s="3">
        <f t="shared" si="36"/>
        <v>2264</v>
      </c>
      <c r="B2265" s="118" t="s">
        <v>3596</v>
      </c>
      <c r="C2265" s="7">
        <v>8522972284</v>
      </c>
      <c r="D2265" s="6"/>
      <c r="E2265" s="3" t="s">
        <v>107</v>
      </c>
      <c r="F2265" s="80" t="s">
        <v>3594</v>
      </c>
      <c r="G2265" s="2" t="s">
        <v>424</v>
      </c>
      <c r="H2265" s="2" t="s">
        <v>102</v>
      </c>
      <c r="I2265" s="3" t="s">
        <v>42</v>
      </c>
      <c r="J2265" s="31">
        <v>45758</v>
      </c>
      <c r="K2265" s="31">
        <v>45782</v>
      </c>
      <c r="L2265" s="31"/>
      <c r="M2265" s="31"/>
      <c r="N2265" s="31"/>
      <c r="O2265" s="2" t="s">
        <v>749</v>
      </c>
    </row>
    <row r="2266" spans="1:15">
      <c r="A2266" s="3">
        <f t="shared" si="36"/>
        <v>2265</v>
      </c>
      <c r="B2266" s="118" t="s">
        <v>3597</v>
      </c>
      <c r="C2266" s="7">
        <v>9951608310</v>
      </c>
      <c r="D2266" s="6">
        <v>6281848515</v>
      </c>
      <c r="E2266" s="36" t="s">
        <v>113</v>
      </c>
      <c r="F2266" s="80" t="s">
        <v>3594</v>
      </c>
      <c r="G2266" s="2" t="s">
        <v>295</v>
      </c>
      <c r="H2266" s="2" t="s">
        <v>102</v>
      </c>
      <c r="I2266" s="3" t="s">
        <v>42</v>
      </c>
      <c r="J2266" s="31">
        <v>45758</v>
      </c>
      <c r="K2266" s="31">
        <v>45771</v>
      </c>
      <c r="L2266" s="31">
        <v>45777</v>
      </c>
      <c r="M2266" s="31">
        <v>45845</v>
      </c>
      <c r="N2266" s="31"/>
      <c r="O2266" s="3" t="s">
        <v>297</v>
      </c>
    </row>
    <row r="2267" spans="1:15">
      <c r="A2267" s="3">
        <f t="shared" si="36"/>
        <v>2266</v>
      </c>
      <c r="B2267" s="65" t="s">
        <v>3598</v>
      </c>
      <c r="C2267" s="1">
        <v>8688713953</v>
      </c>
      <c r="D2267" s="6"/>
      <c r="E2267" s="17" t="s">
        <v>3599</v>
      </c>
      <c r="F2267" s="65" t="s">
        <v>303</v>
      </c>
      <c r="G2267" s="3" t="s">
        <v>1175</v>
      </c>
      <c r="H2267" s="2" t="s">
        <v>752</v>
      </c>
      <c r="I2267" s="7" t="s">
        <v>94</v>
      </c>
      <c r="J2267" s="31">
        <v>45758</v>
      </c>
      <c r="K2267" s="31"/>
      <c r="L2267" s="31"/>
      <c r="M2267" s="31"/>
      <c r="N2267" s="31"/>
      <c r="O2267" s="3" t="s">
        <v>1004</v>
      </c>
    </row>
    <row r="2268" spans="1:15">
      <c r="A2268" s="3">
        <f t="shared" si="36"/>
        <v>2267</v>
      </c>
      <c r="B2268" s="65" t="s">
        <v>3600</v>
      </c>
      <c r="C2268" s="1">
        <v>7348559987</v>
      </c>
      <c r="D2268" s="6"/>
      <c r="E2268" s="17" t="s">
        <v>3599</v>
      </c>
      <c r="F2268" s="65" t="s">
        <v>303</v>
      </c>
      <c r="G2268" s="3" t="s">
        <v>1175</v>
      </c>
      <c r="H2268" s="2" t="s">
        <v>752</v>
      </c>
      <c r="I2268" s="7" t="s">
        <v>94</v>
      </c>
      <c r="J2268" s="31">
        <v>45758</v>
      </c>
      <c r="K2268" s="31"/>
      <c r="L2268" s="31"/>
      <c r="M2268" s="31"/>
      <c r="N2268" s="31"/>
      <c r="O2268" s="3" t="s">
        <v>1004</v>
      </c>
    </row>
    <row r="2269" spans="1:15">
      <c r="A2269" s="3">
        <f t="shared" si="36"/>
        <v>2268</v>
      </c>
      <c r="B2269" s="65" t="s">
        <v>3601</v>
      </c>
      <c r="C2269" s="1">
        <v>7759899713</v>
      </c>
      <c r="D2269" s="6"/>
      <c r="E2269" s="17" t="s">
        <v>3599</v>
      </c>
      <c r="F2269" s="65" t="s">
        <v>303</v>
      </c>
      <c r="G2269" s="3" t="s">
        <v>1175</v>
      </c>
      <c r="H2269" s="2" t="s">
        <v>752</v>
      </c>
      <c r="I2269" s="7" t="s">
        <v>94</v>
      </c>
      <c r="J2269" s="31">
        <v>45758</v>
      </c>
      <c r="K2269" s="31"/>
      <c r="L2269" s="31"/>
      <c r="M2269" s="31"/>
      <c r="N2269" s="31"/>
      <c r="O2269" s="3" t="s">
        <v>1004</v>
      </c>
    </row>
    <row r="2270" spans="1:15">
      <c r="A2270" s="3">
        <f t="shared" si="36"/>
        <v>2269</v>
      </c>
      <c r="B2270" s="65" t="s">
        <v>3602</v>
      </c>
      <c r="C2270" s="1">
        <v>8919188255</v>
      </c>
      <c r="D2270" s="6"/>
      <c r="E2270" s="3" t="s">
        <v>135</v>
      </c>
      <c r="F2270" s="65" t="s">
        <v>3603</v>
      </c>
      <c r="G2270" s="3" t="s">
        <v>16</v>
      </c>
      <c r="H2270" s="2" t="s">
        <v>815</v>
      </c>
      <c r="I2270" s="4" t="s">
        <v>88</v>
      </c>
      <c r="J2270" s="31">
        <v>45753</v>
      </c>
      <c r="K2270" s="31">
        <v>45753</v>
      </c>
      <c r="L2270" s="31">
        <v>45754</v>
      </c>
      <c r="M2270" s="31">
        <v>45784</v>
      </c>
      <c r="N2270" s="31">
        <v>45764</v>
      </c>
      <c r="O2270" s="3" t="s">
        <v>297</v>
      </c>
    </row>
    <row r="2271" spans="1:15">
      <c r="A2271" s="3">
        <f t="shared" si="36"/>
        <v>2270</v>
      </c>
      <c r="B2271" s="65" t="s">
        <v>3604</v>
      </c>
      <c r="C2271" s="1">
        <v>9121181986</v>
      </c>
      <c r="D2271" s="6"/>
      <c r="E2271" s="3" t="s">
        <v>48</v>
      </c>
      <c r="F2271" s="65" t="s">
        <v>3605</v>
      </c>
      <c r="G2271" s="2" t="s">
        <v>16</v>
      </c>
      <c r="H2271" s="2" t="s">
        <v>41</v>
      </c>
      <c r="I2271" s="4" t="s">
        <v>88</v>
      </c>
      <c r="J2271" s="31">
        <v>45753</v>
      </c>
      <c r="K2271" s="31">
        <v>45753</v>
      </c>
      <c r="L2271" s="31">
        <v>45754</v>
      </c>
      <c r="M2271" s="31">
        <v>45784</v>
      </c>
      <c r="N2271" s="31">
        <v>45784</v>
      </c>
      <c r="O2271" s="3" t="s">
        <v>297</v>
      </c>
    </row>
    <row r="2272" spans="1:15">
      <c r="A2272" s="3">
        <f t="shared" si="36"/>
        <v>2271</v>
      </c>
      <c r="B2272" s="65" t="s">
        <v>3606</v>
      </c>
      <c r="C2272" s="1">
        <v>9630662442</v>
      </c>
      <c r="D2272" s="6"/>
      <c r="E2272" s="17" t="s">
        <v>1783</v>
      </c>
      <c r="F2272" s="65" t="s">
        <v>3607</v>
      </c>
      <c r="G2272" s="3" t="s">
        <v>16</v>
      </c>
      <c r="H2272" s="2" t="s">
        <v>94</v>
      </c>
      <c r="I2272" s="4" t="s">
        <v>94</v>
      </c>
      <c r="J2272" s="31">
        <v>45736</v>
      </c>
      <c r="K2272" s="31">
        <v>45754</v>
      </c>
      <c r="L2272" s="31">
        <v>45757</v>
      </c>
      <c r="M2272" s="31">
        <v>45775</v>
      </c>
      <c r="N2272" s="31">
        <v>45776</v>
      </c>
      <c r="O2272" s="3" t="s">
        <v>297</v>
      </c>
    </row>
    <row r="2273" spans="1:15">
      <c r="A2273" s="3">
        <f t="shared" si="36"/>
        <v>2272</v>
      </c>
      <c r="B2273" s="65" t="s">
        <v>3608</v>
      </c>
      <c r="C2273" s="1">
        <v>7013527855</v>
      </c>
      <c r="D2273" s="6"/>
      <c r="E2273" s="36" t="s">
        <v>156</v>
      </c>
      <c r="F2273" s="65" t="s">
        <v>3609</v>
      </c>
      <c r="G2273" s="3" t="s">
        <v>16</v>
      </c>
      <c r="H2273" s="2" t="s">
        <v>94</v>
      </c>
      <c r="I2273" s="4" t="s">
        <v>94</v>
      </c>
      <c r="J2273" s="31">
        <v>45758</v>
      </c>
      <c r="K2273" s="31">
        <v>45758</v>
      </c>
      <c r="L2273" s="31">
        <v>45763</v>
      </c>
      <c r="M2273" s="31">
        <v>45788</v>
      </c>
      <c r="N2273" s="31">
        <v>45789</v>
      </c>
      <c r="O2273" s="3" t="s">
        <v>297</v>
      </c>
    </row>
    <row r="2274" spans="1:15">
      <c r="A2274" s="3">
        <f t="shared" si="36"/>
        <v>2273</v>
      </c>
      <c r="B2274" s="65" t="s">
        <v>3610</v>
      </c>
      <c r="C2274" s="1">
        <v>9133812821</v>
      </c>
      <c r="D2274" s="6"/>
      <c r="E2274" s="17" t="s">
        <v>159</v>
      </c>
      <c r="F2274" s="65" t="s">
        <v>2144</v>
      </c>
      <c r="G2274" s="3" t="s">
        <v>1175</v>
      </c>
      <c r="H2274" s="2" t="s">
        <v>94</v>
      </c>
      <c r="I2274" s="4" t="s">
        <v>94</v>
      </c>
      <c r="J2274" s="31">
        <v>45758</v>
      </c>
      <c r="K2274" s="31"/>
      <c r="L2274" s="31"/>
      <c r="M2274" s="31"/>
      <c r="N2274" s="31"/>
      <c r="O2274" s="3" t="s">
        <v>1004</v>
      </c>
    </row>
    <row r="2275" spans="1:15">
      <c r="A2275" s="3">
        <f t="shared" si="36"/>
        <v>2274</v>
      </c>
      <c r="B2275" s="65" t="s">
        <v>3611</v>
      </c>
      <c r="C2275" s="1">
        <v>7396719759</v>
      </c>
      <c r="D2275" s="6"/>
      <c r="E2275" s="17" t="s">
        <v>159</v>
      </c>
      <c r="F2275" s="65" t="s">
        <v>3609</v>
      </c>
      <c r="G2275" s="3" t="s">
        <v>330</v>
      </c>
      <c r="H2275" s="2" t="s">
        <v>94</v>
      </c>
      <c r="I2275" s="4" t="s">
        <v>94</v>
      </c>
      <c r="J2275" s="31">
        <v>45758</v>
      </c>
      <c r="K2275" s="31">
        <v>45758</v>
      </c>
      <c r="L2275" s="31">
        <v>45759</v>
      </c>
      <c r="M2275" s="31">
        <v>45779</v>
      </c>
      <c r="N2275" s="31">
        <v>45773</v>
      </c>
      <c r="O2275" s="3" t="s">
        <v>297</v>
      </c>
    </row>
    <row r="2276" spans="1:15">
      <c r="A2276" s="3">
        <f t="shared" si="36"/>
        <v>2275</v>
      </c>
      <c r="B2276" s="65" t="s">
        <v>3612</v>
      </c>
      <c r="C2276" s="1">
        <v>9133969554</v>
      </c>
      <c r="D2276" s="6"/>
      <c r="E2276" s="36" t="s">
        <v>156</v>
      </c>
      <c r="F2276" s="65" t="s">
        <v>3613</v>
      </c>
      <c r="G2276" s="3" t="s">
        <v>1175</v>
      </c>
      <c r="H2276" s="2" t="s">
        <v>94</v>
      </c>
      <c r="I2276" s="4" t="s">
        <v>94</v>
      </c>
      <c r="J2276" s="31">
        <v>45758</v>
      </c>
      <c r="K2276" s="31"/>
      <c r="L2276" s="31"/>
      <c r="M2276" s="31"/>
      <c r="N2276" s="31"/>
      <c r="O2276" s="3" t="s">
        <v>1004</v>
      </c>
    </row>
    <row r="2277" spans="1:15">
      <c r="A2277" s="3">
        <f t="shared" si="36"/>
        <v>2276</v>
      </c>
      <c r="B2277" s="65" t="s">
        <v>3614</v>
      </c>
      <c r="C2277" s="1">
        <v>9542794892</v>
      </c>
      <c r="D2277" s="6"/>
      <c r="E2277" s="17" t="s">
        <v>159</v>
      </c>
      <c r="F2277" s="65" t="s">
        <v>3615</v>
      </c>
      <c r="G2277" s="3" t="s">
        <v>16</v>
      </c>
      <c r="H2277" s="2" t="s">
        <v>94</v>
      </c>
      <c r="I2277" s="4" t="s">
        <v>94</v>
      </c>
      <c r="J2277" s="31">
        <v>45758</v>
      </c>
      <c r="K2277" s="31">
        <v>45758</v>
      </c>
      <c r="L2277" s="31">
        <v>45772</v>
      </c>
      <c r="M2277" s="31">
        <v>45810</v>
      </c>
      <c r="N2277" s="31">
        <v>45810</v>
      </c>
      <c r="O2277" s="3" t="s">
        <v>297</v>
      </c>
    </row>
    <row r="2278" spans="1:15">
      <c r="A2278" s="3">
        <f t="shared" si="36"/>
        <v>2277</v>
      </c>
      <c r="B2278" s="65" t="s">
        <v>3616</v>
      </c>
      <c r="C2278" s="1">
        <v>7075512273</v>
      </c>
      <c r="D2278" s="6"/>
      <c r="E2278" s="17" t="s">
        <v>159</v>
      </c>
      <c r="F2278" s="65" t="s">
        <v>3617</v>
      </c>
      <c r="G2278" s="3" t="s">
        <v>16</v>
      </c>
      <c r="H2278" s="2" t="s">
        <v>94</v>
      </c>
      <c r="I2278" s="4" t="s">
        <v>94</v>
      </c>
      <c r="J2278" s="31">
        <v>45758</v>
      </c>
      <c r="K2278" s="31">
        <v>45758</v>
      </c>
      <c r="L2278" s="31">
        <v>45763</v>
      </c>
      <c r="M2278" s="31">
        <v>45793</v>
      </c>
      <c r="N2278" s="31">
        <v>45792</v>
      </c>
      <c r="O2278" s="3" t="s">
        <v>297</v>
      </c>
    </row>
    <row r="2279" spans="1:15">
      <c r="A2279" s="3">
        <f t="shared" ref="A2279:A2340" si="37">ROW()-1</f>
        <v>2278</v>
      </c>
      <c r="B2279" s="65" t="s">
        <v>3618</v>
      </c>
      <c r="C2279" s="1">
        <v>9346318001</v>
      </c>
      <c r="D2279" s="6"/>
      <c r="E2279" s="17" t="s">
        <v>159</v>
      </c>
      <c r="F2279" s="65" t="s">
        <v>3609</v>
      </c>
      <c r="G2279" s="3" t="s">
        <v>1175</v>
      </c>
      <c r="H2279" s="2" t="s">
        <v>94</v>
      </c>
      <c r="I2279" s="4" t="s">
        <v>94</v>
      </c>
      <c r="J2279" s="31">
        <v>45758</v>
      </c>
      <c r="K2279" s="31"/>
      <c r="L2279" s="31"/>
      <c r="M2279" s="31"/>
      <c r="N2279" s="31"/>
      <c r="O2279" s="3" t="s">
        <v>1004</v>
      </c>
    </row>
    <row r="2280" spans="1:15">
      <c r="A2280" s="3">
        <f t="shared" si="37"/>
        <v>2279</v>
      </c>
      <c r="B2280" s="65" t="s">
        <v>3619</v>
      </c>
      <c r="C2280" s="1">
        <v>8121881134</v>
      </c>
      <c r="D2280" s="6"/>
      <c r="E2280" s="17" t="s">
        <v>653</v>
      </c>
      <c r="F2280" s="65" t="s">
        <v>481</v>
      </c>
      <c r="G2280" s="3" t="s">
        <v>16</v>
      </c>
      <c r="H2280" s="2" t="s">
        <v>162</v>
      </c>
      <c r="I2280" s="4" t="s">
        <v>88</v>
      </c>
      <c r="J2280" s="31">
        <v>45758</v>
      </c>
      <c r="K2280" s="31">
        <v>45759</v>
      </c>
      <c r="L2280" s="31">
        <v>45765</v>
      </c>
      <c r="M2280" s="31">
        <v>45810</v>
      </c>
      <c r="N2280" s="31">
        <v>45810</v>
      </c>
      <c r="O2280" s="3" t="s">
        <v>297</v>
      </c>
    </row>
    <row r="2281" spans="1:15">
      <c r="A2281" s="3">
        <f t="shared" si="37"/>
        <v>2280</v>
      </c>
      <c r="B2281" s="65" t="s">
        <v>3620</v>
      </c>
      <c r="C2281" s="1">
        <v>7566532212</v>
      </c>
      <c r="D2281" s="6">
        <v>6268287987</v>
      </c>
      <c r="E2281" s="3" t="s">
        <v>1023</v>
      </c>
      <c r="F2281" s="65" t="s">
        <v>303</v>
      </c>
      <c r="G2281" s="3" t="s">
        <v>424</v>
      </c>
      <c r="H2281" s="2" t="s">
        <v>2535</v>
      </c>
      <c r="I2281" s="4" t="s">
        <v>88</v>
      </c>
      <c r="J2281" s="31">
        <v>45758</v>
      </c>
      <c r="K2281" s="31">
        <v>45765</v>
      </c>
      <c r="L2281" s="31"/>
      <c r="M2281" s="31"/>
      <c r="N2281" s="31"/>
      <c r="O2281" s="3" t="s">
        <v>425</v>
      </c>
    </row>
    <row r="2282" spans="1:15">
      <c r="A2282" s="3">
        <f t="shared" si="37"/>
        <v>2281</v>
      </c>
      <c r="B2282" s="65" t="s">
        <v>3621</v>
      </c>
      <c r="C2282" s="1">
        <v>6261564379</v>
      </c>
      <c r="D2282" s="6"/>
      <c r="E2282" s="3" t="s">
        <v>1023</v>
      </c>
      <c r="F2282" s="65" t="s">
        <v>303</v>
      </c>
      <c r="G2282" s="3" t="s">
        <v>1175</v>
      </c>
      <c r="H2282" s="2" t="s">
        <v>2535</v>
      </c>
      <c r="I2282" s="4" t="s">
        <v>88</v>
      </c>
      <c r="J2282" s="31">
        <v>45758</v>
      </c>
      <c r="K2282" s="31"/>
      <c r="L2282" s="31"/>
      <c r="M2282" s="31"/>
      <c r="N2282" s="31"/>
      <c r="O2282" s="3" t="s">
        <v>1004</v>
      </c>
    </row>
    <row r="2283" spans="1:15">
      <c r="A2283" s="3">
        <f t="shared" si="37"/>
        <v>2282</v>
      </c>
      <c r="B2283" s="65" t="s">
        <v>3622</v>
      </c>
      <c r="C2283" s="1">
        <v>8159994850</v>
      </c>
      <c r="D2283" s="6">
        <v>7866911306</v>
      </c>
      <c r="E2283" s="3" t="s">
        <v>1023</v>
      </c>
      <c r="F2283" s="65" t="s">
        <v>1011</v>
      </c>
      <c r="G2283" s="3" t="s">
        <v>416</v>
      </c>
      <c r="H2283" s="2" t="s">
        <v>2535</v>
      </c>
      <c r="I2283" s="4" t="s">
        <v>88</v>
      </c>
      <c r="J2283" s="31">
        <v>45758</v>
      </c>
      <c r="K2283" s="31">
        <v>45765</v>
      </c>
      <c r="L2283" s="31"/>
      <c r="M2283" s="31"/>
      <c r="N2283" s="31"/>
      <c r="O2283" s="3" t="s">
        <v>297</v>
      </c>
    </row>
    <row r="2284" spans="1:15">
      <c r="A2284" s="3">
        <f t="shared" si="37"/>
        <v>2283</v>
      </c>
      <c r="B2284" s="65" t="s">
        <v>3623</v>
      </c>
      <c r="C2284" s="1">
        <v>9552959021</v>
      </c>
      <c r="D2284" s="6">
        <v>9834305486</v>
      </c>
      <c r="E2284" s="3" t="s">
        <v>1023</v>
      </c>
      <c r="F2284" s="65" t="s">
        <v>3624</v>
      </c>
      <c r="G2284" s="3" t="s">
        <v>1175</v>
      </c>
      <c r="H2284" s="2" t="s">
        <v>2535</v>
      </c>
      <c r="I2284" s="4" t="s">
        <v>88</v>
      </c>
      <c r="J2284" s="31">
        <v>45758</v>
      </c>
      <c r="K2284" s="31"/>
      <c r="L2284" s="31"/>
      <c r="M2284" s="31"/>
      <c r="N2284" s="31"/>
      <c r="O2284" s="3" t="s">
        <v>1004</v>
      </c>
    </row>
    <row r="2285" spans="1:15">
      <c r="A2285" s="3">
        <f t="shared" si="37"/>
        <v>2284</v>
      </c>
      <c r="B2285" s="65" t="s">
        <v>3625</v>
      </c>
      <c r="C2285" s="1">
        <v>8005238301</v>
      </c>
      <c r="D2285" s="6">
        <v>7007936037</v>
      </c>
      <c r="E2285" s="3" t="s">
        <v>1023</v>
      </c>
      <c r="F2285" s="65" t="s">
        <v>1011</v>
      </c>
      <c r="G2285" s="3" t="s">
        <v>295</v>
      </c>
      <c r="H2285" s="2" t="s">
        <v>2535</v>
      </c>
      <c r="I2285" s="4" t="s">
        <v>88</v>
      </c>
      <c r="J2285" s="31">
        <v>45758</v>
      </c>
      <c r="K2285" s="31">
        <v>45765</v>
      </c>
      <c r="L2285" s="31">
        <v>45772</v>
      </c>
      <c r="M2285" s="31">
        <v>45809</v>
      </c>
      <c r="N2285" s="31"/>
      <c r="O2285" s="3" t="s">
        <v>297</v>
      </c>
    </row>
    <row r="2286" spans="1:15">
      <c r="A2286" s="3">
        <f t="shared" si="37"/>
        <v>2285</v>
      </c>
      <c r="B2286" s="65" t="s">
        <v>3626</v>
      </c>
      <c r="C2286" s="1">
        <v>9113417437</v>
      </c>
      <c r="D2286" s="6">
        <v>7870225863</v>
      </c>
      <c r="E2286" s="3" t="s">
        <v>1023</v>
      </c>
      <c r="F2286" s="65" t="s">
        <v>616</v>
      </c>
      <c r="G2286" s="3" t="s">
        <v>424</v>
      </c>
      <c r="H2286" s="2" t="s">
        <v>2535</v>
      </c>
      <c r="I2286" s="4" t="s">
        <v>88</v>
      </c>
      <c r="J2286" s="31">
        <v>45758</v>
      </c>
      <c r="K2286" s="31">
        <v>45765</v>
      </c>
      <c r="L2286" s="31"/>
      <c r="M2286" s="31"/>
      <c r="N2286" s="31"/>
      <c r="O2286" s="3" t="s">
        <v>425</v>
      </c>
    </row>
    <row r="2287" spans="1:15">
      <c r="A2287" s="3">
        <f t="shared" si="37"/>
        <v>2286</v>
      </c>
      <c r="B2287" s="65" t="s">
        <v>493</v>
      </c>
      <c r="C2287" s="1">
        <v>9534196588</v>
      </c>
      <c r="D2287" s="6">
        <v>7004894245</v>
      </c>
      <c r="E2287" s="3" t="s">
        <v>1023</v>
      </c>
      <c r="F2287" s="65" t="s">
        <v>303</v>
      </c>
      <c r="G2287" s="3" t="s">
        <v>416</v>
      </c>
      <c r="H2287" s="2" t="s">
        <v>2535</v>
      </c>
      <c r="I2287" s="4" t="s">
        <v>88</v>
      </c>
      <c r="J2287" s="31">
        <v>45758</v>
      </c>
      <c r="K2287" s="31">
        <v>45765</v>
      </c>
      <c r="L2287" s="31"/>
      <c r="M2287" s="31"/>
      <c r="N2287" s="31"/>
      <c r="O2287" s="3" t="s">
        <v>297</v>
      </c>
    </row>
    <row r="2288" spans="1:15">
      <c r="A2288" s="3">
        <f t="shared" si="37"/>
        <v>2287</v>
      </c>
      <c r="B2288" s="65" t="s">
        <v>3627</v>
      </c>
      <c r="C2288" s="1">
        <v>7461991997</v>
      </c>
      <c r="D2288" s="6"/>
      <c r="E2288" s="3" t="s">
        <v>1023</v>
      </c>
      <c r="F2288" s="65" t="s">
        <v>1011</v>
      </c>
      <c r="G2288" s="3" t="s">
        <v>1175</v>
      </c>
      <c r="H2288" s="2" t="s">
        <v>2535</v>
      </c>
      <c r="I2288" s="4" t="s">
        <v>88</v>
      </c>
      <c r="J2288" s="31">
        <v>45758</v>
      </c>
      <c r="K2288" s="31"/>
      <c r="L2288" s="31"/>
      <c r="M2288" s="31"/>
      <c r="N2288" s="31"/>
      <c r="O2288" s="3" t="s">
        <v>1004</v>
      </c>
    </row>
    <row r="2289" spans="1:15">
      <c r="A2289" s="3">
        <f t="shared" si="37"/>
        <v>2288</v>
      </c>
      <c r="B2289" s="65" t="s">
        <v>3628</v>
      </c>
      <c r="C2289" s="1">
        <v>9123436113</v>
      </c>
      <c r="D2289" s="6"/>
      <c r="E2289" s="3" t="s">
        <v>1023</v>
      </c>
      <c r="F2289" s="65" t="s">
        <v>3629</v>
      </c>
      <c r="G2289" s="3" t="s">
        <v>416</v>
      </c>
      <c r="H2289" s="2" t="s">
        <v>2535</v>
      </c>
      <c r="I2289" s="4" t="s">
        <v>88</v>
      </c>
      <c r="J2289" s="31">
        <v>45758</v>
      </c>
      <c r="K2289" s="31">
        <v>45765</v>
      </c>
      <c r="L2289" s="31"/>
      <c r="M2289" s="31"/>
      <c r="N2289" s="31"/>
      <c r="O2289" s="3" t="s">
        <v>297</v>
      </c>
    </row>
    <row r="2290" spans="1:15">
      <c r="A2290" s="3">
        <f t="shared" si="37"/>
        <v>2289</v>
      </c>
      <c r="B2290" s="65" t="s">
        <v>3630</v>
      </c>
      <c r="C2290" s="1">
        <v>8328170058</v>
      </c>
      <c r="D2290" s="6">
        <v>9179276260</v>
      </c>
      <c r="E2290" s="3" t="s">
        <v>1023</v>
      </c>
      <c r="F2290" s="65" t="s">
        <v>303</v>
      </c>
      <c r="G2290" s="3" t="s">
        <v>424</v>
      </c>
      <c r="H2290" s="2" t="s">
        <v>2535</v>
      </c>
      <c r="I2290" s="4" t="s">
        <v>88</v>
      </c>
      <c r="J2290" s="31">
        <v>45758</v>
      </c>
      <c r="K2290" s="31">
        <v>45765</v>
      </c>
      <c r="L2290" s="31"/>
      <c r="M2290" s="31"/>
      <c r="N2290" s="31"/>
      <c r="O2290" s="3" t="s">
        <v>425</v>
      </c>
    </row>
    <row r="2291" spans="1:15">
      <c r="A2291" s="3">
        <f t="shared" si="37"/>
        <v>2290</v>
      </c>
      <c r="B2291" s="65" t="s">
        <v>3631</v>
      </c>
      <c r="C2291" s="1">
        <v>7356340166</v>
      </c>
      <c r="D2291" s="6">
        <v>8224911141</v>
      </c>
      <c r="E2291" s="3" t="s">
        <v>1023</v>
      </c>
      <c r="F2291" s="65" t="s">
        <v>3632</v>
      </c>
      <c r="G2291" s="3" t="s">
        <v>1175</v>
      </c>
      <c r="H2291" s="2" t="s">
        <v>2535</v>
      </c>
      <c r="I2291" s="4" t="s">
        <v>88</v>
      </c>
      <c r="J2291" s="31">
        <v>45758</v>
      </c>
      <c r="K2291" s="31"/>
      <c r="L2291" s="31"/>
      <c r="M2291" s="31"/>
      <c r="N2291" s="31"/>
      <c r="O2291" s="3" t="s">
        <v>1004</v>
      </c>
    </row>
    <row r="2292" spans="1:15">
      <c r="A2292" s="3">
        <f t="shared" si="37"/>
        <v>2291</v>
      </c>
      <c r="B2292" s="65" t="s">
        <v>3633</v>
      </c>
      <c r="C2292" s="1">
        <v>8975731728</v>
      </c>
      <c r="D2292" s="6"/>
      <c r="E2292" s="3" t="s">
        <v>1023</v>
      </c>
      <c r="F2292" s="65" t="s">
        <v>3632</v>
      </c>
      <c r="G2292" s="3" t="s">
        <v>424</v>
      </c>
      <c r="H2292" s="2" t="s">
        <v>2535</v>
      </c>
      <c r="I2292" s="4" t="s">
        <v>88</v>
      </c>
      <c r="J2292" s="31">
        <v>45758</v>
      </c>
      <c r="K2292" s="31">
        <v>45765</v>
      </c>
      <c r="L2292" s="31"/>
      <c r="M2292" s="31"/>
      <c r="N2292" s="31"/>
      <c r="O2292" s="3" t="s">
        <v>425</v>
      </c>
    </row>
    <row r="2293" spans="1:15">
      <c r="A2293" s="3">
        <f t="shared" si="37"/>
        <v>2292</v>
      </c>
      <c r="B2293" s="65" t="s">
        <v>3634</v>
      </c>
      <c r="C2293" s="1">
        <v>7755804785</v>
      </c>
      <c r="D2293" s="6">
        <v>9005292196</v>
      </c>
      <c r="E2293" s="3" t="s">
        <v>1023</v>
      </c>
      <c r="F2293" s="65" t="s">
        <v>1011</v>
      </c>
      <c r="G2293" s="3" t="s">
        <v>1175</v>
      </c>
      <c r="H2293" s="2" t="s">
        <v>2535</v>
      </c>
      <c r="I2293" s="4" t="s">
        <v>88</v>
      </c>
      <c r="J2293" s="31">
        <v>45758</v>
      </c>
      <c r="K2293" s="31"/>
      <c r="L2293" s="31"/>
      <c r="M2293" s="31"/>
      <c r="N2293" s="31"/>
      <c r="O2293" s="3" t="s">
        <v>1004</v>
      </c>
    </row>
    <row r="2294" spans="1:15">
      <c r="A2294" s="3">
        <f t="shared" si="37"/>
        <v>2293</v>
      </c>
      <c r="B2294" s="65" t="s">
        <v>3635</v>
      </c>
      <c r="C2294" s="1">
        <v>6306215803</v>
      </c>
      <c r="D2294" s="6"/>
      <c r="E2294" s="3" t="s">
        <v>1023</v>
      </c>
      <c r="F2294" s="65" t="s">
        <v>3636</v>
      </c>
      <c r="G2294" s="3" t="s">
        <v>424</v>
      </c>
      <c r="H2294" s="2" t="s">
        <v>2535</v>
      </c>
      <c r="I2294" s="4" t="s">
        <v>88</v>
      </c>
      <c r="J2294" s="31">
        <v>45758</v>
      </c>
      <c r="K2294" s="31">
        <v>45765</v>
      </c>
      <c r="L2294" s="31"/>
      <c r="M2294" s="31"/>
      <c r="N2294" s="31"/>
      <c r="O2294" s="3" t="s">
        <v>425</v>
      </c>
    </row>
    <row r="2295" spans="1:15">
      <c r="A2295" s="3">
        <f t="shared" si="37"/>
        <v>2294</v>
      </c>
      <c r="B2295" s="65" t="s">
        <v>3637</v>
      </c>
      <c r="C2295" s="3">
        <v>6397330768</v>
      </c>
      <c r="D2295" s="6"/>
      <c r="E2295" s="3" t="s">
        <v>1023</v>
      </c>
      <c r="F2295" s="41" t="s">
        <v>463</v>
      </c>
      <c r="G2295" s="1" t="s">
        <v>764</v>
      </c>
      <c r="H2295" s="1" t="s">
        <v>2535</v>
      </c>
      <c r="I2295" s="3" t="s">
        <v>88</v>
      </c>
      <c r="J2295" s="31">
        <v>45758</v>
      </c>
      <c r="K2295" s="31">
        <v>45765</v>
      </c>
      <c r="L2295" s="31"/>
      <c r="M2295" s="31"/>
      <c r="N2295" s="31"/>
      <c r="O2295" s="3" t="s">
        <v>425</v>
      </c>
    </row>
    <row r="2296" spans="1:15">
      <c r="A2296" s="3">
        <f t="shared" si="37"/>
        <v>2295</v>
      </c>
      <c r="B2296" s="65" t="s">
        <v>3638</v>
      </c>
      <c r="C2296" s="1">
        <v>8016339760</v>
      </c>
      <c r="D2296" s="6"/>
      <c r="E2296" s="17" t="s">
        <v>607</v>
      </c>
      <c r="F2296" s="65" t="s">
        <v>463</v>
      </c>
      <c r="G2296" s="3" t="s">
        <v>295</v>
      </c>
      <c r="H2296" s="2" t="s">
        <v>604</v>
      </c>
      <c r="I2296" s="4" t="s">
        <v>94</v>
      </c>
      <c r="J2296" s="31">
        <v>45751</v>
      </c>
      <c r="K2296" s="31">
        <v>45751</v>
      </c>
      <c r="L2296" s="31">
        <v>45758</v>
      </c>
      <c r="M2296" s="31">
        <v>45778</v>
      </c>
      <c r="N2296" s="31"/>
      <c r="O2296" s="3" t="s">
        <v>297</v>
      </c>
    </row>
    <row r="2297" spans="1:15">
      <c r="A2297" s="3">
        <f t="shared" si="37"/>
        <v>2296</v>
      </c>
      <c r="B2297" s="65" t="s">
        <v>3639</v>
      </c>
      <c r="C2297" s="1">
        <v>6392589022</v>
      </c>
      <c r="D2297" s="6"/>
      <c r="E2297" s="1" t="s">
        <v>607</v>
      </c>
      <c r="F2297" s="41" t="s">
        <v>3640</v>
      </c>
      <c r="G2297" s="3" t="s">
        <v>16</v>
      </c>
      <c r="H2297" s="1" t="s">
        <v>604</v>
      </c>
      <c r="I2297" s="3" t="s">
        <v>94</v>
      </c>
      <c r="J2297" s="31">
        <v>45751</v>
      </c>
      <c r="K2297" s="31">
        <v>45751</v>
      </c>
      <c r="L2297" s="31">
        <v>45758</v>
      </c>
      <c r="M2297" s="31">
        <v>45788</v>
      </c>
      <c r="N2297" s="31">
        <v>45792</v>
      </c>
      <c r="O2297" s="1" t="s">
        <v>297</v>
      </c>
    </row>
    <row r="2298" spans="1:15">
      <c r="A2298" s="3">
        <f t="shared" si="37"/>
        <v>2297</v>
      </c>
      <c r="B2298" s="65" t="s">
        <v>3641</v>
      </c>
      <c r="C2298" s="1">
        <v>8409517847</v>
      </c>
      <c r="D2298" s="6"/>
      <c r="E2298" s="17" t="s">
        <v>1354</v>
      </c>
      <c r="F2298" s="65" t="s">
        <v>3640</v>
      </c>
      <c r="G2298" s="3" t="s">
        <v>295</v>
      </c>
      <c r="H2298" s="2" t="s">
        <v>604</v>
      </c>
      <c r="I2298" s="4" t="s">
        <v>94</v>
      </c>
      <c r="J2298" s="31">
        <v>45751</v>
      </c>
      <c r="K2298" s="31">
        <v>45751</v>
      </c>
      <c r="L2298" s="31">
        <v>45758</v>
      </c>
      <c r="M2298" s="31">
        <v>45781</v>
      </c>
      <c r="N2298" s="31"/>
      <c r="O2298" s="3" t="s">
        <v>297</v>
      </c>
    </row>
    <row r="2299" spans="1:15">
      <c r="A2299" s="3">
        <f t="shared" si="37"/>
        <v>2298</v>
      </c>
      <c r="B2299" s="65" t="s">
        <v>3642</v>
      </c>
      <c r="C2299" s="1">
        <v>6303974221</v>
      </c>
      <c r="D2299" s="6"/>
      <c r="E2299" s="3" t="s">
        <v>127</v>
      </c>
      <c r="F2299" s="65" t="s">
        <v>278</v>
      </c>
      <c r="G2299" s="3" t="s">
        <v>295</v>
      </c>
      <c r="H2299" s="2" t="s">
        <v>788</v>
      </c>
      <c r="I2299" s="3" t="s">
        <v>42</v>
      </c>
      <c r="J2299" s="31">
        <v>45756</v>
      </c>
      <c r="K2299" s="31">
        <v>45756</v>
      </c>
      <c r="L2299" s="31">
        <v>45758</v>
      </c>
      <c r="M2299" s="31">
        <v>45829</v>
      </c>
      <c r="N2299" s="31"/>
      <c r="O2299" s="3" t="s">
        <v>297</v>
      </c>
    </row>
    <row r="2300" spans="1:15">
      <c r="A2300" s="3">
        <f t="shared" si="37"/>
        <v>2299</v>
      </c>
      <c r="B2300" s="65" t="s">
        <v>3643</v>
      </c>
      <c r="C2300" s="1">
        <v>6300855103</v>
      </c>
      <c r="D2300" s="6"/>
      <c r="E2300" s="17" t="s">
        <v>2293</v>
      </c>
      <c r="F2300" s="65" t="s">
        <v>278</v>
      </c>
      <c r="G2300" s="2" t="s">
        <v>16</v>
      </c>
      <c r="H2300" s="2" t="s">
        <v>788</v>
      </c>
      <c r="I2300" s="4" t="s">
        <v>94</v>
      </c>
      <c r="J2300" s="31">
        <v>45756</v>
      </c>
      <c r="K2300" s="31">
        <v>45756</v>
      </c>
      <c r="L2300" s="31">
        <v>45758</v>
      </c>
      <c r="M2300" s="31">
        <v>45788</v>
      </c>
      <c r="N2300" s="31">
        <v>45796</v>
      </c>
      <c r="O2300" s="3" t="s">
        <v>297</v>
      </c>
    </row>
    <row r="2301" spans="1:15">
      <c r="A2301" s="3">
        <f t="shared" si="37"/>
        <v>2300</v>
      </c>
      <c r="B2301" s="65" t="s">
        <v>3644</v>
      </c>
      <c r="C2301" s="1">
        <v>8172873813</v>
      </c>
      <c r="D2301" s="6"/>
      <c r="E2301" s="17" t="s">
        <v>1354</v>
      </c>
      <c r="F2301" s="65" t="s">
        <v>3640</v>
      </c>
      <c r="G2301" s="3" t="s">
        <v>295</v>
      </c>
      <c r="H2301" s="2" t="s">
        <v>604</v>
      </c>
      <c r="I2301" s="4" t="s">
        <v>94</v>
      </c>
      <c r="J2301" s="31">
        <v>45751</v>
      </c>
      <c r="K2301" s="31">
        <v>45751</v>
      </c>
      <c r="L2301" s="31">
        <v>45758</v>
      </c>
      <c r="M2301" s="31">
        <v>45821</v>
      </c>
      <c r="N2301" s="31"/>
      <c r="O2301" s="3" t="s">
        <v>297</v>
      </c>
    </row>
    <row r="2302" spans="1:15">
      <c r="A2302" s="3">
        <f t="shared" si="37"/>
        <v>2301</v>
      </c>
      <c r="B2302" s="65" t="s">
        <v>3645</v>
      </c>
      <c r="C2302" s="1">
        <v>9539922622</v>
      </c>
      <c r="D2302" s="6"/>
      <c r="E2302" s="17" t="s">
        <v>2212</v>
      </c>
      <c r="F2302" s="65" t="s">
        <v>3646</v>
      </c>
      <c r="G2302" s="3" t="s">
        <v>424</v>
      </c>
      <c r="H2302" s="2" t="s">
        <v>361</v>
      </c>
      <c r="I2302" s="4" t="s">
        <v>94</v>
      </c>
      <c r="J2302" s="31">
        <v>45758</v>
      </c>
      <c r="K2302" s="31">
        <v>45769</v>
      </c>
      <c r="L2302" s="31"/>
      <c r="M2302" s="31"/>
      <c r="N2302" s="31"/>
      <c r="O2302" s="3" t="s">
        <v>425</v>
      </c>
    </row>
    <row r="2303" spans="1:15">
      <c r="A2303" s="3">
        <f t="shared" si="37"/>
        <v>2302</v>
      </c>
      <c r="B2303" s="65" t="s">
        <v>3647</v>
      </c>
      <c r="C2303" s="1">
        <v>7008549504</v>
      </c>
      <c r="D2303" s="6"/>
      <c r="E2303" s="17" t="s">
        <v>2212</v>
      </c>
      <c r="F2303" s="65" t="s">
        <v>3646</v>
      </c>
      <c r="G2303" s="3" t="s">
        <v>16</v>
      </c>
      <c r="H2303" s="2" t="s">
        <v>361</v>
      </c>
      <c r="I2303" s="4" t="s">
        <v>94</v>
      </c>
      <c r="J2303" s="31">
        <v>45758</v>
      </c>
      <c r="K2303" s="31">
        <v>45769</v>
      </c>
      <c r="L2303" s="31">
        <v>45772</v>
      </c>
      <c r="M2303" s="31">
        <v>45780</v>
      </c>
      <c r="N2303" s="31">
        <v>45779</v>
      </c>
      <c r="O2303" s="3" t="s">
        <v>297</v>
      </c>
    </row>
    <row r="2304" spans="1:15">
      <c r="A2304" s="3">
        <f t="shared" si="37"/>
        <v>2303</v>
      </c>
      <c r="B2304" s="65" t="s">
        <v>422</v>
      </c>
      <c r="C2304" s="1">
        <v>9304576065</v>
      </c>
      <c r="D2304" s="6"/>
      <c r="E2304" s="17" t="s">
        <v>2375</v>
      </c>
      <c r="F2304" s="65" t="s">
        <v>3648</v>
      </c>
      <c r="G2304" s="3" t="s">
        <v>16</v>
      </c>
      <c r="H2304" s="1" t="s">
        <v>913</v>
      </c>
      <c r="I2304" s="4" t="s">
        <v>94</v>
      </c>
      <c r="J2304" s="31">
        <v>45759</v>
      </c>
      <c r="K2304" s="31">
        <v>45784</v>
      </c>
      <c r="L2304" s="31">
        <v>45786</v>
      </c>
      <c r="M2304" s="31">
        <v>45817</v>
      </c>
      <c r="N2304" s="31">
        <v>45814</v>
      </c>
      <c r="O2304" s="3" t="s">
        <v>297</v>
      </c>
    </row>
    <row r="2305" spans="1:15">
      <c r="A2305" s="3">
        <f t="shared" si="37"/>
        <v>2304</v>
      </c>
      <c r="B2305" s="65" t="s">
        <v>3649</v>
      </c>
      <c r="C2305" s="1">
        <v>9131589746</v>
      </c>
      <c r="D2305" s="6"/>
      <c r="E2305" s="17" t="s">
        <v>2375</v>
      </c>
      <c r="F2305" s="65" t="s">
        <v>3648</v>
      </c>
      <c r="G2305" s="3" t="s">
        <v>16</v>
      </c>
      <c r="H2305" s="1" t="s">
        <v>913</v>
      </c>
      <c r="I2305" s="4" t="s">
        <v>94</v>
      </c>
      <c r="J2305" s="31">
        <v>45759</v>
      </c>
      <c r="K2305" s="31">
        <v>45828</v>
      </c>
      <c r="L2305" s="31">
        <v>45849</v>
      </c>
      <c r="M2305" s="31">
        <v>45897</v>
      </c>
      <c r="N2305" s="31">
        <v>45897</v>
      </c>
      <c r="O2305" s="3" t="s">
        <v>297</v>
      </c>
    </row>
    <row r="2306" spans="1:15">
      <c r="A2306" s="3">
        <f t="shared" si="37"/>
        <v>2305</v>
      </c>
      <c r="B2306" s="65" t="s">
        <v>3650</v>
      </c>
      <c r="C2306" s="1">
        <v>8696110028</v>
      </c>
      <c r="D2306" s="6"/>
      <c r="E2306" s="17" t="s">
        <v>2375</v>
      </c>
      <c r="F2306" s="65" t="s">
        <v>3648</v>
      </c>
      <c r="G2306" s="3" t="s">
        <v>16</v>
      </c>
      <c r="H2306" s="1" t="s">
        <v>913</v>
      </c>
      <c r="I2306" s="4" t="s">
        <v>94</v>
      </c>
      <c r="J2306" s="31">
        <v>45759</v>
      </c>
      <c r="K2306" s="31">
        <v>45771</v>
      </c>
      <c r="L2306" s="31">
        <v>45772</v>
      </c>
      <c r="M2306" s="31">
        <v>45802</v>
      </c>
      <c r="N2306" s="31">
        <v>45802</v>
      </c>
      <c r="O2306" s="3" t="s">
        <v>297</v>
      </c>
    </row>
    <row r="2307" spans="1:15">
      <c r="A2307" s="3">
        <f t="shared" si="37"/>
        <v>2306</v>
      </c>
      <c r="B2307" s="41" t="s">
        <v>3651</v>
      </c>
      <c r="C2307" s="1">
        <v>8374759057</v>
      </c>
      <c r="D2307" s="6"/>
      <c r="E2307" s="3" t="s">
        <v>72</v>
      </c>
      <c r="F2307" s="41" t="s">
        <v>569</v>
      </c>
      <c r="G2307" s="1" t="s">
        <v>424</v>
      </c>
      <c r="H2307" s="3" t="s">
        <v>679</v>
      </c>
      <c r="I2307" s="3" t="s">
        <v>42</v>
      </c>
      <c r="J2307" s="31">
        <v>45759</v>
      </c>
      <c r="K2307" s="31">
        <v>45842</v>
      </c>
      <c r="L2307" s="31"/>
      <c r="M2307" s="31"/>
      <c r="N2307" s="31"/>
      <c r="O2307" s="1" t="s">
        <v>749</v>
      </c>
    </row>
    <row r="2308" spans="1:15">
      <c r="A2308" s="3">
        <f t="shared" si="37"/>
        <v>2307</v>
      </c>
      <c r="B2308" s="65" t="s">
        <v>3652</v>
      </c>
      <c r="C2308" s="1">
        <v>9642160646</v>
      </c>
      <c r="D2308" s="6"/>
      <c r="E2308" s="3" t="s">
        <v>52</v>
      </c>
      <c r="F2308" s="65" t="s">
        <v>3653</v>
      </c>
      <c r="G2308" s="3" t="s">
        <v>764</v>
      </c>
      <c r="H2308" s="1" t="s">
        <v>679</v>
      </c>
      <c r="I2308" s="4" t="s">
        <v>42</v>
      </c>
      <c r="J2308" s="31">
        <v>45759</v>
      </c>
      <c r="K2308" s="31">
        <v>45793</v>
      </c>
      <c r="L2308" s="31"/>
      <c r="M2308" s="31"/>
      <c r="N2308" s="31"/>
      <c r="O2308" s="3" t="s">
        <v>425</v>
      </c>
    </row>
    <row r="2309" spans="1:15">
      <c r="A2309" s="3">
        <f t="shared" si="37"/>
        <v>2308</v>
      </c>
      <c r="B2309" s="65" t="s">
        <v>3654</v>
      </c>
      <c r="C2309" s="1">
        <v>7660806190</v>
      </c>
      <c r="D2309" s="6"/>
      <c r="E2309" s="3" t="s">
        <v>59</v>
      </c>
      <c r="F2309" s="65" t="s">
        <v>3655</v>
      </c>
      <c r="G2309" s="3" t="s">
        <v>16</v>
      </c>
      <c r="H2309" s="1" t="s">
        <v>660</v>
      </c>
      <c r="I2309" s="4" t="s">
        <v>42</v>
      </c>
      <c r="J2309" s="31">
        <v>45730</v>
      </c>
      <c r="K2309" s="31">
        <v>45730</v>
      </c>
      <c r="L2309" s="31">
        <v>45737</v>
      </c>
      <c r="M2309" s="31">
        <v>45758</v>
      </c>
      <c r="N2309" s="31">
        <v>45758</v>
      </c>
      <c r="O2309" s="3" t="s">
        <v>297</v>
      </c>
    </row>
    <row r="2310" spans="1:15">
      <c r="A2310" s="3">
        <f t="shared" si="37"/>
        <v>2309</v>
      </c>
      <c r="B2310" s="65" t="s">
        <v>3656</v>
      </c>
      <c r="C2310" s="1">
        <v>9699662783</v>
      </c>
      <c r="D2310" s="6"/>
      <c r="E2310" s="3" t="s">
        <v>121</v>
      </c>
      <c r="F2310" s="65" t="s">
        <v>3657</v>
      </c>
      <c r="G2310" s="3" t="s">
        <v>18</v>
      </c>
      <c r="H2310" s="1" t="s">
        <v>679</v>
      </c>
      <c r="I2310" s="4" t="s">
        <v>42</v>
      </c>
      <c r="J2310" s="31">
        <v>45761</v>
      </c>
      <c r="K2310" s="31"/>
      <c r="L2310" s="31"/>
      <c r="M2310" s="31"/>
      <c r="N2310" s="31"/>
      <c r="O2310" s="3" t="s">
        <v>1004</v>
      </c>
    </row>
    <row r="2311" spans="1:15">
      <c r="A2311" s="3">
        <f t="shared" si="37"/>
        <v>2310</v>
      </c>
      <c r="B2311" s="65" t="s">
        <v>3658</v>
      </c>
      <c r="C2311" s="1">
        <v>8587984556</v>
      </c>
      <c r="D2311" s="6"/>
      <c r="E2311" s="3" t="s">
        <v>3659</v>
      </c>
      <c r="F2311" s="65" t="s">
        <v>3660</v>
      </c>
      <c r="G2311" s="3" t="s">
        <v>424</v>
      </c>
      <c r="H2311" s="1" t="s">
        <v>679</v>
      </c>
      <c r="I2311" s="4" t="s">
        <v>42</v>
      </c>
      <c r="J2311" s="31">
        <v>45761</v>
      </c>
      <c r="K2311" s="31">
        <v>45766</v>
      </c>
      <c r="L2311" s="31"/>
      <c r="M2311" s="31"/>
      <c r="N2311" s="31"/>
      <c r="O2311" s="3" t="s">
        <v>425</v>
      </c>
    </row>
    <row r="2312" spans="1:15">
      <c r="A2312" s="3">
        <f t="shared" si="37"/>
        <v>2311</v>
      </c>
      <c r="B2312" s="65" t="s">
        <v>3661</v>
      </c>
      <c r="C2312" s="1">
        <v>9737714748</v>
      </c>
      <c r="D2312" s="6"/>
      <c r="E2312" s="3" t="s">
        <v>118</v>
      </c>
      <c r="F2312" s="65" t="s">
        <v>3662</v>
      </c>
      <c r="G2312" s="3" t="s">
        <v>764</v>
      </c>
      <c r="H2312" s="1" t="s">
        <v>679</v>
      </c>
      <c r="I2312" s="4" t="s">
        <v>42</v>
      </c>
      <c r="J2312" s="31">
        <v>45761</v>
      </c>
      <c r="K2312" s="31">
        <v>45777</v>
      </c>
      <c r="L2312" s="31"/>
      <c r="M2312" s="31"/>
      <c r="N2312" s="31"/>
      <c r="O2312" s="3" t="s">
        <v>425</v>
      </c>
    </row>
    <row r="2313" spans="1:15">
      <c r="A2313" s="3">
        <f t="shared" si="37"/>
        <v>2312</v>
      </c>
      <c r="B2313" s="65" t="s">
        <v>3663</v>
      </c>
      <c r="C2313" s="1">
        <v>8106904951</v>
      </c>
      <c r="D2313" s="6"/>
      <c r="E2313" s="3" t="s">
        <v>118</v>
      </c>
      <c r="F2313" s="65" t="s">
        <v>3664</v>
      </c>
      <c r="G2313" s="3" t="s">
        <v>18</v>
      </c>
      <c r="H2313" s="1" t="s">
        <v>679</v>
      </c>
      <c r="I2313" s="4" t="s">
        <v>42</v>
      </c>
      <c r="J2313" s="31">
        <v>45761</v>
      </c>
      <c r="K2313" s="31"/>
      <c r="L2313" s="31"/>
      <c r="M2313" s="31"/>
      <c r="N2313" s="31"/>
      <c r="O2313" s="3" t="s">
        <v>297</v>
      </c>
    </row>
    <row r="2314" spans="1:15">
      <c r="A2314" s="3">
        <f t="shared" si="37"/>
        <v>2313</v>
      </c>
      <c r="B2314" s="65" t="s">
        <v>3665</v>
      </c>
      <c r="C2314" s="1">
        <v>7799998834</v>
      </c>
      <c r="D2314" s="6">
        <v>9121081373</v>
      </c>
      <c r="E2314" s="3" t="s">
        <v>90</v>
      </c>
      <c r="F2314" s="65" t="s">
        <v>294</v>
      </c>
      <c r="G2314" s="3" t="s">
        <v>16</v>
      </c>
      <c r="H2314" s="2" t="s">
        <v>3117</v>
      </c>
      <c r="I2314" s="4" t="s">
        <v>42</v>
      </c>
      <c r="J2314" s="31">
        <v>45761</v>
      </c>
      <c r="K2314" s="31">
        <v>45764</v>
      </c>
      <c r="L2314" s="31">
        <v>45765</v>
      </c>
      <c r="M2314" s="31">
        <v>45782</v>
      </c>
      <c r="N2314" s="31">
        <v>45783</v>
      </c>
      <c r="O2314" s="3" t="s">
        <v>297</v>
      </c>
    </row>
    <row r="2315" spans="1:15">
      <c r="A2315" s="3">
        <f t="shared" si="37"/>
        <v>2314</v>
      </c>
      <c r="B2315" s="65" t="s">
        <v>3666</v>
      </c>
      <c r="C2315" s="1">
        <v>7905366329</v>
      </c>
      <c r="D2315" s="6">
        <v>9454144003</v>
      </c>
      <c r="E2315" s="3" t="s">
        <v>90</v>
      </c>
      <c r="F2315" s="65" t="s">
        <v>294</v>
      </c>
      <c r="G2315" s="3" t="s">
        <v>16</v>
      </c>
      <c r="H2315" s="2" t="s">
        <v>3117</v>
      </c>
      <c r="I2315" s="4" t="s">
        <v>42</v>
      </c>
      <c r="J2315" s="31">
        <v>45761</v>
      </c>
      <c r="K2315" s="31">
        <v>45764</v>
      </c>
      <c r="L2315" s="31">
        <v>45765</v>
      </c>
      <c r="M2315" s="31">
        <v>45795</v>
      </c>
      <c r="N2315" s="31">
        <v>45799</v>
      </c>
      <c r="O2315" s="3" t="s">
        <v>297</v>
      </c>
    </row>
    <row r="2316" spans="1:15">
      <c r="A2316" s="3">
        <f t="shared" si="37"/>
        <v>2315</v>
      </c>
      <c r="B2316" s="65" t="s">
        <v>3667</v>
      </c>
      <c r="C2316" s="1">
        <v>7680809293</v>
      </c>
      <c r="D2316" s="6">
        <v>9959128031</v>
      </c>
      <c r="E2316" s="3" t="s">
        <v>56</v>
      </c>
      <c r="F2316" s="65" t="s">
        <v>3668</v>
      </c>
      <c r="G2316" s="3" t="s">
        <v>16</v>
      </c>
      <c r="H2316" s="1" t="s">
        <v>660</v>
      </c>
      <c r="I2316" s="4" t="s">
        <v>42</v>
      </c>
      <c r="J2316" s="31">
        <v>45762</v>
      </c>
      <c r="K2316" s="31">
        <v>45777</v>
      </c>
      <c r="L2316" s="31">
        <v>45779</v>
      </c>
      <c r="M2316" s="31">
        <v>45818</v>
      </c>
      <c r="N2316" s="31">
        <v>45814</v>
      </c>
      <c r="O2316" s="3" t="s">
        <v>297</v>
      </c>
    </row>
    <row r="2317" spans="1:15">
      <c r="A2317" s="3">
        <f t="shared" si="37"/>
        <v>2316</v>
      </c>
      <c r="B2317" s="65" t="s">
        <v>3669</v>
      </c>
      <c r="C2317" s="1">
        <v>9490598468</v>
      </c>
      <c r="D2317" s="6"/>
      <c r="E2317" s="3" t="s">
        <v>59</v>
      </c>
      <c r="F2317" s="65" t="s">
        <v>3670</v>
      </c>
      <c r="G2317" s="3" t="s">
        <v>424</v>
      </c>
      <c r="H2317" s="1" t="s">
        <v>660</v>
      </c>
      <c r="I2317" s="4" t="s">
        <v>42</v>
      </c>
      <c r="J2317" s="31">
        <v>45762</v>
      </c>
      <c r="K2317" s="31">
        <v>45793</v>
      </c>
      <c r="L2317" s="31"/>
      <c r="M2317" s="31"/>
      <c r="N2317" s="31"/>
      <c r="O2317" s="3" t="s">
        <v>749</v>
      </c>
    </row>
    <row r="2318" spans="1:15">
      <c r="A2318" s="3">
        <f t="shared" si="37"/>
        <v>2317</v>
      </c>
      <c r="B2318" s="65" t="s">
        <v>3671</v>
      </c>
      <c r="C2318" s="1">
        <v>9511528941</v>
      </c>
      <c r="D2318" s="6">
        <v>9887163450</v>
      </c>
      <c r="E2318" s="3" t="s">
        <v>59</v>
      </c>
      <c r="F2318" s="65" t="s">
        <v>3672</v>
      </c>
      <c r="G2318" s="3" t="s">
        <v>764</v>
      </c>
      <c r="H2318" s="1" t="s">
        <v>660</v>
      </c>
      <c r="I2318" s="4" t="s">
        <v>42</v>
      </c>
      <c r="J2318" s="31">
        <v>45762</v>
      </c>
      <c r="K2318" s="31">
        <v>45776</v>
      </c>
      <c r="L2318" s="31"/>
      <c r="M2318" s="31"/>
      <c r="N2318" s="31"/>
      <c r="O2318" s="3" t="s">
        <v>425</v>
      </c>
    </row>
    <row r="2319" spans="1:15">
      <c r="A2319" s="3">
        <f t="shared" si="37"/>
        <v>2318</v>
      </c>
      <c r="B2319" s="65" t="s">
        <v>3673</v>
      </c>
      <c r="C2319" s="1">
        <v>8099988849</v>
      </c>
      <c r="D2319" s="6"/>
      <c r="E2319" s="3" t="s">
        <v>56</v>
      </c>
      <c r="F2319" s="65" t="s">
        <v>3147</v>
      </c>
      <c r="G2319" s="3" t="s">
        <v>764</v>
      </c>
      <c r="H2319" s="1" t="s">
        <v>660</v>
      </c>
      <c r="I2319" s="4" t="s">
        <v>42</v>
      </c>
      <c r="J2319" s="31">
        <v>45762</v>
      </c>
      <c r="K2319" s="31">
        <v>45776</v>
      </c>
      <c r="L2319" s="31"/>
      <c r="M2319" s="31"/>
      <c r="N2319" s="31"/>
      <c r="O2319" s="3" t="s">
        <v>425</v>
      </c>
    </row>
    <row r="2320" spans="1:15">
      <c r="A2320" s="3">
        <f t="shared" si="37"/>
        <v>2319</v>
      </c>
      <c r="B2320" s="65" t="s">
        <v>3674</v>
      </c>
      <c r="C2320" s="1">
        <v>9701473222</v>
      </c>
      <c r="D2320" s="6"/>
      <c r="E2320" s="3" t="s">
        <v>56</v>
      </c>
      <c r="F2320" s="65" t="s">
        <v>3675</v>
      </c>
      <c r="G2320" s="3" t="s">
        <v>764</v>
      </c>
      <c r="H2320" s="1" t="s">
        <v>660</v>
      </c>
      <c r="I2320" s="4" t="s">
        <v>42</v>
      </c>
      <c r="J2320" s="31">
        <v>45762</v>
      </c>
      <c r="K2320" s="31">
        <v>45793</v>
      </c>
      <c r="L2320" s="31"/>
      <c r="M2320" s="31"/>
      <c r="N2320" s="31"/>
      <c r="O2320" s="3" t="s">
        <v>425</v>
      </c>
    </row>
    <row r="2321" spans="1:15">
      <c r="A2321" s="3">
        <f t="shared" si="37"/>
        <v>2320</v>
      </c>
      <c r="B2321" s="65" t="s">
        <v>3676</v>
      </c>
      <c r="C2321" s="1">
        <v>8297940908</v>
      </c>
      <c r="D2321" s="6">
        <v>6303512356</v>
      </c>
      <c r="E2321" s="3" t="s">
        <v>1023</v>
      </c>
      <c r="F2321" s="65" t="s">
        <v>612</v>
      </c>
      <c r="G2321" s="3" t="s">
        <v>16</v>
      </c>
      <c r="H2321" s="1" t="s">
        <v>2535</v>
      </c>
      <c r="I2321" s="4" t="s">
        <v>42</v>
      </c>
      <c r="J2321" s="31">
        <v>45762</v>
      </c>
      <c r="K2321" s="31">
        <v>45765</v>
      </c>
      <c r="L2321" s="31">
        <v>45772</v>
      </c>
      <c r="M2321" s="31">
        <v>45782</v>
      </c>
      <c r="N2321" s="31">
        <v>45783</v>
      </c>
      <c r="O2321" s="3" t="s">
        <v>297</v>
      </c>
    </row>
    <row r="2322" spans="1:15">
      <c r="A2322" s="3">
        <f t="shared" si="37"/>
        <v>2321</v>
      </c>
      <c r="B2322" s="65" t="s">
        <v>3677</v>
      </c>
      <c r="C2322" s="1">
        <v>9398735327</v>
      </c>
      <c r="D2322" s="6">
        <v>9515839779</v>
      </c>
      <c r="E2322" s="3" t="s">
        <v>110</v>
      </c>
      <c r="F2322" s="65" t="s">
        <v>3370</v>
      </c>
      <c r="G2322" s="3" t="s">
        <v>764</v>
      </c>
      <c r="H2322" s="1" t="s">
        <v>102</v>
      </c>
      <c r="I2322" s="4" t="s">
        <v>42</v>
      </c>
      <c r="J2322" s="31">
        <v>45762</v>
      </c>
      <c r="K2322" s="31">
        <v>45764</v>
      </c>
      <c r="L2322" s="31"/>
      <c r="M2322" s="31"/>
      <c r="N2322" s="31"/>
      <c r="O2322" s="3" t="s">
        <v>425</v>
      </c>
    </row>
    <row r="2323" spans="1:15">
      <c r="A2323" s="3">
        <f t="shared" si="37"/>
        <v>2322</v>
      </c>
      <c r="B2323" s="65" t="s">
        <v>3678</v>
      </c>
      <c r="C2323" s="1">
        <v>9392662448</v>
      </c>
      <c r="D2323" s="6"/>
      <c r="E2323" s="3" t="s">
        <v>113</v>
      </c>
      <c r="F2323" s="65" t="s">
        <v>1060</v>
      </c>
      <c r="G2323" s="3" t="s">
        <v>764</v>
      </c>
      <c r="H2323" s="1" t="s">
        <v>102</v>
      </c>
      <c r="I2323" s="4" t="s">
        <v>42</v>
      </c>
      <c r="J2323" s="31">
        <v>45762</v>
      </c>
      <c r="K2323" s="31">
        <v>45764</v>
      </c>
      <c r="L2323" s="31"/>
      <c r="M2323" s="31"/>
      <c r="N2323" s="31"/>
      <c r="O2323" s="3" t="s">
        <v>425</v>
      </c>
    </row>
    <row r="2324" spans="1:15">
      <c r="A2324" s="3">
        <f t="shared" si="37"/>
        <v>2323</v>
      </c>
      <c r="B2324" s="65" t="s">
        <v>3679</v>
      </c>
      <c r="C2324" s="1">
        <v>8171987232</v>
      </c>
      <c r="D2324" s="6"/>
      <c r="E2324" s="3" t="s">
        <v>113</v>
      </c>
      <c r="F2324" s="65" t="s">
        <v>1060</v>
      </c>
      <c r="G2324" s="3" t="s">
        <v>424</v>
      </c>
      <c r="H2324" s="1" t="s">
        <v>102</v>
      </c>
      <c r="I2324" s="4" t="s">
        <v>42</v>
      </c>
      <c r="J2324" s="31">
        <v>45762</v>
      </c>
      <c r="K2324" s="31">
        <v>45764</v>
      </c>
      <c r="L2324" s="31"/>
      <c r="M2324" s="31"/>
      <c r="N2324" s="31"/>
      <c r="O2324" s="3" t="s">
        <v>425</v>
      </c>
    </row>
    <row r="2325" spans="1:15">
      <c r="A2325" s="3">
        <f t="shared" si="37"/>
        <v>2324</v>
      </c>
      <c r="B2325" s="65" t="s">
        <v>3680</v>
      </c>
      <c r="C2325" s="1">
        <v>9494694667</v>
      </c>
      <c r="D2325" s="6"/>
      <c r="E2325" s="3" t="s">
        <v>107</v>
      </c>
      <c r="F2325" s="65" t="s">
        <v>2360</v>
      </c>
      <c r="G2325" s="3" t="s">
        <v>16</v>
      </c>
      <c r="H2325" s="1" t="s">
        <v>102</v>
      </c>
      <c r="I2325" s="4" t="s">
        <v>42</v>
      </c>
      <c r="J2325" s="31">
        <v>45762</v>
      </c>
      <c r="K2325" s="31">
        <v>45764</v>
      </c>
      <c r="L2325" s="31">
        <v>45765</v>
      </c>
      <c r="M2325" s="31">
        <v>45795</v>
      </c>
      <c r="N2325" s="31">
        <v>45797</v>
      </c>
      <c r="O2325" s="3" t="s">
        <v>297</v>
      </c>
    </row>
    <row r="2326" spans="1:15">
      <c r="A2326" s="3">
        <f t="shared" si="37"/>
        <v>2325</v>
      </c>
      <c r="B2326" s="65" t="s">
        <v>3681</v>
      </c>
      <c r="C2326" s="1">
        <v>7675914039</v>
      </c>
      <c r="D2326" s="6"/>
      <c r="E2326" s="3" t="s">
        <v>110</v>
      </c>
      <c r="F2326" s="65" t="s">
        <v>3682</v>
      </c>
      <c r="G2326" s="3" t="s">
        <v>295</v>
      </c>
      <c r="H2326" s="1" t="s">
        <v>102</v>
      </c>
      <c r="I2326" s="4" t="s">
        <v>42</v>
      </c>
      <c r="J2326" s="31">
        <v>45762</v>
      </c>
      <c r="K2326" s="31">
        <v>45764</v>
      </c>
      <c r="L2326" s="31">
        <v>45772</v>
      </c>
      <c r="M2326" s="31">
        <v>45803</v>
      </c>
      <c r="N2326" s="31"/>
      <c r="O2326" s="3" t="s">
        <v>297</v>
      </c>
    </row>
    <row r="2327" spans="1:15">
      <c r="A2327" s="3">
        <f t="shared" si="37"/>
        <v>2326</v>
      </c>
      <c r="B2327" s="65" t="s">
        <v>3683</v>
      </c>
      <c r="C2327" s="1">
        <v>9785629525</v>
      </c>
      <c r="D2327" s="6"/>
      <c r="E2327" s="3" t="s">
        <v>110</v>
      </c>
      <c r="F2327" s="65" t="s">
        <v>3684</v>
      </c>
      <c r="G2327" s="3" t="s">
        <v>424</v>
      </c>
      <c r="H2327" s="1" t="s">
        <v>102</v>
      </c>
      <c r="I2327" s="4" t="s">
        <v>42</v>
      </c>
      <c r="J2327" s="31">
        <v>45762</v>
      </c>
      <c r="K2327" s="31">
        <v>45765</v>
      </c>
      <c r="L2327" s="31"/>
      <c r="M2327" s="31"/>
      <c r="N2327" s="31"/>
      <c r="O2327" s="3" t="s">
        <v>425</v>
      </c>
    </row>
    <row r="2328" spans="1:15">
      <c r="A2328" s="3">
        <f t="shared" si="37"/>
        <v>2327</v>
      </c>
      <c r="B2328" s="65" t="s">
        <v>3685</v>
      </c>
      <c r="C2328" s="1">
        <v>8297530398</v>
      </c>
      <c r="D2328" s="6"/>
      <c r="E2328" s="3" t="s">
        <v>113</v>
      </c>
      <c r="F2328" s="65" t="s">
        <v>3686</v>
      </c>
      <c r="G2328" s="3" t="s">
        <v>330</v>
      </c>
      <c r="H2328" s="1" t="s">
        <v>102</v>
      </c>
      <c r="I2328" s="4" t="s">
        <v>42</v>
      </c>
      <c r="J2328" s="31">
        <v>45762</v>
      </c>
      <c r="K2328" s="31">
        <v>45764</v>
      </c>
      <c r="L2328" s="31">
        <v>45770</v>
      </c>
      <c r="M2328" s="31">
        <v>45818</v>
      </c>
      <c r="N2328" s="31">
        <v>45819</v>
      </c>
      <c r="O2328" s="3" t="s">
        <v>297</v>
      </c>
    </row>
    <row r="2329" spans="1:15">
      <c r="A2329" s="3">
        <f t="shared" si="37"/>
        <v>2328</v>
      </c>
      <c r="B2329" s="65" t="s">
        <v>3687</v>
      </c>
      <c r="C2329" s="1">
        <v>8080115398</v>
      </c>
      <c r="D2329" s="6"/>
      <c r="E2329" s="3" t="s">
        <v>113</v>
      </c>
      <c r="F2329" s="65" t="s">
        <v>3688</v>
      </c>
      <c r="G2329" s="3" t="s">
        <v>424</v>
      </c>
      <c r="H2329" s="1" t="s">
        <v>102</v>
      </c>
      <c r="I2329" s="4" t="s">
        <v>42</v>
      </c>
      <c r="J2329" s="31">
        <v>45762</v>
      </c>
      <c r="K2329" s="31">
        <v>45771</v>
      </c>
      <c r="L2329" s="31"/>
      <c r="M2329" s="31"/>
      <c r="N2329" s="31"/>
      <c r="O2329" s="3" t="s">
        <v>425</v>
      </c>
    </row>
    <row r="2330" spans="1:15">
      <c r="A2330" s="3">
        <f t="shared" si="37"/>
        <v>2329</v>
      </c>
      <c r="B2330" s="65" t="s">
        <v>3689</v>
      </c>
      <c r="C2330" s="1">
        <v>9679645236</v>
      </c>
      <c r="D2330" s="6"/>
      <c r="E2330" s="3" t="s">
        <v>90</v>
      </c>
      <c r="F2330" s="65" t="s">
        <v>277</v>
      </c>
      <c r="G2330" s="3" t="s">
        <v>416</v>
      </c>
      <c r="H2330" s="1" t="s">
        <v>3117</v>
      </c>
      <c r="I2330" s="4" t="s">
        <v>42</v>
      </c>
      <c r="J2330" s="31">
        <v>45762</v>
      </c>
      <c r="K2330" s="31">
        <v>45763</v>
      </c>
      <c r="L2330" s="31"/>
      <c r="M2330" s="31"/>
      <c r="N2330" s="31"/>
      <c r="O2330" s="3" t="s">
        <v>297</v>
      </c>
    </row>
    <row r="2331" spans="1:15">
      <c r="A2331" s="3">
        <f t="shared" si="37"/>
        <v>2330</v>
      </c>
      <c r="B2331" s="65" t="s">
        <v>3690</v>
      </c>
      <c r="C2331" s="1">
        <v>7659987918</v>
      </c>
      <c r="D2331" s="6"/>
      <c r="E2331" s="3" t="s">
        <v>90</v>
      </c>
      <c r="F2331" s="65" t="s">
        <v>3691</v>
      </c>
      <c r="G2331" s="3" t="s">
        <v>416</v>
      </c>
      <c r="H2331" s="1" t="s">
        <v>3117</v>
      </c>
      <c r="I2331" s="4" t="s">
        <v>42</v>
      </c>
      <c r="J2331" s="31">
        <v>45762</v>
      </c>
      <c r="K2331" s="31">
        <v>45763</v>
      </c>
      <c r="L2331" s="31"/>
      <c r="M2331" s="31"/>
      <c r="N2331" s="31"/>
      <c r="O2331" s="3" t="s">
        <v>297</v>
      </c>
    </row>
    <row r="2332" spans="1:15">
      <c r="A2332" s="3">
        <f t="shared" si="37"/>
        <v>2331</v>
      </c>
      <c r="B2332" s="65" t="s">
        <v>3692</v>
      </c>
      <c r="C2332" s="1">
        <v>7981322572</v>
      </c>
      <c r="D2332" s="6"/>
      <c r="E2332" s="3" t="s">
        <v>90</v>
      </c>
      <c r="F2332" s="65" t="s">
        <v>294</v>
      </c>
      <c r="G2332" s="3" t="s">
        <v>16</v>
      </c>
      <c r="H2332" s="1" t="s">
        <v>3117</v>
      </c>
      <c r="I2332" s="4" t="s">
        <v>42</v>
      </c>
      <c r="J2332" s="31">
        <v>45762</v>
      </c>
      <c r="K2332" s="31">
        <v>45763</v>
      </c>
      <c r="L2332" s="31">
        <v>45765</v>
      </c>
      <c r="M2332" s="31">
        <v>45795</v>
      </c>
      <c r="N2332" s="31">
        <v>45782</v>
      </c>
      <c r="O2332" s="3" t="s">
        <v>297</v>
      </c>
    </row>
    <row r="2333" spans="1:15">
      <c r="A2333" s="3">
        <f t="shared" si="37"/>
        <v>2332</v>
      </c>
      <c r="B2333" s="65" t="s">
        <v>3693</v>
      </c>
      <c r="C2333" s="1">
        <v>8667817957</v>
      </c>
      <c r="D2333" s="6"/>
      <c r="E2333" s="3" t="s">
        <v>90</v>
      </c>
      <c r="F2333" s="65" t="s">
        <v>3694</v>
      </c>
      <c r="G2333" s="3" t="s">
        <v>16</v>
      </c>
      <c r="H2333" s="1" t="s">
        <v>3117</v>
      </c>
      <c r="I2333" s="4" t="s">
        <v>42</v>
      </c>
      <c r="J2333" s="31">
        <v>45762</v>
      </c>
      <c r="K2333" s="31">
        <v>45763</v>
      </c>
      <c r="L2333" s="31">
        <v>45768</v>
      </c>
      <c r="M2333" s="31">
        <v>45798</v>
      </c>
      <c r="N2333" s="31">
        <v>45786</v>
      </c>
      <c r="O2333" s="3" t="s">
        <v>297</v>
      </c>
    </row>
    <row r="2334" spans="1:15">
      <c r="A2334" s="3">
        <f t="shared" si="37"/>
        <v>2333</v>
      </c>
      <c r="B2334" s="65" t="s">
        <v>3695</v>
      </c>
      <c r="C2334" s="1">
        <v>9381302276</v>
      </c>
      <c r="D2334" s="6"/>
      <c r="E2334" s="3" t="s">
        <v>1023</v>
      </c>
      <c r="F2334" s="65" t="s">
        <v>3696</v>
      </c>
      <c r="G2334" s="3" t="s">
        <v>1175</v>
      </c>
      <c r="H2334" s="1" t="s">
        <v>2535</v>
      </c>
      <c r="I2334" s="4" t="s">
        <v>42</v>
      </c>
      <c r="J2334" s="31">
        <v>45762</v>
      </c>
      <c r="K2334" s="31"/>
      <c r="L2334" s="31"/>
      <c r="M2334" s="31"/>
      <c r="N2334" s="31"/>
      <c r="O2334" s="3" t="s">
        <v>1004</v>
      </c>
    </row>
    <row r="2335" spans="1:15">
      <c r="A2335" s="3">
        <f t="shared" si="37"/>
        <v>2334</v>
      </c>
      <c r="B2335" s="65" t="s">
        <v>3174</v>
      </c>
      <c r="C2335" s="1">
        <v>9939255837</v>
      </c>
      <c r="D2335" s="6"/>
      <c r="E2335" s="3" t="s">
        <v>1023</v>
      </c>
      <c r="F2335" s="65" t="s">
        <v>3594</v>
      </c>
      <c r="G2335" s="3" t="s">
        <v>416</v>
      </c>
      <c r="H2335" s="1" t="s">
        <v>2535</v>
      </c>
      <c r="I2335" s="4" t="s">
        <v>42</v>
      </c>
      <c r="J2335" s="31">
        <v>45762</v>
      </c>
      <c r="K2335" s="31">
        <v>45765</v>
      </c>
      <c r="L2335" s="31"/>
      <c r="M2335" s="31"/>
      <c r="N2335" s="31"/>
      <c r="O2335" s="3" t="s">
        <v>297</v>
      </c>
    </row>
    <row r="2336" spans="1:15">
      <c r="A2336" s="3">
        <f t="shared" si="37"/>
        <v>2335</v>
      </c>
      <c r="B2336" s="65" t="s">
        <v>3697</v>
      </c>
      <c r="C2336" s="1">
        <v>9381435463</v>
      </c>
      <c r="D2336" s="6"/>
      <c r="E2336" s="3" t="s">
        <v>113</v>
      </c>
      <c r="F2336" s="65" t="s">
        <v>3698</v>
      </c>
      <c r="G2336" s="3" t="s">
        <v>764</v>
      </c>
      <c r="H2336" s="1" t="s">
        <v>102</v>
      </c>
      <c r="I2336" s="4" t="s">
        <v>42</v>
      </c>
      <c r="J2336" s="31">
        <v>45762</v>
      </c>
      <c r="K2336" s="31">
        <v>45772</v>
      </c>
      <c r="L2336" s="31"/>
      <c r="M2336" s="31"/>
      <c r="N2336" s="31"/>
      <c r="O2336" s="3" t="s">
        <v>425</v>
      </c>
    </row>
    <row r="2337" spans="1:15">
      <c r="A2337" s="3">
        <f t="shared" si="37"/>
        <v>2336</v>
      </c>
      <c r="B2337" s="65" t="s">
        <v>3699</v>
      </c>
      <c r="C2337" s="1">
        <v>9347216842</v>
      </c>
      <c r="D2337" s="6"/>
      <c r="E2337" s="3" t="s">
        <v>110</v>
      </c>
      <c r="F2337" s="65" t="s">
        <v>3700</v>
      </c>
      <c r="G2337" s="3" t="s">
        <v>424</v>
      </c>
      <c r="H2337" s="1" t="s">
        <v>102</v>
      </c>
      <c r="I2337" s="4" t="s">
        <v>42</v>
      </c>
      <c r="J2337" s="31">
        <v>45762</v>
      </c>
      <c r="K2337" s="31">
        <v>45772</v>
      </c>
      <c r="L2337" s="31"/>
      <c r="M2337" s="31"/>
      <c r="N2337" s="31"/>
      <c r="O2337" s="3" t="s">
        <v>425</v>
      </c>
    </row>
    <row r="2338" spans="1:15">
      <c r="A2338" s="3">
        <f t="shared" si="37"/>
        <v>2337</v>
      </c>
      <c r="B2338" s="65" t="s">
        <v>3701</v>
      </c>
      <c r="C2338" s="1">
        <v>9963233998</v>
      </c>
      <c r="D2338" s="6"/>
      <c r="E2338" s="3" t="s">
        <v>113</v>
      </c>
      <c r="F2338" s="65" t="s">
        <v>3702</v>
      </c>
      <c r="G2338" s="2" t="s">
        <v>424</v>
      </c>
      <c r="H2338" s="1" t="s">
        <v>102</v>
      </c>
      <c r="I2338" s="4" t="s">
        <v>42</v>
      </c>
      <c r="J2338" s="31">
        <v>45762</v>
      </c>
      <c r="K2338" s="31">
        <v>45782</v>
      </c>
      <c r="L2338" s="31"/>
      <c r="M2338" s="31"/>
      <c r="N2338" s="31"/>
      <c r="O2338" s="2" t="s">
        <v>749</v>
      </c>
    </row>
    <row r="2339" spans="1:15">
      <c r="A2339" s="3">
        <f t="shared" si="37"/>
        <v>2338</v>
      </c>
      <c r="B2339" s="65" t="s">
        <v>845</v>
      </c>
      <c r="C2339" s="1">
        <v>9985391228</v>
      </c>
      <c r="D2339" s="6"/>
      <c r="E2339" s="3" t="s">
        <v>72</v>
      </c>
      <c r="F2339" s="65" t="s">
        <v>3242</v>
      </c>
      <c r="G2339" s="3" t="s">
        <v>16</v>
      </c>
      <c r="H2339" s="1" t="s">
        <v>3117</v>
      </c>
      <c r="I2339" s="4" t="s">
        <v>42</v>
      </c>
      <c r="J2339" s="31">
        <v>45762</v>
      </c>
      <c r="K2339" s="31">
        <v>45763</v>
      </c>
      <c r="L2339" s="31">
        <v>45772</v>
      </c>
      <c r="M2339" s="31">
        <v>45789</v>
      </c>
      <c r="N2339" s="31">
        <v>45791</v>
      </c>
      <c r="O2339" s="3" t="s">
        <v>297</v>
      </c>
    </row>
    <row r="2340" spans="1:15">
      <c r="A2340" s="3">
        <f t="shared" si="37"/>
        <v>2339</v>
      </c>
      <c r="B2340" s="65" t="s">
        <v>3703</v>
      </c>
      <c r="C2340" s="1">
        <v>8186085089</v>
      </c>
      <c r="D2340" s="6">
        <v>7981185645</v>
      </c>
      <c r="E2340" s="3" t="s">
        <v>72</v>
      </c>
      <c r="F2340" s="65" t="s">
        <v>3242</v>
      </c>
      <c r="G2340" s="3" t="s">
        <v>1175</v>
      </c>
      <c r="H2340" s="1" t="s">
        <v>3117</v>
      </c>
      <c r="I2340" s="4" t="s">
        <v>42</v>
      </c>
      <c r="J2340" s="31">
        <v>45762</v>
      </c>
      <c r="K2340" s="31"/>
      <c r="L2340" s="31"/>
      <c r="M2340" s="31"/>
      <c r="N2340" s="31"/>
      <c r="O2340" s="3" t="s">
        <v>1004</v>
      </c>
    </row>
    <row r="2341" spans="1:15">
      <c r="A2341" s="3">
        <f t="shared" ref="A2341:A2402" si="38">ROW()-1</f>
        <v>2340</v>
      </c>
      <c r="B2341" s="65" t="s">
        <v>1344</v>
      </c>
      <c r="C2341" s="1">
        <v>6299642660</v>
      </c>
      <c r="D2341" s="6"/>
      <c r="E2341" s="3" t="s">
        <v>1023</v>
      </c>
      <c r="F2341" s="65" t="s">
        <v>463</v>
      </c>
      <c r="G2341" s="3" t="s">
        <v>16</v>
      </c>
      <c r="H2341" s="1" t="s">
        <v>2535</v>
      </c>
      <c r="I2341" s="4" t="s">
        <v>88</v>
      </c>
      <c r="J2341" s="31">
        <v>45763</v>
      </c>
      <c r="K2341" s="31">
        <v>45765</v>
      </c>
      <c r="L2341" s="31">
        <v>45772</v>
      </c>
      <c r="M2341" s="31">
        <v>45802</v>
      </c>
      <c r="N2341" s="31">
        <v>45802</v>
      </c>
      <c r="O2341" s="3" t="s">
        <v>297</v>
      </c>
    </row>
    <row r="2342" spans="1:15">
      <c r="A2342" s="3">
        <f t="shared" si="38"/>
        <v>2341</v>
      </c>
      <c r="B2342" s="65" t="s">
        <v>3704</v>
      </c>
      <c r="C2342" s="1">
        <v>7355941541</v>
      </c>
      <c r="D2342" s="6"/>
      <c r="E2342" s="3" t="s">
        <v>1023</v>
      </c>
      <c r="F2342" s="65" t="s">
        <v>463</v>
      </c>
      <c r="G2342" s="3" t="s">
        <v>416</v>
      </c>
      <c r="H2342" s="1" t="s">
        <v>2535</v>
      </c>
      <c r="I2342" s="4" t="s">
        <v>88</v>
      </c>
      <c r="J2342" s="31">
        <v>45763</v>
      </c>
      <c r="K2342" s="31">
        <v>45768</v>
      </c>
      <c r="L2342" s="31"/>
      <c r="M2342" s="31"/>
      <c r="N2342" s="31"/>
      <c r="O2342" s="3" t="s">
        <v>297</v>
      </c>
    </row>
    <row r="2343" spans="1:15">
      <c r="A2343" s="3">
        <f t="shared" si="38"/>
        <v>2342</v>
      </c>
      <c r="B2343" s="65" t="s">
        <v>3705</v>
      </c>
      <c r="C2343" s="1">
        <v>6003896918</v>
      </c>
      <c r="D2343" s="6"/>
      <c r="E2343" s="3" t="s">
        <v>1023</v>
      </c>
      <c r="F2343" s="65" t="s">
        <v>463</v>
      </c>
      <c r="G2343" s="3" t="s">
        <v>416</v>
      </c>
      <c r="H2343" s="1" t="s">
        <v>2535</v>
      </c>
      <c r="I2343" s="4" t="s">
        <v>88</v>
      </c>
      <c r="J2343" s="31">
        <v>45763</v>
      </c>
      <c r="K2343" s="31">
        <v>45768</v>
      </c>
      <c r="L2343" s="31"/>
      <c r="M2343" s="31"/>
      <c r="N2343" s="31"/>
      <c r="O2343" s="3" t="s">
        <v>297</v>
      </c>
    </row>
    <row r="2344" spans="1:15">
      <c r="A2344" s="3">
        <f t="shared" si="38"/>
        <v>2343</v>
      </c>
      <c r="B2344" s="65" t="s">
        <v>3706</v>
      </c>
      <c r="C2344" s="1">
        <v>7903683716</v>
      </c>
      <c r="D2344" s="6"/>
      <c r="E2344" s="3" t="s">
        <v>1023</v>
      </c>
      <c r="F2344" s="65" t="s">
        <v>463</v>
      </c>
      <c r="G2344" s="3" t="s">
        <v>1175</v>
      </c>
      <c r="H2344" s="1" t="s">
        <v>2535</v>
      </c>
      <c r="I2344" s="4" t="s">
        <v>88</v>
      </c>
      <c r="J2344" s="31">
        <v>45763</v>
      </c>
      <c r="K2344" s="31"/>
      <c r="L2344" s="31"/>
      <c r="M2344" s="31"/>
      <c r="N2344" s="31"/>
      <c r="O2344" s="3" t="s">
        <v>1004</v>
      </c>
    </row>
    <row r="2345" spans="1:15">
      <c r="A2345" s="3">
        <f t="shared" si="38"/>
        <v>2344</v>
      </c>
      <c r="B2345" s="65" t="s">
        <v>3707</v>
      </c>
      <c r="C2345" s="1">
        <v>9579163412</v>
      </c>
      <c r="D2345" s="6"/>
      <c r="E2345" s="3" t="s">
        <v>1023</v>
      </c>
      <c r="F2345" s="65" t="s">
        <v>463</v>
      </c>
      <c r="G2345" s="3" t="s">
        <v>1175</v>
      </c>
      <c r="H2345" s="1" t="s">
        <v>2535</v>
      </c>
      <c r="I2345" s="4" t="s">
        <v>88</v>
      </c>
      <c r="J2345" s="31">
        <v>45763</v>
      </c>
      <c r="K2345" s="31"/>
      <c r="L2345" s="31"/>
      <c r="M2345" s="31"/>
      <c r="N2345" s="31"/>
      <c r="O2345" s="3" t="s">
        <v>1004</v>
      </c>
    </row>
    <row r="2346" spans="1:15">
      <c r="A2346" s="3">
        <f t="shared" si="38"/>
        <v>2345</v>
      </c>
      <c r="B2346" s="65" t="s">
        <v>3708</v>
      </c>
      <c r="C2346" s="1">
        <v>9761396717</v>
      </c>
      <c r="D2346" s="6">
        <v>7505064297</v>
      </c>
      <c r="E2346" s="3" t="s">
        <v>1023</v>
      </c>
      <c r="F2346" s="65" t="s">
        <v>463</v>
      </c>
      <c r="G2346" s="3" t="s">
        <v>1175</v>
      </c>
      <c r="H2346" s="1" t="s">
        <v>2535</v>
      </c>
      <c r="I2346" s="4" t="s">
        <v>88</v>
      </c>
      <c r="J2346" s="31">
        <v>45763</v>
      </c>
      <c r="K2346" s="31"/>
      <c r="L2346" s="31"/>
      <c r="M2346" s="31"/>
      <c r="N2346" s="31"/>
      <c r="O2346" s="3" t="s">
        <v>1004</v>
      </c>
    </row>
    <row r="2347" spans="1:15">
      <c r="A2347" s="3">
        <f t="shared" si="38"/>
        <v>2346</v>
      </c>
      <c r="B2347" s="65" t="s">
        <v>3709</v>
      </c>
      <c r="C2347" s="1">
        <v>7355902365</v>
      </c>
      <c r="D2347" s="6"/>
      <c r="E2347" s="3" t="s">
        <v>1023</v>
      </c>
      <c r="F2347" s="65" t="s">
        <v>463</v>
      </c>
      <c r="G2347" s="3" t="s">
        <v>1175</v>
      </c>
      <c r="H2347" s="1" t="s">
        <v>2535</v>
      </c>
      <c r="I2347" s="4" t="s">
        <v>88</v>
      </c>
      <c r="J2347" s="31">
        <v>45763</v>
      </c>
      <c r="K2347" s="31"/>
      <c r="L2347" s="31"/>
      <c r="M2347" s="31"/>
      <c r="N2347" s="31"/>
      <c r="O2347" s="3" t="s">
        <v>1004</v>
      </c>
    </row>
    <row r="2348" spans="1:15">
      <c r="A2348" s="3">
        <f t="shared" si="38"/>
        <v>2347</v>
      </c>
      <c r="B2348" s="65" t="s">
        <v>3460</v>
      </c>
      <c r="C2348" s="1">
        <v>9473228028</v>
      </c>
      <c r="D2348" s="6">
        <v>9157612756</v>
      </c>
      <c r="E2348" s="3" t="s">
        <v>1023</v>
      </c>
      <c r="F2348" s="65" t="s">
        <v>463</v>
      </c>
      <c r="G2348" s="3" t="s">
        <v>1175</v>
      </c>
      <c r="H2348" s="1" t="s">
        <v>2535</v>
      </c>
      <c r="I2348" s="4" t="s">
        <v>88</v>
      </c>
      <c r="J2348" s="31">
        <v>45763</v>
      </c>
      <c r="K2348" s="31"/>
      <c r="L2348" s="31"/>
      <c r="M2348" s="31"/>
      <c r="N2348" s="31"/>
      <c r="O2348" s="3" t="s">
        <v>1004</v>
      </c>
    </row>
    <row r="2349" spans="1:15">
      <c r="A2349" s="3">
        <f t="shared" si="38"/>
        <v>2348</v>
      </c>
      <c r="B2349" s="65" t="s">
        <v>3710</v>
      </c>
      <c r="C2349" s="1">
        <v>9918385597</v>
      </c>
      <c r="D2349" s="6"/>
      <c r="E2349" s="3" t="s">
        <v>1023</v>
      </c>
      <c r="F2349" s="65" t="s">
        <v>463</v>
      </c>
      <c r="G2349" s="3" t="s">
        <v>295</v>
      </c>
      <c r="H2349" s="1" t="s">
        <v>2535</v>
      </c>
      <c r="I2349" s="4" t="s">
        <v>88</v>
      </c>
      <c r="J2349" s="31">
        <v>45763</v>
      </c>
      <c r="K2349" s="31">
        <v>45765</v>
      </c>
      <c r="L2349" s="31">
        <v>45772</v>
      </c>
      <c r="M2349" s="31">
        <v>45818</v>
      </c>
      <c r="N2349" s="31"/>
      <c r="O2349" s="3" t="s">
        <v>297</v>
      </c>
    </row>
    <row r="2350" spans="1:15">
      <c r="A2350" s="3">
        <f t="shared" si="38"/>
        <v>2349</v>
      </c>
      <c r="B2350" s="65" t="s">
        <v>3711</v>
      </c>
      <c r="C2350" s="1">
        <v>9671681382</v>
      </c>
      <c r="D2350" s="6"/>
      <c r="E2350" s="3" t="s">
        <v>1023</v>
      </c>
      <c r="F2350" s="65" t="s">
        <v>463</v>
      </c>
      <c r="G2350" s="3" t="s">
        <v>1175</v>
      </c>
      <c r="H2350" s="1" t="s">
        <v>2535</v>
      </c>
      <c r="I2350" s="4" t="s">
        <v>88</v>
      </c>
      <c r="J2350" s="31">
        <v>45763</v>
      </c>
      <c r="K2350" s="31"/>
      <c r="L2350" s="31"/>
      <c r="M2350" s="31"/>
      <c r="N2350" s="31"/>
      <c r="O2350" s="3" t="s">
        <v>1004</v>
      </c>
    </row>
    <row r="2351" spans="1:15">
      <c r="A2351" s="3">
        <f t="shared" si="38"/>
        <v>2350</v>
      </c>
      <c r="B2351" s="65" t="s">
        <v>3712</v>
      </c>
      <c r="C2351" s="1">
        <v>8340126771</v>
      </c>
      <c r="D2351" s="6"/>
      <c r="E2351" s="3" t="s">
        <v>1023</v>
      </c>
      <c r="F2351" s="65" t="s">
        <v>463</v>
      </c>
      <c r="G2351" s="3" t="s">
        <v>1175</v>
      </c>
      <c r="H2351" s="1" t="s">
        <v>2535</v>
      </c>
      <c r="I2351" s="4" t="s">
        <v>88</v>
      </c>
      <c r="J2351" s="31">
        <v>45763</v>
      </c>
      <c r="K2351" s="31"/>
      <c r="L2351" s="31"/>
      <c r="M2351" s="31"/>
      <c r="N2351" s="31"/>
      <c r="O2351" s="3" t="s">
        <v>1004</v>
      </c>
    </row>
    <row r="2352" spans="1:15">
      <c r="A2352" s="3">
        <f t="shared" si="38"/>
        <v>2351</v>
      </c>
      <c r="B2352" s="65" t="s">
        <v>3713</v>
      </c>
      <c r="C2352" s="1">
        <v>9704793906</v>
      </c>
      <c r="D2352" s="6">
        <v>9121602345</v>
      </c>
      <c r="E2352" s="3" t="s">
        <v>118</v>
      </c>
      <c r="F2352" s="65" t="s">
        <v>3714</v>
      </c>
      <c r="G2352" s="3" t="s">
        <v>424</v>
      </c>
      <c r="H2352" s="1" t="s">
        <v>679</v>
      </c>
      <c r="I2352" s="4" t="s">
        <v>42</v>
      </c>
      <c r="J2352" s="31">
        <v>45763</v>
      </c>
      <c r="K2352" s="31">
        <v>45774</v>
      </c>
      <c r="L2352" s="31"/>
      <c r="M2352" s="31"/>
      <c r="N2352" s="31"/>
      <c r="O2352" s="3" t="s">
        <v>425</v>
      </c>
    </row>
    <row r="2353" spans="1:15">
      <c r="A2353" s="3">
        <f t="shared" si="38"/>
        <v>2352</v>
      </c>
      <c r="B2353" s="65" t="s">
        <v>3715</v>
      </c>
      <c r="C2353" s="1">
        <v>9618190896</v>
      </c>
      <c r="D2353" s="6"/>
      <c r="E2353" s="3" t="s">
        <v>52</v>
      </c>
      <c r="F2353" s="65" t="s">
        <v>1199</v>
      </c>
      <c r="G2353" s="3" t="s">
        <v>424</v>
      </c>
      <c r="H2353" s="1" t="s">
        <v>660</v>
      </c>
      <c r="I2353" s="4" t="s">
        <v>42</v>
      </c>
      <c r="J2353" s="31">
        <v>45763</v>
      </c>
      <c r="K2353" s="31">
        <v>45774</v>
      </c>
      <c r="L2353" s="31"/>
      <c r="M2353" s="31"/>
      <c r="N2353" s="31"/>
      <c r="O2353" s="3" t="s">
        <v>425</v>
      </c>
    </row>
    <row r="2354" spans="1:15">
      <c r="A2354" s="3">
        <f t="shared" si="38"/>
        <v>2353</v>
      </c>
      <c r="B2354" s="65" t="s">
        <v>3716</v>
      </c>
      <c r="C2354" s="1">
        <v>7892976572</v>
      </c>
      <c r="D2354" s="6"/>
      <c r="E2354" s="3" t="s">
        <v>1624</v>
      </c>
      <c r="F2354" s="65" t="s">
        <v>419</v>
      </c>
      <c r="G2354" s="3" t="s">
        <v>1175</v>
      </c>
      <c r="H2354" s="1" t="s">
        <v>1186</v>
      </c>
      <c r="I2354" s="4" t="s">
        <v>94</v>
      </c>
      <c r="J2354" s="31">
        <v>45763</v>
      </c>
      <c r="K2354" s="31"/>
      <c r="L2354" s="31"/>
      <c r="M2354" s="31"/>
      <c r="N2354" s="31"/>
      <c r="O2354" s="3" t="s">
        <v>1004</v>
      </c>
    </row>
    <row r="2355" spans="1:15">
      <c r="A2355" s="3">
        <f t="shared" si="38"/>
        <v>2354</v>
      </c>
      <c r="B2355" s="65" t="s">
        <v>3717</v>
      </c>
      <c r="C2355" s="1">
        <v>9901347001</v>
      </c>
      <c r="D2355" s="6"/>
      <c r="E2355" s="3" t="s">
        <v>1624</v>
      </c>
      <c r="F2355" s="65" t="s">
        <v>419</v>
      </c>
      <c r="G2355" s="3" t="s">
        <v>416</v>
      </c>
      <c r="H2355" s="1" t="s">
        <v>1186</v>
      </c>
      <c r="I2355" s="4" t="s">
        <v>94</v>
      </c>
      <c r="J2355" s="31">
        <v>45763</v>
      </c>
      <c r="K2355" s="31">
        <v>45777</v>
      </c>
      <c r="L2355" s="31"/>
      <c r="M2355" s="31"/>
      <c r="N2355" s="31"/>
      <c r="O2355" s="3" t="s">
        <v>297</v>
      </c>
    </row>
    <row r="2356" spans="1:15">
      <c r="A2356" s="3">
        <f t="shared" si="38"/>
        <v>2355</v>
      </c>
      <c r="B2356" s="65" t="s">
        <v>3718</v>
      </c>
      <c r="C2356" s="1">
        <v>9030583586</v>
      </c>
      <c r="D2356" s="6"/>
      <c r="E2356" s="3" t="s">
        <v>1624</v>
      </c>
      <c r="F2356" s="65" t="s">
        <v>419</v>
      </c>
      <c r="G2356" s="3" t="s">
        <v>330</v>
      </c>
      <c r="H2356" s="1" t="s">
        <v>1186</v>
      </c>
      <c r="I2356" s="4" t="s">
        <v>94</v>
      </c>
      <c r="J2356" s="31">
        <v>45763</v>
      </c>
      <c r="K2356" s="31">
        <v>45777</v>
      </c>
      <c r="L2356" s="31">
        <v>45779</v>
      </c>
      <c r="M2356" s="31">
        <v>45787</v>
      </c>
      <c r="N2356" s="31">
        <v>45786</v>
      </c>
      <c r="O2356" s="3" t="s">
        <v>297</v>
      </c>
    </row>
    <row r="2357" spans="1:15">
      <c r="A2357" s="3">
        <f t="shared" si="38"/>
        <v>2356</v>
      </c>
      <c r="B2357" s="65" t="s">
        <v>3719</v>
      </c>
      <c r="C2357" s="1">
        <v>9642500663</v>
      </c>
      <c r="D2357" s="6">
        <v>8247838917</v>
      </c>
      <c r="E2357" s="3" t="s">
        <v>1624</v>
      </c>
      <c r="F2357" s="65" t="s">
        <v>419</v>
      </c>
      <c r="G2357" s="3" t="s">
        <v>330</v>
      </c>
      <c r="H2357" s="1" t="s">
        <v>1186</v>
      </c>
      <c r="I2357" s="4" t="s">
        <v>94</v>
      </c>
      <c r="J2357" s="31">
        <v>45763</v>
      </c>
      <c r="K2357" s="31">
        <v>45777</v>
      </c>
      <c r="L2357" s="31">
        <v>45779</v>
      </c>
      <c r="M2357" s="31">
        <v>45787</v>
      </c>
      <c r="N2357" s="31">
        <v>45786</v>
      </c>
      <c r="O2357" s="3" t="s">
        <v>297</v>
      </c>
    </row>
    <row r="2358" spans="1:15">
      <c r="A2358" s="3">
        <f t="shared" si="38"/>
        <v>2357</v>
      </c>
      <c r="B2358" s="65" t="s">
        <v>3720</v>
      </c>
      <c r="C2358" s="1">
        <v>7981258555</v>
      </c>
      <c r="D2358" s="6">
        <v>7092930621</v>
      </c>
      <c r="E2358" s="3" t="s">
        <v>107</v>
      </c>
      <c r="F2358" s="65" t="s">
        <v>3481</v>
      </c>
      <c r="G2358" s="3" t="s">
        <v>424</v>
      </c>
      <c r="H2358" s="1" t="s">
        <v>102</v>
      </c>
      <c r="I2358" s="4" t="s">
        <v>42</v>
      </c>
      <c r="J2358" s="31">
        <v>45756</v>
      </c>
      <c r="K2358" s="31">
        <v>45771</v>
      </c>
      <c r="L2358" s="31"/>
      <c r="M2358" s="31"/>
      <c r="N2358" s="31"/>
      <c r="O2358" s="3" t="s">
        <v>425</v>
      </c>
    </row>
    <row r="2359" spans="1:15">
      <c r="A2359" s="3">
        <f t="shared" si="38"/>
        <v>2358</v>
      </c>
      <c r="B2359" s="65" t="s">
        <v>3721</v>
      </c>
      <c r="C2359" s="1">
        <v>9558028507</v>
      </c>
      <c r="D2359" s="6"/>
      <c r="E2359" s="3" t="s">
        <v>1023</v>
      </c>
      <c r="F2359" s="65" t="s">
        <v>3722</v>
      </c>
      <c r="G2359" s="3" t="s">
        <v>1175</v>
      </c>
      <c r="H2359" s="1" t="s">
        <v>2535</v>
      </c>
      <c r="I2359" s="4" t="s">
        <v>42</v>
      </c>
      <c r="J2359" s="31">
        <v>45764</v>
      </c>
      <c r="K2359" s="31"/>
      <c r="L2359" s="31"/>
      <c r="M2359" s="31"/>
      <c r="N2359" s="31"/>
      <c r="O2359" s="3" t="s">
        <v>1004</v>
      </c>
    </row>
    <row r="2360" spans="1:15">
      <c r="A2360" s="3">
        <f t="shared" si="38"/>
        <v>2359</v>
      </c>
      <c r="B2360" s="65" t="s">
        <v>3723</v>
      </c>
      <c r="C2360" s="1">
        <v>9653650388</v>
      </c>
      <c r="D2360" s="6"/>
      <c r="E2360" s="3" t="s">
        <v>1023</v>
      </c>
      <c r="F2360" s="65" t="s">
        <v>3724</v>
      </c>
      <c r="G2360" s="3" t="s">
        <v>1175</v>
      </c>
      <c r="H2360" s="1" t="s">
        <v>2535</v>
      </c>
      <c r="I2360" s="4" t="s">
        <v>42</v>
      </c>
      <c r="J2360" s="31">
        <v>45764</v>
      </c>
      <c r="K2360" s="31"/>
      <c r="L2360" s="31"/>
      <c r="M2360" s="31"/>
      <c r="N2360" s="31"/>
      <c r="O2360" s="3" t="s">
        <v>1004</v>
      </c>
    </row>
    <row r="2361" spans="1:15">
      <c r="A2361" s="3">
        <f t="shared" si="38"/>
        <v>2360</v>
      </c>
      <c r="B2361" s="65" t="s">
        <v>1327</v>
      </c>
      <c r="C2361" s="1">
        <v>6267227016</v>
      </c>
      <c r="D2361" s="6"/>
      <c r="E2361" s="3" t="s">
        <v>1023</v>
      </c>
      <c r="F2361" s="65" t="s">
        <v>612</v>
      </c>
      <c r="G2361" s="3" t="s">
        <v>1175</v>
      </c>
      <c r="H2361" s="1" t="s">
        <v>2535</v>
      </c>
      <c r="I2361" s="4" t="s">
        <v>42</v>
      </c>
      <c r="J2361" s="31">
        <v>45764</v>
      </c>
      <c r="K2361" s="31"/>
      <c r="L2361" s="31"/>
      <c r="M2361" s="31"/>
      <c r="N2361" s="31"/>
      <c r="O2361" s="3" t="s">
        <v>1004</v>
      </c>
    </row>
    <row r="2362" spans="1:15">
      <c r="A2362" s="3">
        <f t="shared" si="38"/>
        <v>2361</v>
      </c>
      <c r="B2362" s="65" t="s">
        <v>3725</v>
      </c>
      <c r="C2362" s="1">
        <v>6204488303</v>
      </c>
      <c r="D2362" s="22">
        <v>8102377023</v>
      </c>
      <c r="E2362" s="3" t="s">
        <v>3726</v>
      </c>
      <c r="F2362" s="65" t="s">
        <v>360</v>
      </c>
      <c r="G2362" s="3" t="s">
        <v>16</v>
      </c>
      <c r="H2362" s="1" t="s">
        <v>361</v>
      </c>
      <c r="I2362" s="4" t="s">
        <v>94</v>
      </c>
      <c r="J2362" s="31">
        <v>45764</v>
      </c>
      <c r="K2362" s="31">
        <v>45854</v>
      </c>
      <c r="L2362" s="31">
        <v>45867</v>
      </c>
      <c r="M2362" s="31">
        <v>45898</v>
      </c>
      <c r="N2362" s="31">
        <v>45893</v>
      </c>
      <c r="O2362" s="3" t="s">
        <v>297</v>
      </c>
    </row>
    <row r="2363" spans="1:15">
      <c r="A2363" s="3">
        <f t="shared" si="38"/>
        <v>2362</v>
      </c>
      <c r="B2363" s="65" t="s">
        <v>3727</v>
      </c>
      <c r="C2363" s="1">
        <v>8868816806</v>
      </c>
      <c r="D2363" s="6">
        <v>8868811777</v>
      </c>
      <c r="E2363" s="3" t="s">
        <v>1332</v>
      </c>
      <c r="F2363" s="65" t="s">
        <v>360</v>
      </c>
      <c r="G2363" s="3" t="s">
        <v>16</v>
      </c>
      <c r="H2363" s="1" t="s">
        <v>361</v>
      </c>
      <c r="I2363" s="4" t="s">
        <v>94</v>
      </c>
      <c r="J2363" s="31">
        <v>45764</v>
      </c>
      <c r="K2363" s="31">
        <v>45779</v>
      </c>
      <c r="L2363" s="31">
        <v>45807</v>
      </c>
      <c r="M2363" s="31">
        <v>45833</v>
      </c>
      <c r="N2363" s="31">
        <v>45833</v>
      </c>
      <c r="O2363" s="3" t="s">
        <v>297</v>
      </c>
    </row>
    <row r="2364" spans="1:15">
      <c r="A2364" s="3">
        <f t="shared" si="38"/>
        <v>2363</v>
      </c>
      <c r="B2364" s="65" t="s">
        <v>3728</v>
      </c>
      <c r="C2364" s="1">
        <v>7978167595</v>
      </c>
      <c r="D2364" s="6">
        <v>7873381558</v>
      </c>
      <c r="E2364" s="3" t="s">
        <v>1510</v>
      </c>
      <c r="F2364" s="65" t="s">
        <v>360</v>
      </c>
      <c r="G2364" s="3" t="s">
        <v>16</v>
      </c>
      <c r="H2364" s="1" t="s">
        <v>361</v>
      </c>
      <c r="I2364" s="4" t="s">
        <v>94</v>
      </c>
      <c r="J2364" s="31">
        <v>45764</v>
      </c>
      <c r="K2364" s="31">
        <v>45779</v>
      </c>
      <c r="L2364" s="31">
        <v>45779</v>
      </c>
      <c r="M2364" s="31">
        <v>45814</v>
      </c>
      <c r="N2364" s="31">
        <v>45814</v>
      </c>
      <c r="O2364" s="3" t="s">
        <v>297</v>
      </c>
    </row>
    <row r="2365" spans="1:15">
      <c r="A2365" s="3">
        <f t="shared" si="38"/>
        <v>2364</v>
      </c>
      <c r="B2365" s="65" t="s">
        <v>3729</v>
      </c>
      <c r="C2365" s="1">
        <v>9588643808</v>
      </c>
      <c r="D2365" s="6"/>
      <c r="E2365" s="3" t="s">
        <v>1510</v>
      </c>
      <c r="F2365" s="65" t="s">
        <v>360</v>
      </c>
      <c r="G2365" s="2" t="s">
        <v>18</v>
      </c>
      <c r="H2365" s="1" t="s">
        <v>361</v>
      </c>
      <c r="I2365" s="4" t="s">
        <v>94</v>
      </c>
      <c r="J2365" s="31">
        <v>45764</v>
      </c>
      <c r="K2365" s="31">
        <v>45779</v>
      </c>
      <c r="L2365" s="31"/>
      <c r="M2365" s="31"/>
      <c r="N2365" s="31"/>
      <c r="O2365" s="3" t="s">
        <v>297</v>
      </c>
    </row>
    <row r="2366" spans="1:15">
      <c r="A2366" s="3">
        <f t="shared" si="38"/>
        <v>2365</v>
      </c>
      <c r="B2366" s="65" t="s">
        <v>3730</v>
      </c>
      <c r="C2366" s="1">
        <v>7081216808</v>
      </c>
      <c r="D2366" s="6"/>
      <c r="E2366" s="3" t="s">
        <v>1697</v>
      </c>
      <c r="F2366" s="65" t="s">
        <v>329</v>
      </c>
      <c r="G2366" s="3" t="s">
        <v>330</v>
      </c>
      <c r="H2366" s="1" t="s">
        <v>162</v>
      </c>
      <c r="I2366" s="4" t="s">
        <v>94</v>
      </c>
      <c r="J2366" s="31">
        <v>45764</v>
      </c>
      <c r="K2366" s="31">
        <v>45779</v>
      </c>
      <c r="L2366" s="31">
        <v>45785</v>
      </c>
      <c r="M2366" s="31">
        <v>45816</v>
      </c>
      <c r="N2366" s="31">
        <v>45817</v>
      </c>
      <c r="O2366" s="3" t="s">
        <v>297</v>
      </c>
    </row>
    <row r="2367" spans="1:15">
      <c r="A2367" s="3">
        <f t="shared" si="38"/>
        <v>2366</v>
      </c>
      <c r="B2367" s="65" t="s">
        <v>3731</v>
      </c>
      <c r="C2367" s="1">
        <v>7500275253</v>
      </c>
      <c r="D2367" s="6"/>
      <c r="E2367" s="3" t="s">
        <v>1697</v>
      </c>
      <c r="F2367" s="65" t="s">
        <v>329</v>
      </c>
      <c r="G2367" s="3" t="s">
        <v>764</v>
      </c>
      <c r="H2367" s="1" t="s">
        <v>162</v>
      </c>
      <c r="I2367" s="4" t="s">
        <v>94</v>
      </c>
      <c r="J2367" s="31">
        <v>45764</v>
      </c>
      <c r="K2367" s="31">
        <v>45779</v>
      </c>
      <c r="L2367" s="31"/>
      <c r="M2367" s="31"/>
      <c r="N2367" s="31"/>
      <c r="O2367" s="3" t="s">
        <v>425</v>
      </c>
    </row>
    <row r="2368" spans="1:15">
      <c r="A2368" s="3">
        <f t="shared" si="38"/>
        <v>2367</v>
      </c>
      <c r="B2368" s="65" t="s">
        <v>3732</v>
      </c>
      <c r="C2368" s="1">
        <v>9005229198</v>
      </c>
      <c r="D2368" s="6"/>
      <c r="E2368" s="3" t="s">
        <v>399</v>
      </c>
      <c r="F2368" s="65" t="s">
        <v>329</v>
      </c>
      <c r="G2368" s="3" t="s">
        <v>424</v>
      </c>
      <c r="H2368" s="1" t="s">
        <v>162</v>
      </c>
      <c r="I2368" s="4" t="s">
        <v>94</v>
      </c>
      <c r="J2368" s="31">
        <v>45764</v>
      </c>
      <c r="K2368" s="31">
        <v>45779</v>
      </c>
      <c r="L2368" s="31"/>
      <c r="M2368" s="31"/>
      <c r="N2368" s="31"/>
      <c r="O2368" s="3" t="s">
        <v>425</v>
      </c>
    </row>
    <row r="2369" spans="1:15">
      <c r="A2369" s="3">
        <f t="shared" si="38"/>
        <v>2368</v>
      </c>
      <c r="B2369" s="65" t="s">
        <v>3733</v>
      </c>
      <c r="C2369" s="1">
        <v>7026523907</v>
      </c>
      <c r="D2369" s="6"/>
      <c r="E2369" s="3" t="s">
        <v>399</v>
      </c>
      <c r="F2369" s="65" t="s">
        <v>308</v>
      </c>
      <c r="G2369" s="3" t="s">
        <v>424</v>
      </c>
      <c r="H2369" s="1" t="s">
        <v>162</v>
      </c>
      <c r="I2369" s="4" t="s">
        <v>94</v>
      </c>
      <c r="J2369" s="31">
        <v>45764</v>
      </c>
      <c r="K2369" s="31">
        <v>45779</v>
      </c>
      <c r="L2369" s="31"/>
      <c r="M2369" s="31"/>
      <c r="N2369" s="31"/>
      <c r="O2369" s="3" t="s">
        <v>425</v>
      </c>
    </row>
    <row r="2370" spans="1:15">
      <c r="A2370" s="3">
        <f t="shared" si="38"/>
        <v>2369</v>
      </c>
      <c r="B2370" s="65" t="s">
        <v>3734</v>
      </c>
      <c r="C2370" s="1">
        <v>9906714102</v>
      </c>
      <c r="D2370" s="6"/>
      <c r="E2370" s="3" t="s">
        <v>399</v>
      </c>
      <c r="F2370" s="65" t="s">
        <v>329</v>
      </c>
      <c r="G2370" s="3" t="s">
        <v>424</v>
      </c>
      <c r="H2370" s="1" t="s">
        <v>162</v>
      </c>
      <c r="I2370" s="4" t="s">
        <v>94</v>
      </c>
      <c r="J2370" s="31">
        <v>45764</v>
      </c>
      <c r="K2370" s="31">
        <v>45779</v>
      </c>
      <c r="L2370" s="31"/>
      <c r="M2370" s="31"/>
      <c r="N2370" s="31"/>
      <c r="O2370" s="3" t="s">
        <v>425</v>
      </c>
    </row>
    <row r="2371" spans="1:15">
      <c r="A2371" s="3">
        <f t="shared" si="38"/>
        <v>2370</v>
      </c>
      <c r="B2371" s="65" t="s">
        <v>3735</v>
      </c>
      <c r="C2371" s="1">
        <v>8726497449</v>
      </c>
      <c r="D2371" s="6"/>
      <c r="E2371" s="3" t="s">
        <v>399</v>
      </c>
      <c r="F2371" s="65" t="s">
        <v>329</v>
      </c>
      <c r="G2371" s="3" t="s">
        <v>424</v>
      </c>
      <c r="H2371" s="1" t="s">
        <v>162</v>
      </c>
      <c r="I2371" s="4" t="s">
        <v>94</v>
      </c>
      <c r="J2371" s="31">
        <v>45764</v>
      </c>
      <c r="K2371" s="31">
        <v>45779</v>
      </c>
      <c r="L2371" s="31"/>
      <c r="M2371" s="31"/>
      <c r="N2371" s="31"/>
      <c r="O2371" s="3" t="s">
        <v>425</v>
      </c>
    </row>
    <row r="2372" spans="1:15">
      <c r="A2372" s="3">
        <f t="shared" si="38"/>
        <v>2371</v>
      </c>
      <c r="B2372" s="65" t="s">
        <v>3736</v>
      </c>
      <c r="C2372" s="1">
        <v>9595233101</v>
      </c>
      <c r="D2372" s="6"/>
      <c r="E2372" s="3" t="s">
        <v>640</v>
      </c>
      <c r="F2372" s="65" t="s">
        <v>277</v>
      </c>
      <c r="G2372" s="3" t="s">
        <v>764</v>
      </c>
      <c r="H2372" s="1" t="s">
        <v>630</v>
      </c>
      <c r="I2372" s="4" t="s">
        <v>94</v>
      </c>
      <c r="J2372" s="31">
        <v>45765</v>
      </c>
      <c r="K2372" s="31">
        <v>45769</v>
      </c>
      <c r="L2372" s="31"/>
      <c r="M2372" s="31"/>
      <c r="N2372" s="31"/>
      <c r="O2372" s="3" t="s">
        <v>425</v>
      </c>
    </row>
    <row r="2373" spans="1:15">
      <c r="A2373" s="3">
        <f t="shared" si="38"/>
        <v>2372</v>
      </c>
      <c r="B2373" s="65" t="s">
        <v>3737</v>
      </c>
      <c r="C2373" s="1">
        <v>6295477463</v>
      </c>
      <c r="D2373" s="6"/>
      <c r="E2373" s="3" t="s">
        <v>640</v>
      </c>
      <c r="F2373" s="65" t="s">
        <v>277</v>
      </c>
      <c r="G2373" s="3" t="s">
        <v>764</v>
      </c>
      <c r="H2373" s="1" t="s">
        <v>630</v>
      </c>
      <c r="I2373" s="4" t="s">
        <v>94</v>
      </c>
      <c r="J2373" s="31">
        <v>45765</v>
      </c>
      <c r="K2373" s="31">
        <v>45769</v>
      </c>
      <c r="L2373" s="31"/>
      <c r="M2373" s="31"/>
      <c r="N2373" s="31"/>
      <c r="O2373" s="3" t="s">
        <v>425</v>
      </c>
    </row>
    <row r="2374" spans="1:15">
      <c r="A2374" s="3">
        <f t="shared" si="38"/>
        <v>2373</v>
      </c>
      <c r="B2374" s="65" t="s">
        <v>3738</v>
      </c>
      <c r="C2374" s="1">
        <v>9082350423</v>
      </c>
      <c r="D2374" s="6"/>
      <c r="E2374" s="3" t="s">
        <v>640</v>
      </c>
      <c r="F2374" s="65" t="s">
        <v>2395</v>
      </c>
      <c r="G2374" s="3" t="s">
        <v>764</v>
      </c>
      <c r="H2374" s="1" t="s">
        <v>630</v>
      </c>
      <c r="I2374" s="4" t="s">
        <v>94</v>
      </c>
      <c r="J2374" s="31">
        <v>45765</v>
      </c>
      <c r="K2374" s="31">
        <v>45769</v>
      </c>
      <c r="L2374" s="31"/>
      <c r="M2374" s="31"/>
      <c r="N2374" s="31"/>
      <c r="O2374" s="3" t="s">
        <v>425</v>
      </c>
    </row>
    <row r="2375" spans="1:15">
      <c r="A2375" s="3">
        <f t="shared" si="38"/>
        <v>2374</v>
      </c>
      <c r="B2375" s="65" t="s">
        <v>3739</v>
      </c>
      <c r="C2375" s="1">
        <v>7319065696</v>
      </c>
      <c r="D2375" s="6"/>
      <c r="E2375" s="3" t="s">
        <v>1014</v>
      </c>
      <c r="F2375" s="65" t="s">
        <v>1342</v>
      </c>
      <c r="G2375" s="3" t="s">
        <v>416</v>
      </c>
      <c r="H2375" s="1" t="s">
        <v>630</v>
      </c>
      <c r="I2375" s="4" t="s">
        <v>94</v>
      </c>
      <c r="J2375" s="31">
        <v>45765</v>
      </c>
      <c r="K2375" s="31">
        <v>45769</v>
      </c>
      <c r="L2375" s="31"/>
      <c r="M2375" s="31"/>
      <c r="N2375" s="31"/>
      <c r="O2375" s="3" t="s">
        <v>297</v>
      </c>
    </row>
    <row r="2376" spans="1:15">
      <c r="A2376" s="3">
        <f t="shared" si="38"/>
        <v>2375</v>
      </c>
      <c r="B2376" s="65" t="s">
        <v>3740</v>
      </c>
      <c r="C2376" s="1">
        <v>7908187061</v>
      </c>
      <c r="D2376" s="6"/>
      <c r="E2376" s="3" t="s">
        <v>1014</v>
      </c>
      <c r="F2376" s="65" t="s">
        <v>294</v>
      </c>
      <c r="G2376" s="3" t="s">
        <v>764</v>
      </c>
      <c r="H2376" s="1" t="s">
        <v>630</v>
      </c>
      <c r="I2376" s="4" t="s">
        <v>94</v>
      </c>
      <c r="J2376" s="31">
        <v>45765</v>
      </c>
      <c r="K2376" s="31">
        <v>45774</v>
      </c>
      <c r="L2376" s="31"/>
      <c r="M2376" s="31"/>
      <c r="N2376" s="31"/>
      <c r="O2376" s="3" t="s">
        <v>425</v>
      </c>
    </row>
    <row r="2377" spans="1:15">
      <c r="A2377" s="3">
        <f t="shared" si="38"/>
        <v>2376</v>
      </c>
      <c r="B2377" s="65" t="s">
        <v>3741</v>
      </c>
      <c r="C2377" s="1">
        <v>9027763595</v>
      </c>
      <c r="D2377" s="6"/>
      <c r="E2377" s="3" t="s">
        <v>1014</v>
      </c>
      <c r="F2377" s="65" t="s">
        <v>294</v>
      </c>
      <c r="G2377" s="3" t="s">
        <v>764</v>
      </c>
      <c r="H2377" s="1" t="s">
        <v>630</v>
      </c>
      <c r="I2377" s="4" t="s">
        <v>94</v>
      </c>
      <c r="J2377" s="31">
        <v>45765</v>
      </c>
      <c r="K2377" s="31">
        <v>45774</v>
      </c>
      <c r="L2377" s="31"/>
      <c r="M2377" s="31"/>
      <c r="N2377" s="31"/>
      <c r="O2377" s="3" t="s">
        <v>425</v>
      </c>
    </row>
    <row r="2378" spans="1:15">
      <c r="A2378" s="3">
        <f t="shared" si="38"/>
        <v>2377</v>
      </c>
      <c r="B2378" s="65" t="s">
        <v>3742</v>
      </c>
      <c r="C2378" s="1">
        <v>9525020754</v>
      </c>
      <c r="D2378" s="6"/>
      <c r="E2378" s="3" t="s">
        <v>1926</v>
      </c>
      <c r="F2378" s="65" t="s">
        <v>569</v>
      </c>
      <c r="G2378" s="3" t="s">
        <v>424</v>
      </c>
      <c r="H2378" s="1" t="s">
        <v>368</v>
      </c>
      <c r="I2378" s="4" t="s">
        <v>94</v>
      </c>
      <c r="J2378" s="31">
        <v>45765</v>
      </c>
      <c r="K2378" s="31">
        <v>45772</v>
      </c>
      <c r="L2378" s="31"/>
      <c r="M2378" s="31"/>
      <c r="N2378" s="31"/>
      <c r="O2378" s="3" t="s">
        <v>425</v>
      </c>
    </row>
    <row r="2379" spans="1:15">
      <c r="A2379" s="3">
        <f t="shared" si="38"/>
        <v>2378</v>
      </c>
      <c r="B2379" s="65" t="s">
        <v>3743</v>
      </c>
      <c r="C2379" s="1">
        <v>8768421451</v>
      </c>
      <c r="D2379" s="6"/>
      <c r="E2379" s="3" t="s">
        <v>1926</v>
      </c>
      <c r="F2379" s="65" t="s">
        <v>329</v>
      </c>
      <c r="G2379" s="3" t="s">
        <v>18</v>
      </c>
      <c r="H2379" s="1" t="s">
        <v>368</v>
      </c>
      <c r="I2379" s="4" t="s">
        <v>94</v>
      </c>
      <c r="J2379" s="31">
        <v>45765</v>
      </c>
      <c r="K2379" s="31">
        <v>45769</v>
      </c>
      <c r="L2379" s="31"/>
      <c r="M2379" s="31"/>
      <c r="N2379" s="31"/>
      <c r="O2379" s="3" t="s">
        <v>297</v>
      </c>
    </row>
    <row r="2380" spans="1:15">
      <c r="A2380" s="3">
        <f t="shared" si="38"/>
        <v>2379</v>
      </c>
      <c r="B2380" s="65" t="s">
        <v>3744</v>
      </c>
      <c r="C2380" s="1">
        <v>9682516662</v>
      </c>
      <c r="D2380" s="6"/>
      <c r="E2380" s="3" t="s">
        <v>1926</v>
      </c>
      <c r="F2380" s="65" t="s">
        <v>308</v>
      </c>
      <c r="G2380" s="3" t="s">
        <v>416</v>
      </c>
      <c r="H2380" s="1" t="s">
        <v>368</v>
      </c>
      <c r="I2380" s="4" t="s">
        <v>94</v>
      </c>
      <c r="J2380" s="31">
        <v>45765</v>
      </c>
      <c r="K2380" s="31">
        <v>45772</v>
      </c>
      <c r="L2380" s="31"/>
      <c r="M2380" s="31"/>
      <c r="N2380" s="31"/>
      <c r="O2380" s="3" t="s">
        <v>297</v>
      </c>
    </row>
    <row r="2381" spans="1:15">
      <c r="A2381" s="3">
        <f t="shared" si="38"/>
        <v>2380</v>
      </c>
      <c r="B2381" s="65" t="s">
        <v>3745</v>
      </c>
      <c r="C2381" s="1">
        <v>9703924292</v>
      </c>
      <c r="D2381" s="6"/>
      <c r="E2381" s="7" t="s">
        <v>127</v>
      </c>
      <c r="F2381" s="65" t="s">
        <v>267</v>
      </c>
      <c r="G2381" s="3" t="s">
        <v>424</v>
      </c>
      <c r="H2381" s="3" t="s">
        <v>296</v>
      </c>
      <c r="I2381" s="4" t="s">
        <v>42</v>
      </c>
      <c r="J2381" s="31">
        <v>45765</v>
      </c>
      <c r="K2381" s="31">
        <v>45775</v>
      </c>
      <c r="L2381" s="31"/>
      <c r="M2381" s="31"/>
      <c r="N2381" s="31"/>
      <c r="O2381" s="3" t="s">
        <v>425</v>
      </c>
    </row>
    <row r="2382" spans="1:15">
      <c r="A2382" s="3">
        <f t="shared" si="38"/>
        <v>2381</v>
      </c>
      <c r="B2382" s="65" t="s">
        <v>3746</v>
      </c>
      <c r="C2382" s="1">
        <v>9177302998</v>
      </c>
      <c r="D2382" s="6"/>
      <c r="E2382" s="7" t="s">
        <v>124</v>
      </c>
      <c r="F2382" s="65" t="s">
        <v>3747</v>
      </c>
      <c r="G2382" s="3" t="s">
        <v>424</v>
      </c>
      <c r="H2382" s="3" t="s">
        <v>296</v>
      </c>
      <c r="I2382" s="4" t="s">
        <v>42</v>
      </c>
      <c r="J2382" s="31">
        <v>45765</v>
      </c>
      <c r="K2382" s="31">
        <v>45772</v>
      </c>
      <c r="L2382" s="31"/>
      <c r="M2382" s="31"/>
      <c r="N2382" s="31"/>
      <c r="O2382" s="3" t="s">
        <v>749</v>
      </c>
    </row>
    <row r="2383" spans="1:15">
      <c r="A2383" s="3">
        <f t="shared" si="38"/>
        <v>2382</v>
      </c>
      <c r="B2383" s="65" t="s">
        <v>3748</v>
      </c>
      <c r="C2383" s="1">
        <v>6304508086</v>
      </c>
      <c r="D2383" s="6"/>
      <c r="E2383" s="7" t="s">
        <v>127</v>
      </c>
      <c r="F2383" s="65" t="s">
        <v>3749</v>
      </c>
      <c r="G2383" s="3" t="s">
        <v>424</v>
      </c>
      <c r="H2383" s="3" t="s">
        <v>296</v>
      </c>
      <c r="I2383" s="4" t="s">
        <v>42</v>
      </c>
      <c r="J2383" s="31">
        <v>45765</v>
      </c>
      <c r="K2383" s="31">
        <v>45775</v>
      </c>
      <c r="L2383" s="31"/>
      <c r="M2383" s="31"/>
      <c r="N2383" s="31"/>
      <c r="O2383" s="3" t="s">
        <v>425</v>
      </c>
    </row>
    <row r="2384" spans="1:15">
      <c r="A2384" s="3">
        <f t="shared" si="38"/>
        <v>2383</v>
      </c>
      <c r="B2384" s="65" t="s">
        <v>3750</v>
      </c>
      <c r="C2384" s="1">
        <v>9154232793</v>
      </c>
      <c r="D2384" s="6">
        <v>8125933343</v>
      </c>
      <c r="E2384" s="7" t="s">
        <v>124</v>
      </c>
      <c r="F2384" s="65" t="s">
        <v>3751</v>
      </c>
      <c r="G2384" s="3" t="s">
        <v>330</v>
      </c>
      <c r="H2384" s="3" t="s">
        <v>296</v>
      </c>
      <c r="I2384" s="4" t="s">
        <v>42</v>
      </c>
      <c r="J2384" s="31">
        <v>45765</v>
      </c>
      <c r="K2384" s="31">
        <v>45775</v>
      </c>
      <c r="L2384" s="31">
        <v>45777</v>
      </c>
      <c r="M2384" s="31">
        <v>45810</v>
      </c>
      <c r="N2384" s="31">
        <v>45810</v>
      </c>
      <c r="O2384" s="3" t="s">
        <v>297</v>
      </c>
    </row>
    <row r="2385" spans="1:15">
      <c r="A2385" s="3">
        <f t="shared" si="38"/>
        <v>2384</v>
      </c>
      <c r="B2385" s="65" t="s">
        <v>3752</v>
      </c>
      <c r="C2385" s="1">
        <v>9014597839</v>
      </c>
      <c r="D2385" s="6"/>
      <c r="E2385" s="7" t="s">
        <v>127</v>
      </c>
      <c r="F2385" s="65" t="s">
        <v>3753</v>
      </c>
      <c r="G2385" s="3" t="s">
        <v>424</v>
      </c>
      <c r="H2385" s="3" t="s">
        <v>296</v>
      </c>
      <c r="I2385" s="4" t="s">
        <v>42</v>
      </c>
      <c r="J2385" s="31">
        <v>45765</v>
      </c>
      <c r="K2385" s="31">
        <v>45771</v>
      </c>
      <c r="L2385" s="31"/>
      <c r="M2385" s="31"/>
      <c r="N2385" s="31"/>
      <c r="O2385" s="3" t="s">
        <v>425</v>
      </c>
    </row>
    <row r="2386" spans="1:15">
      <c r="A2386" s="3">
        <f t="shared" si="38"/>
        <v>2385</v>
      </c>
      <c r="B2386" s="65" t="s">
        <v>3754</v>
      </c>
      <c r="C2386" s="1">
        <v>9542512705</v>
      </c>
      <c r="D2386" s="6"/>
      <c r="E2386" s="7" t="s">
        <v>127</v>
      </c>
      <c r="F2386" s="65" t="s">
        <v>3449</v>
      </c>
      <c r="G2386" s="3" t="s">
        <v>424</v>
      </c>
      <c r="H2386" s="3" t="s">
        <v>296</v>
      </c>
      <c r="I2386" s="4" t="s">
        <v>42</v>
      </c>
      <c r="J2386" s="31">
        <v>45765</v>
      </c>
      <c r="K2386" s="31">
        <v>45771</v>
      </c>
      <c r="L2386" s="31"/>
      <c r="M2386" s="31"/>
      <c r="N2386" s="31"/>
      <c r="O2386" s="3" t="s">
        <v>749</v>
      </c>
    </row>
    <row r="2387" spans="1:15">
      <c r="A2387" s="3">
        <f t="shared" si="38"/>
        <v>2386</v>
      </c>
      <c r="B2387" s="65" t="s">
        <v>3755</v>
      </c>
      <c r="C2387" s="1">
        <v>9908755355</v>
      </c>
      <c r="D2387" s="6"/>
      <c r="E2387" s="7" t="s">
        <v>124</v>
      </c>
      <c r="F2387" s="65" t="s">
        <v>3756</v>
      </c>
      <c r="G2387" s="3" t="s">
        <v>424</v>
      </c>
      <c r="H2387" s="3" t="s">
        <v>296</v>
      </c>
      <c r="I2387" s="4" t="s">
        <v>42</v>
      </c>
      <c r="J2387" s="31">
        <v>45765</v>
      </c>
      <c r="K2387" s="31">
        <v>45779</v>
      </c>
      <c r="L2387" s="31"/>
      <c r="M2387" s="31"/>
      <c r="N2387" s="31"/>
      <c r="O2387" s="3" t="s">
        <v>425</v>
      </c>
    </row>
    <row r="2388" spans="1:15">
      <c r="A2388" s="3">
        <f t="shared" si="38"/>
        <v>2387</v>
      </c>
      <c r="B2388" s="65" t="s">
        <v>3757</v>
      </c>
      <c r="C2388" s="1">
        <v>9330412355</v>
      </c>
      <c r="D2388" s="6">
        <v>7410066136</v>
      </c>
      <c r="E2388" s="7" t="s">
        <v>127</v>
      </c>
      <c r="F2388" s="65" t="s">
        <v>308</v>
      </c>
      <c r="G2388" s="3" t="s">
        <v>424</v>
      </c>
      <c r="H2388" s="3" t="s">
        <v>296</v>
      </c>
      <c r="I2388" s="4" t="s">
        <v>42</v>
      </c>
      <c r="J2388" s="31">
        <v>45765</v>
      </c>
      <c r="K2388" s="31">
        <v>45774</v>
      </c>
      <c r="L2388" s="31"/>
      <c r="M2388" s="31"/>
      <c r="N2388" s="31"/>
      <c r="O2388" s="3" t="s">
        <v>425</v>
      </c>
    </row>
    <row r="2389" spans="1:15">
      <c r="A2389" s="3">
        <f t="shared" si="38"/>
        <v>2388</v>
      </c>
      <c r="B2389" s="65" t="s">
        <v>3758</v>
      </c>
      <c r="C2389" s="1">
        <v>9963569839</v>
      </c>
      <c r="D2389" s="6"/>
      <c r="E2389" s="3" t="s">
        <v>3759</v>
      </c>
      <c r="F2389" s="65" t="s">
        <v>3760</v>
      </c>
      <c r="G2389" s="3" t="s">
        <v>16</v>
      </c>
      <c r="H2389" s="1" t="s">
        <v>368</v>
      </c>
      <c r="I2389" s="4" t="s">
        <v>88</v>
      </c>
      <c r="J2389" s="31">
        <v>45761</v>
      </c>
      <c r="K2389" s="31">
        <v>45763</v>
      </c>
      <c r="L2389" s="31">
        <v>45765</v>
      </c>
      <c r="M2389" s="31">
        <v>45817</v>
      </c>
      <c r="N2389" s="31">
        <v>45817</v>
      </c>
      <c r="O2389" s="3" t="s">
        <v>297</v>
      </c>
    </row>
    <row r="2390" spans="1:15">
      <c r="A2390" s="3">
        <f t="shared" si="38"/>
        <v>2389</v>
      </c>
      <c r="B2390" s="65" t="s">
        <v>3761</v>
      </c>
      <c r="C2390" s="1">
        <v>9594640649</v>
      </c>
      <c r="D2390" s="6"/>
      <c r="E2390" s="3" t="s">
        <v>3762</v>
      </c>
      <c r="F2390" s="65" t="s">
        <v>3763</v>
      </c>
      <c r="G2390" s="3" t="s">
        <v>16</v>
      </c>
      <c r="H2390" s="1" t="s">
        <v>3764</v>
      </c>
      <c r="I2390" s="4" t="s">
        <v>88</v>
      </c>
      <c r="J2390" s="31">
        <v>45761</v>
      </c>
      <c r="K2390" s="31">
        <v>45763</v>
      </c>
      <c r="L2390" s="31">
        <v>45765</v>
      </c>
      <c r="M2390" s="31">
        <v>45795</v>
      </c>
      <c r="N2390" s="31">
        <v>45795</v>
      </c>
      <c r="O2390" s="3" t="s">
        <v>297</v>
      </c>
    </row>
    <row r="2391" spans="1:15">
      <c r="A2391" s="3">
        <f t="shared" si="38"/>
        <v>2390</v>
      </c>
      <c r="B2391" s="65" t="s">
        <v>3765</v>
      </c>
      <c r="C2391" s="1">
        <v>9785205918</v>
      </c>
      <c r="D2391" s="6"/>
      <c r="E2391" s="3" t="s">
        <v>1881</v>
      </c>
      <c r="F2391" s="65" t="s">
        <v>275</v>
      </c>
      <c r="G2391" s="3" t="s">
        <v>416</v>
      </c>
      <c r="H2391" s="2" t="s">
        <v>1096</v>
      </c>
      <c r="I2391" s="4" t="s">
        <v>94</v>
      </c>
      <c r="J2391" s="31">
        <v>45765</v>
      </c>
      <c r="K2391" s="31">
        <v>45874</v>
      </c>
      <c r="L2391" s="31"/>
      <c r="M2391" s="31"/>
      <c r="N2391" s="31"/>
      <c r="O2391" s="3" t="s">
        <v>297</v>
      </c>
    </row>
    <row r="2392" spans="1:15">
      <c r="A2392" s="3">
        <f t="shared" si="38"/>
        <v>2391</v>
      </c>
      <c r="B2392" s="65" t="s">
        <v>3766</v>
      </c>
      <c r="C2392" s="1">
        <v>9062789557</v>
      </c>
      <c r="D2392" s="6"/>
      <c r="E2392" s="3" t="s">
        <v>1881</v>
      </c>
      <c r="F2392" s="65" t="s">
        <v>689</v>
      </c>
      <c r="G2392" s="3" t="s">
        <v>416</v>
      </c>
      <c r="H2392" s="2" t="s">
        <v>1096</v>
      </c>
      <c r="I2392" s="4" t="s">
        <v>94</v>
      </c>
      <c r="J2392" s="31">
        <v>45765</v>
      </c>
      <c r="K2392" s="31">
        <v>45765</v>
      </c>
      <c r="L2392" s="31"/>
      <c r="M2392" s="31"/>
      <c r="N2392" s="31"/>
      <c r="O2392" s="3" t="s">
        <v>297</v>
      </c>
    </row>
    <row r="2393" spans="1:15">
      <c r="A2393" s="3">
        <f t="shared" si="38"/>
        <v>2392</v>
      </c>
      <c r="B2393" s="65" t="s">
        <v>2319</v>
      </c>
      <c r="C2393" s="1">
        <v>7382988393</v>
      </c>
      <c r="D2393" s="6">
        <v>9030619336</v>
      </c>
      <c r="E2393" s="3" t="s">
        <v>3767</v>
      </c>
      <c r="F2393" s="65" t="s">
        <v>3768</v>
      </c>
      <c r="G2393" s="2" t="s">
        <v>424</v>
      </c>
      <c r="H2393" s="2" t="s">
        <v>42</v>
      </c>
      <c r="I2393" s="4" t="s">
        <v>42</v>
      </c>
      <c r="J2393" s="31">
        <v>45765</v>
      </c>
      <c r="K2393" s="31">
        <v>45786</v>
      </c>
      <c r="L2393" s="31"/>
      <c r="M2393" s="31"/>
      <c r="N2393" s="31"/>
      <c r="O2393" s="2" t="s">
        <v>425</v>
      </c>
    </row>
    <row r="2394" spans="1:15">
      <c r="A2394" s="3">
        <f t="shared" si="38"/>
        <v>2393</v>
      </c>
      <c r="B2394" s="65" t="s">
        <v>3769</v>
      </c>
      <c r="C2394" s="1">
        <v>9866163318</v>
      </c>
      <c r="D2394" s="6"/>
      <c r="E2394" s="3" t="s">
        <v>3767</v>
      </c>
      <c r="F2394" s="65" t="s">
        <v>3768</v>
      </c>
      <c r="G2394" s="2" t="s">
        <v>424</v>
      </c>
      <c r="H2394" s="2" t="s">
        <v>42</v>
      </c>
      <c r="I2394" s="4" t="s">
        <v>42</v>
      </c>
      <c r="J2394" s="31">
        <v>45765</v>
      </c>
      <c r="K2394" s="31">
        <v>45786</v>
      </c>
      <c r="L2394" s="31"/>
      <c r="M2394" s="31"/>
      <c r="N2394" s="31"/>
      <c r="O2394" s="2" t="s">
        <v>425</v>
      </c>
    </row>
    <row r="2395" spans="1:15">
      <c r="A2395" s="3">
        <f t="shared" si="38"/>
        <v>2394</v>
      </c>
      <c r="B2395" s="65" t="s">
        <v>3770</v>
      </c>
      <c r="C2395" s="1">
        <v>9908162788</v>
      </c>
      <c r="D2395" s="6"/>
      <c r="E2395" s="3" t="s">
        <v>3767</v>
      </c>
      <c r="F2395" s="65" t="s">
        <v>3768</v>
      </c>
      <c r="G2395" s="2" t="s">
        <v>424</v>
      </c>
      <c r="H2395" s="2" t="s">
        <v>42</v>
      </c>
      <c r="I2395" s="4" t="s">
        <v>42</v>
      </c>
      <c r="J2395" s="31">
        <v>45765</v>
      </c>
      <c r="K2395" s="31">
        <v>45786</v>
      </c>
      <c r="L2395" s="31"/>
      <c r="M2395" s="31"/>
      <c r="N2395" s="31"/>
      <c r="O2395" s="2" t="s">
        <v>425</v>
      </c>
    </row>
    <row r="2396" spans="1:15">
      <c r="A2396" s="3">
        <f t="shared" si="38"/>
        <v>2395</v>
      </c>
      <c r="B2396" s="65" t="s">
        <v>3771</v>
      </c>
      <c r="C2396" s="1">
        <v>8897660834</v>
      </c>
      <c r="D2396" s="6"/>
      <c r="E2396" s="3" t="s">
        <v>121</v>
      </c>
      <c r="F2396" s="65"/>
      <c r="G2396" s="3" t="s">
        <v>16</v>
      </c>
      <c r="H2396" s="1" t="s">
        <v>679</v>
      </c>
      <c r="I2396" s="4" t="s">
        <v>42</v>
      </c>
      <c r="J2396" s="31">
        <v>45753</v>
      </c>
      <c r="K2396" s="31">
        <v>45753</v>
      </c>
      <c r="L2396" s="31">
        <v>45765</v>
      </c>
      <c r="M2396" s="31">
        <v>45795</v>
      </c>
      <c r="N2396" s="31">
        <v>45797</v>
      </c>
      <c r="O2396" s="3" t="s">
        <v>297</v>
      </c>
    </row>
    <row r="2397" spans="1:15">
      <c r="A2397" s="3">
        <f t="shared" si="38"/>
        <v>2396</v>
      </c>
      <c r="B2397" s="65" t="s">
        <v>3772</v>
      </c>
      <c r="C2397" s="1">
        <v>6207853852</v>
      </c>
      <c r="D2397" s="6"/>
      <c r="E2397" s="3" t="s">
        <v>124</v>
      </c>
      <c r="F2397" s="65" t="s">
        <v>2177</v>
      </c>
      <c r="G2397" s="3" t="s">
        <v>424</v>
      </c>
      <c r="H2397" s="3" t="s">
        <v>296</v>
      </c>
      <c r="I2397" s="4" t="s">
        <v>42</v>
      </c>
      <c r="J2397" s="31">
        <v>45765</v>
      </c>
      <c r="K2397" s="31">
        <v>45772</v>
      </c>
      <c r="L2397" s="31"/>
      <c r="M2397" s="31"/>
      <c r="N2397" s="31"/>
      <c r="O2397" s="3" t="s">
        <v>749</v>
      </c>
    </row>
    <row r="2398" spans="1:15">
      <c r="A2398" s="3">
        <f t="shared" si="38"/>
        <v>2397</v>
      </c>
      <c r="B2398" s="65" t="s">
        <v>3773</v>
      </c>
      <c r="C2398" s="1">
        <v>7487835912</v>
      </c>
      <c r="D2398" s="6"/>
      <c r="E2398" s="3" t="s">
        <v>2487</v>
      </c>
      <c r="F2398" s="65"/>
      <c r="G2398" s="3" t="s">
        <v>16</v>
      </c>
      <c r="H2398" s="1" t="s">
        <v>815</v>
      </c>
      <c r="I2398" s="4" t="s">
        <v>94</v>
      </c>
      <c r="J2398" s="31">
        <v>45761</v>
      </c>
      <c r="K2398" s="31">
        <v>45763</v>
      </c>
      <c r="L2398" s="31">
        <v>45765</v>
      </c>
      <c r="M2398" s="31">
        <v>45795</v>
      </c>
      <c r="N2398" s="31">
        <v>45779</v>
      </c>
      <c r="O2398" s="3" t="s">
        <v>297</v>
      </c>
    </row>
    <row r="2399" spans="1:15">
      <c r="A2399" s="3">
        <f t="shared" si="38"/>
        <v>2398</v>
      </c>
      <c r="B2399" s="65" t="s">
        <v>3774</v>
      </c>
      <c r="C2399" s="1">
        <v>8897660834</v>
      </c>
      <c r="D2399" s="6"/>
      <c r="E2399" s="3" t="s">
        <v>124</v>
      </c>
      <c r="F2399" s="65"/>
      <c r="G2399" s="3" t="s">
        <v>295</v>
      </c>
      <c r="H2399" s="1" t="s">
        <v>679</v>
      </c>
      <c r="I2399" s="4" t="s">
        <v>42</v>
      </c>
      <c r="J2399" s="31">
        <v>45763</v>
      </c>
      <c r="K2399" s="31">
        <v>45763</v>
      </c>
      <c r="L2399" s="31">
        <v>45765</v>
      </c>
      <c r="M2399" s="31">
        <v>45795</v>
      </c>
      <c r="N2399" s="31"/>
      <c r="O2399" s="3" t="s">
        <v>297</v>
      </c>
    </row>
    <row r="2400" spans="1:15">
      <c r="A2400" s="3">
        <f t="shared" si="38"/>
        <v>2399</v>
      </c>
      <c r="B2400" s="65" t="s">
        <v>3775</v>
      </c>
      <c r="C2400" s="1">
        <v>7619384589</v>
      </c>
      <c r="D2400" s="6"/>
      <c r="E2400" s="3" t="s">
        <v>1114</v>
      </c>
      <c r="F2400" s="65"/>
      <c r="G2400" s="3" t="s">
        <v>16</v>
      </c>
      <c r="H2400" s="1" t="s">
        <v>41</v>
      </c>
      <c r="I2400" s="4" t="s">
        <v>42</v>
      </c>
      <c r="J2400" s="31">
        <v>45763</v>
      </c>
      <c r="K2400" s="31">
        <v>45763</v>
      </c>
      <c r="L2400" s="31">
        <v>45765</v>
      </c>
      <c r="M2400" s="31">
        <v>45772</v>
      </c>
      <c r="N2400" s="31">
        <v>45768</v>
      </c>
      <c r="O2400" s="3" t="s">
        <v>297</v>
      </c>
    </row>
    <row r="2401" spans="1:15">
      <c r="A2401" s="3">
        <f t="shared" si="38"/>
        <v>2400</v>
      </c>
      <c r="B2401" s="65" t="s">
        <v>3776</v>
      </c>
      <c r="C2401" s="1">
        <v>9491815989</v>
      </c>
      <c r="D2401" s="6"/>
      <c r="E2401" s="3" t="s">
        <v>3777</v>
      </c>
      <c r="F2401" s="65" t="s">
        <v>3778</v>
      </c>
      <c r="G2401" s="3" t="s">
        <v>295</v>
      </c>
      <c r="H2401" s="1" t="s">
        <v>785</v>
      </c>
      <c r="I2401" s="3" t="s">
        <v>42</v>
      </c>
      <c r="J2401" s="31">
        <v>45763</v>
      </c>
      <c r="K2401" s="31">
        <v>45763</v>
      </c>
      <c r="L2401" s="31">
        <v>45765</v>
      </c>
      <c r="M2401" s="31">
        <v>45795</v>
      </c>
      <c r="N2401" s="31"/>
      <c r="O2401" s="3" t="s">
        <v>297</v>
      </c>
    </row>
    <row r="2402" spans="1:15">
      <c r="A2402" s="3">
        <f t="shared" si="38"/>
        <v>2401</v>
      </c>
      <c r="B2402" s="65" t="s">
        <v>3779</v>
      </c>
      <c r="C2402" s="1">
        <v>6268562775</v>
      </c>
      <c r="D2402" s="6"/>
      <c r="E2402" s="3" t="s">
        <v>2753</v>
      </c>
      <c r="F2402" s="65" t="s">
        <v>2473</v>
      </c>
      <c r="G2402" s="3" t="s">
        <v>295</v>
      </c>
      <c r="H2402" s="3" t="s">
        <v>999</v>
      </c>
      <c r="I2402" s="4" t="s">
        <v>94</v>
      </c>
      <c r="J2402" s="31">
        <v>45763</v>
      </c>
      <c r="K2402" s="31">
        <v>45763</v>
      </c>
      <c r="L2402" s="31">
        <v>45765</v>
      </c>
      <c r="M2402" s="31">
        <v>45803</v>
      </c>
      <c r="N2402" s="31"/>
      <c r="O2402" s="3" t="s">
        <v>297</v>
      </c>
    </row>
    <row r="2403" spans="1:15">
      <c r="A2403" s="3">
        <f t="shared" ref="A2403:A2466" si="39">ROW()-1</f>
        <v>2402</v>
      </c>
      <c r="B2403" s="65" t="s">
        <v>3780</v>
      </c>
      <c r="C2403" s="1">
        <v>9849741600</v>
      </c>
      <c r="D2403" s="6"/>
      <c r="E2403" s="3" t="s">
        <v>121</v>
      </c>
      <c r="F2403" s="65" t="s">
        <v>1257</v>
      </c>
      <c r="G2403" s="3" t="s">
        <v>764</v>
      </c>
      <c r="H2403" s="1" t="s">
        <v>660</v>
      </c>
      <c r="I2403" s="4" t="s">
        <v>42</v>
      </c>
      <c r="J2403" s="31">
        <v>45767</v>
      </c>
      <c r="K2403" s="31">
        <v>45777</v>
      </c>
      <c r="L2403" s="31"/>
      <c r="M2403" s="31"/>
      <c r="N2403" s="31"/>
      <c r="O2403" s="3" t="s">
        <v>425</v>
      </c>
    </row>
    <row r="2404" spans="1:15">
      <c r="A2404" s="3">
        <f t="shared" si="39"/>
        <v>2403</v>
      </c>
      <c r="B2404" s="65" t="s">
        <v>3781</v>
      </c>
      <c r="C2404" s="1">
        <v>7396476977</v>
      </c>
      <c r="D2404" s="6"/>
      <c r="E2404" s="3" t="s">
        <v>110</v>
      </c>
      <c r="F2404" s="65" t="s">
        <v>308</v>
      </c>
      <c r="G2404" s="3" t="s">
        <v>16</v>
      </c>
      <c r="H2404" s="1" t="s">
        <v>102</v>
      </c>
      <c r="I2404" s="4" t="s">
        <v>42</v>
      </c>
      <c r="J2404" s="31">
        <v>45767</v>
      </c>
      <c r="K2404" s="31">
        <v>45768</v>
      </c>
      <c r="L2404" s="31">
        <v>45772</v>
      </c>
      <c r="M2404" s="31">
        <v>45782</v>
      </c>
      <c r="N2404" s="31">
        <v>45783</v>
      </c>
      <c r="O2404" s="3" t="s">
        <v>297</v>
      </c>
    </row>
    <row r="2405" spans="1:15">
      <c r="A2405" s="3">
        <f t="shared" si="39"/>
        <v>2404</v>
      </c>
      <c r="B2405" s="65" t="s">
        <v>3782</v>
      </c>
      <c r="C2405" s="1">
        <v>9061467809</v>
      </c>
      <c r="D2405" s="6"/>
      <c r="E2405" s="3" t="s">
        <v>107</v>
      </c>
      <c r="F2405" s="65" t="s">
        <v>333</v>
      </c>
      <c r="G2405" s="3" t="s">
        <v>424</v>
      </c>
      <c r="H2405" s="1" t="s">
        <v>102</v>
      </c>
      <c r="I2405" s="4" t="s">
        <v>42</v>
      </c>
      <c r="J2405" s="31">
        <v>45767</v>
      </c>
      <c r="K2405" s="31">
        <v>45768</v>
      </c>
      <c r="L2405" s="31"/>
      <c r="M2405" s="31"/>
      <c r="N2405" s="31"/>
      <c r="O2405" s="3" t="s">
        <v>425</v>
      </c>
    </row>
    <row r="2406" spans="1:15">
      <c r="A2406" s="3">
        <f t="shared" si="39"/>
        <v>2405</v>
      </c>
      <c r="B2406" s="65" t="s">
        <v>3783</v>
      </c>
      <c r="C2406" s="1">
        <v>7815883226</v>
      </c>
      <c r="D2406" s="6"/>
      <c r="E2406" s="3" t="s">
        <v>110</v>
      </c>
      <c r="F2406" s="65" t="s">
        <v>3784</v>
      </c>
      <c r="G2406" s="3" t="s">
        <v>424</v>
      </c>
      <c r="H2406" s="1" t="s">
        <v>102</v>
      </c>
      <c r="I2406" s="4" t="s">
        <v>42</v>
      </c>
      <c r="J2406" s="31">
        <v>45767</v>
      </c>
      <c r="K2406" s="31">
        <v>45768</v>
      </c>
      <c r="L2406" s="31"/>
      <c r="M2406" s="31"/>
      <c r="N2406" s="31"/>
      <c r="O2406" s="3" t="s">
        <v>425</v>
      </c>
    </row>
    <row r="2407" spans="1:15">
      <c r="A2407" s="3">
        <f t="shared" si="39"/>
        <v>2406</v>
      </c>
      <c r="B2407" s="65" t="s">
        <v>3785</v>
      </c>
      <c r="C2407" s="1">
        <v>8464842755</v>
      </c>
      <c r="D2407" s="6">
        <v>9392112998</v>
      </c>
      <c r="E2407" s="3" t="s">
        <v>110</v>
      </c>
      <c r="F2407" s="65" t="s">
        <v>3786</v>
      </c>
      <c r="G2407" s="3" t="s">
        <v>16</v>
      </c>
      <c r="H2407" s="1" t="s">
        <v>102</v>
      </c>
      <c r="I2407" s="4" t="s">
        <v>42</v>
      </c>
      <c r="J2407" s="31">
        <v>45767</v>
      </c>
      <c r="K2407" s="31">
        <v>45768</v>
      </c>
      <c r="L2407" s="31">
        <v>45772</v>
      </c>
      <c r="M2407" s="31">
        <v>45797</v>
      </c>
      <c r="N2407" s="31">
        <v>45797</v>
      </c>
      <c r="O2407" s="3" t="s">
        <v>297</v>
      </c>
    </row>
    <row r="2408" spans="1:15">
      <c r="A2408" s="3">
        <f t="shared" si="39"/>
        <v>2407</v>
      </c>
      <c r="B2408" s="65" t="s">
        <v>3787</v>
      </c>
      <c r="C2408" s="1">
        <v>9550697117</v>
      </c>
      <c r="D2408" s="6"/>
      <c r="E2408" s="3" t="s">
        <v>124</v>
      </c>
      <c r="F2408" s="65" t="s">
        <v>456</v>
      </c>
      <c r="G2408" s="3" t="s">
        <v>16</v>
      </c>
      <c r="H2408" s="1" t="s">
        <v>3240</v>
      </c>
      <c r="I2408" s="4" t="s">
        <v>42</v>
      </c>
      <c r="J2408" s="31">
        <v>45768</v>
      </c>
      <c r="K2408" s="31">
        <v>45771</v>
      </c>
      <c r="L2408" s="31">
        <v>45772</v>
      </c>
      <c r="M2408" s="31">
        <v>45817</v>
      </c>
      <c r="N2408" s="31">
        <v>45817</v>
      </c>
      <c r="O2408" s="3" t="s">
        <v>297</v>
      </c>
    </row>
    <row r="2409" spans="1:15">
      <c r="A2409" s="3">
        <f t="shared" si="39"/>
        <v>2408</v>
      </c>
      <c r="B2409" s="125" t="s">
        <v>3788</v>
      </c>
      <c r="C2409" s="49">
        <v>6281388486</v>
      </c>
      <c r="D2409" s="6"/>
      <c r="E2409" s="17" t="s">
        <v>3789</v>
      </c>
      <c r="F2409" s="83" t="s">
        <v>419</v>
      </c>
      <c r="G2409" s="3" t="s">
        <v>16</v>
      </c>
      <c r="H2409" s="3" t="s">
        <v>3790</v>
      </c>
      <c r="I2409" s="4" t="s">
        <v>42</v>
      </c>
      <c r="J2409" s="31">
        <v>45768</v>
      </c>
      <c r="K2409" s="31">
        <v>45769</v>
      </c>
      <c r="L2409" s="31">
        <v>45769</v>
      </c>
      <c r="M2409" s="31">
        <v>45772</v>
      </c>
      <c r="N2409" s="31">
        <v>45771</v>
      </c>
      <c r="O2409" s="3" t="s">
        <v>297</v>
      </c>
    </row>
    <row r="2410" spans="1:15">
      <c r="A2410" s="3">
        <f t="shared" si="39"/>
        <v>2409</v>
      </c>
      <c r="B2410" s="126" t="s">
        <v>3791</v>
      </c>
      <c r="C2410" s="25">
        <v>8978960428</v>
      </c>
      <c r="D2410" s="6"/>
      <c r="E2410" s="17" t="s">
        <v>3792</v>
      </c>
      <c r="F2410" s="90" t="s">
        <v>3793</v>
      </c>
      <c r="G2410" s="3" t="s">
        <v>330</v>
      </c>
      <c r="H2410" s="3" t="s">
        <v>3794</v>
      </c>
      <c r="I2410" s="4" t="s">
        <v>42</v>
      </c>
      <c r="J2410" s="31">
        <v>45768</v>
      </c>
      <c r="K2410" s="31">
        <v>45770</v>
      </c>
      <c r="L2410" s="31">
        <v>45772</v>
      </c>
      <c r="M2410" s="31">
        <v>45775</v>
      </c>
      <c r="N2410" s="31">
        <v>45776</v>
      </c>
      <c r="O2410" s="3" t="s">
        <v>297</v>
      </c>
    </row>
    <row r="2411" spans="1:15">
      <c r="A2411" s="3">
        <f t="shared" si="39"/>
        <v>2410</v>
      </c>
      <c r="B2411" s="126" t="s">
        <v>3795</v>
      </c>
      <c r="C2411" s="25">
        <v>9488153294</v>
      </c>
      <c r="D2411" s="6">
        <v>9153005990</v>
      </c>
      <c r="E2411" s="17" t="s">
        <v>3796</v>
      </c>
      <c r="F2411" s="90" t="s">
        <v>616</v>
      </c>
      <c r="G2411" s="3" t="s">
        <v>1175</v>
      </c>
      <c r="H2411" s="3" t="s">
        <v>3797</v>
      </c>
      <c r="I2411" s="4" t="s">
        <v>42</v>
      </c>
      <c r="J2411" s="31">
        <v>45768</v>
      </c>
      <c r="K2411" s="31"/>
      <c r="L2411" s="31"/>
      <c r="M2411" s="31"/>
      <c r="N2411" s="31"/>
      <c r="O2411" s="3" t="s">
        <v>1004</v>
      </c>
    </row>
    <row r="2412" spans="1:15">
      <c r="A2412" s="3">
        <f t="shared" si="39"/>
        <v>2411</v>
      </c>
      <c r="B2412" s="126" t="s">
        <v>3798</v>
      </c>
      <c r="C2412" s="25">
        <v>9053847620</v>
      </c>
      <c r="D2412" s="6"/>
      <c r="E2412" s="17" t="s">
        <v>3796</v>
      </c>
      <c r="F2412" s="90" t="s">
        <v>303</v>
      </c>
      <c r="G2412" s="3" t="s">
        <v>416</v>
      </c>
      <c r="H2412" s="3" t="s">
        <v>3797</v>
      </c>
      <c r="I2412" s="4" t="s">
        <v>42</v>
      </c>
      <c r="J2412" s="31">
        <v>45768</v>
      </c>
      <c r="K2412" s="31">
        <v>45770</v>
      </c>
      <c r="L2412" s="31"/>
      <c r="M2412" s="31"/>
      <c r="N2412" s="31"/>
      <c r="O2412" s="3" t="s">
        <v>297</v>
      </c>
    </row>
    <row r="2413" spans="1:15">
      <c r="A2413" s="3">
        <f t="shared" si="39"/>
        <v>2412</v>
      </c>
      <c r="B2413" s="126" t="s">
        <v>3799</v>
      </c>
      <c r="C2413" s="25">
        <v>8886818404</v>
      </c>
      <c r="D2413" s="6"/>
      <c r="E2413" s="17" t="s">
        <v>3796</v>
      </c>
      <c r="F2413" s="90" t="s">
        <v>490</v>
      </c>
      <c r="G2413" s="3" t="s">
        <v>16</v>
      </c>
      <c r="H2413" s="3" t="s">
        <v>3797</v>
      </c>
      <c r="I2413" s="4" t="s">
        <v>42</v>
      </c>
      <c r="J2413" s="31">
        <v>45768</v>
      </c>
      <c r="K2413" s="31">
        <v>45770</v>
      </c>
      <c r="L2413" s="31">
        <v>45772</v>
      </c>
      <c r="M2413" s="31">
        <v>45779</v>
      </c>
      <c r="N2413" s="31">
        <v>45789</v>
      </c>
      <c r="O2413" s="3" t="s">
        <v>297</v>
      </c>
    </row>
    <row r="2414" spans="1:15">
      <c r="A2414" s="3">
        <f t="shared" si="39"/>
        <v>2413</v>
      </c>
      <c r="B2414" s="126" t="s">
        <v>3800</v>
      </c>
      <c r="C2414" s="25">
        <v>9629124367</v>
      </c>
      <c r="D2414" s="6"/>
      <c r="E2414" s="17" t="s">
        <v>124</v>
      </c>
      <c r="F2414" s="90" t="s">
        <v>333</v>
      </c>
      <c r="G2414" s="3" t="s">
        <v>295</v>
      </c>
      <c r="H2414" s="3" t="s">
        <v>296</v>
      </c>
      <c r="I2414" s="4" t="s">
        <v>42</v>
      </c>
      <c r="J2414" s="31">
        <v>45769</v>
      </c>
      <c r="K2414" s="31">
        <v>45783</v>
      </c>
      <c r="L2414" s="31">
        <v>45786</v>
      </c>
      <c r="M2414" s="31">
        <v>45817</v>
      </c>
      <c r="N2414" s="31"/>
      <c r="O2414" s="3" t="s">
        <v>297</v>
      </c>
    </row>
    <row r="2415" spans="1:15">
      <c r="A2415" s="3">
        <f t="shared" si="39"/>
        <v>2414</v>
      </c>
      <c r="B2415" s="126" t="s">
        <v>3801</v>
      </c>
      <c r="C2415" s="25">
        <v>8008773467</v>
      </c>
      <c r="D2415" s="6"/>
      <c r="E2415" s="17" t="s">
        <v>96</v>
      </c>
      <c r="F2415" s="90" t="s">
        <v>360</v>
      </c>
      <c r="G2415" s="3" t="s">
        <v>416</v>
      </c>
      <c r="H2415" s="3" t="s">
        <v>361</v>
      </c>
      <c r="I2415" s="4" t="s">
        <v>42</v>
      </c>
      <c r="J2415" s="31">
        <v>45769</v>
      </c>
      <c r="K2415" s="31">
        <v>45770</v>
      </c>
      <c r="L2415" s="31"/>
      <c r="M2415" s="31"/>
      <c r="N2415" s="31"/>
      <c r="O2415" s="3" t="s">
        <v>297</v>
      </c>
    </row>
    <row r="2416" spans="1:15">
      <c r="A2416" s="3">
        <f t="shared" si="39"/>
        <v>2415</v>
      </c>
      <c r="B2416" s="126" t="s">
        <v>3802</v>
      </c>
      <c r="C2416" s="25">
        <v>9790208291</v>
      </c>
      <c r="D2416" s="6"/>
      <c r="E2416" s="17" t="s">
        <v>99</v>
      </c>
      <c r="F2416" s="90" t="s">
        <v>461</v>
      </c>
      <c r="G2416" s="3" t="s">
        <v>416</v>
      </c>
      <c r="H2416" s="3" t="s">
        <v>361</v>
      </c>
      <c r="I2416" s="4" t="s">
        <v>42</v>
      </c>
      <c r="J2416" s="31">
        <v>45769</v>
      </c>
      <c r="K2416" s="31">
        <v>45770</v>
      </c>
      <c r="L2416" s="31"/>
      <c r="M2416" s="31"/>
      <c r="N2416" s="31"/>
      <c r="O2416" s="3" t="s">
        <v>297</v>
      </c>
    </row>
    <row r="2417" spans="1:15">
      <c r="A2417" s="3">
        <f t="shared" si="39"/>
        <v>2416</v>
      </c>
      <c r="B2417" s="126" t="s">
        <v>3803</v>
      </c>
      <c r="C2417" s="25">
        <v>8096683894</v>
      </c>
      <c r="D2417" s="6"/>
      <c r="E2417" s="17" t="s">
        <v>99</v>
      </c>
      <c r="F2417" s="90" t="s">
        <v>2206</v>
      </c>
      <c r="G2417" s="3" t="s">
        <v>424</v>
      </c>
      <c r="H2417" s="3" t="s">
        <v>361</v>
      </c>
      <c r="I2417" s="4" t="s">
        <v>42</v>
      </c>
      <c r="J2417" s="31">
        <v>45769</v>
      </c>
      <c r="K2417" s="31">
        <v>45771</v>
      </c>
      <c r="L2417" s="31"/>
      <c r="M2417" s="31"/>
      <c r="N2417" s="31"/>
      <c r="O2417" s="3" t="s">
        <v>425</v>
      </c>
    </row>
    <row r="2418" spans="1:15">
      <c r="A2418" s="3">
        <f t="shared" si="39"/>
        <v>2417</v>
      </c>
      <c r="B2418" s="126" t="s">
        <v>3804</v>
      </c>
      <c r="C2418" s="25">
        <v>9505326565</v>
      </c>
      <c r="D2418" s="6"/>
      <c r="E2418" s="17" t="s">
        <v>99</v>
      </c>
      <c r="F2418" s="90" t="s">
        <v>461</v>
      </c>
      <c r="G2418" s="3" t="s">
        <v>295</v>
      </c>
      <c r="H2418" s="3" t="s">
        <v>361</v>
      </c>
      <c r="I2418" s="4" t="s">
        <v>42</v>
      </c>
      <c r="J2418" s="31">
        <v>45769</v>
      </c>
      <c r="K2418" s="31">
        <v>45771</v>
      </c>
      <c r="L2418" s="31">
        <v>45772</v>
      </c>
      <c r="M2418" s="31">
        <v>45798</v>
      </c>
      <c r="N2418" s="31"/>
      <c r="O2418" s="3" t="s">
        <v>297</v>
      </c>
    </row>
    <row r="2419" spans="1:15">
      <c r="A2419" s="3">
        <f t="shared" si="39"/>
        <v>2418</v>
      </c>
      <c r="B2419" s="126" t="s">
        <v>3805</v>
      </c>
      <c r="C2419" s="25">
        <v>7239057041</v>
      </c>
      <c r="D2419" s="6"/>
      <c r="E2419" s="17" t="s">
        <v>99</v>
      </c>
      <c r="F2419" s="90" t="s">
        <v>461</v>
      </c>
      <c r="G2419" s="3" t="s">
        <v>416</v>
      </c>
      <c r="H2419" s="3" t="s">
        <v>361</v>
      </c>
      <c r="I2419" s="4" t="s">
        <v>42</v>
      </c>
      <c r="J2419" s="31">
        <v>45769</v>
      </c>
      <c r="K2419" s="31">
        <v>45770</v>
      </c>
      <c r="L2419" s="31"/>
      <c r="M2419" s="31"/>
      <c r="N2419" s="31"/>
      <c r="O2419" s="3" t="s">
        <v>297</v>
      </c>
    </row>
    <row r="2420" spans="1:15">
      <c r="A2420" s="3">
        <f t="shared" si="39"/>
        <v>2419</v>
      </c>
      <c r="B2420" s="126" t="s">
        <v>3806</v>
      </c>
      <c r="C2420" s="25">
        <v>8142312853</v>
      </c>
      <c r="D2420" s="6"/>
      <c r="E2420" s="17" t="s">
        <v>99</v>
      </c>
      <c r="F2420" s="90" t="s">
        <v>461</v>
      </c>
      <c r="G2420" s="3" t="s">
        <v>416</v>
      </c>
      <c r="H2420" s="3" t="s">
        <v>361</v>
      </c>
      <c r="I2420" s="4" t="s">
        <v>42</v>
      </c>
      <c r="J2420" s="31">
        <v>45769</v>
      </c>
      <c r="K2420" s="31">
        <v>45770</v>
      </c>
      <c r="L2420" s="31"/>
      <c r="M2420" s="31"/>
      <c r="N2420" s="31"/>
      <c r="O2420" s="3" t="s">
        <v>297</v>
      </c>
    </row>
    <row r="2421" spans="1:15">
      <c r="A2421" s="3">
        <f t="shared" si="39"/>
        <v>2420</v>
      </c>
      <c r="B2421" s="126" t="s">
        <v>3807</v>
      </c>
      <c r="C2421" s="25">
        <v>9632019545</v>
      </c>
      <c r="D2421" s="6"/>
      <c r="E2421" s="17" t="s">
        <v>99</v>
      </c>
      <c r="F2421" s="90" t="s">
        <v>461</v>
      </c>
      <c r="G2421" s="2" t="s">
        <v>18</v>
      </c>
      <c r="H2421" s="3" t="s">
        <v>361</v>
      </c>
      <c r="I2421" s="4" t="s">
        <v>42</v>
      </c>
      <c r="J2421" s="31">
        <v>45769</v>
      </c>
      <c r="K2421" s="31">
        <v>45771</v>
      </c>
      <c r="L2421" s="31"/>
      <c r="M2421" s="31"/>
      <c r="N2421" s="31"/>
      <c r="O2421" s="3" t="s">
        <v>297</v>
      </c>
    </row>
    <row r="2422" spans="1:15">
      <c r="A2422" s="3">
        <f t="shared" si="39"/>
        <v>2421</v>
      </c>
      <c r="B2422" s="126" t="s">
        <v>2205</v>
      </c>
      <c r="C2422" s="25">
        <v>9798123453</v>
      </c>
      <c r="D2422" s="6"/>
      <c r="E2422" s="17" t="s">
        <v>99</v>
      </c>
      <c r="F2422" s="90" t="s">
        <v>461</v>
      </c>
      <c r="G2422" s="3" t="s">
        <v>764</v>
      </c>
      <c r="H2422" s="3" t="s">
        <v>361</v>
      </c>
      <c r="I2422" s="4" t="s">
        <v>42</v>
      </c>
      <c r="J2422" s="31">
        <v>45769</v>
      </c>
      <c r="K2422" s="31">
        <v>45770</v>
      </c>
      <c r="L2422" s="31"/>
      <c r="M2422" s="31"/>
      <c r="N2422" s="31"/>
      <c r="O2422" s="3" t="s">
        <v>425</v>
      </c>
    </row>
    <row r="2423" spans="1:15">
      <c r="A2423" s="3">
        <f t="shared" si="39"/>
        <v>2422</v>
      </c>
      <c r="B2423" s="126" t="s">
        <v>3808</v>
      </c>
      <c r="C2423" s="25">
        <v>7032568708</v>
      </c>
      <c r="D2423" s="6"/>
      <c r="E2423" s="17" t="s">
        <v>99</v>
      </c>
      <c r="F2423" s="90" t="s">
        <v>507</v>
      </c>
      <c r="G2423" s="3" t="s">
        <v>764</v>
      </c>
      <c r="H2423" s="3" t="s">
        <v>361</v>
      </c>
      <c r="I2423" s="4" t="s">
        <v>42</v>
      </c>
      <c r="J2423" s="31">
        <v>45769</v>
      </c>
      <c r="K2423" s="31">
        <v>45771</v>
      </c>
      <c r="L2423" s="31"/>
      <c r="M2423" s="31"/>
      <c r="N2423" s="31"/>
      <c r="O2423" s="3" t="s">
        <v>425</v>
      </c>
    </row>
    <row r="2424" spans="1:15">
      <c r="A2424" s="3">
        <f t="shared" si="39"/>
        <v>2423</v>
      </c>
      <c r="B2424" s="126" t="s">
        <v>2207</v>
      </c>
      <c r="C2424" s="25">
        <v>8756875729</v>
      </c>
      <c r="D2424" s="6"/>
      <c r="E2424" s="17" t="s">
        <v>99</v>
      </c>
      <c r="F2424" s="90" t="s">
        <v>3809</v>
      </c>
      <c r="G2424" s="3" t="s">
        <v>295</v>
      </c>
      <c r="H2424" s="3" t="s">
        <v>361</v>
      </c>
      <c r="I2424" s="4" t="s">
        <v>42</v>
      </c>
      <c r="J2424" s="31">
        <v>45769</v>
      </c>
      <c r="K2424" s="31">
        <v>45771</v>
      </c>
      <c r="L2424" s="31">
        <v>45772</v>
      </c>
      <c r="M2424" s="31">
        <v>45802</v>
      </c>
      <c r="N2424" s="31"/>
      <c r="O2424" s="3" t="s">
        <v>297</v>
      </c>
    </row>
    <row r="2425" spans="1:15">
      <c r="A2425" s="3">
        <f t="shared" si="39"/>
        <v>2424</v>
      </c>
      <c r="B2425" s="126" t="s">
        <v>3810</v>
      </c>
      <c r="C2425" s="25">
        <v>8309610977</v>
      </c>
      <c r="D2425" s="6"/>
      <c r="E2425" s="17" t="s">
        <v>110</v>
      </c>
      <c r="F2425" s="90" t="s">
        <v>3786</v>
      </c>
      <c r="G2425" s="3" t="s">
        <v>16</v>
      </c>
      <c r="H2425" s="3" t="s">
        <v>102</v>
      </c>
      <c r="I2425" s="4" t="s">
        <v>42</v>
      </c>
      <c r="J2425" s="31">
        <v>45769</v>
      </c>
      <c r="K2425" s="31">
        <v>45775</v>
      </c>
      <c r="L2425" s="31">
        <v>45777</v>
      </c>
      <c r="M2425" s="31">
        <v>45809</v>
      </c>
      <c r="N2425" s="31">
        <v>45809</v>
      </c>
      <c r="O2425" s="3" t="s">
        <v>297</v>
      </c>
    </row>
    <row r="2426" spans="1:15">
      <c r="A2426" s="3">
        <f t="shared" si="39"/>
        <v>2425</v>
      </c>
      <c r="B2426" s="126" t="s">
        <v>3811</v>
      </c>
      <c r="C2426" s="25">
        <v>9505665032</v>
      </c>
      <c r="D2426" s="6"/>
      <c r="E2426" s="17" t="s">
        <v>110</v>
      </c>
      <c r="F2426" s="90" t="s">
        <v>2689</v>
      </c>
      <c r="G2426" s="3" t="s">
        <v>16</v>
      </c>
      <c r="H2426" s="3" t="s">
        <v>102</v>
      </c>
      <c r="I2426" s="4" t="s">
        <v>42</v>
      </c>
      <c r="J2426" s="31">
        <v>45769</v>
      </c>
      <c r="K2426" s="31">
        <v>45772</v>
      </c>
      <c r="L2426" s="31">
        <v>45777</v>
      </c>
      <c r="M2426" s="31">
        <v>45790</v>
      </c>
      <c r="N2426" s="31">
        <v>45790</v>
      </c>
      <c r="O2426" s="3" t="s">
        <v>297</v>
      </c>
    </row>
    <row r="2427" spans="1:15">
      <c r="A2427" s="3">
        <f t="shared" si="39"/>
        <v>2426</v>
      </c>
      <c r="B2427" s="126" t="s">
        <v>3812</v>
      </c>
      <c r="C2427" s="25">
        <v>8520071568</v>
      </c>
      <c r="D2427" s="6"/>
      <c r="E2427" s="17" t="s">
        <v>110</v>
      </c>
      <c r="F2427" s="90" t="s">
        <v>3813</v>
      </c>
      <c r="G2427" s="3" t="s">
        <v>764</v>
      </c>
      <c r="H2427" s="3" t="s">
        <v>102</v>
      </c>
      <c r="I2427" s="4" t="s">
        <v>94</v>
      </c>
      <c r="J2427" s="31">
        <v>45769</v>
      </c>
      <c r="K2427" s="31">
        <v>45775</v>
      </c>
      <c r="L2427" s="31"/>
      <c r="M2427" s="31"/>
      <c r="N2427" s="31"/>
      <c r="O2427" s="3" t="s">
        <v>425</v>
      </c>
    </row>
    <row r="2428" spans="1:15">
      <c r="A2428" s="3">
        <f t="shared" si="39"/>
        <v>2427</v>
      </c>
      <c r="B2428" s="126" t="s">
        <v>3814</v>
      </c>
      <c r="C2428" s="25">
        <v>9553930373</v>
      </c>
      <c r="D2428" s="6"/>
      <c r="E2428" s="17" t="s">
        <v>110</v>
      </c>
      <c r="F2428" s="90" t="s">
        <v>2340</v>
      </c>
      <c r="G2428" s="3" t="s">
        <v>764</v>
      </c>
      <c r="H2428" s="3" t="s">
        <v>102</v>
      </c>
      <c r="I2428" s="4" t="s">
        <v>42</v>
      </c>
      <c r="J2428" s="31">
        <v>45769</v>
      </c>
      <c r="K2428" s="31">
        <v>45775</v>
      </c>
      <c r="L2428" s="31"/>
      <c r="M2428" s="31"/>
      <c r="N2428" s="31"/>
      <c r="O2428" s="3" t="s">
        <v>425</v>
      </c>
    </row>
    <row r="2429" spans="1:15">
      <c r="A2429" s="3">
        <f t="shared" si="39"/>
        <v>2428</v>
      </c>
      <c r="B2429" s="126" t="s">
        <v>1217</v>
      </c>
      <c r="C2429" s="25">
        <v>9934654745</v>
      </c>
      <c r="D2429" s="6">
        <v>8210454564</v>
      </c>
      <c r="E2429" s="17" t="s">
        <v>107</v>
      </c>
      <c r="F2429" s="90" t="s">
        <v>3815</v>
      </c>
      <c r="G2429" s="3" t="s">
        <v>416</v>
      </c>
      <c r="H2429" s="3" t="s">
        <v>102</v>
      </c>
      <c r="I2429" s="4" t="s">
        <v>42</v>
      </c>
      <c r="J2429" s="31">
        <v>45769</v>
      </c>
      <c r="K2429" s="31">
        <v>45775</v>
      </c>
      <c r="L2429" s="31"/>
      <c r="M2429" s="31"/>
      <c r="N2429" s="31"/>
      <c r="O2429" s="3" t="s">
        <v>297</v>
      </c>
    </row>
    <row r="2430" spans="1:15">
      <c r="A2430" s="3">
        <f t="shared" si="39"/>
        <v>2429</v>
      </c>
      <c r="B2430" s="126" t="s">
        <v>3816</v>
      </c>
      <c r="C2430" s="25">
        <v>7013231767</v>
      </c>
      <c r="D2430" s="6"/>
      <c r="E2430" s="17" t="s">
        <v>48</v>
      </c>
      <c r="F2430" s="90"/>
      <c r="G2430" s="3" t="s">
        <v>16</v>
      </c>
      <c r="H2430" s="3" t="s">
        <v>679</v>
      </c>
      <c r="I2430" s="4" t="s">
        <v>42</v>
      </c>
      <c r="J2430" s="31">
        <v>45770</v>
      </c>
      <c r="K2430" s="31">
        <v>45778</v>
      </c>
      <c r="L2430" s="31">
        <v>45786</v>
      </c>
      <c r="M2430" s="31">
        <v>45845</v>
      </c>
      <c r="N2430" s="31">
        <v>45845</v>
      </c>
      <c r="O2430" s="3" t="s">
        <v>297</v>
      </c>
    </row>
    <row r="2431" spans="1:15">
      <c r="A2431" s="3">
        <f t="shared" si="39"/>
        <v>2430</v>
      </c>
      <c r="B2431" s="126" t="s">
        <v>3817</v>
      </c>
      <c r="C2431" s="25">
        <v>8886677342</v>
      </c>
      <c r="D2431" s="6">
        <v>9494973818</v>
      </c>
      <c r="E2431" s="17" t="s">
        <v>44</v>
      </c>
      <c r="F2431" s="90"/>
      <c r="G2431" s="3" t="s">
        <v>424</v>
      </c>
      <c r="H2431" s="3" t="s">
        <v>679</v>
      </c>
      <c r="I2431" s="4" t="s">
        <v>42</v>
      </c>
      <c r="J2431" s="31">
        <v>45770</v>
      </c>
      <c r="K2431" s="31">
        <v>45774</v>
      </c>
      <c r="L2431" s="31"/>
      <c r="M2431" s="31"/>
      <c r="N2431" s="31"/>
      <c r="O2431" s="3" t="s">
        <v>425</v>
      </c>
    </row>
    <row r="2432" spans="1:15">
      <c r="A2432" s="3">
        <f t="shared" si="39"/>
        <v>2431</v>
      </c>
      <c r="B2432" s="126" t="s">
        <v>3818</v>
      </c>
      <c r="C2432" s="25">
        <v>9848517607</v>
      </c>
      <c r="D2432" s="6">
        <v>7989180015</v>
      </c>
      <c r="E2432" s="17" t="s">
        <v>44</v>
      </c>
      <c r="F2432" s="90"/>
      <c r="G2432" s="3" t="s">
        <v>424</v>
      </c>
      <c r="H2432" s="3" t="s">
        <v>679</v>
      </c>
      <c r="I2432" s="4" t="s">
        <v>42</v>
      </c>
      <c r="J2432" s="31">
        <v>45770</v>
      </c>
      <c r="K2432" s="31">
        <v>45780</v>
      </c>
      <c r="L2432" s="31"/>
      <c r="M2432" s="31"/>
      <c r="N2432" s="31"/>
      <c r="O2432" s="3" t="s">
        <v>425</v>
      </c>
    </row>
    <row r="2433" spans="1:15">
      <c r="A2433" s="3">
        <f t="shared" si="39"/>
        <v>2432</v>
      </c>
      <c r="B2433" s="126" t="s">
        <v>3819</v>
      </c>
      <c r="C2433" s="25">
        <v>8792693137</v>
      </c>
      <c r="D2433" s="6"/>
      <c r="E2433" s="17" t="s">
        <v>121</v>
      </c>
      <c r="F2433" s="90" t="s">
        <v>1199</v>
      </c>
      <c r="G2433" s="3" t="s">
        <v>424</v>
      </c>
      <c r="H2433" s="3" t="s">
        <v>679</v>
      </c>
      <c r="I2433" s="4" t="s">
        <v>42</v>
      </c>
      <c r="J2433" s="31">
        <v>45770</v>
      </c>
      <c r="K2433" s="31">
        <v>45821</v>
      </c>
      <c r="L2433" s="31"/>
      <c r="M2433" s="31"/>
      <c r="N2433" s="31"/>
      <c r="O2433" s="3" t="s">
        <v>749</v>
      </c>
    </row>
    <row r="2434" spans="1:15">
      <c r="A2434" s="3">
        <f t="shared" si="39"/>
        <v>2433</v>
      </c>
      <c r="B2434" s="126" t="s">
        <v>3820</v>
      </c>
      <c r="C2434" s="25">
        <v>9182731065</v>
      </c>
      <c r="D2434" s="6"/>
      <c r="E2434" s="17" t="s">
        <v>121</v>
      </c>
      <c r="F2434" s="90" t="s">
        <v>275</v>
      </c>
      <c r="G2434" s="3" t="s">
        <v>764</v>
      </c>
      <c r="H2434" s="3" t="s">
        <v>679</v>
      </c>
      <c r="I2434" s="4" t="s">
        <v>42</v>
      </c>
      <c r="J2434" s="31">
        <v>45770</v>
      </c>
      <c r="K2434" s="31">
        <v>45776</v>
      </c>
      <c r="L2434" s="31"/>
      <c r="M2434" s="31"/>
      <c r="N2434" s="31"/>
      <c r="O2434" s="3" t="s">
        <v>425</v>
      </c>
    </row>
    <row r="2435" spans="1:15">
      <c r="A2435" s="3">
        <f t="shared" si="39"/>
        <v>2434</v>
      </c>
      <c r="B2435" s="126" t="s">
        <v>3821</v>
      </c>
      <c r="C2435" s="25">
        <v>9648870710</v>
      </c>
      <c r="D2435" s="6"/>
      <c r="E2435" s="17" t="s">
        <v>99</v>
      </c>
      <c r="F2435" s="90" t="s">
        <v>360</v>
      </c>
      <c r="G2435" s="3" t="s">
        <v>16</v>
      </c>
      <c r="H2435" s="3" t="s">
        <v>361</v>
      </c>
      <c r="I2435" s="4" t="s">
        <v>94</v>
      </c>
      <c r="J2435" s="31">
        <v>45770</v>
      </c>
      <c r="K2435" s="31">
        <v>45772</v>
      </c>
      <c r="L2435" s="31">
        <v>45777</v>
      </c>
      <c r="M2435" s="31">
        <v>45807</v>
      </c>
      <c r="N2435" s="31">
        <v>45810</v>
      </c>
      <c r="O2435" s="3" t="s">
        <v>297</v>
      </c>
    </row>
    <row r="2436" spans="1:15">
      <c r="A2436" s="3">
        <f t="shared" si="39"/>
        <v>2435</v>
      </c>
      <c r="B2436" s="126" t="s">
        <v>3822</v>
      </c>
      <c r="C2436" s="25">
        <v>6306090030</v>
      </c>
      <c r="D2436" s="6"/>
      <c r="E2436" s="17" t="s">
        <v>99</v>
      </c>
      <c r="F2436" s="90" t="s">
        <v>360</v>
      </c>
      <c r="G2436" s="3" t="s">
        <v>424</v>
      </c>
      <c r="H2436" s="3" t="s">
        <v>361</v>
      </c>
      <c r="I2436" s="4" t="s">
        <v>94</v>
      </c>
      <c r="J2436" s="31">
        <v>45770</v>
      </c>
      <c r="K2436" s="31">
        <v>45772</v>
      </c>
      <c r="L2436" s="31"/>
      <c r="M2436" s="31"/>
      <c r="N2436" s="31"/>
      <c r="O2436" s="3" t="s">
        <v>425</v>
      </c>
    </row>
    <row r="2437" spans="1:15">
      <c r="A2437" s="3">
        <f t="shared" si="39"/>
        <v>2436</v>
      </c>
      <c r="B2437" s="126" t="s">
        <v>3823</v>
      </c>
      <c r="C2437" s="25">
        <v>8099666828</v>
      </c>
      <c r="D2437" s="6"/>
      <c r="E2437" s="17" t="s">
        <v>99</v>
      </c>
      <c r="F2437" s="90" t="s">
        <v>360</v>
      </c>
      <c r="G2437" s="3" t="s">
        <v>295</v>
      </c>
      <c r="H2437" s="3" t="s">
        <v>361</v>
      </c>
      <c r="I2437" s="4" t="s">
        <v>94</v>
      </c>
      <c r="J2437" s="31">
        <v>45770</v>
      </c>
      <c r="K2437" s="31">
        <v>45772</v>
      </c>
      <c r="L2437" s="31">
        <v>45777</v>
      </c>
      <c r="M2437" s="31">
        <v>45807</v>
      </c>
      <c r="N2437" s="31"/>
      <c r="O2437" s="3" t="s">
        <v>297</v>
      </c>
    </row>
    <row r="2438" spans="1:15">
      <c r="A2438" s="3">
        <f t="shared" si="39"/>
        <v>2437</v>
      </c>
      <c r="B2438" s="126" t="s">
        <v>3824</v>
      </c>
      <c r="C2438" s="25">
        <v>8181041245</v>
      </c>
      <c r="D2438" s="6"/>
      <c r="E2438" s="17" t="s">
        <v>99</v>
      </c>
      <c r="F2438" s="90" t="s">
        <v>360</v>
      </c>
      <c r="G2438" s="3" t="s">
        <v>416</v>
      </c>
      <c r="H2438" s="3" t="s">
        <v>361</v>
      </c>
      <c r="I2438" s="4" t="s">
        <v>94</v>
      </c>
      <c r="J2438" s="31">
        <v>45770</v>
      </c>
      <c r="K2438" s="31">
        <v>45772</v>
      </c>
      <c r="L2438" s="31"/>
      <c r="M2438" s="31"/>
      <c r="N2438" s="31"/>
      <c r="O2438" s="3" t="s">
        <v>297</v>
      </c>
    </row>
    <row r="2439" spans="1:15">
      <c r="A2439" s="3">
        <f t="shared" si="39"/>
        <v>2438</v>
      </c>
      <c r="B2439" s="126" t="s">
        <v>3825</v>
      </c>
      <c r="C2439" s="25">
        <v>8083896436</v>
      </c>
      <c r="D2439" s="6"/>
      <c r="E2439" s="17" t="s">
        <v>99</v>
      </c>
      <c r="F2439" s="90" t="s">
        <v>360</v>
      </c>
      <c r="G2439" s="3" t="s">
        <v>295</v>
      </c>
      <c r="H2439" s="3" t="s">
        <v>361</v>
      </c>
      <c r="I2439" s="4" t="s">
        <v>94</v>
      </c>
      <c r="J2439" s="31">
        <v>45770</v>
      </c>
      <c r="K2439" s="31">
        <v>45772</v>
      </c>
      <c r="L2439" s="31">
        <v>45775</v>
      </c>
      <c r="M2439" s="31">
        <v>45801</v>
      </c>
      <c r="N2439" s="31"/>
      <c r="O2439" s="3" t="s">
        <v>297</v>
      </c>
    </row>
    <row r="2440" spans="1:15">
      <c r="A2440" s="3">
        <f t="shared" si="39"/>
        <v>2439</v>
      </c>
      <c r="B2440" s="126" t="s">
        <v>3826</v>
      </c>
      <c r="C2440" s="25">
        <v>8388838915</v>
      </c>
      <c r="D2440" s="6"/>
      <c r="E2440" s="17" t="s">
        <v>99</v>
      </c>
      <c r="F2440" s="90" t="s">
        <v>360</v>
      </c>
      <c r="G2440" s="3" t="s">
        <v>416</v>
      </c>
      <c r="H2440" s="3" t="s">
        <v>361</v>
      </c>
      <c r="I2440" s="4" t="s">
        <v>94</v>
      </c>
      <c r="J2440" s="31">
        <v>45770</v>
      </c>
      <c r="K2440" s="31">
        <v>45772</v>
      </c>
      <c r="L2440" s="31"/>
      <c r="M2440" s="31"/>
      <c r="N2440" s="31"/>
      <c r="O2440" s="3" t="s">
        <v>297</v>
      </c>
    </row>
    <row r="2441" spans="1:15">
      <c r="A2441" s="3">
        <f t="shared" si="39"/>
        <v>2440</v>
      </c>
      <c r="B2441" s="126" t="s">
        <v>3827</v>
      </c>
      <c r="C2441" s="25">
        <v>9101969949</v>
      </c>
      <c r="D2441" s="6"/>
      <c r="E2441" s="17" t="s">
        <v>723</v>
      </c>
      <c r="F2441" s="90" t="s">
        <v>333</v>
      </c>
      <c r="G2441" s="3" t="s">
        <v>424</v>
      </c>
      <c r="H2441" s="3" t="s">
        <v>162</v>
      </c>
      <c r="I2441" s="4" t="s">
        <v>94</v>
      </c>
      <c r="J2441" s="31">
        <v>45770</v>
      </c>
      <c r="K2441" s="31">
        <v>45779</v>
      </c>
      <c r="L2441" s="31"/>
      <c r="M2441" s="31"/>
      <c r="N2441" s="31"/>
      <c r="O2441" s="3" t="s">
        <v>425</v>
      </c>
    </row>
    <row r="2442" spans="1:15">
      <c r="A2442" s="3">
        <f t="shared" si="39"/>
        <v>2441</v>
      </c>
      <c r="B2442" s="126" t="s">
        <v>3828</v>
      </c>
      <c r="C2442" s="25">
        <v>6370252625</v>
      </c>
      <c r="D2442" s="6"/>
      <c r="E2442" s="17" t="s">
        <v>170</v>
      </c>
      <c r="F2442" s="90"/>
      <c r="G2442" s="3" t="s">
        <v>16</v>
      </c>
      <c r="H2442" s="3" t="s">
        <v>162</v>
      </c>
      <c r="I2442" s="4" t="s">
        <v>94</v>
      </c>
      <c r="J2442" s="31">
        <v>45770</v>
      </c>
      <c r="K2442" s="31">
        <v>45779</v>
      </c>
      <c r="L2442" s="31">
        <v>45784</v>
      </c>
      <c r="M2442" s="31">
        <v>45815</v>
      </c>
      <c r="N2442" s="31">
        <v>45817</v>
      </c>
      <c r="O2442" s="3" t="s">
        <v>297</v>
      </c>
    </row>
    <row r="2443" spans="1:15">
      <c r="A2443" s="3">
        <f t="shared" si="39"/>
        <v>2442</v>
      </c>
      <c r="B2443" s="126" t="s">
        <v>3829</v>
      </c>
      <c r="C2443" s="25">
        <v>8348713873</v>
      </c>
      <c r="D2443" s="6"/>
      <c r="E2443" s="17" t="s">
        <v>2908</v>
      </c>
      <c r="F2443" s="90" t="s">
        <v>294</v>
      </c>
      <c r="G2443" s="3" t="s">
        <v>16</v>
      </c>
      <c r="H2443" s="3" t="s">
        <v>913</v>
      </c>
      <c r="I2443" s="4" t="s">
        <v>94</v>
      </c>
      <c r="J2443" s="31">
        <v>45759</v>
      </c>
      <c r="K2443" s="31">
        <v>45759</v>
      </c>
      <c r="L2443" s="31">
        <v>45770</v>
      </c>
      <c r="M2443" s="31">
        <v>45787</v>
      </c>
      <c r="N2443" s="31">
        <v>45786</v>
      </c>
      <c r="O2443" s="3" t="s">
        <v>297</v>
      </c>
    </row>
    <row r="2444" spans="1:15">
      <c r="A2444" s="3">
        <f t="shared" si="39"/>
        <v>2443</v>
      </c>
      <c r="B2444" s="126" t="s">
        <v>3830</v>
      </c>
      <c r="C2444" s="25">
        <v>9494359638</v>
      </c>
      <c r="D2444" s="6">
        <v>9346813805</v>
      </c>
      <c r="E2444" s="17" t="s">
        <v>1624</v>
      </c>
      <c r="F2444" s="90" t="s">
        <v>308</v>
      </c>
      <c r="G2444" s="3" t="s">
        <v>16</v>
      </c>
      <c r="H2444" s="3" t="s">
        <v>1186</v>
      </c>
      <c r="I2444" s="4" t="s">
        <v>94</v>
      </c>
      <c r="J2444" s="31">
        <v>45770</v>
      </c>
      <c r="K2444" s="31">
        <v>45773</v>
      </c>
      <c r="L2444" s="31">
        <v>45775</v>
      </c>
      <c r="M2444" s="31">
        <v>45782</v>
      </c>
      <c r="N2444" s="31">
        <v>45784</v>
      </c>
      <c r="O2444" s="3" t="s">
        <v>297</v>
      </c>
    </row>
    <row r="2445" spans="1:15">
      <c r="A2445" s="3">
        <f t="shared" si="39"/>
        <v>2444</v>
      </c>
      <c r="B2445" s="126" t="s">
        <v>3831</v>
      </c>
      <c r="C2445" s="25">
        <v>9885577453</v>
      </c>
      <c r="D2445" s="6"/>
      <c r="E2445" s="17" t="s">
        <v>127</v>
      </c>
      <c r="F2445" s="90" t="s">
        <v>3832</v>
      </c>
      <c r="G2445" s="3" t="s">
        <v>764</v>
      </c>
      <c r="H2445" s="3" t="s">
        <v>3240</v>
      </c>
      <c r="I2445" s="4" t="s">
        <v>42</v>
      </c>
      <c r="J2445" s="31">
        <v>45770</v>
      </c>
      <c r="K2445" s="31">
        <v>45797</v>
      </c>
      <c r="L2445" s="31"/>
      <c r="M2445" s="31"/>
      <c r="N2445" s="31"/>
      <c r="O2445" s="3" t="s">
        <v>425</v>
      </c>
    </row>
    <row r="2446" spans="1:15">
      <c r="A2446" s="3">
        <f t="shared" si="39"/>
        <v>2445</v>
      </c>
      <c r="B2446" s="126" t="s">
        <v>3833</v>
      </c>
      <c r="C2446" s="25">
        <v>9100166304</v>
      </c>
      <c r="D2446" s="6"/>
      <c r="E2446" s="17" t="s">
        <v>127</v>
      </c>
      <c r="F2446" s="90" t="s">
        <v>3834</v>
      </c>
      <c r="G2446" s="3" t="s">
        <v>424</v>
      </c>
      <c r="H2446" s="3" t="s">
        <v>3240</v>
      </c>
      <c r="I2446" s="4" t="s">
        <v>42</v>
      </c>
      <c r="J2446" s="31">
        <v>45770</v>
      </c>
      <c r="K2446" s="31">
        <v>45799</v>
      </c>
      <c r="L2446" s="31"/>
      <c r="M2446" s="31"/>
      <c r="N2446" s="31"/>
      <c r="O2446" s="3" t="s">
        <v>749</v>
      </c>
    </row>
    <row r="2447" spans="1:15">
      <c r="A2447" s="3">
        <f t="shared" si="39"/>
        <v>2446</v>
      </c>
      <c r="B2447" s="126" t="s">
        <v>3835</v>
      </c>
      <c r="C2447" s="25">
        <v>8938016229</v>
      </c>
      <c r="D2447" s="6"/>
      <c r="E2447" s="17" t="s">
        <v>127</v>
      </c>
      <c r="F2447" s="90" t="s">
        <v>471</v>
      </c>
      <c r="G2447" s="3" t="s">
        <v>424</v>
      </c>
      <c r="H2447" s="3" t="s">
        <v>3240</v>
      </c>
      <c r="I2447" s="4" t="s">
        <v>42</v>
      </c>
      <c r="J2447" s="31">
        <v>45770</v>
      </c>
      <c r="K2447" s="31">
        <v>45799</v>
      </c>
      <c r="L2447" s="31"/>
      <c r="M2447" s="31"/>
      <c r="N2447" s="31"/>
      <c r="O2447" s="3" t="s">
        <v>425</v>
      </c>
    </row>
    <row r="2448" spans="1:15">
      <c r="A2448" s="3">
        <f t="shared" si="39"/>
        <v>2447</v>
      </c>
      <c r="B2448" s="126" t="s">
        <v>3836</v>
      </c>
      <c r="C2448" s="25">
        <v>7736883204</v>
      </c>
      <c r="D2448" s="6"/>
      <c r="E2448" s="17" t="s">
        <v>124</v>
      </c>
      <c r="F2448" s="90" t="s">
        <v>3837</v>
      </c>
      <c r="G2448" s="3" t="s">
        <v>424</v>
      </c>
      <c r="H2448" s="3" t="s">
        <v>3240</v>
      </c>
      <c r="I2448" s="4" t="s">
        <v>42</v>
      </c>
      <c r="J2448" s="31">
        <v>45770</v>
      </c>
      <c r="K2448" s="31">
        <v>45800</v>
      </c>
      <c r="L2448" s="31"/>
      <c r="M2448" s="31"/>
      <c r="N2448" s="31"/>
      <c r="O2448" s="3" t="s">
        <v>425</v>
      </c>
    </row>
    <row r="2449" spans="1:15">
      <c r="A2449" s="3">
        <f t="shared" si="39"/>
        <v>2448</v>
      </c>
      <c r="B2449" s="126" t="s">
        <v>3838</v>
      </c>
      <c r="C2449" s="25">
        <v>8333941434</v>
      </c>
      <c r="D2449" s="6"/>
      <c r="E2449" s="17" t="s">
        <v>127</v>
      </c>
      <c r="F2449" s="90" t="s">
        <v>471</v>
      </c>
      <c r="G2449" s="3" t="s">
        <v>295</v>
      </c>
      <c r="H2449" s="3" t="s">
        <v>3240</v>
      </c>
      <c r="I2449" s="4" t="s">
        <v>42</v>
      </c>
      <c r="J2449" s="31">
        <v>45770</v>
      </c>
      <c r="K2449" s="31">
        <v>45799</v>
      </c>
      <c r="L2449" s="31">
        <v>45805</v>
      </c>
      <c r="M2449" s="31">
        <v>45962</v>
      </c>
      <c r="N2449" s="31"/>
      <c r="O2449" s="3" t="s">
        <v>297</v>
      </c>
    </row>
    <row r="2450" spans="1:15">
      <c r="A2450" s="3">
        <f t="shared" si="39"/>
        <v>2449</v>
      </c>
      <c r="B2450" s="126" t="s">
        <v>3839</v>
      </c>
      <c r="C2450" s="25">
        <v>9182669002</v>
      </c>
      <c r="D2450" s="6"/>
      <c r="E2450" s="17" t="s">
        <v>127</v>
      </c>
      <c r="F2450" s="90" t="s">
        <v>3832</v>
      </c>
      <c r="G2450" s="3" t="s">
        <v>424</v>
      </c>
      <c r="H2450" s="3" t="s">
        <v>3240</v>
      </c>
      <c r="I2450" s="4" t="s">
        <v>42</v>
      </c>
      <c r="J2450" s="31">
        <v>45770</v>
      </c>
      <c r="K2450" s="31">
        <v>45799</v>
      </c>
      <c r="L2450" s="31"/>
      <c r="M2450" s="31"/>
      <c r="N2450" s="31"/>
      <c r="O2450" s="3" t="s">
        <v>425</v>
      </c>
    </row>
    <row r="2451" spans="1:15">
      <c r="A2451" s="3">
        <f t="shared" si="39"/>
        <v>2450</v>
      </c>
      <c r="B2451" s="126" t="s">
        <v>3840</v>
      </c>
      <c r="C2451" s="25">
        <v>9741359261</v>
      </c>
      <c r="D2451" s="6"/>
      <c r="E2451" s="17" t="s">
        <v>127</v>
      </c>
      <c r="F2451" s="90" t="s">
        <v>471</v>
      </c>
      <c r="G2451" s="3" t="s">
        <v>295</v>
      </c>
      <c r="H2451" s="3" t="s">
        <v>3240</v>
      </c>
      <c r="I2451" s="4" t="s">
        <v>42</v>
      </c>
      <c r="J2451" s="31">
        <v>45770</v>
      </c>
      <c r="K2451" s="31">
        <v>45800</v>
      </c>
      <c r="L2451" s="31">
        <v>46024</v>
      </c>
      <c r="M2451" s="31">
        <v>46059</v>
      </c>
      <c r="N2451" s="31"/>
      <c r="O2451" s="3" t="s">
        <v>297</v>
      </c>
    </row>
    <row r="2452" spans="1:15">
      <c r="A2452" s="3">
        <f t="shared" si="39"/>
        <v>2451</v>
      </c>
      <c r="B2452" s="126" t="s">
        <v>3841</v>
      </c>
      <c r="C2452" s="25">
        <v>7680929355</v>
      </c>
      <c r="D2452" s="6"/>
      <c r="E2452" s="17" t="s">
        <v>127</v>
      </c>
      <c r="F2452" s="90" t="s">
        <v>471</v>
      </c>
      <c r="G2452" s="3" t="s">
        <v>424</v>
      </c>
      <c r="H2452" s="3" t="s">
        <v>3240</v>
      </c>
      <c r="I2452" s="4" t="s">
        <v>42</v>
      </c>
      <c r="J2452" s="31">
        <v>45770</v>
      </c>
      <c r="K2452" s="31">
        <v>45799</v>
      </c>
      <c r="L2452" s="31"/>
      <c r="M2452" s="31"/>
      <c r="N2452" s="31"/>
      <c r="O2452" s="3" t="s">
        <v>425</v>
      </c>
    </row>
    <row r="2453" spans="1:15">
      <c r="A2453" s="3">
        <f t="shared" si="39"/>
        <v>2452</v>
      </c>
      <c r="B2453" s="126" t="s">
        <v>3842</v>
      </c>
      <c r="C2453" s="25">
        <v>9100377488</v>
      </c>
      <c r="D2453" s="6"/>
      <c r="E2453" s="17" t="s">
        <v>127</v>
      </c>
      <c r="F2453" s="90" t="s">
        <v>3843</v>
      </c>
      <c r="G2453" s="3" t="s">
        <v>424</v>
      </c>
      <c r="H2453" s="3" t="s">
        <v>3240</v>
      </c>
      <c r="I2453" s="4" t="s">
        <v>42</v>
      </c>
      <c r="J2453" s="31">
        <v>45770</v>
      </c>
      <c r="K2453" s="31">
        <v>45799</v>
      </c>
      <c r="L2453" s="31"/>
      <c r="M2453" s="31"/>
      <c r="N2453" s="31"/>
      <c r="O2453" s="3" t="s">
        <v>425</v>
      </c>
    </row>
    <row r="2454" spans="1:15">
      <c r="A2454" s="3">
        <f t="shared" si="39"/>
        <v>2453</v>
      </c>
      <c r="B2454" s="126" t="s">
        <v>3844</v>
      </c>
      <c r="C2454" s="25">
        <v>7895226655</v>
      </c>
      <c r="D2454" s="6">
        <v>9456371900</v>
      </c>
      <c r="E2454" s="17" t="s">
        <v>3845</v>
      </c>
      <c r="F2454" s="90" t="s">
        <v>3846</v>
      </c>
      <c r="G2454" s="3" t="s">
        <v>16</v>
      </c>
      <c r="H2454" s="3" t="s">
        <v>487</v>
      </c>
      <c r="I2454" s="4" t="s">
        <v>88</v>
      </c>
      <c r="J2454" s="31">
        <v>45770</v>
      </c>
      <c r="K2454" s="31">
        <v>45771</v>
      </c>
      <c r="L2454" s="31">
        <v>45785</v>
      </c>
      <c r="M2454" s="31">
        <v>45816</v>
      </c>
      <c r="N2454" s="31">
        <v>45816</v>
      </c>
      <c r="O2454" s="3" t="s">
        <v>297</v>
      </c>
    </row>
    <row r="2455" spans="1:15">
      <c r="A2455" s="3">
        <f t="shared" si="39"/>
        <v>2454</v>
      </c>
      <c r="B2455" s="126" t="s">
        <v>3847</v>
      </c>
      <c r="C2455" s="25">
        <v>9705509757</v>
      </c>
      <c r="D2455" s="6"/>
      <c r="E2455" s="17" t="s">
        <v>3580</v>
      </c>
      <c r="F2455" s="90" t="s">
        <v>2280</v>
      </c>
      <c r="G2455" s="3" t="s">
        <v>424</v>
      </c>
      <c r="H2455" s="3" t="s">
        <v>487</v>
      </c>
      <c r="I2455" s="4" t="s">
        <v>88</v>
      </c>
      <c r="J2455" s="31">
        <v>45770</v>
      </c>
      <c r="K2455" s="31">
        <v>45771</v>
      </c>
      <c r="L2455" s="31"/>
      <c r="M2455" s="31"/>
      <c r="N2455" s="31"/>
      <c r="O2455" s="3" t="s">
        <v>425</v>
      </c>
    </row>
    <row r="2456" spans="1:15">
      <c r="A2456" s="3">
        <f t="shared" si="39"/>
        <v>2455</v>
      </c>
      <c r="B2456" s="126" t="s">
        <v>3848</v>
      </c>
      <c r="C2456" s="25">
        <v>8091871820</v>
      </c>
      <c r="D2456" s="6"/>
      <c r="E2456" s="17" t="s">
        <v>2279</v>
      </c>
      <c r="F2456" s="90" t="s">
        <v>2280</v>
      </c>
      <c r="G2456" s="3" t="s">
        <v>416</v>
      </c>
      <c r="H2456" s="3" t="s">
        <v>487</v>
      </c>
      <c r="I2456" s="4" t="s">
        <v>88</v>
      </c>
      <c r="J2456" s="31">
        <v>45770</v>
      </c>
      <c r="K2456" s="31">
        <v>45771</v>
      </c>
      <c r="L2456" s="31"/>
      <c r="M2456" s="31"/>
      <c r="N2456" s="31"/>
      <c r="O2456" s="3" t="s">
        <v>297</v>
      </c>
    </row>
    <row r="2457" spans="1:15">
      <c r="A2457" s="3">
        <f t="shared" si="39"/>
        <v>2456</v>
      </c>
      <c r="B2457" s="126" t="s">
        <v>3849</v>
      </c>
      <c r="C2457" s="25">
        <v>7908144812</v>
      </c>
      <c r="D2457" s="6">
        <v>9593916415</v>
      </c>
      <c r="E2457" s="17" t="s">
        <v>3580</v>
      </c>
      <c r="F2457" s="90" t="s">
        <v>3846</v>
      </c>
      <c r="G2457" s="3" t="s">
        <v>16</v>
      </c>
      <c r="H2457" s="3" t="s">
        <v>487</v>
      </c>
      <c r="I2457" s="4" t="s">
        <v>88</v>
      </c>
      <c r="J2457" s="31">
        <v>45770</v>
      </c>
      <c r="K2457" s="31">
        <v>45771</v>
      </c>
      <c r="L2457" s="31">
        <v>45777</v>
      </c>
      <c r="M2457" s="31">
        <v>45817</v>
      </c>
      <c r="N2457" s="31">
        <v>45817</v>
      </c>
      <c r="O2457" s="3" t="s">
        <v>297</v>
      </c>
    </row>
    <row r="2458" spans="1:15">
      <c r="A2458" s="3">
        <f t="shared" si="39"/>
        <v>2457</v>
      </c>
      <c r="B2458" s="126" t="s">
        <v>3850</v>
      </c>
      <c r="C2458" s="25">
        <v>9596658323</v>
      </c>
      <c r="D2458" s="6">
        <v>7780889259</v>
      </c>
      <c r="E2458" s="17" t="s">
        <v>2279</v>
      </c>
      <c r="F2458" s="90" t="s">
        <v>3846</v>
      </c>
      <c r="G2458" s="3" t="s">
        <v>16</v>
      </c>
      <c r="H2458" s="3" t="s">
        <v>487</v>
      </c>
      <c r="I2458" s="4" t="s">
        <v>88</v>
      </c>
      <c r="J2458" s="31">
        <v>45770</v>
      </c>
      <c r="K2458" s="31">
        <v>45771</v>
      </c>
      <c r="L2458" s="31">
        <v>45777</v>
      </c>
      <c r="M2458" s="31">
        <v>45827</v>
      </c>
      <c r="N2458" s="31">
        <v>45827</v>
      </c>
      <c r="O2458" s="3" t="s">
        <v>297</v>
      </c>
    </row>
    <row r="2459" spans="1:15">
      <c r="A2459" s="3">
        <f t="shared" si="39"/>
        <v>2458</v>
      </c>
      <c r="B2459" s="126" t="s">
        <v>3851</v>
      </c>
      <c r="C2459" s="25">
        <v>9333141205</v>
      </c>
      <c r="D2459" s="6">
        <v>7908620671</v>
      </c>
      <c r="E2459" s="17" t="s">
        <v>3852</v>
      </c>
      <c r="F2459" s="90" t="s">
        <v>3853</v>
      </c>
      <c r="G2459" s="3" t="s">
        <v>416</v>
      </c>
      <c r="H2459" s="3" t="s">
        <v>3854</v>
      </c>
      <c r="I2459" s="4" t="s">
        <v>88</v>
      </c>
      <c r="J2459" s="31">
        <v>45771</v>
      </c>
      <c r="K2459" s="31">
        <v>45777</v>
      </c>
      <c r="L2459" s="31"/>
      <c r="M2459" s="31"/>
      <c r="N2459" s="31"/>
      <c r="O2459" s="3" t="s">
        <v>297</v>
      </c>
    </row>
    <row r="2460" spans="1:15">
      <c r="A2460" s="3">
        <f t="shared" si="39"/>
        <v>2459</v>
      </c>
      <c r="B2460" s="126" t="s">
        <v>3855</v>
      </c>
      <c r="C2460" s="25">
        <v>9098816189</v>
      </c>
      <c r="D2460" s="6"/>
      <c r="E2460" s="17" t="s">
        <v>3852</v>
      </c>
      <c r="F2460" s="90" t="s">
        <v>3853</v>
      </c>
      <c r="G2460" s="3" t="s">
        <v>18</v>
      </c>
      <c r="H2460" s="3" t="s">
        <v>3854</v>
      </c>
      <c r="I2460" s="4" t="s">
        <v>88</v>
      </c>
      <c r="J2460" s="31">
        <v>45771</v>
      </c>
      <c r="K2460" s="31">
        <v>45777</v>
      </c>
      <c r="L2460" s="31"/>
      <c r="M2460" s="31"/>
      <c r="N2460" s="31"/>
      <c r="O2460" s="3" t="s">
        <v>297</v>
      </c>
    </row>
    <row r="2461" spans="1:15">
      <c r="A2461" s="3">
        <f t="shared" si="39"/>
        <v>2460</v>
      </c>
      <c r="B2461" s="126" t="s">
        <v>3856</v>
      </c>
      <c r="C2461" s="25">
        <v>8737996202</v>
      </c>
      <c r="D2461" s="6"/>
      <c r="E2461" s="17" t="s">
        <v>3852</v>
      </c>
      <c r="F2461" s="90" t="s">
        <v>3853</v>
      </c>
      <c r="G2461" s="3" t="s">
        <v>764</v>
      </c>
      <c r="H2461" s="3" t="s">
        <v>3854</v>
      </c>
      <c r="I2461" s="4" t="s">
        <v>88</v>
      </c>
      <c r="J2461" s="31">
        <v>45771</v>
      </c>
      <c r="K2461" s="31">
        <v>45777</v>
      </c>
      <c r="L2461" s="31"/>
      <c r="M2461" s="31"/>
      <c r="N2461" s="31"/>
      <c r="O2461" s="3" t="s">
        <v>425</v>
      </c>
    </row>
    <row r="2462" spans="1:15">
      <c r="A2462" s="3">
        <f t="shared" si="39"/>
        <v>2461</v>
      </c>
      <c r="B2462" s="126" t="s">
        <v>3857</v>
      </c>
      <c r="C2462" s="25">
        <v>9334126929</v>
      </c>
      <c r="D2462" s="6"/>
      <c r="E2462" s="17" t="s">
        <v>3852</v>
      </c>
      <c r="F2462" s="90" t="s">
        <v>3853</v>
      </c>
      <c r="G2462" s="3" t="s">
        <v>764</v>
      </c>
      <c r="H2462" s="3" t="s">
        <v>3854</v>
      </c>
      <c r="I2462" s="4" t="s">
        <v>88</v>
      </c>
      <c r="J2462" s="31">
        <v>45771</v>
      </c>
      <c r="K2462" s="31">
        <v>45777</v>
      </c>
      <c r="L2462" s="31"/>
      <c r="M2462" s="31"/>
      <c r="N2462" s="31"/>
      <c r="O2462" s="3" t="s">
        <v>425</v>
      </c>
    </row>
    <row r="2463" spans="1:15">
      <c r="A2463" s="3">
        <f t="shared" si="39"/>
        <v>2462</v>
      </c>
      <c r="B2463" s="126" t="s">
        <v>3858</v>
      </c>
      <c r="C2463" s="25">
        <v>7030603845</v>
      </c>
      <c r="D2463" s="6"/>
      <c r="E2463" s="17" t="s">
        <v>3852</v>
      </c>
      <c r="F2463" s="90" t="s">
        <v>3853</v>
      </c>
      <c r="G2463" s="3" t="s">
        <v>764</v>
      </c>
      <c r="H2463" s="3" t="s">
        <v>3854</v>
      </c>
      <c r="I2463" s="4" t="s">
        <v>88</v>
      </c>
      <c r="J2463" s="31">
        <v>45771</v>
      </c>
      <c r="K2463" s="31">
        <v>45832</v>
      </c>
      <c r="L2463" s="31"/>
      <c r="M2463" s="31"/>
      <c r="N2463" s="31"/>
      <c r="O2463" s="3" t="s">
        <v>425</v>
      </c>
    </row>
    <row r="2464" spans="1:15">
      <c r="A2464" s="3">
        <f t="shared" si="39"/>
        <v>2463</v>
      </c>
      <c r="B2464" s="126" t="s">
        <v>3859</v>
      </c>
      <c r="C2464" s="25">
        <v>7869079825</v>
      </c>
      <c r="D2464" s="6">
        <v>7828743825</v>
      </c>
      <c r="E2464" s="17" t="s">
        <v>3852</v>
      </c>
      <c r="F2464" s="90" t="s">
        <v>3853</v>
      </c>
      <c r="G2464" s="3" t="s">
        <v>764</v>
      </c>
      <c r="H2464" s="3" t="s">
        <v>3854</v>
      </c>
      <c r="I2464" s="4" t="s">
        <v>88</v>
      </c>
      <c r="J2464" s="31">
        <v>45771</v>
      </c>
      <c r="K2464" s="31">
        <v>45832</v>
      </c>
      <c r="L2464" s="31"/>
      <c r="M2464" s="31"/>
      <c r="N2464" s="31"/>
      <c r="O2464" s="3" t="s">
        <v>425</v>
      </c>
    </row>
    <row r="2465" spans="1:15">
      <c r="A2465" s="3">
        <f t="shared" si="39"/>
        <v>2464</v>
      </c>
      <c r="B2465" s="126" t="s">
        <v>3860</v>
      </c>
      <c r="C2465" s="25">
        <v>6260145662</v>
      </c>
      <c r="D2465" s="6">
        <v>7240835304</v>
      </c>
      <c r="E2465" s="17" t="s">
        <v>3852</v>
      </c>
      <c r="F2465" s="90" t="s">
        <v>3853</v>
      </c>
      <c r="G2465" s="3" t="s">
        <v>764</v>
      </c>
      <c r="H2465" s="3" t="s">
        <v>3854</v>
      </c>
      <c r="I2465" s="4" t="s">
        <v>88</v>
      </c>
      <c r="J2465" s="31">
        <v>45771</v>
      </c>
      <c r="K2465" s="31">
        <v>45777</v>
      </c>
      <c r="L2465" s="31"/>
      <c r="M2465" s="31"/>
      <c r="N2465" s="31"/>
      <c r="O2465" s="3" t="s">
        <v>425</v>
      </c>
    </row>
    <row r="2466" spans="1:15">
      <c r="A2466" s="3">
        <f t="shared" si="39"/>
        <v>2465</v>
      </c>
      <c r="B2466" s="126" t="s">
        <v>1057</v>
      </c>
      <c r="C2466" s="25">
        <v>9651707253</v>
      </c>
      <c r="D2466" s="6"/>
      <c r="E2466" s="17" t="s">
        <v>3852</v>
      </c>
      <c r="F2466" s="90" t="s">
        <v>3853</v>
      </c>
      <c r="G2466" s="3" t="s">
        <v>16</v>
      </c>
      <c r="H2466" s="3" t="s">
        <v>3854</v>
      </c>
      <c r="I2466" s="4" t="s">
        <v>88</v>
      </c>
      <c r="J2466" s="31">
        <v>45771</v>
      </c>
      <c r="K2466" s="31">
        <v>45800</v>
      </c>
      <c r="L2466" s="31">
        <v>45803</v>
      </c>
      <c r="M2466" s="31">
        <v>45848</v>
      </c>
      <c r="N2466" s="31">
        <v>45848</v>
      </c>
      <c r="O2466" s="3" t="s">
        <v>297</v>
      </c>
    </row>
    <row r="2467" spans="1:15">
      <c r="A2467" s="3">
        <f t="shared" ref="A2467:A2530" si="40">ROW()-1</f>
        <v>2466</v>
      </c>
      <c r="B2467" s="126" t="s">
        <v>3861</v>
      </c>
      <c r="C2467" s="25">
        <v>8357866697</v>
      </c>
      <c r="D2467" s="6"/>
      <c r="E2467" s="17" t="s">
        <v>3852</v>
      </c>
      <c r="F2467" s="90" t="s">
        <v>3853</v>
      </c>
      <c r="G2467" s="3" t="s">
        <v>424</v>
      </c>
      <c r="H2467" s="3" t="s">
        <v>3854</v>
      </c>
      <c r="I2467" s="4" t="s">
        <v>88</v>
      </c>
      <c r="J2467" s="31">
        <v>45771</v>
      </c>
      <c r="K2467" s="31">
        <v>45833</v>
      </c>
      <c r="L2467" s="31"/>
      <c r="M2467" s="31"/>
      <c r="N2467" s="31"/>
      <c r="O2467" s="3" t="s">
        <v>425</v>
      </c>
    </row>
    <row r="2468" spans="1:15">
      <c r="A2468" s="3">
        <f t="shared" si="40"/>
        <v>2467</v>
      </c>
      <c r="B2468" s="126" t="s">
        <v>3862</v>
      </c>
      <c r="C2468" s="25">
        <v>8103459503</v>
      </c>
      <c r="D2468" s="6"/>
      <c r="E2468" s="17" t="s">
        <v>3852</v>
      </c>
      <c r="F2468" s="90" t="s">
        <v>3853</v>
      </c>
      <c r="G2468" s="3" t="s">
        <v>16</v>
      </c>
      <c r="H2468" s="3" t="s">
        <v>3854</v>
      </c>
      <c r="I2468" s="4" t="s">
        <v>88</v>
      </c>
      <c r="J2468" s="31">
        <v>45771</v>
      </c>
      <c r="K2468" s="31">
        <v>45800</v>
      </c>
      <c r="L2468" s="31">
        <v>45807</v>
      </c>
      <c r="M2468" s="31">
        <v>45853</v>
      </c>
      <c r="N2468" s="31">
        <v>45853</v>
      </c>
      <c r="O2468" s="3" t="s">
        <v>297</v>
      </c>
    </row>
    <row r="2469" spans="1:15">
      <c r="A2469" s="3">
        <f t="shared" si="40"/>
        <v>2468</v>
      </c>
      <c r="B2469" s="126" t="s">
        <v>1057</v>
      </c>
      <c r="C2469" s="25">
        <v>7974137323</v>
      </c>
      <c r="D2469" s="6"/>
      <c r="E2469" s="17" t="s">
        <v>3852</v>
      </c>
      <c r="F2469" s="90" t="s">
        <v>3853</v>
      </c>
      <c r="G2469" s="3" t="s">
        <v>16</v>
      </c>
      <c r="H2469" s="3" t="s">
        <v>3854</v>
      </c>
      <c r="I2469" s="4" t="s">
        <v>88</v>
      </c>
      <c r="J2469" s="31">
        <v>45771</v>
      </c>
      <c r="K2469" s="31">
        <v>45785</v>
      </c>
      <c r="L2469" s="31">
        <v>45793</v>
      </c>
      <c r="M2469" s="31">
        <v>45825</v>
      </c>
      <c r="N2469" s="31">
        <v>45825</v>
      </c>
      <c r="O2469" s="3" t="s">
        <v>297</v>
      </c>
    </row>
    <row r="2470" spans="1:15">
      <c r="A2470" s="3">
        <f t="shared" si="40"/>
        <v>2469</v>
      </c>
      <c r="B2470" s="126" t="s">
        <v>3863</v>
      </c>
      <c r="C2470" s="25">
        <v>8271307844</v>
      </c>
      <c r="D2470" s="6"/>
      <c r="E2470" s="17" t="s">
        <v>167</v>
      </c>
      <c r="F2470" s="90" t="s">
        <v>333</v>
      </c>
      <c r="G2470" s="3" t="s">
        <v>16</v>
      </c>
      <c r="H2470" s="3" t="s">
        <v>162</v>
      </c>
      <c r="I2470" s="4" t="s">
        <v>94</v>
      </c>
      <c r="J2470" s="31">
        <v>45771</v>
      </c>
      <c r="K2470" s="31">
        <v>45779</v>
      </c>
      <c r="L2470" s="31">
        <v>45784</v>
      </c>
      <c r="M2470" s="31">
        <v>45815</v>
      </c>
      <c r="N2470" s="31">
        <v>45817</v>
      </c>
      <c r="O2470" s="3" t="s">
        <v>297</v>
      </c>
    </row>
    <row r="2471" spans="1:15">
      <c r="A2471" s="3">
        <f t="shared" si="40"/>
        <v>2470</v>
      </c>
      <c r="B2471" s="126" t="s">
        <v>3864</v>
      </c>
      <c r="C2471" s="25">
        <v>7386842538</v>
      </c>
      <c r="D2471" s="6"/>
      <c r="E2471" s="17" t="s">
        <v>167</v>
      </c>
      <c r="F2471" s="90" t="s">
        <v>333</v>
      </c>
      <c r="G2471" s="3" t="s">
        <v>424</v>
      </c>
      <c r="H2471" s="3" t="s">
        <v>162</v>
      </c>
      <c r="I2471" s="4" t="s">
        <v>94</v>
      </c>
      <c r="J2471" s="31">
        <v>45771</v>
      </c>
      <c r="K2471" s="31">
        <v>45779</v>
      </c>
      <c r="L2471" s="31"/>
      <c r="M2471" s="31"/>
      <c r="N2471" s="31"/>
      <c r="O2471" s="3" t="s">
        <v>425</v>
      </c>
    </row>
    <row r="2472" spans="1:15">
      <c r="A2472" s="3">
        <f t="shared" si="40"/>
        <v>2471</v>
      </c>
      <c r="B2472" s="126" t="s">
        <v>3865</v>
      </c>
      <c r="C2472" s="25">
        <v>8874154608</v>
      </c>
      <c r="D2472" s="6"/>
      <c r="E2472" s="17" t="s">
        <v>170</v>
      </c>
      <c r="F2472" s="90" t="s">
        <v>308</v>
      </c>
      <c r="G2472" s="3" t="s">
        <v>424</v>
      </c>
      <c r="H2472" s="3" t="s">
        <v>162</v>
      </c>
      <c r="I2472" s="4" t="s">
        <v>94</v>
      </c>
      <c r="J2472" s="31">
        <v>45771</v>
      </c>
      <c r="K2472" s="31">
        <v>45779</v>
      </c>
      <c r="L2472" s="31"/>
      <c r="M2472" s="31"/>
      <c r="N2472" s="31"/>
      <c r="O2472" s="3" t="s">
        <v>425</v>
      </c>
    </row>
    <row r="2473" spans="1:15">
      <c r="A2473" s="3">
        <f t="shared" si="40"/>
        <v>2472</v>
      </c>
      <c r="B2473" s="126" t="s">
        <v>3866</v>
      </c>
      <c r="C2473" s="25">
        <v>9121992612</v>
      </c>
      <c r="D2473" s="6"/>
      <c r="E2473" s="17" t="s">
        <v>170</v>
      </c>
      <c r="F2473" s="90" t="s">
        <v>308</v>
      </c>
      <c r="G2473" s="3" t="s">
        <v>424</v>
      </c>
      <c r="H2473" s="3" t="s">
        <v>162</v>
      </c>
      <c r="I2473" s="4" t="s">
        <v>94</v>
      </c>
      <c r="J2473" s="31">
        <v>45771</v>
      </c>
      <c r="K2473" s="31">
        <v>45779</v>
      </c>
      <c r="L2473" s="31"/>
      <c r="M2473" s="31"/>
      <c r="N2473" s="31"/>
      <c r="O2473" s="3" t="s">
        <v>425</v>
      </c>
    </row>
    <row r="2474" spans="1:15">
      <c r="A2474" s="3">
        <f t="shared" si="40"/>
        <v>2473</v>
      </c>
      <c r="B2474" s="126" t="s">
        <v>3867</v>
      </c>
      <c r="C2474" s="25">
        <v>7234943451</v>
      </c>
      <c r="D2474" s="6"/>
      <c r="E2474" s="17" t="s">
        <v>170</v>
      </c>
      <c r="F2474" s="90" t="s">
        <v>308</v>
      </c>
      <c r="G2474" s="3" t="s">
        <v>424</v>
      </c>
      <c r="H2474" s="3" t="s">
        <v>162</v>
      </c>
      <c r="I2474" s="4" t="s">
        <v>94</v>
      </c>
      <c r="J2474" s="31">
        <v>45771</v>
      </c>
      <c r="K2474" s="31">
        <v>45779</v>
      </c>
      <c r="L2474" s="31"/>
      <c r="M2474" s="31"/>
      <c r="N2474" s="31"/>
      <c r="O2474" s="3" t="s">
        <v>425</v>
      </c>
    </row>
    <row r="2475" spans="1:15">
      <c r="A2475" s="3">
        <f t="shared" si="40"/>
        <v>2474</v>
      </c>
      <c r="B2475" s="126" t="s">
        <v>3868</v>
      </c>
      <c r="C2475" s="25">
        <v>9923223341</v>
      </c>
      <c r="D2475" s="6"/>
      <c r="E2475" s="17" t="s">
        <v>3869</v>
      </c>
      <c r="F2475" s="90" t="s">
        <v>3870</v>
      </c>
      <c r="G2475" s="3" t="s">
        <v>16</v>
      </c>
      <c r="H2475" s="3" t="s">
        <v>3854</v>
      </c>
      <c r="I2475" s="4" t="s">
        <v>88</v>
      </c>
      <c r="J2475" s="31">
        <v>45771</v>
      </c>
      <c r="K2475" s="31">
        <v>45785</v>
      </c>
      <c r="L2475" s="31">
        <v>45786</v>
      </c>
      <c r="M2475" s="31">
        <v>45827</v>
      </c>
      <c r="N2475" s="31">
        <v>45827</v>
      </c>
      <c r="O2475" s="3" t="s">
        <v>297</v>
      </c>
    </row>
    <row r="2476" spans="1:15">
      <c r="A2476" s="3">
        <f t="shared" si="40"/>
        <v>2475</v>
      </c>
      <c r="B2476" s="126" t="s">
        <v>3871</v>
      </c>
      <c r="C2476" s="25">
        <v>9398235405</v>
      </c>
      <c r="D2476" s="6">
        <v>9963240804</v>
      </c>
      <c r="E2476" s="17" t="s">
        <v>3397</v>
      </c>
      <c r="F2476" s="90" t="s">
        <v>3395</v>
      </c>
      <c r="G2476" s="3" t="s">
        <v>16</v>
      </c>
      <c r="H2476" s="3" t="s">
        <v>487</v>
      </c>
      <c r="I2476" s="4" t="s">
        <v>88</v>
      </c>
      <c r="J2476" s="31">
        <v>45771</v>
      </c>
      <c r="K2476" s="31">
        <v>45772</v>
      </c>
      <c r="L2476" s="31">
        <v>45777</v>
      </c>
      <c r="M2476" s="31">
        <v>45809</v>
      </c>
      <c r="N2476" s="31">
        <v>45809</v>
      </c>
      <c r="O2476" s="3" t="s">
        <v>297</v>
      </c>
    </row>
    <row r="2477" spans="1:15">
      <c r="A2477" s="3">
        <f t="shared" si="40"/>
        <v>2476</v>
      </c>
      <c r="B2477" s="126" t="s">
        <v>3872</v>
      </c>
      <c r="C2477" s="25">
        <v>9797023252</v>
      </c>
      <c r="D2477" s="6"/>
      <c r="E2477" s="17" t="s">
        <v>485</v>
      </c>
      <c r="F2477" s="90" t="s">
        <v>3401</v>
      </c>
      <c r="G2477" s="3" t="s">
        <v>16</v>
      </c>
      <c r="H2477" s="3" t="s">
        <v>487</v>
      </c>
      <c r="I2477" s="4" t="s">
        <v>88</v>
      </c>
      <c r="J2477" s="31">
        <v>45771</v>
      </c>
      <c r="K2477" s="31">
        <v>45772</v>
      </c>
      <c r="L2477" s="31">
        <v>45784</v>
      </c>
      <c r="M2477" s="31">
        <v>45829</v>
      </c>
      <c r="N2477" s="31">
        <v>45829</v>
      </c>
      <c r="O2477" s="3" t="s">
        <v>297</v>
      </c>
    </row>
    <row r="2478" spans="1:15">
      <c r="A2478" s="3">
        <f t="shared" si="40"/>
        <v>2477</v>
      </c>
      <c r="B2478" s="126" t="s">
        <v>3873</v>
      </c>
      <c r="C2478" s="25">
        <v>9640338352</v>
      </c>
      <c r="D2478" s="6"/>
      <c r="E2478" s="17" t="s">
        <v>3400</v>
      </c>
      <c r="F2478" s="90" t="s">
        <v>3401</v>
      </c>
      <c r="G2478" s="3" t="s">
        <v>16</v>
      </c>
      <c r="H2478" s="3" t="s">
        <v>487</v>
      </c>
      <c r="I2478" s="4" t="s">
        <v>88</v>
      </c>
      <c r="J2478" s="31">
        <v>45771</v>
      </c>
      <c r="K2478" s="31">
        <v>45772</v>
      </c>
      <c r="L2478" s="31">
        <v>45777</v>
      </c>
      <c r="M2478" s="31">
        <v>45809</v>
      </c>
      <c r="N2478" s="31">
        <v>45809</v>
      </c>
      <c r="O2478" s="3" t="s">
        <v>297</v>
      </c>
    </row>
    <row r="2479" spans="1:15">
      <c r="A2479" s="3">
        <f t="shared" si="40"/>
        <v>2478</v>
      </c>
      <c r="B2479" s="126" t="s">
        <v>3874</v>
      </c>
      <c r="C2479" s="25">
        <v>8309503434</v>
      </c>
      <c r="D2479" s="6"/>
      <c r="E2479" s="17" t="s">
        <v>1454</v>
      </c>
      <c r="F2479" s="90" t="s">
        <v>3875</v>
      </c>
      <c r="G2479" s="3" t="s">
        <v>16</v>
      </c>
      <c r="H2479" s="3" t="s">
        <v>487</v>
      </c>
      <c r="I2479" s="4" t="s">
        <v>88</v>
      </c>
      <c r="J2479" s="31">
        <v>45771</v>
      </c>
      <c r="K2479" s="31">
        <v>45772</v>
      </c>
      <c r="L2479" s="31">
        <v>45777</v>
      </c>
      <c r="M2479" s="31">
        <v>45807</v>
      </c>
      <c r="N2479" s="31">
        <v>45807</v>
      </c>
      <c r="O2479" s="3" t="s">
        <v>297</v>
      </c>
    </row>
    <row r="2480" spans="1:15">
      <c r="A2480" s="3">
        <f t="shared" si="40"/>
        <v>2479</v>
      </c>
      <c r="B2480" s="126" t="s">
        <v>3876</v>
      </c>
      <c r="C2480" s="25">
        <v>9120015555</v>
      </c>
      <c r="D2480" s="6"/>
      <c r="E2480" s="17" t="s">
        <v>3405</v>
      </c>
      <c r="F2480" s="90" t="s">
        <v>3875</v>
      </c>
      <c r="G2480" s="3" t="s">
        <v>16</v>
      </c>
      <c r="H2480" s="3" t="s">
        <v>487</v>
      </c>
      <c r="I2480" s="4" t="s">
        <v>88</v>
      </c>
      <c r="J2480" s="31">
        <v>45771</v>
      </c>
      <c r="K2480" s="31">
        <v>45772</v>
      </c>
      <c r="L2480" s="31">
        <v>45777</v>
      </c>
      <c r="M2480" s="31">
        <v>45807</v>
      </c>
      <c r="N2480" s="31">
        <v>45807</v>
      </c>
      <c r="O2480" s="3" t="s">
        <v>297</v>
      </c>
    </row>
    <row r="2481" spans="1:15">
      <c r="A2481" s="3">
        <f t="shared" si="40"/>
        <v>2480</v>
      </c>
      <c r="B2481" s="126" t="s">
        <v>3877</v>
      </c>
      <c r="C2481" s="25">
        <v>9533511654</v>
      </c>
      <c r="D2481" s="6"/>
      <c r="E2481" s="17" t="s">
        <v>90</v>
      </c>
      <c r="F2481" s="90" t="s">
        <v>277</v>
      </c>
      <c r="G2481" s="3" t="s">
        <v>1175</v>
      </c>
      <c r="H2481" s="3" t="s">
        <v>3117</v>
      </c>
      <c r="I2481" s="4" t="s">
        <v>42</v>
      </c>
      <c r="J2481" s="31">
        <v>45771</v>
      </c>
      <c r="K2481" s="31"/>
      <c r="L2481" s="31"/>
      <c r="M2481" s="31"/>
      <c r="N2481" s="31"/>
      <c r="O2481" s="3" t="s">
        <v>1004</v>
      </c>
    </row>
    <row r="2482" spans="1:15">
      <c r="A2482" s="3">
        <f t="shared" si="40"/>
        <v>2481</v>
      </c>
      <c r="B2482" s="126" t="s">
        <v>3878</v>
      </c>
      <c r="C2482" s="25">
        <v>8328582247</v>
      </c>
      <c r="D2482" s="6"/>
      <c r="E2482" s="17" t="s">
        <v>90</v>
      </c>
      <c r="F2482" s="90" t="s">
        <v>294</v>
      </c>
      <c r="G2482" s="3" t="s">
        <v>1175</v>
      </c>
      <c r="H2482" s="3" t="s">
        <v>3117</v>
      </c>
      <c r="I2482" s="4" t="s">
        <v>42</v>
      </c>
      <c r="J2482" s="31">
        <v>45771</v>
      </c>
      <c r="K2482" s="31"/>
      <c r="L2482" s="31"/>
      <c r="M2482" s="31"/>
      <c r="N2482" s="31"/>
      <c r="O2482" s="3" t="s">
        <v>1004</v>
      </c>
    </row>
    <row r="2483" spans="1:15">
      <c r="A2483" s="3">
        <f t="shared" si="40"/>
        <v>2482</v>
      </c>
      <c r="B2483" s="126" t="s">
        <v>3879</v>
      </c>
      <c r="C2483" s="25">
        <v>7979140558</v>
      </c>
      <c r="D2483" s="6"/>
      <c r="E2483" s="17" t="s">
        <v>90</v>
      </c>
      <c r="F2483" s="90" t="s">
        <v>294</v>
      </c>
      <c r="G2483" s="3" t="s">
        <v>1175</v>
      </c>
      <c r="H2483" s="3" t="s">
        <v>3117</v>
      </c>
      <c r="I2483" s="4" t="s">
        <v>42</v>
      </c>
      <c r="J2483" s="31">
        <v>45771</v>
      </c>
      <c r="K2483" s="31"/>
      <c r="L2483" s="31"/>
      <c r="M2483" s="31"/>
      <c r="N2483" s="31"/>
      <c r="O2483" s="3" t="s">
        <v>1004</v>
      </c>
    </row>
    <row r="2484" spans="1:15">
      <c r="A2484" s="3">
        <f t="shared" si="40"/>
        <v>2483</v>
      </c>
      <c r="B2484" s="126" t="s">
        <v>3880</v>
      </c>
      <c r="C2484" s="25">
        <v>9640327826</v>
      </c>
      <c r="D2484" s="6"/>
      <c r="E2484" s="17" t="s">
        <v>90</v>
      </c>
      <c r="F2484" s="90" t="s">
        <v>2395</v>
      </c>
      <c r="G2484" s="3" t="s">
        <v>1175</v>
      </c>
      <c r="H2484" s="3" t="s">
        <v>3117</v>
      </c>
      <c r="I2484" s="4" t="s">
        <v>42</v>
      </c>
      <c r="J2484" s="31">
        <v>45771</v>
      </c>
      <c r="K2484" s="31"/>
      <c r="L2484" s="31"/>
      <c r="M2484" s="31"/>
      <c r="N2484" s="31"/>
      <c r="O2484" s="3" t="s">
        <v>1004</v>
      </c>
    </row>
    <row r="2485" spans="1:15">
      <c r="A2485" s="3">
        <f t="shared" si="40"/>
        <v>2484</v>
      </c>
      <c r="B2485" s="126" t="s">
        <v>3881</v>
      </c>
      <c r="C2485" s="25">
        <v>8601553253</v>
      </c>
      <c r="D2485" s="6">
        <v>6394318659</v>
      </c>
      <c r="E2485" s="17" t="s">
        <v>90</v>
      </c>
      <c r="F2485" s="90" t="s">
        <v>294</v>
      </c>
      <c r="G2485" s="3" t="s">
        <v>1175</v>
      </c>
      <c r="H2485" s="3" t="s">
        <v>3117</v>
      </c>
      <c r="I2485" s="4" t="s">
        <v>42</v>
      </c>
      <c r="J2485" s="31">
        <v>45771</v>
      </c>
      <c r="K2485" s="31"/>
      <c r="L2485" s="31"/>
      <c r="M2485" s="31"/>
      <c r="N2485" s="31"/>
      <c r="O2485" s="3" t="s">
        <v>1004</v>
      </c>
    </row>
    <row r="2486" spans="1:15">
      <c r="A2486" s="3">
        <f t="shared" si="40"/>
        <v>2485</v>
      </c>
      <c r="B2486" s="126" t="s">
        <v>3882</v>
      </c>
      <c r="C2486" s="25">
        <v>9993681831</v>
      </c>
      <c r="D2486" s="6"/>
      <c r="E2486" s="17" t="s">
        <v>90</v>
      </c>
      <c r="F2486" s="90" t="s">
        <v>1342</v>
      </c>
      <c r="G2486" s="3" t="s">
        <v>1175</v>
      </c>
      <c r="H2486" s="3" t="s">
        <v>3117</v>
      </c>
      <c r="I2486" s="4" t="s">
        <v>42</v>
      </c>
      <c r="J2486" s="31">
        <v>45771</v>
      </c>
      <c r="K2486" s="31"/>
      <c r="L2486" s="31"/>
      <c r="M2486" s="31"/>
      <c r="N2486" s="31"/>
      <c r="O2486" s="3" t="s">
        <v>1004</v>
      </c>
    </row>
    <row r="2487" spans="1:15">
      <c r="A2487" s="3">
        <f t="shared" si="40"/>
        <v>2486</v>
      </c>
      <c r="B2487" s="126" t="s">
        <v>3883</v>
      </c>
      <c r="C2487" s="25">
        <v>9565157127</v>
      </c>
      <c r="D2487" s="6"/>
      <c r="E2487" s="17" t="s">
        <v>82</v>
      </c>
      <c r="F2487" s="90" t="s">
        <v>3478</v>
      </c>
      <c r="G2487" s="3" t="s">
        <v>1175</v>
      </c>
      <c r="H2487" s="3" t="s">
        <v>3117</v>
      </c>
      <c r="I2487" s="4" t="s">
        <v>42</v>
      </c>
      <c r="J2487" s="31">
        <v>45771</v>
      </c>
      <c r="K2487" s="31"/>
      <c r="L2487" s="31"/>
      <c r="M2487" s="31"/>
      <c r="N2487" s="31"/>
      <c r="O2487" s="3" t="s">
        <v>1004</v>
      </c>
    </row>
    <row r="2488" spans="1:15">
      <c r="A2488" s="3">
        <f t="shared" si="40"/>
        <v>2487</v>
      </c>
      <c r="B2488" s="126" t="s">
        <v>3884</v>
      </c>
      <c r="C2488" s="25">
        <v>9440313936</v>
      </c>
      <c r="D2488" s="6"/>
      <c r="E2488" s="17" t="s">
        <v>82</v>
      </c>
      <c r="F2488" s="90" t="s">
        <v>3885</v>
      </c>
      <c r="G2488" s="3" t="s">
        <v>1175</v>
      </c>
      <c r="H2488" s="3" t="s">
        <v>3117</v>
      </c>
      <c r="I2488" s="4" t="s">
        <v>42</v>
      </c>
      <c r="J2488" s="31">
        <v>45771</v>
      </c>
      <c r="K2488" s="31"/>
      <c r="L2488" s="31"/>
      <c r="M2488" s="31"/>
      <c r="N2488" s="31"/>
      <c r="O2488" s="3" t="s">
        <v>1004</v>
      </c>
    </row>
    <row r="2489" spans="1:15">
      <c r="A2489" s="3">
        <f t="shared" si="40"/>
        <v>2488</v>
      </c>
      <c r="B2489" s="126" t="s">
        <v>3886</v>
      </c>
      <c r="C2489" s="25">
        <v>9505549081</v>
      </c>
      <c r="D2489" s="6"/>
      <c r="E2489" s="17" t="s">
        <v>82</v>
      </c>
      <c r="F2489" s="90" t="s">
        <v>2336</v>
      </c>
      <c r="G2489" s="3" t="s">
        <v>1175</v>
      </c>
      <c r="H2489" s="3" t="s">
        <v>3117</v>
      </c>
      <c r="I2489" s="4" t="s">
        <v>42</v>
      </c>
      <c r="J2489" s="31">
        <v>45771</v>
      </c>
      <c r="K2489" s="31"/>
      <c r="L2489" s="31"/>
      <c r="M2489" s="31"/>
      <c r="N2489" s="31"/>
      <c r="O2489" s="3" t="s">
        <v>1004</v>
      </c>
    </row>
    <row r="2490" spans="1:15">
      <c r="A2490" s="3">
        <f t="shared" si="40"/>
        <v>2489</v>
      </c>
      <c r="B2490" s="126" t="s">
        <v>3887</v>
      </c>
      <c r="C2490" s="25">
        <v>7987049960</v>
      </c>
      <c r="D2490" s="6"/>
      <c r="E2490" s="17" t="s">
        <v>52</v>
      </c>
      <c r="F2490" s="90" t="s">
        <v>687</v>
      </c>
      <c r="G2490" s="3" t="s">
        <v>424</v>
      </c>
      <c r="H2490" s="3" t="s">
        <v>660</v>
      </c>
      <c r="I2490" s="4" t="s">
        <v>42</v>
      </c>
      <c r="J2490" s="31">
        <v>45771</v>
      </c>
      <c r="K2490" s="31">
        <v>45807</v>
      </c>
      <c r="L2490" s="31"/>
      <c r="M2490" s="31"/>
      <c r="N2490" s="31"/>
      <c r="O2490" s="3" t="s">
        <v>425</v>
      </c>
    </row>
    <row r="2491" spans="1:15">
      <c r="A2491" s="3">
        <f t="shared" si="40"/>
        <v>2490</v>
      </c>
      <c r="B2491" s="126" t="s">
        <v>3888</v>
      </c>
      <c r="C2491" s="25">
        <v>9848875672</v>
      </c>
      <c r="D2491" s="6"/>
      <c r="E2491" s="17" t="s">
        <v>59</v>
      </c>
      <c r="F2491" s="90" t="s">
        <v>275</v>
      </c>
      <c r="G2491" s="3" t="s">
        <v>764</v>
      </c>
      <c r="H2491" s="3" t="s">
        <v>660</v>
      </c>
      <c r="I2491" s="4" t="s">
        <v>42</v>
      </c>
      <c r="J2491" s="31">
        <v>45771</v>
      </c>
      <c r="K2491" s="31">
        <v>45777</v>
      </c>
      <c r="L2491" s="31"/>
      <c r="M2491" s="31"/>
      <c r="N2491" s="31"/>
      <c r="O2491" s="3" t="s">
        <v>425</v>
      </c>
    </row>
    <row r="2492" spans="1:15">
      <c r="A2492" s="3">
        <f t="shared" si="40"/>
        <v>2491</v>
      </c>
      <c r="B2492" s="126" t="s">
        <v>3889</v>
      </c>
      <c r="C2492" s="25">
        <v>9790545058</v>
      </c>
      <c r="D2492" s="6">
        <v>9025654170</v>
      </c>
      <c r="E2492" s="17" t="s">
        <v>59</v>
      </c>
      <c r="F2492" s="90" t="s">
        <v>1199</v>
      </c>
      <c r="G2492" s="3" t="s">
        <v>764</v>
      </c>
      <c r="H2492" s="3" t="s">
        <v>660</v>
      </c>
      <c r="I2492" s="4" t="s">
        <v>42</v>
      </c>
      <c r="J2492" s="31">
        <v>45771</v>
      </c>
      <c r="K2492" s="31">
        <v>45793</v>
      </c>
      <c r="L2492" s="31"/>
      <c r="M2492" s="31"/>
      <c r="N2492" s="31"/>
      <c r="O2492" s="3" t="s">
        <v>425</v>
      </c>
    </row>
    <row r="2493" spans="1:15">
      <c r="A2493" s="3">
        <f t="shared" si="40"/>
        <v>2492</v>
      </c>
      <c r="B2493" s="126" t="s">
        <v>3890</v>
      </c>
      <c r="C2493" s="25">
        <v>8072211720</v>
      </c>
      <c r="D2493" s="6"/>
      <c r="E2493" s="17" t="s">
        <v>59</v>
      </c>
      <c r="F2493" s="90" t="s">
        <v>275</v>
      </c>
      <c r="G2493" s="3" t="s">
        <v>764</v>
      </c>
      <c r="H2493" s="3" t="s">
        <v>660</v>
      </c>
      <c r="I2493" s="4" t="s">
        <v>42</v>
      </c>
      <c r="J2493" s="31">
        <v>45771</v>
      </c>
      <c r="K2493" s="31">
        <v>45776</v>
      </c>
      <c r="L2493" s="31"/>
      <c r="M2493" s="31"/>
      <c r="N2493" s="31"/>
      <c r="O2493" s="3" t="s">
        <v>425</v>
      </c>
    </row>
    <row r="2494" spans="1:15">
      <c r="A2494" s="3">
        <f t="shared" si="40"/>
        <v>2493</v>
      </c>
      <c r="B2494" s="126" t="s">
        <v>3891</v>
      </c>
      <c r="C2494" s="25">
        <v>7008407094</v>
      </c>
      <c r="D2494" s="6"/>
      <c r="E2494" s="17" t="s">
        <v>59</v>
      </c>
      <c r="F2494" s="90" t="s">
        <v>275</v>
      </c>
      <c r="G2494" s="3" t="s">
        <v>764</v>
      </c>
      <c r="H2494" s="3" t="s">
        <v>660</v>
      </c>
      <c r="I2494" s="4" t="s">
        <v>42</v>
      </c>
      <c r="J2494" s="31">
        <v>45771</v>
      </c>
      <c r="K2494" s="31">
        <v>45793</v>
      </c>
      <c r="L2494" s="31"/>
      <c r="M2494" s="31"/>
      <c r="N2494" s="31"/>
      <c r="O2494" s="3" t="s">
        <v>425</v>
      </c>
    </row>
    <row r="2495" spans="1:15">
      <c r="A2495" s="3">
        <f t="shared" si="40"/>
        <v>2494</v>
      </c>
      <c r="B2495" s="126" t="s">
        <v>3892</v>
      </c>
      <c r="C2495" s="25">
        <v>9713868190</v>
      </c>
      <c r="D2495" s="6"/>
      <c r="E2495" s="17" t="s">
        <v>59</v>
      </c>
      <c r="F2495" s="90" t="s">
        <v>275</v>
      </c>
      <c r="G2495" s="3" t="s">
        <v>764</v>
      </c>
      <c r="H2495" s="3" t="s">
        <v>660</v>
      </c>
      <c r="I2495" s="4" t="s">
        <v>42</v>
      </c>
      <c r="J2495" s="31">
        <v>45771</v>
      </c>
      <c r="K2495" s="31">
        <v>45793</v>
      </c>
      <c r="L2495" s="31"/>
      <c r="M2495" s="31"/>
      <c r="N2495" s="31"/>
      <c r="O2495" s="3" t="s">
        <v>425</v>
      </c>
    </row>
    <row r="2496" spans="1:15">
      <c r="A2496" s="3">
        <f t="shared" si="40"/>
        <v>2495</v>
      </c>
      <c r="B2496" s="126" t="s">
        <v>3893</v>
      </c>
      <c r="C2496" s="25">
        <v>6399966675</v>
      </c>
      <c r="D2496" s="6"/>
      <c r="E2496" s="17" t="s">
        <v>59</v>
      </c>
      <c r="F2496" s="90" t="s">
        <v>543</v>
      </c>
      <c r="G2496" s="3" t="s">
        <v>764</v>
      </c>
      <c r="H2496" s="3" t="s">
        <v>660</v>
      </c>
      <c r="I2496" s="4" t="s">
        <v>42</v>
      </c>
      <c r="J2496" s="31">
        <v>45771</v>
      </c>
      <c r="K2496" s="31">
        <v>45793</v>
      </c>
      <c r="L2496" s="31"/>
      <c r="M2496" s="31"/>
      <c r="N2496" s="31"/>
      <c r="O2496" s="3" t="s">
        <v>425</v>
      </c>
    </row>
    <row r="2497" spans="1:15">
      <c r="A2497" s="3">
        <f t="shared" si="40"/>
        <v>2496</v>
      </c>
      <c r="B2497" s="126" t="s">
        <v>3894</v>
      </c>
      <c r="C2497" s="25">
        <v>9529853284</v>
      </c>
      <c r="D2497" s="6"/>
      <c r="E2497" s="17" t="s">
        <v>52</v>
      </c>
      <c r="F2497" s="90" t="s">
        <v>1199</v>
      </c>
      <c r="G2497" s="3" t="s">
        <v>764</v>
      </c>
      <c r="H2497" s="3" t="s">
        <v>660</v>
      </c>
      <c r="I2497" s="4" t="s">
        <v>42</v>
      </c>
      <c r="J2497" s="31">
        <v>45771</v>
      </c>
      <c r="K2497" s="31">
        <v>45793</v>
      </c>
      <c r="L2497" s="31"/>
      <c r="M2497" s="31"/>
      <c r="N2497" s="31"/>
      <c r="O2497" s="3" t="s">
        <v>425</v>
      </c>
    </row>
    <row r="2498" spans="1:15">
      <c r="A2498" s="3">
        <f t="shared" si="40"/>
        <v>2497</v>
      </c>
      <c r="B2498" s="126" t="s">
        <v>1217</v>
      </c>
      <c r="C2498" s="25">
        <v>8340520139</v>
      </c>
      <c r="D2498" s="6"/>
      <c r="E2498" s="17" t="s">
        <v>52</v>
      </c>
      <c r="F2498" s="90" t="s">
        <v>687</v>
      </c>
      <c r="G2498" s="3" t="s">
        <v>424</v>
      </c>
      <c r="H2498" s="3" t="s">
        <v>660</v>
      </c>
      <c r="I2498" s="4" t="s">
        <v>42</v>
      </c>
      <c r="J2498" s="31">
        <v>45771</v>
      </c>
      <c r="K2498" s="31">
        <v>45775</v>
      </c>
      <c r="L2498" s="31"/>
      <c r="M2498" s="31"/>
      <c r="N2498" s="31"/>
      <c r="O2498" s="3" t="s">
        <v>425</v>
      </c>
    </row>
    <row r="2499" spans="1:15">
      <c r="A2499" s="3">
        <f t="shared" si="40"/>
        <v>2498</v>
      </c>
      <c r="B2499" s="126" t="s">
        <v>3895</v>
      </c>
      <c r="C2499" s="25">
        <v>8789090336</v>
      </c>
      <c r="D2499" s="6"/>
      <c r="E2499" s="17" t="s">
        <v>52</v>
      </c>
      <c r="F2499" s="90" t="s">
        <v>1199</v>
      </c>
      <c r="G2499" s="3" t="s">
        <v>424</v>
      </c>
      <c r="H2499" s="3" t="s">
        <v>660</v>
      </c>
      <c r="I2499" s="4" t="s">
        <v>42</v>
      </c>
      <c r="J2499" s="31">
        <v>45771</v>
      </c>
      <c r="K2499" s="31">
        <v>45775</v>
      </c>
      <c r="L2499" s="31"/>
      <c r="M2499" s="31"/>
      <c r="N2499" s="31"/>
      <c r="O2499" s="3" t="s">
        <v>425</v>
      </c>
    </row>
    <row r="2500" spans="1:15">
      <c r="A2500" s="3">
        <f t="shared" si="40"/>
        <v>2499</v>
      </c>
      <c r="B2500" s="126" t="s">
        <v>3896</v>
      </c>
      <c r="C2500" s="25">
        <v>7980170563</v>
      </c>
      <c r="D2500" s="6"/>
      <c r="E2500" s="17" t="s">
        <v>2380</v>
      </c>
      <c r="F2500" s="90" t="s">
        <v>277</v>
      </c>
      <c r="G2500" s="2" t="s">
        <v>18</v>
      </c>
      <c r="H2500" s="3" t="s">
        <v>296</v>
      </c>
      <c r="I2500" s="4" t="s">
        <v>94</v>
      </c>
      <c r="J2500" s="31">
        <v>45771</v>
      </c>
      <c r="K2500" s="31">
        <v>45794</v>
      </c>
      <c r="L2500" s="31"/>
      <c r="M2500" s="31"/>
      <c r="N2500" s="31"/>
      <c r="O2500" s="3" t="s">
        <v>297</v>
      </c>
    </row>
    <row r="2501" spans="1:15">
      <c r="A2501" s="3">
        <f t="shared" si="40"/>
        <v>2500</v>
      </c>
      <c r="B2501" s="126" t="s">
        <v>3897</v>
      </c>
      <c r="C2501" s="25">
        <v>8978762626</v>
      </c>
      <c r="D2501" s="6"/>
      <c r="E2501" s="17" t="s">
        <v>44</v>
      </c>
      <c r="F2501" s="90" t="s">
        <v>3898</v>
      </c>
      <c r="G2501" s="3" t="s">
        <v>16</v>
      </c>
      <c r="H2501" s="3" t="s">
        <v>679</v>
      </c>
      <c r="I2501" s="4" t="s">
        <v>42</v>
      </c>
      <c r="J2501" s="31">
        <v>45771</v>
      </c>
      <c r="K2501" s="31">
        <v>45774</v>
      </c>
      <c r="L2501" s="31">
        <v>45786</v>
      </c>
      <c r="M2501" s="31">
        <v>45845</v>
      </c>
      <c r="N2501" s="31">
        <v>45853</v>
      </c>
      <c r="O2501" s="3" t="s">
        <v>297</v>
      </c>
    </row>
    <row r="2502" spans="1:15">
      <c r="A2502" s="3">
        <f t="shared" si="40"/>
        <v>2501</v>
      </c>
      <c r="B2502" s="126" t="s">
        <v>3899</v>
      </c>
      <c r="C2502" s="25">
        <v>6294292586</v>
      </c>
      <c r="D2502" s="6"/>
      <c r="E2502" s="17" t="s">
        <v>2735</v>
      </c>
      <c r="F2502" s="90" t="s">
        <v>1555</v>
      </c>
      <c r="G2502" s="3" t="s">
        <v>295</v>
      </c>
      <c r="H2502" s="3" t="s">
        <v>815</v>
      </c>
      <c r="I2502" s="4" t="s">
        <v>94</v>
      </c>
      <c r="J2502" s="31">
        <v>45771</v>
      </c>
      <c r="K2502" s="31">
        <v>45787</v>
      </c>
      <c r="L2502" s="31">
        <v>45792</v>
      </c>
      <c r="M2502" s="31">
        <v>45813</v>
      </c>
      <c r="N2502" s="31"/>
      <c r="O2502" s="3" t="s">
        <v>297</v>
      </c>
    </row>
    <row r="2503" spans="1:15">
      <c r="A2503" s="3">
        <f t="shared" si="40"/>
        <v>2502</v>
      </c>
      <c r="B2503" s="126" t="s">
        <v>493</v>
      </c>
      <c r="C2503" s="25">
        <v>9161355074</v>
      </c>
      <c r="D2503" s="6"/>
      <c r="E2503" s="17" t="s">
        <v>2735</v>
      </c>
      <c r="F2503" s="90" t="s">
        <v>1555</v>
      </c>
      <c r="G2503" s="3" t="s">
        <v>16</v>
      </c>
      <c r="H2503" s="3" t="s">
        <v>815</v>
      </c>
      <c r="I2503" s="4" t="s">
        <v>94</v>
      </c>
      <c r="J2503" s="31">
        <v>45771</v>
      </c>
      <c r="K2503" s="31">
        <v>45787</v>
      </c>
      <c r="L2503" s="31">
        <v>45792</v>
      </c>
      <c r="M2503" s="31">
        <v>45807</v>
      </c>
      <c r="N2503" s="31">
        <v>45806</v>
      </c>
      <c r="O2503" s="3" t="s">
        <v>297</v>
      </c>
    </row>
    <row r="2504" spans="1:15">
      <c r="A2504" s="3">
        <f t="shared" si="40"/>
        <v>2503</v>
      </c>
      <c r="B2504" s="126" t="s">
        <v>3900</v>
      </c>
      <c r="C2504" s="25">
        <v>7909034025</v>
      </c>
      <c r="D2504" s="6"/>
      <c r="E2504" s="17" t="s">
        <v>421</v>
      </c>
      <c r="F2504" s="90" t="s">
        <v>308</v>
      </c>
      <c r="G2504" s="3" t="s">
        <v>424</v>
      </c>
      <c r="H2504" s="3" t="s">
        <v>2535</v>
      </c>
      <c r="I2504" s="4" t="s">
        <v>94</v>
      </c>
      <c r="J2504" s="31">
        <v>45771</v>
      </c>
      <c r="K2504" s="31">
        <v>45783</v>
      </c>
      <c r="L2504" s="31"/>
      <c r="M2504" s="31"/>
      <c r="N2504" s="31"/>
      <c r="O2504" s="3" t="s">
        <v>425</v>
      </c>
    </row>
    <row r="2505" spans="1:15">
      <c r="A2505" s="3">
        <f t="shared" si="40"/>
        <v>2504</v>
      </c>
      <c r="B2505" s="126" t="s">
        <v>3901</v>
      </c>
      <c r="C2505" s="25">
        <v>9797096385</v>
      </c>
      <c r="D2505" s="6"/>
      <c r="E2505" s="17" t="s">
        <v>421</v>
      </c>
      <c r="F2505" s="90" t="s">
        <v>308</v>
      </c>
      <c r="G2505" s="2" t="s">
        <v>416</v>
      </c>
      <c r="H2505" s="3" t="s">
        <v>2535</v>
      </c>
      <c r="I2505" s="4" t="s">
        <v>94</v>
      </c>
      <c r="J2505" s="31">
        <v>45771</v>
      </c>
      <c r="K2505" s="31">
        <v>45783</v>
      </c>
      <c r="L2505" s="31"/>
      <c r="M2505" s="31"/>
      <c r="N2505" s="31"/>
      <c r="O2505" s="3" t="s">
        <v>297</v>
      </c>
    </row>
    <row r="2506" spans="1:15">
      <c r="A2506" s="3">
        <f t="shared" si="40"/>
        <v>2505</v>
      </c>
      <c r="B2506" s="126" t="s">
        <v>3902</v>
      </c>
      <c r="C2506" s="25">
        <v>7872467455</v>
      </c>
      <c r="D2506" s="6"/>
      <c r="E2506" s="17" t="s">
        <v>635</v>
      </c>
      <c r="F2506" s="90" t="s">
        <v>1942</v>
      </c>
      <c r="G2506" s="3" t="s">
        <v>416</v>
      </c>
      <c r="H2506" s="3" t="s">
        <v>630</v>
      </c>
      <c r="I2506" s="4" t="s">
        <v>94</v>
      </c>
      <c r="J2506" s="31">
        <v>45771</v>
      </c>
      <c r="K2506" s="31">
        <v>45776</v>
      </c>
      <c r="L2506" s="31"/>
      <c r="M2506" s="31"/>
      <c r="N2506" s="31"/>
      <c r="O2506" s="3" t="s">
        <v>297</v>
      </c>
    </row>
    <row r="2507" spans="1:15">
      <c r="A2507" s="3">
        <f t="shared" si="40"/>
        <v>2506</v>
      </c>
      <c r="B2507" s="126" t="s">
        <v>3903</v>
      </c>
      <c r="C2507" s="25">
        <v>8809510969</v>
      </c>
      <c r="D2507" s="6"/>
      <c r="E2507" s="17" t="s">
        <v>635</v>
      </c>
      <c r="F2507" s="90" t="s">
        <v>294</v>
      </c>
      <c r="G2507" s="3" t="s">
        <v>764</v>
      </c>
      <c r="H2507" s="3" t="s">
        <v>630</v>
      </c>
      <c r="I2507" s="4" t="s">
        <v>94</v>
      </c>
      <c r="J2507" s="31">
        <v>45771</v>
      </c>
      <c r="K2507" s="31">
        <v>45776</v>
      </c>
      <c r="L2507" s="31"/>
      <c r="M2507" s="31"/>
      <c r="N2507" s="31"/>
      <c r="O2507" s="3" t="s">
        <v>425</v>
      </c>
    </row>
    <row r="2508" spans="1:15">
      <c r="A2508" s="3">
        <f t="shared" si="40"/>
        <v>2507</v>
      </c>
      <c r="B2508" s="126" t="s">
        <v>3904</v>
      </c>
      <c r="C2508" s="25">
        <v>8533099447</v>
      </c>
      <c r="D2508" s="6"/>
      <c r="E2508" s="17" t="s">
        <v>1014</v>
      </c>
      <c r="F2508" s="90" t="s">
        <v>294</v>
      </c>
      <c r="G2508" s="3" t="s">
        <v>764</v>
      </c>
      <c r="H2508" s="3" t="s">
        <v>630</v>
      </c>
      <c r="I2508" s="4" t="s">
        <v>94</v>
      </c>
      <c r="J2508" s="31">
        <v>45771</v>
      </c>
      <c r="K2508" s="31">
        <v>45826</v>
      </c>
      <c r="L2508" s="31"/>
      <c r="M2508" s="31"/>
      <c r="N2508" s="31"/>
      <c r="O2508" s="3" t="s">
        <v>425</v>
      </c>
    </row>
    <row r="2509" spans="1:15">
      <c r="A2509" s="3">
        <f t="shared" si="40"/>
        <v>2508</v>
      </c>
      <c r="B2509" s="126" t="s">
        <v>3905</v>
      </c>
      <c r="C2509" s="25">
        <v>7983854703</v>
      </c>
      <c r="D2509" s="6"/>
      <c r="E2509" s="17" t="s">
        <v>1014</v>
      </c>
      <c r="F2509" s="90" t="s">
        <v>294</v>
      </c>
      <c r="G2509" s="3" t="s">
        <v>764</v>
      </c>
      <c r="H2509" s="3" t="s">
        <v>630</v>
      </c>
      <c r="I2509" s="4" t="s">
        <v>94</v>
      </c>
      <c r="J2509" s="31">
        <v>45771</v>
      </c>
      <c r="K2509" s="31">
        <v>45779</v>
      </c>
      <c r="L2509" s="31"/>
      <c r="M2509" s="31"/>
      <c r="N2509" s="31"/>
      <c r="O2509" s="3" t="s">
        <v>425</v>
      </c>
    </row>
    <row r="2510" spans="1:15">
      <c r="A2510" s="3">
        <f t="shared" si="40"/>
        <v>2509</v>
      </c>
      <c r="B2510" s="126" t="s">
        <v>3906</v>
      </c>
      <c r="C2510" s="25">
        <v>9732205478</v>
      </c>
      <c r="D2510" s="6"/>
      <c r="E2510" s="17" t="s">
        <v>637</v>
      </c>
      <c r="F2510" s="90" t="s">
        <v>638</v>
      </c>
      <c r="G2510" s="3" t="s">
        <v>764</v>
      </c>
      <c r="H2510" s="3" t="s">
        <v>630</v>
      </c>
      <c r="I2510" s="4" t="s">
        <v>94</v>
      </c>
      <c r="J2510" s="31">
        <v>45771</v>
      </c>
      <c r="K2510" s="31">
        <v>45779</v>
      </c>
      <c r="L2510" s="31"/>
      <c r="M2510" s="31"/>
      <c r="N2510" s="31"/>
      <c r="O2510" s="3" t="s">
        <v>425</v>
      </c>
    </row>
    <row r="2511" spans="1:15">
      <c r="A2511" s="3">
        <f t="shared" si="40"/>
        <v>2510</v>
      </c>
      <c r="B2511" s="126" t="s">
        <v>3907</v>
      </c>
      <c r="C2511" s="25">
        <v>7702382085</v>
      </c>
      <c r="D2511" s="6"/>
      <c r="E2511" s="17" t="s">
        <v>67</v>
      </c>
      <c r="F2511" s="90" t="s">
        <v>751</v>
      </c>
      <c r="G2511" s="3" t="s">
        <v>424</v>
      </c>
      <c r="H2511" s="3" t="s">
        <v>3117</v>
      </c>
      <c r="I2511" s="4" t="s">
        <v>42</v>
      </c>
      <c r="J2511" s="31">
        <v>45771</v>
      </c>
      <c r="K2511" s="31">
        <v>45789</v>
      </c>
      <c r="L2511" s="31"/>
      <c r="M2511" s="31"/>
      <c r="N2511" s="31"/>
      <c r="O2511" s="3" t="s">
        <v>749</v>
      </c>
    </row>
    <row r="2512" spans="1:15">
      <c r="A2512" s="3">
        <f t="shared" si="40"/>
        <v>2511</v>
      </c>
      <c r="B2512" s="126" t="s">
        <v>3908</v>
      </c>
      <c r="C2512" s="25">
        <v>7799319125</v>
      </c>
      <c r="D2512" s="6"/>
      <c r="E2512" s="17" t="s">
        <v>67</v>
      </c>
      <c r="F2512" s="90" t="s">
        <v>751</v>
      </c>
      <c r="G2512" s="3" t="s">
        <v>424</v>
      </c>
      <c r="H2512" s="3" t="s">
        <v>3117</v>
      </c>
      <c r="I2512" s="4" t="s">
        <v>42</v>
      </c>
      <c r="J2512" s="31">
        <v>45771</v>
      </c>
      <c r="K2512" s="31">
        <v>45789</v>
      </c>
      <c r="L2512" s="31"/>
      <c r="M2512" s="31"/>
      <c r="N2512" s="31"/>
      <c r="O2512" s="3" t="s">
        <v>749</v>
      </c>
    </row>
    <row r="2513" spans="1:15">
      <c r="A2513" s="3">
        <f t="shared" si="40"/>
        <v>2512</v>
      </c>
      <c r="B2513" s="126" t="s">
        <v>3909</v>
      </c>
      <c r="C2513" s="25">
        <v>7799116832</v>
      </c>
      <c r="D2513" s="6"/>
      <c r="E2513" s="17" t="s">
        <v>67</v>
      </c>
      <c r="F2513" s="90" t="s">
        <v>2446</v>
      </c>
      <c r="G2513" s="3" t="s">
        <v>295</v>
      </c>
      <c r="H2513" s="3" t="s">
        <v>3117</v>
      </c>
      <c r="I2513" s="4" t="s">
        <v>42</v>
      </c>
      <c r="J2513" s="31">
        <v>45771</v>
      </c>
      <c r="K2513" s="31">
        <v>45789</v>
      </c>
      <c r="L2513" s="31">
        <v>45792</v>
      </c>
      <c r="M2513" s="31">
        <v>45823</v>
      </c>
      <c r="N2513" s="31"/>
      <c r="O2513" s="3" t="s">
        <v>297</v>
      </c>
    </row>
    <row r="2514" spans="1:15">
      <c r="A2514" s="3">
        <f t="shared" si="40"/>
        <v>2513</v>
      </c>
      <c r="B2514" s="126" t="s">
        <v>3910</v>
      </c>
      <c r="C2514" s="25">
        <v>7013803288</v>
      </c>
      <c r="D2514" s="6"/>
      <c r="E2514" s="17" t="s">
        <v>67</v>
      </c>
      <c r="F2514" s="90" t="s">
        <v>2446</v>
      </c>
      <c r="G2514" s="3" t="s">
        <v>424</v>
      </c>
      <c r="H2514" s="3" t="s">
        <v>3117</v>
      </c>
      <c r="I2514" s="4" t="s">
        <v>42</v>
      </c>
      <c r="J2514" s="31">
        <v>45771</v>
      </c>
      <c r="K2514" s="31">
        <v>45789</v>
      </c>
      <c r="L2514" s="31"/>
      <c r="M2514" s="31"/>
      <c r="N2514" s="31"/>
      <c r="O2514" s="3" t="s">
        <v>425</v>
      </c>
    </row>
    <row r="2515" spans="1:15">
      <c r="A2515" s="3">
        <f t="shared" si="40"/>
        <v>2514</v>
      </c>
      <c r="B2515" s="126" t="s">
        <v>3911</v>
      </c>
      <c r="C2515" s="25">
        <v>8551087009</v>
      </c>
      <c r="D2515" s="6">
        <v>9989493499</v>
      </c>
      <c r="E2515" s="17" t="s">
        <v>67</v>
      </c>
      <c r="F2515" s="90" t="s">
        <v>2446</v>
      </c>
      <c r="G2515" s="3" t="s">
        <v>295</v>
      </c>
      <c r="H2515" s="3" t="s">
        <v>3117</v>
      </c>
      <c r="I2515" s="4" t="s">
        <v>42</v>
      </c>
      <c r="J2515" s="31">
        <v>45771</v>
      </c>
      <c r="K2515" s="31">
        <v>45789</v>
      </c>
      <c r="L2515" s="31">
        <v>45792</v>
      </c>
      <c r="M2515" s="31">
        <v>45824</v>
      </c>
      <c r="N2515" s="31"/>
      <c r="O2515" s="3" t="s">
        <v>297</v>
      </c>
    </row>
    <row r="2516" spans="1:15">
      <c r="A2516" s="3">
        <f t="shared" si="40"/>
        <v>2515</v>
      </c>
      <c r="B2516" s="126" t="s">
        <v>3912</v>
      </c>
      <c r="C2516" s="25">
        <v>8541081473</v>
      </c>
      <c r="D2516" s="6"/>
      <c r="E2516" s="17" t="s">
        <v>2891</v>
      </c>
      <c r="F2516" s="90" t="s">
        <v>1060</v>
      </c>
      <c r="G2516" s="3" t="s">
        <v>416</v>
      </c>
      <c r="H2516" s="3" t="s">
        <v>357</v>
      </c>
      <c r="I2516" s="4" t="s">
        <v>94</v>
      </c>
      <c r="J2516" s="31">
        <v>45771</v>
      </c>
      <c r="K2516" s="31">
        <v>45772</v>
      </c>
      <c r="L2516" s="31"/>
      <c r="M2516" s="31"/>
      <c r="N2516" s="31"/>
      <c r="O2516" s="3" t="s">
        <v>297</v>
      </c>
    </row>
    <row r="2517" spans="1:15">
      <c r="A2517" s="3">
        <f t="shared" si="40"/>
        <v>2516</v>
      </c>
      <c r="B2517" s="126" t="s">
        <v>3913</v>
      </c>
      <c r="C2517" s="25">
        <v>8709942015</v>
      </c>
      <c r="D2517" s="6"/>
      <c r="E2517" s="17" t="s">
        <v>2891</v>
      </c>
      <c r="F2517" s="90" t="s">
        <v>1060</v>
      </c>
      <c r="G2517" s="3" t="s">
        <v>416</v>
      </c>
      <c r="H2517" s="3" t="s">
        <v>357</v>
      </c>
      <c r="I2517" s="4" t="s">
        <v>94</v>
      </c>
      <c r="J2517" s="31">
        <v>45771</v>
      </c>
      <c r="K2517" s="31">
        <v>45771</v>
      </c>
      <c r="L2517" s="31"/>
      <c r="M2517" s="31"/>
      <c r="N2517" s="31"/>
      <c r="O2517" s="3" t="s">
        <v>297</v>
      </c>
    </row>
    <row r="2518" spans="1:15">
      <c r="A2518" s="3">
        <f t="shared" si="40"/>
        <v>2517</v>
      </c>
      <c r="B2518" s="126" t="s">
        <v>3914</v>
      </c>
      <c r="C2518" s="25">
        <v>7409502325</v>
      </c>
      <c r="D2518" s="6"/>
      <c r="E2518" s="17" t="s">
        <v>2891</v>
      </c>
      <c r="F2518" s="90" t="s">
        <v>1060</v>
      </c>
      <c r="G2518" s="3" t="s">
        <v>764</v>
      </c>
      <c r="H2518" s="3" t="s">
        <v>357</v>
      </c>
      <c r="I2518" s="4" t="s">
        <v>94</v>
      </c>
      <c r="J2518" s="31">
        <v>45771</v>
      </c>
      <c r="K2518" s="31">
        <v>45771</v>
      </c>
      <c r="L2518" s="31"/>
      <c r="M2518" s="31"/>
      <c r="N2518" s="31"/>
      <c r="O2518" s="3" t="s">
        <v>425</v>
      </c>
    </row>
    <row r="2519" spans="1:15">
      <c r="A2519" s="3">
        <f t="shared" si="40"/>
        <v>2518</v>
      </c>
      <c r="B2519" s="126" t="s">
        <v>3915</v>
      </c>
      <c r="C2519" s="25">
        <v>6372157451</v>
      </c>
      <c r="D2519" s="6"/>
      <c r="E2519" s="17" t="s">
        <v>2891</v>
      </c>
      <c r="F2519" s="90" t="s">
        <v>3698</v>
      </c>
      <c r="G2519" s="3" t="s">
        <v>16</v>
      </c>
      <c r="H2519" s="3" t="s">
        <v>357</v>
      </c>
      <c r="I2519" s="4" t="s">
        <v>94</v>
      </c>
      <c r="J2519" s="31">
        <v>45771</v>
      </c>
      <c r="K2519" s="31">
        <v>45772</v>
      </c>
      <c r="L2519" s="31">
        <v>45777</v>
      </c>
      <c r="M2519" s="31">
        <v>45814</v>
      </c>
      <c r="N2519" s="31">
        <v>45814</v>
      </c>
      <c r="O2519" s="3" t="s">
        <v>297</v>
      </c>
    </row>
    <row r="2520" spans="1:15">
      <c r="A2520" s="3">
        <f t="shared" si="40"/>
        <v>2519</v>
      </c>
      <c r="B2520" s="126" t="s">
        <v>3916</v>
      </c>
      <c r="C2520" s="25">
        <v>8864020239</v>
      </c>
      <c r="D2520" s="6"/>
      <c r="E2520" s="17" t="s">
        <v>2891</v>
      </c>
      <c r="F2520" s="90" t="s">
        <v>1060</v>
      </c>
      <c r="G2520" s="3" t="s">
        <v>416</v>
      </c>
      <c r="H2520" s="3" t="s">
        <v>357</v>
      </c>
      <c r="I2520" s="4" t="s">
        <v>94</v>
      </c>
      <c r="J2520" s="31">
        <v>45771</v>
      </c>
      <c r="K2520" s="31">
        <v>45771</v>
      </c>
      <c r="L2520" s="31"/>
      <c r="M2520" s="31"/>
      <c r="N2520" s="31"/>
      <c r="O2520" s="3" t="s">
        <v>297</v>
      </c>
    </row>
    <row r="2521" spans="1:15">
      <c r="A2521" s="3">
        <f t="shared" si="40"/>
        <v>2520</v>
      </c>
      <c r="B2521" s="126" t="s">
        <v>3917</v>
      </c>
      <c r="C2521" s="25">
        <v>9381907644</v>
      </c>
      <c r="D2521" s="6"/>
      <c r="E2521" s="17" t="s">
        <v>2009</v>
      </c>
      <c r="F2521" s="90" t="s">
        <v>3918</v>
      </c>
      <c r="G2521" s="3" t="s">
        <v>416</v>
      </c>
      <c r="H2521" s="3" t="s">
        <v>357</v>
      </c>
      <c r="I2521" s="4" t="s">
        <v>94</v>
      </c>
      <c r="J2521" s="31">
        <v>45771</v>
      </c>
      <c r="K2521" s="31">
        <v>45771</v>
      </c>
      <c r="L2521" s="31"/>
      <c r="M2521" s="31"/>
      <c r="N2521" s="31"/>
      <c r="O2521" s="3" t="s">
        <v>297</v>
      </c>
    </row>
    <row r="2522" spans="1:15">
      <c r="A2522" s="3">
        <f t="shared" si="40"/>
        <v>2521</v>
      </c>
      <c r="B2522" s="126" t="s">
        <v>3919</v>
      </c>
      <c r="C2522" s="25">
        <v>6297569870</v>
      </c>
      <c r="D2522" s="6"/>
      <c r="E2522" s="17" t="s">
        <v>2009</v>
      </c>
      <c r="F2522" s="90" t="s">
        <v>3920</v>
      </c>
      <c r="G2522" s="3" t="s">
        <v>16</v>
      </c>
      <c r="H2522" s="3" t="s">
        <v>357</v>
      </c>
      <c r="I2522" s="4" t="s">
        <v>94</v>
      </c>
      <c r="J2522" s="31">
        <v>45771</v>
      </c>
      <c r="K2522" s="31">
        <v>45771</v>
      </c>
      <c r="L2522" s="31">
        <v>45777</v>
      </c>
      <c r="M2522" s="31">
        <v>45787</v>
      </c>
      <c r="N2522" s="31">
        <v>45787</v>
      </c>
      <c r="O2522" s="3" t="s">
        <v>297</v>
      </c>
    </row>
    <row r="2523" spans="1:15">
      <c r="A2523" s="3">
        <f t="shared" si="40"/>
        <v>2522</v>
      </c>
      <c r="B2523" s="126" t="s">
        <v>3812</v>
      </c>
      <c r="C2523" s="25">
        <v>8520071568</v>
      </c>
      <c r="D2523" s="6"/>
      <c r="E2523" s="17" t="s">
        <v>986</v>
      </c>
      <c r="F2523" s="90" t="s">
        <v>3918</v>
      </c>
      <c r="G2523" s="3" t="s">
        <v>295</v>
      </c>
      <c r="H2523" s="3" t="s">
        <v>357</v>
      </c>
      <c r="I2523" s="4" t="s">
        <v>94</v>
      </c>
      <c r="J2523" s="31">
        <v>45771</v>
      </c>
      <c r="K2523" s="31">
        <v>45771</v>
      </c>
      <c r="L2523" s="31">
        <v>45786</v>
      </c>
      <c r="M2523" s="31">
        <v>45859</v>
      </c>
      <c r="N2523" s="31"/>
      <c r="O2523" s="3" t="s">
        <v>297</v>
      </c>
    </row>
    <row r="2524" spans="1:15">
      <c r="A2524" s="3">
        <f t="shared" si="40"/>
        <v>2523</v>
      </c>
      <c r="B2524" s="126" t="s">
        <v>3921</v>
      </c>
      <c r="C2524" s="25">
        <v>9100765577</v>
      </c>
      <c r="D2524" s="6"/>
      <c r="E2524" s="17" t="s">
        <v>2009</v>
      </c>
      <c r="F2524" s="90" t="s">
        <v>3918</v>
      </c>
      <c r="G2524" s="3" t="s">
        <v>764</v>
      </c>
      <c r="H2524" s="3" t="s">
        <v>357</v>
      </c>
      <c r="I2524" s="4" t="s">
        <v>94</v>
      </c>
      <c r="J2524" s="31">
        <v>45771</v>
      </c>
      <c r="K2524" s="31">
        <v>45771</v>
      </c>
      <c r="L2524" s="31"/>
      <c r="M2524" s="31"/>
      <c r="N2524" s="31"/>
      <c r="O2524" s="3" t="s">
        <v>425</v>
      </c>
    </row>
    <row r="2525" spans="1:15">
      <c r="A2525" s="3">
        <f t="shared" si="40"/>
        <v>2524</v>
      </c>
      <c r="B2525" s="126" t="s">
        <v>3922</v>
      </c>
      <c r="C2525" s="25">
        <v>7789957032</v>
      </c>
      <c r="D2525" s="6"/>
      <c r="E2525" s="17" t="s">
        <v>2009</v>
      </c>
      <c r="F2525" s="90" t="s">
        <v>3918</v>
      </c>
      <c r="G2525" s="3" t="s">
        <v>764</v>
      </c>
      <c r="H2525" s="3" t="s">
        <v>357</v>
      </c>
      <c r="I2525" s="4" t="s">
        <v>94</v>
      </c>
      <c r="J2525" s="31">
        <v>45771</v>
      </c>
      <c r="K2525" s="31">
        <v>45774</v>
      </c>
      <c r="L2525" s="31"/>
      <c r="M2525" s="31"/>
      <c r="N2525" s="31"/>
      <c r="O2525" s="3" t="s">
        <v>425</v>
      </c>
    </row>
    <row r="2526" spans="1:15">
      <c r="A2526" s="3">
        <f t="shared" si="40"/>
        <v>2525</v>
      </c>
      <c r="B2526" s="126" t="s">
        <v>3923</v>
      </c>
      <c r="C2526" s="25">
        <v>9100159395</v>
      </c>
      <c r="D2526" s="6"/>
      <c r="E2526" s="17" t="s">
        <v>2009</v>
      </c>
      <c r="F2526" s="90" t="s">
        <v>3918</v>
      </c>
      <c r="G2526" s="3" t="s">
        <v>416</v>
      </c>
      <c r="H2526" s="3" t="s">
        <v>357</v>
      </c>
      <c r="I2526" s="4" t="s">
        <v>94</v>
      </c>
      <c r="J2526" s="31">
        <v>45771</v>
      </c>
      <c r="K2526" s="31">
        <v>45779</v>
      </c>
      <c r="L2526" s="31"/>
      <c r="M2526" s="31"/>
      <c r="N2526" s="31"/>
      <c r="O2526" s="3" t="s">
        <v>297</v>
      </c>
    </row>
    <row r="2527" spans="1:15">
      <c r="A2527" s="3">
        <f t="shared" si="40"/>
        <v>2526</v>
      </c>
      <c r="B2527" s="126" t="s">
        <v>3924</v>
      </c>
      <c r="C2527" s="25">
        <v>9676200523</v>
      </c>
      <c r="D2527" s="6"/>
      <c r="E2527" s="17" t="s">
        <v>3925</v>
      </c>
      <c r="F2527" s="90" t="s">
        <v>3926</v>
      </c>
      <c r="G2527" s="3" t="s">
        <v>416</v>
      </c>
      <c r="H2527" s="3" t="s">
        <v>3797</v>
      </c>
      <c r="I2527" s="4" t="s">
        <v>94</v>
      </c>
      <c r="J2527" s="31">
        <v>45772</v>
      </c>
      <c r="K2527" s="31">
        <v>45778</v>
      </c>
      <c r="L2527" s="31"/>
      <c r="M2527" s="31"/>
      <c r="N2527" s="31"/>
      <c r="O2527" s="3" t="s">
        <v>297</v>
      </c>
    </row>
    <row r="2528" spans="1:15">
      <c r="A2528" s="3">
        <f t="shared" si="40"/>
        <v>2527</v>
      </c>
      <c r="B2528" s="126" t="s">
        <v>3927</v>
      </c>
      <c r="C2528" s="25">
        <v>7207647207</v>
      </c>
      <c r="D2528" s="6"/>
      <c r="E2528" s="17" t="s">
        <v>3928</v>
      </c>
      <c r="F2528" s="90" t="s">
        <v>3929</v>
      </c>
      <c r="G2528" s="3" t="s">
        <v>18</v>
      </c>
      <c r="H2528" s="3" t="s">
        <v>3797</v>
      </c>
      <c r="I2528" s="4" t="s">
        <v>94</v>
      </c>
      <c r="J2528" s="31">
        <v>45772</v>
      </c>
      <c r="K2528" s="31">
        <v>45778</v>
      </c>
      <c r="L2528" s="31"/>
      <c r="M2528" s="31"/>
      <c r="N2528" s="31"/>
      <c r="O2528" s="3" t="s">
        <v>297</v>
      </c>
    </row>
    <row r="2529" spans="1:15">
      <c r="A2529" s="3">
        <f t="shared" si="40"/>
        <v>2528</v>
      </c>
      <c r="B2529" s="126" t="s">
        <v>3930</v>
      </c>
      <c r="C2529" s="25">
        <v>7036056435</v>
      </c>
      <c r="D2529" s="6"/>
      <c r="E2529" s="17" t="s">
        <v>3931</v>
      </c>
      <c r="F2529" s="90" t="s">
        <v>3932</v>
      </c>
      <c r="G2529" s="3" t="s">
        <v>295</v>
      </c>
      <c r="H2529" s="3" t="s">
        <v>3797</v>
      </c>
      <c r="I2529" s="4" t="s">
        <v>94</v>
      </c>
      <c r="J2529" s="31">
        <v>45772</v>
      </c>
      <c r="K2529" s="31">
        <v>45772</v>
      </c>
      <c r="L2529" s="31">
        <v>45772</v>
      </c>
      <c r="M2529" s="31">
        <v>45792</v>
      </c>
      <c r="N2529" s="31"/>
      <c r="O2529" s="3" t="s">
        <v>297</v>
      </c>
    </row>
    <row r="2530" spans="1:15">
      <c r="A2530" s="3">
        <f t="shared" si="40"/>
        <v>2529</v>
      </c>
      <c r="B2530" s="126" t="s">
        <v>3933</v>
      </c>
      <c r="C2530" s="25">
        <v>8777845265</v>
      </c>
      <c r="D2530" s="6"/>
      <c r="E2530" s="17" t="s">
        <v>3931</v>
      </c>
      <c r="F2530" s="90" t="s">
        <v>3932</v>
      </c>
      <c r="G2530" s="3" t="s">
        <v>416</v>
      </c>
      <c r="H2530" s="3" t="s">
        <v>3797</v>
      </c>
      <c r="I2530" s="4" t="s">
        <v>94</v>
      </c>
      <c r="J2530" s="31">
        <v>45772</v>
      </c>
      <c r="K2530" s="31">
        <v>45778</v>
      </c>
      <c r="L2530" s="31"/>
      <c r="M2530" s="31"/>
      <c r="N2530" s="31"/>
      <c r="O2530" s="3" t="s">
        <v>297</v>
      </c>
    </row>
    <row r="2531" spans="1:15">
      <c r="A2531" s="3">
        <f t="shared" ref="A2531:A2594" si="41">ROW()-1</f>
        <v>2530</v>
      </c>
      <c r="B2531" s="126" t="s">
        <v>3934</v>
      </c>
      <c r="C2531" s="25">
        <v>7997146990</v>
      </c>
      <c r="D2531" s="6"/>
      <c r="E2531" s="17" t="s">
        <v>3935</v>
      </c>
      <c r="F2531" s="90" t="s">
        <v>2438</v>
      </c>
      <c r="G2531" s="3" t="s">
        <v>1175</v>
      </c>
      <c r="H2531" s="3" t="s">
        <v>3797</v>
      </c>
      <c r="I2531" s="4" t="s">
        <v>94</v>
      </c>
      <c r="J2531" s="31">
        <v>45772</v>
      </c>
      <c r="K2531" s="31"/>
      <c r="L2531" s="31"/>
      <c r="M2531" s="31"/>
      <c r="N2531" s="31"/>
      <c r="O2531" s="3" t="s">
        <v>1004</v>
      </c>
    </row>
    <row r="2532" spans="1:15">
      <c r="A2532" s="3">
        <f t="shared" si="41"/>
        <v>2531</v>
      </c>
      <c r="B2532" s="126" t="s">
        <v>3936</v>
      </c>
      <c r="C2532" s="25">
        <v>7036237291</v>
      </c>
      <c r="D2532" s="6"/>
      <c r="E2532" s="17" t="s">
        <v>3928</v>
      </c>
      <c r="F2532" s="90" t="s">
        <v>3929</v>
      </c>
      <c r="G2532" s="3" t="s">
        <v>1175</v>
      </c>
      <c r="H2532" s="3" t="s">
        <v>3797</v>
      </c>
      <c r="I2532" s="4" t="s">
        <v>94</v>
      </c>
      <c r="J2532" s="31">
        <v>45772</v>
      </c>
      <c r="K2532" s="31"/>
      <c r="L2532" s="31"/>
      <c r="M2532" s="31"/>
      <c r="N2532" s="31"/>
      <c r="O2532" s="3" t="s">
        <v>1004</v>
      </c>
    </row>
    <row r="2533" spans="1:15">
      <c r="A2533" s="3">
        <f t="shared" si="41"/>
        <v>2532</v>
      </c>
      <c r="B2533" s="126" t="s">
        <v>3937</v>
      </c>
      <c r="C2533" s="25">
        <v>9738046952</v>
      </c>
      <c r="D2533" s="6"/>
      <c r="E2533" s="17" t="s">
        <v>3931</v>
      </c>
      <c r="F2533" s="90" t="s">
        <v>1999</v>
      </c>
      <c r="G2533" s="3" t="s">
        <v>16</v>
      </c>
      <c r="H2533" s="3" t="s">
        <v>3797</v>
      </c>
      <c r="I2533" s="4" t="s">
        <v>94</v>
      </c>
      <c r="J2533" s="31">
        <v>45772</v>
      </c>
      <c r="K2533" s="31">
        <v>45772</v>
      </c>
      <c r="L2533" s="31">
        <v>45772</v>
      </c>
      <c r="M2533" s="31">
        <v>45787</v>
      </c>
      <c r="N2533" s="31">
        <v>45793</v>
      </c>
      <c r="O2533" s="3" t="s">
        <v>297</v>
      </c>
    </row>
    <row r="2534" spans="1:15">
      <c r="A2534" s="3">
        <f t="shared" si="41"/>
        <v>2533</v>
      </c>
      <c r="B2534" s="126" t="s">
        <v>3938</v>
      </c>
      <c r="C2534" s="25">
        <v>9346391782</v>
      </c>
      <c r="D2534" s="6"/>
      <c r="E2534" s="17" t="s">
        <v>3931</v>
      </c>
      <c r="F2534" s="90" t="s">
        <v>329</v>
      </c>
      <c r="G2534" s="3" t="s">
        <v>330</v>
      </c>
      <c r="H2534" s="3" t="s">
        <v>3797</v>
      </c>
      <c r="I2534" s="4" t="s">
        <v>94</v>
      </c>
      <c r="J2534" s="31">
        <v>45772</v>
      </c>
      <c r="K2534" s="31">
        <v>45772</v>
      </c>
      <c r="L2534" s="31">
        <v>45772</v>
      </c>
      <c r="M2534" s="31">
        <v>45782</v>
      </c>
      <c r="N2534" s="31">
        <v>45783</v>
      </c>
      <c r="O2534" s="3" t="s">
        <v>297</v>
      </c>
    </row>
    <row r="2535" spans="1:15">
      <c r="A2535" s="3">
        <f t="shared" si="41"/>
        <v>2534</v>
      </c>
      <c r="B2535" s="126" t="s">
        <v>3939</v>
      </c>
      <c r="C2535" s="25">
        <v>9542438360</v>
      </c>
      <c r="D2535" s="6"/>
      <c r="E2535" s="17" t="s">
        <v>3931</v>
      </c>
      <c r="F2535" s="90" t="s">
        <v>1312</v>
      </c>
      <c r="G2535" s="3" t="s">
        <v>1175</v>
      </c>
      <c r="H2535" s="3" t="s">
        <v>3797</v>
      </c>
      <c r="I2535" s="4" t="s">
        <v>94</v>
      </c>
      <c r="J2535" s="31">
        <v>45772</v>
      </c>
      <c r="K2535" s="31"/>
      <c r="L2535" s="31"/>
      <c r="M2535" s="31"/>
      <c r="N2535" s="31"/>
      <c r="O2535" s="3" t="s">
        <v>1004</v>
      </c>
    </row>
    <row r="2536" spans="1:15">
      <c r="A2536" s="3">
        <f t="shared" si="41"/>
        <v>2535</v>
      </c>
      <c r="B2536" s="126" t="s">
        <v>3940</v>
      </c>
      <c r="C2536" s="25">
        <v>9000246366</v>
      </c>
      <c r="D2536" s="6"/>
      <c r="E2536" s="17" t="s">
        <v>3941</v>
      </c>
      <c r="F2536" s="90" t="s">
        <v>3942</v>
      </c>
      <c r="G2536" s="3" t="s">
        <v>1175</v>
      </c>
      <c r="H2536" s="3" t="s">
        <v>3943</v>
      </c>
      <c r="I2536" s="4" t="s">
        <v>94</v>
      </c>
      <c r="J2536" s="31">
        <v>45772</v>
      </c>
      <c r="K2536" s="31"/>
      <c r="L2536" s="31"/>
      <c r="M2536" s="31"/>
      <c r="N2536" s="31"/>
      <c r="O2536" s="3" t="s">
        <v>1004</v>
      </c>
    </row>
    <row r="2537" spans="1:15">
      <c r="A2537" s="3">
        <f t="shared" si="41"/>
        <v>2536</v>
      </c>
      <c r="B2537" s="126" t="s">
        <v>3944</v>
      </c>
      <c r="C2537" s="25">
        <v>9668396659</v>
      </c>
      <c r="D2537" s="6"/>
      <c r="E2537" s="17" t="s">
        <v>3941</v>
      </c>
      <c r="F2537" s="90" t="s">
        <v>451</v>
      </c>
      <c r="G2537" s="3" t="s">
        <v>1175</v>
      </c>
      <c r="H2537" s="3" t="s">
        <v>3943</v>
      </c>
      <c r="I2537" s="4" t="s">
        <v>94</v>
      </c>
      <c r="J2537" s="31">
        <v>45772</v>
      </c>
      <c r="K2537" s="31"/>
      <c r="L2537" s="31"/>
      <c r="M2537" s="31"/>
      <c r="N2537" s="31"/>
      <c r="O2537" s="3" t="s">
        <v>1004</v>
      </c>
    </row>
    <row r="2538" spans="1:15">
      <c r="A2538" s="3">
        <f t="shared" si="41"/>
        <v>2537</v>
      </c>
      <c r="B2538" s="126" t="s">
        <v>3945</v>
      </c>
      <c r="C2538" s="25">
        <v>9679241722</v>
      </c>
      <c r="D2538" s="6"/>
      <c r="E2538" s="17" t="s">
        <v>3941</v>
      </c>
      <c r="F2538" s="90" t="s">
        <v>1312</v>
      </c>
      <c r="G2538" s="3" t="s">
        <v>1175</v>
      </c>
      <c r="H2538" s="3" t="s">
        <v>3943</v>
      </c>
      <c r="I2538" s="4" t="s">
        <v>94</v>
      </c>
      <c r="J2538" s="31">
        <v>45772</v>
      </c>
      <c r="K2538" s="31"/>
      <c r="L2538" s="31"/>
      <c r="M2538" s="31"/>
      <c r="N2538" s="31"/>
      <c r="O2538" s="3" t="s">
        <v>1004</v>
      </c>
    </row>
    <row r="2539" spans="1:15">
      <c r="A2539" s="3">
        <f t="shared" si="41"/>
        <v>2538</v>
      </c>
      <c r="B2539" s="126" t="s">
        <v>3946</v>
      </c>
      <c r="C2539" s="25">
        <v>8143301995</v>
      </c>
      <c r="D2539" s="6"/>
      <c r="E2539" s="17" t="s">
        <v>3941</v>
      </c>
      <c r="F2539" s="90" t="s">
        <v>308</v>
      </c>
      <c r="G2539" s="3" t="s">
        <v>1175</v>
      </c>
      <c r="H2539" s="3" t="s">
        <v>3943</v>
      </c>
      <c r="I2539" s="4" t="s">
        <v>94</v>
      </c>
      <c r="J2539" s="31">
        <v>45772</v>
      </c>
      <c r="K2539" s="31"/>
      <c r="L2539" s="31"/>
      <c r="M2539" s="31"/>
      <c r="N2539" s="31"/>
      <c r="O2539" s="3" t="s">
        <v>1004</v>
      </c>
    </row>
    <row r="2540" spans="1:15">
      <c r="A2540" s="3">
        <f t="shared" si="41"/>
        <v>2539</v>
      </c>
      <c r="B2540" s="126" t="s">
        <v>3947</v>
      </c>
      <c r="C2540" s="25">
        <v>9493151094</v>
      </c>
      <c r="D2540" s="6">
        <v>8639609415</v>
      </c>
      <c r="E2540" s="17" t="s">
        <v>110</v>
      </c>
      <c r="F2540" s="90" t="s">
        <v>3948</v>
      </c>
      <c r="G2540" s="3" t="s">
        <v>424</v>
      </c>
      <c r="H2540" s="3" t="s">
        <v>102</v>
      </c>
      <c r="I2540" s="4" t="s">
        <v>42</v>
      </c>
      <c r="J2540" s="31">
        <v>45772</v>
      </c>
      <c r="K2540" s="31">
        <v>45775</v>
      </c>
      <c r="L2540" s="31"/>
      <c r="M2540" s="31"/>
      <c r="N2540" s="31"/>
      <c r="O2540" s="3" t="s">
        <v>425</v>
      </c>
    </row>
    <row r="2541" spans="1:15">
      <c r="A2541" s="3">
        <f t="shared" si="41"/>
        <v>2540</v>
      </c>
      <c r="B2541" s="126" t="s">
        <v>3949</v>
      </c>
      <c r="C2541" s="25">
        <v>8106609455</v>
      </c>
      <c r="D2541" s="6"/>
      <c r="E2541" s="17" t="s">
        <v>110</v>
      </c>
      <c r="F2541" s="90" t="s">
        <v>308</v>
      </c>
      <c r="G2541" s="3" t="s">
        <v>764</v>
      </c>
      <c r="H2541" s="3" t="s">
        <v>102</v>
      </c>
      <c r="I2541" s="4" t="s">
        <v>42</v>
      </c>
      <c r="J2541" s="31">
        <v>45772</v>
      </c>
      <c r="K2541" s="31">
        <v>45775</v>
      </c>
      <c r="L2541" s="31"/>
      <c r="M2541" s="31"/>
      <c r="N2541" s="31"/>
      <c r="O2541" s="3" t="s">
        <v>425</v>
      </c>
    </row>
    <row r="2542" spans="1:15">
      <c r="A2542" s="3">
        <f t="shared" si="41"/>
        <v>2541</v>
      </c>
      <c r="B2542" s="126" t="s">
        <v>3950</v>
      </c>
      <c r="C2542" s="25">
        <v>9177985911</v>
      </c>
      <c r="D2542" s="6"/>
      <c r="E2542" s="17" t="s">
        <v>59</v>
      </c>
      <c r="F2542" s="90" t="s">
        <v>275</v>
      </c>
      <c r="G2542" s="3" t="s">
        <v>764</v>
      </c>
      <c r="H2542" s="3" t="s">
        <v>660</v>
      </c>
      <c r="I2542" s="4" t="s">
        <v>42</v>
      </c>
      <c r="J2542" s="31">
        <v>45772</v>
      </c>
      <c r="K2542" s="31">
        <v>45776</v>
      </c>
      <c r="L2542" s="31"/>
      <c r="M2542" s="31"/>
      <c r="N2542" s="31"/>
      <c r="O2542" s="3" t="s">
        <v>425</v>
      </c>
    </row>
    <row r="2543" spans="1:15">
      <c r="A2543" s="3">
        <f t="shared" si="41"/>
        <v>2542</v>
      </c>
      <c r="B2543" s="126" t="s">
        <v>3951</v>
      </c>
      <c r="C2543" s="25">
        <v>9849012869</v>
      </c>
      <c r="D2543" s="6"/>
      <c r="E2543" s="17" t="s">
        <v>59</v>
      </c>
      <c r="F2543" s="90" t="s">
        <v>1199</v>
      </c>
      <c r="G2543" s="3" t="s">
        <v>764</v>
      </c>
      <c r="H2543" s="3" t="s">
        <v>660</v>
      </c>
      <c r="I2543" s="4" t="s">
        <v>42</v>
      </c>
      <c r="J2543" s="31">
        <v>45772</v>
      </c>
      <c r="K2543" s="31">
        <v>45776</v>
      </c>
      <c r="L2543" s="31"/>
      <c r="M2543" s="31"/>
      <c r="N2543" s="31"/>
      <c r="O2543" s="3" t="s">
        <v>425</v>
      </c>
    </row>
    <row r="2544" spans="1:15">
      <c r="A2544" s="3">
        <f t="shared" si="41"/>
        <v>2543</v>
      </c>
      <c r="B2544" s="126" t="s">
        <v>3952</v>
      </c>
      <c r="C2544" s="25">
        <v>8870627574</v>
      </c>
      <c r="D2544" s="6"/>
      <c r="E2544" s="17" t="s">
        <v>56</v>
      </c>
      <c r="F2544" s="90" t="s">
        <v>2346</v>
      </c>
      <c r="G2544" s="3" t="s">
        <v>764</v>
      </c>
      <c r="H2544" s="3" t="s">
        <v>660</v>
      </c>
      <c r="I2544" s="4" t="s">
        <v>42</v>
      </c>
      <c r="J2544" s="31">
        <v>45772</v>
      </c>
      <c r="K2544" s="31">
        <v>45776</v>
      </c>
      <c r="L2544" s="31"/>
      <c r="M2544" s="31"/>
      <c r="N2544" s="31"/>
      <c r="O2544" s="3" t="s">
        <v>425</v>
      </c>
    </row>
    <row r="2545" spans="1:15">
      <c r="A2545" s="3">
        <f t="shared" si="41"/>
        <v>2544</v>
      </c>
      <c r="B2545" s="126" t="s">
        <v>3953</v>
      </c>
      <c r="C2545" s="66">
        <v>8897039198</v>
      </c>
      <c r="D2545" s="6">
        <v>6303629262</v>
      </c>
      <c r="E2545" s="17" t="s">
        <v>3954</v>
      </c>
      <c r="F2545" s="90"/>
      <c r="G2545" s="3" t="s">
        <v>416</v>
      </c>
      <c r="H2545" s="3" t="s">
        <v>296</v>
      </c>
      <c r="I2545" s="4" t="s">
        <v>42</v>
      </c>
      <c r="J2545" s="31">
        <v>45772</v>
      </c>
      <c r="K2545" s="31">
        <v>45772</v>
      </c>
      <c r="L2545" s="31"/>
      <c r="M2545" s="31"/>
      <c r="N2545" s="31"/>
      <c r="O2545" s="3" t="s">
        <v>297</v>
      </c>
    </row>
    <row r="2546" spans="1:15">
      <c r="A2546" s="3">
        <f t="shared" si="41"/>
        <v>2545</v>
      </c>
      <c r="B2546" s="126" t="s">
        <v>3955</v>
      </c>
      <c r="C2546" s="66">
        <v>9100126691</v>
      </c>
      <c r="D2546" s="6">
        <v>9985045059</v>
      </c>
      <c r="E2546" s="17" t="s">
        <v>3956</v>
      </c>
      <c r="F2546" s="90" t="s">
        <v>3957</v>
      </c>
      <c r="G2546" s="3" t="s">
        <v>16</v>
      </c>
      <c r="H2546" s="3" t="s">
        <v>1296</v>
      </c>
      <c r="I2546" s="3" t="s">
        <v>42</v>
      </c>
      <c r="J2546" s="31">
        <v>45770</v>
      </c>
      <c r="K2546" s="31">
        <v>45770</v>
      </c>
      <c r="L2546" s="31">
        <v>45772</v>
      </c>
      <c r="M2546" s="31">
        <v>45807</v>
      </c>
      <c r="N2546" s="31">
        <v>45817</v>
      </c>
      <c r="O2546" s="3" t="s">
        <v>297</v>
      </c>
    </row>
    <row r="2547" spans="1:15">
      <c r="A2547" s="3">
        <f t="shared" si="41"/>
        <v>2546</v>
      </c>
      <c r="B2547" s="126" t="s">
        <v>3958</v>
      </c>
      <c r="C2547" s="66">
        <v>7376028992</v>
      </c>
      <c r="D2547" s="6"/>
      <c r="E2547" s="17" t="s">
        <v>3959</v>
      </c>
      <c r="F2547" s="90" t="s">
        <v>1800</v>
      </c>
      <c r="G2547" s="3" t="s">
        <v>16</v>
      </c>
      <c r="H2547" s="3" t="s">
        <v>3960</v>
      </c>
      <c r="I2547" s="4" t="s">
        <v>88</v>
      </c>
      <c r="J2547" s="31">
        <v>45763</v>
      </c>
      <c r="K2547" s="31">
        <v>45763</v>
      </c>
      <c r="L2547" s="31">
        <v>45772</v>
      </c>
      <c r="M2547" s="31">
        <v>45807</v>
      </c>
      <c r="N2547" s="31">
        <v>45807</v>
      </c>
      <c r="O2547" s="3" t="s">
        <v>297</v>
      </c>
    </row>
    <row r="2548" spans="1:15">
      <c r="A2548" s="3">
        <f t="shared" si="41"/>
        <v>2547</v>
      </c>
      <c r="B2548" s="126" t="s">
        <v>3961</v>
      </c>
      <c r="C2548" s="66">
        <v>8686360505</v>
      </c>
      <c r="D2548" s="6"/>
      <c r="E2548" s="17" t="s">
        <v>3962</v>
      </c>
      <c r="F2548" s="90" t="s">
        <v>3963</v>
      </c>
      <c r="G2548" s="3" t="s">
        <v>16</v>
      </c>
      <c r="H2548" s="3" t="s">
        <v>88</v>
      </c>
      <c r="I2548" s="4" t="s">
        <v>88</v>
      </c>
      <c r="J2548" s="31">
        <v>45770</v>
      </c>
      <c r="K2548" s="31">
        <v>45770</v>
      </c>
      <c r="L2548" s="31">
        <v>45772</v>
      </c>
      <c r="M2548" s="31">
        <v>45807</v>
      </c>
      <c r="N2548" s="31">
        <v>45807</v>
      </c>
      <c r="O2548" s="3" t="s">
        <v>297</v>
      </c>
    </row>
    <row r="2549" spans="1:15">
      <c r="A2549" s="3">
        <f t="shared" si="41"/>
        <v>2548</v>
      </c>
      <c r="B2549" s="126" t="s">
        <v>3964</v>
      </c>
      <c r="C2549" s="66">
        <v>7253962734</v>
      </c>
      <c r="D2549" s="6"/>
      <c r="E2549" s="17" t="s">
        <v>1029</v>
      </c>
      <c r="F2549" s="90" t="s">
        <v>1459</v>
      </c>
      <c r="G2549" s="3" t="s">
        <v>16</v>
      </c>
      <c r="H2549" s="3" t="s">
        <v>487</v>
      </c>
      <c r="I2549" s="4" t="s">
        <v>88</v>
      </c>
      <c r="J2549" s="31">
        <v>45768</v>
      </c>
      <c r="K2549" s="31">
        <v>45768</v>
      </c>
      <c r="L2549" s="31">
        <v>45772</v>
      </c>
      <c r="M2549" s="31">
        <v>45807</v>
      </c>
      <c r="N2549" s="31">
        <v>45807</v>
      </c>
      <c r="O2549" s="3" t="s">
        <v>297</v>
      </c>
    </row>
    <row r="2550" spans="1:15">
      <c r="A2550" s="3">
        <f t="shared" si="41"/>
        <v>2549</v>
      </c>
      <c r="B2550" s="126" t="s">
        <v>3965</v>
      </c>
      <c r="C2550" s="66">
        <v>8768244864</v>
      </c>
      <c r="D2550" s="6"/>
      <c r="E2550" s="17" t="s">
        <v>3852</v>
      </c>
      <c r="F2550" s="90" t="s">
        <v>3966</v>
      </c>
      <c r="G2550" s="3" t="s">
        <v>295</v>
      </c>
      <c r="H2550" s="3" t="s">
        <v>3967</v>
      </c>
      <c r="I2550" s="4" t="s">
        <v>88</v>
      </c>
      <c r="J2550" s="31">
        <v>45768</v>
      </c>
      <c r="K2550" s="31">
        <v>45768</v>
      </c>
      <c r="L2550" s="31">
        <v>45772</v>
      </c>
      <c r="M2550" s="31">
        <v>45807</v>
      </c>
      <c r="N2550" s="31"/>
      <c r="O2550" s="3" t="s">
        <v>297</v>
      </c>
    </row>
    <row r="2551" spans="1:15">
      <c r="A2551" s="3">
        <f t="shared" si="41"/>
        <v>2550</v>
      </c>
      <c r="B2551" s="126" t="s">
        <v>3968</v>
      </c>
      <c r="C2551" s="66">
        <v>9604716368</v>
      </c>
      <c r="D2551" s="6"/>
      <c r="E2551" s="17" t="s">
        <v>3852</v>
      </c>
      <c r="F2551" s="90" t="s">
        <v>3966</v>
      </c>
      <c r="G2551" s="3" t="s">
        <v>16</v>
      </c>
      <c r="H2551" s="3" t="s">
        <v>3967</v>
      </c>
      <c r="I2551" s="4" t="s">
        <v>88</v>
      </c>
      <c r="J2551" s="31">
        <v>45768</v>
      </c>
      <c r="K2551" s="31">
        <v>45768</v>
      </c>
      <c r="L2551" s="31">
        <v>45772</v>
      </c>
      <c r="M2551" s="31">
        <v>45807</v>
      </c>
      <c r="N2551" s="31">
        <v>45807</v>
      </c>
      <c r="O2551" s="3" t="s">
        <v>297</v>
      </c>
    </row>
    <row r="2552" spans="1:15">
      <c r="A2552" s="3">
        <f t="shared" si="41"/>
        <v>2551</v>
      </c>
      <c r="B2552" s="80" t="s">
        <v>3969</v>
      </c>
      <c r="C2552" s="7">
        <v>9603561886</v>
      </c>
      <c r="D2552" s="6"/>
      <c r="E2552" s="7" t="s">
        <v>151</v>
      </c>
      <c r="F2552" s="80" t="s">
        <v>3970</v>
      </c>
      <c r="G2552" s="2" t="s">
        <v>16</v>
      </c>
      <c r="H2552" s="2" t="s">
        <v>2553</v>
      </c>
      <c r="I2552" s="4" t="s">
        <v>42</v>
      </c>
      <c r="J2552" s="31">
        <v>45772</v>
      </c>
      <c r="K2552" s="31">
        <v>45772</v>
      </c>
      <c r="L2552" s="31">
        <v>45772</v>
      </c>
      <c r="M2552" s="31">
        <v>45775</v>
      </c>
      <c r="N2552" s="31">
        <v>45776</v>
      </c>
      <c r="O2552" s="2" t="s">
        <v>297</v>
      </c>
    </row>
    <row r="2553" spans="1:15">
      <c r="A2553" s="3">
        <f t="shared" si="41"/>
        <v>2552</v>
      </c>
      <c r="B2553" s="80" t="s">
        <v>3971</v>
      </c>
      <c r="C2553" s="7">
        <v>8885544404</v>
      </c>
      <c r="D2553" s="6"/>
      <c r="E2553" s="7" t="s">
        <v>151</v>
      </c>
      <c r="F2553" s="80" t="s">
        <v>3972</v>
      </c>
      <c r="G2553" s="2" t="s">
        <v>424</v>
      </c>
      <c r="H2553" s="2" t="s">
        <v>2553</v>
      </c>
      <c r="I2553" s="4" t="s">
        <v>42</v>
      </c>
      <c r="J2553" s="31">
        <v>45772</v>
      </c>
      <c r="K2553" s="31">
        <v>45772</v>
      </c>
      <c r="L2553" s="31"/>
      <c r="M2553" s="31"/>
      <c r="N2553" s="31"/>
      <c r="O2553" s="2" t="s">
        <v>425</v>
      </c>
    </row>
    <row r="2554" spans="1:15">
      <c r="A2554" s="3">
        <f t="shared" si="41"/>
        <v>2553</v>
      </c>
      <c r="B2554" s="80" t="s">
        <v>3973</v>
      </c>
      <c r="C2554" s="7">
        <v>8533979416</v>
      </c>
      <c r="D2554" s="6"/>
      <c r="E2554" s="7" t="s">
        <v>1926</v>
      </c>
      <c r="F2554" s="80" t="s">
        <v>308</v>
      </c>
      <c r="G2554" s="2" t="s">
        <v>295</v>
      </c>
      <c r="H2554" s="2" t="s">
        <v>368</v>
      </c>
      <c r="I2554" s="4" t="s">
        <v>94</v>
      </c>
      <c r="J2554" s="31">
        <v>45772</v>
      </c>
      <c r="K2554" s="31">
        <v>45777</v>
      </c>
      <c r="L2554" s="31">
        <v>45777</v>
      </c>
      <c r="M2554" s="31">
        <v>45834</v>
      </c>
      <c r="N2554" s="31"/>
      <c r="O2554" s="2" t="s">
        <v>297</v>
      </c>
    </row>
    <row r="2555" spans="1:15">
      <c r="A2555" s="3">
        <f t="shared" si="41"/>
        <v>2554</v>
      </c>
      <c r="B2555" s="80" t="s">
        <v>3974</v>
      </c>
      <c r="C2555" s="7">
        <v>9050925535</v>
      </c>
      <c r="D2555" s="6"/>
      <c r="E2555" s="7" t="s">
        <v>458</v>
      </c>
      <c r="F2555" s="80" t="s">
        <v>329</v>
      </c>
      <c r="G2555" s="2" t="s">
        <v>424</v>
      </c>
      <c r="H2555" s="2" t="s">
        <v>368</v>
      </c>
      <c r="I2555" s="4" t="s">
        <v>94</v>
      </c>
      <c r="J2555" s="31">
        <v>45772</v>
      </c>
      <c r="K2555" s="31">
        <v>45777</v>
      </c>
      <c r="L2555" s="31"/>
      <c r="M2555" s="31"/>
      <c r="N2555" s="31"/>
      <c r="O2555" s="2" t="s">
        <v>425</v>
      </c>
    </row>
    <row r="2556" spans="1:15">
      <c r="A2556" s="3">
        <f t="shared" si="41"/>
        <v>2555</v>
      </c>
      <c r="B2556" s="80" t="s">
        <v>3975</v>
      </c>
      <c r="C2556" s="7">
        <v>7985400523</v>
      </c>
      <c r="D2556" s="6">
        <v>9044412749</v>
      </c>
      <c r="E2556" s="7" t="s">
        <v>1136</v>
      </c>
      <c r="F2556" s="80" t="s">
        <v>1236</v>
      </c>
      <c r="G2556" s="2" t="s">
        <v>16</v>
      </c>
      <c r="H2556" s="2" t="s">
        <v>357</v>
      </c>
      <c r="I2556" s="4" t="s">
        <v>94</v>
      </c>
      <c r="J2556" s="31">
        <v>45772</v>
      </c>
      <c r="K2556" s="31">
        <v>45774</v>
      </c>
      <c r="L2556" s="31">
        <v>45775</v>
      </c>
      <c r="M2556" s="31">
        <v>45805</v>
      </c>
      <c r="N2556" s="31">
        <v>45805</v>
      </c>
      <c r="O2556" s="2" t="s">
        <v>297</v>
      </c>
    </row>
    <row r="2557" spans="1:15">
      <c r="A2557" s="3">
        <f t="shared" si="41"/>
        <v>2556</v>
      </c>
      <c r="B2557" s="80" t="s">
        <v>3976</v>
      </c>
      <c r="C2557" s="7">
        <v>8088391245</v>
      </c>
      <c r="D2557" s="6"/>
      <c r="E2557" s="7" t="s">
        <v>1136</v>
      </c>
      <c r="F2557" s="80" t="s">
        <v>1060</v>
      </c>
      <c r="G2557" s="2" t="s">
        <v>330</v>
      </c>
      <c r="H2557" s="2" t="s">
        <v>357</v>
      </c>
      <c r="I2557" s="4" t="s">
        <v>94</v>
      </c>
      <c r="J2557" s="31">
        <v>45772</v>
      </c>
      <c r="K2557" s="31">
        <v>45774</v>
      </c>
      <c r="L2557" s="31">
        <v>45775</v>
      </c>
      <c r="M2557" s="31">
        <v>45810</v>
      </c>
      <c r="N2557" s="31">
        <v>45811</v>
      </c>
      <c r="O2557" s="2" t="s">
        <v>297</v>
      </c>
    </row>
    <row r="2558" spans="1:15">
      <c r="A2558" s="3">
        <f t="shared" si="41"/>
        <v>2557</v>
      </c>
      <c r="B2558" s="80" t="s">
        <v>3977</v>
      </c>
      <c r="C2558" s="7">
        <v>9398944899</v>
      </c>
      <c r="D2558" s="6"/>
      <c r="E2558" s="7" t="s">
        <v>3931</v>
      </c>
      <c r="F2558" s="80" t="s">
        <v>1999</v>
      </c>
      <c r="G2558" s="2" t="s">
        <v>16</v>
      </c>
      <c r="H2558" s="2" t="s">
        <v>3797</v>
      </c>
      <c r="I2558" s="4" t="s">
        <v>94</v>
      </c>
      <c r="J2558" s="31">
        <v>45770</v>
      </c>
      <c r="K2558" s="31">
        <v>45770</v>
      </c>
      <c r="L2558" s="31">
        <v>45772</v>
      </c>
      <c r="M2558" s="31">
        <v>45803</v>
      </c>
      <c r="N2558" s="31">
        <v>45806</v>
      </c>
      <c r="O2558" s="2" t="s">
        <v>297</v>
      </c>
    </row>
    <row r="2559" spans="1:15">
      <c r="A2559" s="3">
        <f t="shared" si="41"/>
        <v>2558</v>
      </c>
      <c r="B2559" s="80" t="s">
        <v>3978</v>
      </c>
      <c r="C2559" s="7">
        <v>8446741552</v>
      </c>
      <c r="D2559" s="6"/>
      <c r="E2559" s="7" t="s">
        <v>3979</v>
      </c>
      <c r="F2559" s="80" t="s">
        <v>3980</v>
      </c>
      <c r="G2559" s="2" t="s">
        <v>16</v>
      </c>
      <c r="H2559" s="2" t="s">
        <v>305</v>
      </c>
      <c r="I2559" s="4" t="s">
        <v>94</v>
      </c>
      <c r="J2559" s="31">
        <v>45739</v>
      </c>
      <c r="K2559" s="31">
        <v>45739</v>
      </c>
      <c r="L2559" s="31">
        <v>45772</v>
      </c>
      <c r="M2559" s="31">
        <v>45803</v>
      </c>
      <c r="N2559" s="31">
        <v>45748</v>
      </c>
      <c r="O2559" s="2" t="s">
        <v>297</v>
      </c>
    </row>
    <row r="2560" spans="1:15">
      <c r="A2560" s="3">
        <f t="shared" si="41"/>
        <v>2559</v>
      </c>
      <c r="B2560" s="80" t="s">
        <v>3981</v>
      </c>
      <c r="C2560" s="7">
        <v>9505753621</v>
      </c>
      <c r="D2560" s="6"/>
      <c r="E2560" s="7" t="s">
        <v>99</v>
      </c>
      <c r="F2560" s="80" t="s">
        <v>1765</v>
      </c>
      <c r="G2560" s="2" t="s">
        <v>424</v>
      </c>
      <c r="H2560" s="2" t="s">
        <v>361</v>
      </c>
      <c r="I2560" s="4" t="s">
        <v>42</v>
      </c>
      <c r="J2560" s="31">
        <v>45772</v>
      </c>
      <c r="K2560" s="31">
        <v>45775</v>
      </c>
      <c r="L2560" s="31"/>
      <c r="M2560" s="31"/>
      <c r="N2560" s="31"/>
      <c r="O2560" s="2" t="s">
        <v>425</v>
      </c>
    </row>
    <row r="2561" spans="1:15">
      <c r="A2561" s="3">
        <f t="shared" si="41"/>
        <v>2560</v>
      </c>
      <c r="B2561" s="80" t="s">
        <v>3982</v>
      </c>
      <c r="C2561" s="7">
        <v>9691106853</v>
      </c>
      <c r="D2561" s="6"/>
      <c r="E2561" s="7" t="s">
        <v>99</v>
      </c>
      <c r="F2561" s="80" t="s">
        <v>2693</v>
      </c>
      <c r="G2561" s="2" t="s">
        <v>424</v>
      </c>
      <c r="H2561" s="2" t="s">
        <v>361</v>
      </c>
      <c r="I2561" s="4" t="s">
        <v>42</v>
      </c>
      <c r="J2561" s="31">
        <v>45772</v>
      </c>
      <c r="K2561" s="31">
        <v>45775</v>
      </c>
      <c r="L2561" s="31"/>
      <c r="M2561" s="31"/>
      <c r="N2561" s="31"/>
      <c r="O2561" s="2" t="s">
        <v>425</v>
      </c>
    </row>
    <row r="2562" spans="1:15">
      <c r="A2562" s="3">
        <f t="shared" si="41"/>
        <v>2561</v>
      </c>
      <c r="B2562" s="80" t="s">
        <v>3983</v>
      </c>
      <c r="C2562" s="7">
        <v>9502957478</v>
      </c>
      <c r="D2562" s="6"/>
      <c r="E2562" s="17" t="s">
        <v>2163</v>
      </c>
      <c r="F2562" s="80" t="s">
        <v>3984</v>
      </c>
      <c r="G2562" s="2" t="s">
        <v>16</v>
      </c>
      <c r="H2562" s="2" t="s">
        <v>2553</v>
      </c>
      <c r="I2562" s="37" t="s">
        <v>94</v>
      </c>
      <c r="J2562" s="31">
        <v>45772</v>
      </c>
      <c r="K2562" s="31">
        <v>45772</v>
      </c>
      <c r="L2562" s="31">
        <v>45775</v>
      </c>
      <c r="M2562" s="31">
        <v>45782</v>
      </c>
      <c r="N2562" s="31">
        <v>45783</v>
      </c>
      <c r="O2562" s="2" t="s">
        <v>297</v>
      </c>
    </row>
    <row r="2563" spans="1:15">
      <c r="A2563" s="3">
        <f t="shared" si="41"/>
        <v>2562</v>
      </c>
      <c r="B2563" s="80" t="s">
        <v>3985</v>
      </c>
      <c r="C2563" s="7">
        <v>9307538829</v>
      </c>
      <c r="D2563" s="6">
        <v>9491894721</v>
      </c>
      <c r="E2563" s="7" t="s">
        <v>151</v>
      </c>
      <c r="F2563" s="80" t="s">
        <v>1174</v>
      </c>
      <c r="G2563" s="2" t="s">
        <v>330</v>
      </c>
      <c r="H2563" s="2" t="s">
        <v>2553</v>
      </c>
      <c r="I2563" s="4" t="s">
        <v>42</v>
      </c>
      <c r="J2563" s="31">
        <v>45772</v>
      </c>
      <c r="K2563" s="31">
        <v>45773</v>
      </c>
      <c r="L2563" s="31">
        <v>45777</v>
      </c>
      <c r="M2563" s="31">
        <v>45811</v>
      </c>
      <c r="N2563" s="31">
        <v>45812</v>
      </c>
      <c r="O2563" s="2" t="s">
        <v>297</v>
      </c>
    </row>
    <row r="2564" spans="1:15">
      <c r="A2564" s="3">
        <f t="shared" si="41"/>
        <v>2563</v>
      </c>
      <c r="B2564" s="80" t="s">
        <v>3986</v>
      </c>
      <c r="C2564" s="7">
        <v>9490976929</v>
      </c>
      <c r="D2564" s="6"/>
      <c r="E2564" s="7" t="s">
        <v>3987</v>
      </c>
      <c r="F2564" s="80" t="s">
        <v>1174</v>
      </c>
      <c r="G2564" s="3" t="s">
        <v>1175</v>
      </c>
      <c r="H2564" s="2" t="s">
        <v>788</v>
      </c>
      <c r="I2564" s="4" t="s">
        <v>94</v>
      </c>
      <c r="J2564" s="31">
        <v>45772</v>
      </c>
      <c r="K2564" s="31"/>
      <c r="L2564" s="31"/>
      <c r="M2564" s="31"/>
      <c r="N2564" s="31"/>
      <c r="O2564" s="2" t="s">
        <v>1004</v>
      </c>
    </row>
    <row r="2565" spans="1:15">
      <c r="A2565" s="3">
        <f t="shared" si="41"/>
        <v>2564</v>
      </c>
      <c r="B2565" s="80" t="s">
        <v>3988</v>
      </c>
      <c r="C2565" s="7">
        <v>9392717013</v>
      </c>
      <c r="D2565" s="6">
        <v>9177418895</v>
      </c>
      <c r="E2565" s="7" t="s">
        <v>3987</v>
      </c>
      <c r="F2565" s="80" t="s">
        <v>308</v>
      </c>
      <c r="G2565" s="2" t="s">
        <v>424</v>
      </c>
      <c r="H2565" s="2" t="s">
        <v>788</v>
      </c>
      <c r="I2565" s="4" t="s">
        <v>94</v>
      </c>
      <c r="J2565" s="31">
        <v>45772</v>
      </c>
      <c r="K2565" s="31">
        <v>45779</v>
      </c>
      <c r="L2565" s="31"/>
      <c r="M2565" s="31"/>
      <c r="N2565" s="31"/>
      <c r="O2565" s="2" t="s">
        <v>425</v>
      </c>
    </row>
    <row r="2566" spans="1:15">
      <c r="A2566" s="3">
        <f t="shared" si="41"/>
        <v>2565</v>
      </c>
      <c r="B2566" s="80" t="s">
        <v>3989</v>
      </c>
      <c r="C2566" s="7">
        <v>8464971575</v>
      </c>
      <c r="D2566" s="6">
        <v>8074391473</v>
      </c>
      <c r="E2566" s="7" t="s">
        <v>3987</v>
      </c>
      <c r="F2566" s="80" t="s">
        <v>308</v>
      </c>
      <c r="G2566" s="2" t="s">
        <v>424</v>
      </c>
      <c r="H2566" s="2" t="s">
        <v>788</v>
      </c>
      <c r="I2566" s="4" t="s">
        <v>94</v>
      </c>
      <c r="J2566" s="31">
        <v>45772</v>
      </c>
      <c r="K2566" s="31">
        <v>45779</v>
      </c>
      <c r="L2566" s="31"/>
      <c r="M2566" s="31"/>
      <c r="N2566" s="31"/>
      <c r="O2566" s="2" t="s">
        <v>425</v>
      </c>
    </row>
    <row r="2567" spans="1:15">
      <c r="A2567" s="3">
        <f t="shared" si="41"/>
        <v>2566</v>
      </c>
      <c r="B2567" s="80" t="s">
        <v>3990</v>
      </c>
      <c r="C2567" s="7">
        <v>9959839991</v>
      </c>
      <c r="D2567" s="6"/>
      <c r="E2567" s="7" t="s">
        <v>3987</v>
      </c>
      <c r="F2567" s="80" t="s">
        <v>3991</v>
      </c>
      <c r="G2567" s="3" t="s">
        <v>1175</v>
      </c>
      <c r="H2567" s="2" t="s">
        <v>788</v>
      </c>
      <c r="I2567" s="4" t="s">
        <v>94</v>
      </c>
      <c r="J2567" s="31">
        <v>45772</v>
      </c>
      <c r="K2567" s="31"/>
      <c r="L2567" s="31"/>
      <c r="M2567" s="31"/>
      <c r="N2567" s="31"/>
      <c r="O2567" s="2" t="s">
        <v>1004</v>
      </c>
    </row>
    <row r="2568" spans="1:15">
      <c r="A2568" s="3">
        <f t="shared" si="41"/>
        <v>2567</v>
      </c>
      <c r="B2568" s="80" t="s">
        <v>3992</v>
      </c>
      <c r="C2568" s="7">
        <v>9100961231</v>
      </c>
      <c r="D2568" s="6">
        <v>7093477937</v>
      </c>
      <c r="E2568" s="7" t="s">
        <v>3987</v>
      </c>
      <c r="F2568" s="80" t="s">
        <v>3993</v>
      </c>
      <c r="G2568" s="3" t="s">
        <v>1175</v>
      </c>
      <c r="H2568" s="2" t="s">
        <v>788</v>
      </c>
      <c r="I2568" s="4" t="s">
        <v>94</v>
      </c>
      <c r="J2568" s="31">
        <v>45772</v>
      </c>
      <c r="K2568" s="31"/>
      <c r="L2568" s="31"/>
      <c r="M2568" s="31"/>
      <c r="N2568" s="31"/>
      <c r="O2568" s="2" t="s">
        <v>1004</v>
      </c>
    </row>
    <row r="2569" spans="1:15">
      <c r="A2569" s="3">
        <f t="shared" si="41"/>
        <v>2568</v>
      </c>
      <c r="B2569" s="80" t="s">
        <v>3994</v>
      </c>
      <c r="C2569" s="7">
        <v>9966190456</v>
      </c>
      <c r="D2569" s="6"/>
      <c r="E2569" s="7" t="s">
        <v>3987</v>
      </c>
      <c r="F2569" s="80" t="s">
        <v>3991</v>
      </c>
      <c r="G2569" s="3" t="s">
        <v>1175</v>
      </c>
      <c r="H2569" s="2" t="s">
        <v>788</v>
      </c>
      <c r="I2569" s="4" t="s">
        <v>94</v>
      </c>
      <c r="J2569" s="31">
        <v>45772</v>
      </c>
      <c r="K2569" s="31"/>
      <c r="L2569" s="31"/>
      <c r="M2569" s="31"/>
      <c r="N2569" s="31"/>
      <c r="O2569" s="2" t="s">
        <v>1004</v>
      </c>
    </row>
    <row r="2570" spans="1:15">
      <c r="A2570" s="3">
        <f t="shared" si="41"/>
        <v>2569</v>
      </c>
      <c r="B2570" s="80" t="s">
        <v>3995</v>
      </c>
      <c r="C2570" s="7">
        <v>9621252788</v>
      </c>
      <c r="D2570" s="6"/>
      <c r="E2570" s="7" t="s">
        <v>52</v>
      </c>
      <c r="F2570" s="80" t="s">
        <v>1199</v>
      </c>
      <c r="G2570" s="2" t="s">
        <v>330</v>
      </c>
      <c r="H2570" s="2" t="s">
        <v>660</v>
      </c>
      <c r="I2570" s="4" t="s">
        <v>42</v>
      </c>
      <c r="J2570" s="31">
        <v>45772</v>
      </c>
      <c r="K2570" s="31">
        <v>45775</v>
      </c>
      <c r="L2570" s="31">
        <v>45779</v>
      </c>
      <c r="M2570" s="31">
        <v>45809</v>
      </c>
      <c r="N2570" s="31">
        <v>45806</v>
      </c>
      <c r="O2570" s="2" t="s">
        <v>297</v>
      </c>
    </row>
    <row r="2571" spans="1:15">
      <c r="A2571" s="3">
        <f t="shared" si="41"/>
        <v>2570</v>
      </c>
      <c r="B2571" s="80" t="s">
        <v>3996</v>
      </c>
      <c r="C2571" s="7">
        <v>8331870308</v>
      </c>
      <c r="D2571" s="6"/>
      <c r="E2571" s="7" t="s">
        <v>3997</v>
      </c>
      <c r="F2571" s="80" t="s">
        <v>687</v>
      </c>
      <c r="G2571" s="2" t="s">
        <v>16</v>
      </c>
      <c r="H2571" s="2" t="s">
        <v>1544</v>
      </c>
      <c r="I2571" s="4" t="s">
        <v>94</v>
      </c>
      <c r="J2571" s="31">
        <v>46023</v>
      </c>
      <c r="K2571" s="31">
        <v>46023</v>
      </c>
      <c r="L2571" s="31">
        <v>46024</v>
      </c>
      <c r="M2571" s="31">
        <v>46072</v>
      </c>
      <c r="N2571" s="31">
        <v>46072</v>
      </c>
      <c r="O2571" s="2" t="s">
        <v>297</v>
      </c>
    </row>
    <row r="2572" spans="1:15">
      <c r="A2572" s="3">
        <f t="shared" si="41"/>
        <v>2571</v>
      </c>
      <c r="B2572" s="80" t="s">
        <v>3998</v>
      </c>
      <c r="C2572" s="7">
        <v>8095999901</v>
      </c>
      <c r="D2572" s="6"/>
      <c r="E2572" s="7" t="s">
        <v>3999</v>
      </c>
      <c r="F2572" s="80" t="s">
        <v>4000</v>
      </c>
      <c r="G2572" s="2" t="s">
        <v>295</v>
      </c>
      <c r="H2572" s="2" t="s">
        <v>3240</v>
      </c>
      <c r="I2572" s="4" t="s">
        <v>42</v>
      </c>
      <c r="J2572" s="31">
        <v>45772</v>
      </c>
      <c r="K2572" s="31">
        <v>45779</v>
      </c>
      <c r="L2572" s="31">
        <v>45785</v>
      </c>
      <c r="M2572" s="31">
        <v>45816</v>
      </c>
      <c r="N2572" s="31"/>
      <c r="O2572" s="2" t="s">
        <v>297</v>
      </c>
    </row>
    <row r="2573" spans="1:15">
      <c r="A2573" s="3">
        <f t="shared" si="41"/>
        <v>2572</v>
      </c>
      <c r="B2573" s="80" t="s">
        <v>4001</v>
      </c>
      <c r="C2573" s="7"/>
      <c r="D2573" s="6"/>
      <c r="E2573" s="7" t="s">
        <v>4002</v>
      </c>
      <c r="F2573" s="80" t="s">
        <v>4003</v>
      </c>
      <c r="G2573" s="2" t="s">
        <v>16</v>
      </c>
      <c r="H2573" s="2"/>
      <c r="I2573" s="4" t="s">
        <v>42</v>
      </c>
      <c r="J2573" s="31"/>
      <c r="K2573" s="31"/>
      <c r="L2573" s="31"/>
      <c r="M2573" s="31"/>
      <c r="N2573" s="31"/>
      <c r="O2573" s="2" t="s">
        <v>297</v>
      </c>
    </row>
    <row r="2574" spans="1:15">
      <c r="A2574" s="3">
        <f t="shared" si="41"/>
        <v>2573</v>
      </c>
      <c r="B2574" s="80" t="s">
        <v>4004</v>
      </c>
      <c r="C2574" s="7">
        <v>6302877859</v>
      </c>
      <c r="D2574" s="6"/>
      <c r="E2574" s="7" t="s">
        <v>4005</v>
      </c>
      <c r="F2574" s="80" t="s">
        <v>279</v>
      </c>
      <c r="G2574" s="2" t="s">
        <v>16</v>
      </c>
      <c r="H2574" s="2" t="s">
        <v>296</v>
      </c>
      <c r="I2574" s="4" t="s">
        <v>94</v>
      </c>
      <c r="J2574" s="31">
        <v>45766</v>
      </c>
      <c r="K2574" s="31">
        <v>45766</v>
      </c>
      <c r="L2574" s="31">
        <v>45775</v>
      </c>
      <c r="M2574" s="31">
        <v>45776</v>
      </c>
      <c r="N2574" s="31">
        <v>45777</v>
      </c>
      <c r="O2574" s="2" t="s">
        <v>297</v>
      </c>
    </row>
    <row r="2575" spans="1:15">
      <c r="A2575" s="3">
        <f t="shared" si="41"/>
        <v>2574</v>
      </c>
      <c r="B2575" s="80" t="s">
        <v>4006</v>
      </c>
      <c r="C2575" s="7">
        <v>9135596465</v>
      </c>
      <c r="D2575" s="6"/>
      <c r="E2575" s="7" t="s">
        <v>4007</v>
      </c>
      <c r="F2575" s="80" t="s">
        <v>2635</v>
      </c>
      <c r="G2575" s="2" t="s">
        <v>16</v>
      </c>
      <c r="H2575" s="2" t="s">
        <v>913</v>
      </c>
      <c r="I2575" s="4" t="s">
        <v>94</v>
      </c>
      <c r="J2575" s="31">
        <v>45766</v>
      </c>
      <c r="K2575" s="31">
        <v>45766</v>
      </c>
      <c r="L2575" s="31">
        <v>45766</v>
      </c>
      <c r="M2575" s="31">
        <v>45789</v>
      </c>
      <c r="N2575" s="31">
        <v>45789</v>
      </c>
      <c r="O2575" s="2" t="s">
        <v>297</v>
      </c>
    </row>
    <row r="2576" spans="1:15">
      <c r="A2576" s="3">
        <f t="shared" si="41"/>
        <v>2575</v>
      </c>
      <c r="B2576" s="80" t="s">
        <v>4008</v>
      </c>
      <c r="C2576" s="7">
        <v>7989827832</v>
      </c>
      <c r="D2576" s="6"/>
      <c r="E2576" s="7" t="s">
        <v>63</v>
      </c>
      <c r="F2576" s="80" t="s">
        <v>275</v>
      </c>
      <c r="G2576" s="3" t="s">
        <v>764</v>
      </c>
      <c r="H2576" s="2" t="s">
        <v>660</v>
      </c>
      <c r="I2576" s="4" t="s">
        <v>42</v>
      </c>
      <c r="J2576" s="31">
        <v>45774</v>
      </c>
      <c r="K2576" s="31">
        <v>45776</v>
      </c>
      <c r="L2576" s="31"/>
      <c r="M2576" s="31"/>
      <c r="N2576" s="31"/>
      <c r="O2576" s="3" t="s">
        <v>425</v>
      </c>
    </row>
    <row r="2577" spans="1:15">
      <c r="A2577" s="3">
        <f t="shared" si="41"/>
        <v>2576</v>
      </c>
      <c r="B2577" s="80" t="s">
        <v>4009</v>
      </c>
      <c r="C2577" s="7">
        <v>9642736888</v>
      </c>
      <c r="D2577" s="6"/>
      <c r="E2577" s="7" t="s">
        <v>63</v>
      </c>
      <c r="F2577" s="80" t="s">
        <v>275</v>
      </c>
      <c r="G2577" s="2" t="s">
        <v>16</v>
      </c>
      <c r="H2577" s="57" t="s">
        <v>679</v>
      </c>
      <c r="I2577" s="4" t="s">
        <v>42</v>
      </c>
      <c r="J2577" s="31">
        <v>45774</v>
      </c>
      <c r="K2577" s="31">
        <v>45835</v>
      </c>
      <c r="L2577" s="31">
        <v>45835</v>
      </c>
      <c r="M2577" s="31">
        <v>45869</v>
      </c>
      <c r="N2577" s="31">
        <v>45867</v>
      </c>
      <c r="O2577" s="2" t="s">
        <v>297</v>
      </c>
    </row>
    <row r="2578" spans="1:15">
      <c r="A2578" s="3">
        <f t="shared" si="41"/>
        <v>2577</v>
      </c>
      <c r="B2578" s="80" t="s">
        <v>4010</v>
      </c>
      <c r="C2578" s="7">
        <v>7013558955</v>
      </c>
      <c r="D2578" s="6"/>
      <c r="E2578" s="7" t="s">
        <v>48</v>
      </c>
      <c r="F2578" s="80"/>
      <c r="G2578" s="2" t="s">
        <v>424</v>
      </c>
      <c r="H2578" s="2" t="s">
        <v>660</v>
      </c>
      <c r="I2578" s="4" t="s">
        <v>42</v>
      </c>
      <c r="J2578" s="31">
        <v>45774</v>
      </c>
      <c r="K2578" s="31">
        <v>45780</v>
      </c>
      <c r="L2578" s="31"/>
      <c r="M2578" s="31"/>
      <c r="N2578" s="31"/>
      <c r="O2578" s="2" t="s">
        <v>425</v>
      </c>
    </row>
    <row r="2579" spans="1:15">
      <c r="A2579" s="3">
        <f t="shared" si="41"/>
        <v>2578</v>
      </c>
      <c r="B2579" s="80" t="s">
        <v>4012</v>
      </c>
      <c r="C2579" s="7">
        <v>6283058853</v>
      </c>
      <c r="D2579" s="6"/>
      <c r="E2579" s="7" t="s">
        <v>48</v>
      </c>
      <c r="F2579" s="80"/>
      <c r="G2579" s="2" t="s">
        <v>424</v>
      </c>
      <c r="H2579" s="2" t="s">
        <v>660</v>
      </c>
      <c r="I2579" s="4" t="s">
        <v>42</v>
      </c>
      <c r="J2579" s="31">
        <v>45774</v>
      </c>
      <c r="K2579" s="31">
        <v>45777</v>
      </c>
      <c r="L2579" s="31"/>
      <c r="M2579" s="31"/>
      <c r="N2579" s="31"/>
      <c r="O2579" s="2" t="s">
        <v>749</v>
      </c>
    </row>
    <row r="2580" spans="1:15">
      <c r="A2580" s="3">
        <f t="shared" si="41"/>
        <v>2579</v>
      </c>
      <c r="B2580" s="80" t="s">
        <v>4013</v>
      </c>
      <c r="C2580" s="7">
        <v>8008808129</v>
      </c>
      <c r="D2580" s="6"/>
      <c r="E2580" s="7" t="s">
        <v>52</v>
      </c>
      <c r="F2580" s="80"/>
      <c r="G2580" s="2" t="s">
        <v>424</v>
      </c>
      <c r="H2580" s="2" t="s">
        <v>660</v>
      </c>
      <c r="I2580" s="4" t="s">
        <v>42</v>
      </c>
      <c r="J2580" s="31">
        <v>45774</v>
      </c>
      <c r="K2580" s="31">
        <v>45775</v>
      </c>
      <c r="L2580" s="31"/>
      <c r="M2580" s="31"/>
      <c r="N2580" s="31"/>
      <c r="O2580" s="2" t="s">
        <v>425</v>
      </c>
    </row>
    <row r="2581" spans="1:15">
      <c r="A2581" s="3">
        <f t="shared" si="41"/>
        <v>2580</v>
      </c>
      <c r="B2581" s="80" t="s">
        <v>4014</v>
      </c>
      <c r="C2581" s="7">
        <v>8008141533</v>
      </c>
      <c r="D2581" s="6"/>
      <c r="E2581" s="7" t="s">
        <v>48</v>
      </c>
      <c r="F2581" s="80"/>
      <c r="G2581" s="2" t="s">
        <v>424</v>
      </c>
      <c r="H2581" s="2" t="s">
        <v>660</v>
      </c>
      <c r="I2581" s="4" t="s">
        <v>42</v>
      </c>
      <c r="J2581" s="31">
        <v>45774</v>
      </c>
      <c r="K2581" s="31">
        <v>45777</v>
      </c>
      <c r="L2581" s="31"/>
      <c r="M2581" s="31"/>
      <c r="N2581" s="31"/>
      <c r="O2581" s="2" t="s">
        <v>749</v>
      </c>
    </row>
    <row r="2582" spans="1:15">
      <c r="A2582" s="3">
        <f t="shared" si="41"/>
        <v>2581</v>
      </c>
      <c r="B2582" s="67" t="s">
        <v>4015</v>
      </c>
      <c r="C2582" s="4">
        <v>7702395921</v>
      </c>
      <c r="D2582" s="6"/>
      <c r="E2582" s="4" t="s">
        <v>52</v>
      </c>
      <c r="F2582" s="67" t="s">
        <v>275</v>
      </c>
      <c r="G2582" s="2" t="s">
        <v>764</v>
      </c>
      <c r="H2582" s="2" t="s">
        <v>679</v>
      </c>
      <c r="I2582" s="4" t="s">
        <v>42</v>
      </c>
      <c r="J2582" s="31">
        <v>45775</v>
      </c>
      <c r="K2582" s="31">
        <v>45775</v>
      </c>
      <c r="L2582" s="31"/>
      <c r="M2582" s="31"/>
      <c r="N2582" s="31"/>
      <c r="O2582" s="2" t="s">
        <v>425</v>
      </c>
    </row>
    <row r="2583" spans="1:15">
      <c r="A2583" s="3">
        <f t="shared" si="41"/>
        <v>2582</v>
      </c>
      <c r="B2583" s="67" t="s">
        <v>4016</v>
      </c>
      <c r="C2583" s="4">
        <v>9908523905</v>
      </c>
      <c r="D2583" s="6"/>
      <c r="E2583" s="4" t="s">
        <v>48</v>
      </c>
      <c r="F2583" s="67" t="s">
        <v>4011</v>
      </c>
      <c r="G2583" s="2" t="s">
        <v>764</v>
      </c>
      <c r="H2583" s="2" t="s">
        <v>679</v>
      </c>
      <c r="I2583" s="4" t="s">
        <v>42</v>
      </c>
      <c r="J2583" s="31">
        <v>45775</v>
      </c>
      <c r="K2583" s="31">
        <v>45777</v>
      </c>
      <c r="L2583" s="31"/>
      <c r="M2583" s="31"/>
      <c r="N2583" s="31"/>
      <c r="O2583" s="2" t="s">
        <v>425</v>
      </c>
    </row>
    <row r="2584" spans="1:15">
      <c r="A2584" s="3">
        <f t="shared" si="41"/>
        <v>2583</v>
      </c>
      <c r="B2584" s="67" t="s">
        <v>4017</v>
      </c>
      <c r="C2584" s="4">
        <v>7337362399</v>
      </c>
      <c r="D2584" s="6"/>
      <c r="E2584" s="4" t="s">
        <v>52</v>
      </c>
      <c r="F2584" s="67" t="s">
        <v>4018</v>
      </c>
      <c r="G2584" s="2" t="s">
        <v>424</v>
      </c>
      <c r="H2584" s="2" t="s">
        <v>679</v>
      </c>
      <c r="I2584" s="4" t="s">
        <v>42</v>
      </c>
      <c r="J2584" s="31">
        <v>45775</v>
      </c>
      <c r="K2584" s="31">
        <v>45824</v>
      </c>
      <c r="L2584" s="31"/>
      <c r="M2584" s="31"/>
      <c r="N2584" s="31"/>
      <c r="O2584" s="2" t="s">
        <v>425</v>
      </c>
    </row>
    <row r="2585" spans="1:15">
      <c r="A2585" s="3">
        <f t="shared" si="41"/>
        <v>2584</v>
      </c>
      <c r="B2585" s="67" t="s">
        <v>4019</v>
      </c>
      <c r="C2585" s="4">
        <v>8790383103</v>
      </c>
      <c r="D2585" s="6"/>
      <c r="E2585" s="4" t="s">
        <v>2419</v>
      </c>
      <c r="F2585" s="67" t="s">
        <v>2144</v>
      </c>
      <c r="G2585" s="2" t="s">
        <v>424</v>
      </c>
      <c r="H2585" s="2" t="s">
        <v>4020</v>
      </c>
      <c r="I2585" s="4" t="s">
        <v>88</v>
      </c>
      <c r="J2585" s="31">
        <v>45775</v>
      </c>
      <c r="K2585" s="31">
        <v>45786</v>
      </c>
      <c r="L2585" s="31"/>
      <c r="M2585" s="31"/>
      <c r="N2585" s="31"/>
      <c r="O2585" s="2" t="s">
        <v>425</v>
      </c>
    </row>
    <row r="2586" spans="1:15">
      <c r="A2586" s="3">
        <f t="shared" si="41"/>
        <v>2585</v>
      </c>
      <c r="B2586" s="67" t="s">
        <v>4021</v>
      </c>
      <c r="C2586" s="4">
        <v>9666839318</v>
      </c>
      <c r="D2586" s="6"/>
      <c r="E2586" s="4" t="s">
        <v>2419</v>
      </c>
      <c r="F2586" s="67" t="s">
        <v>4022</v>
      </c>
      <c r="G2586" s="2" t="s">
        <v>424</v>
      </c>
      <c r="H2586" s="2" t="s">
        <v>4020</v>
      </c>
      <c r="I2586" s="4" t="s">
        <v>88</v>
      </c>
      <c r="J2586" s="31">
        <v>45775</v>
      </c>
      <c r="K2586" s="31">
        <v>45786</v>
      </c>
      <c r="L2586" s="31"/>
      <c r="M2586" s="31"/>
      <c r="N2586" s="31"/>
      <c r="O2586" s="2" t="s">
        <v>425</v>
      </c>
    </row>
    <row r="2587" spans="1:15">
      <c r="A2587" s="3">
        <f t="shared" si="41"/>
        <v>2586</v>
      </c>
      <c r="B2587" s="67" t="s">
        <v>4023</v>
      </c>
      <c r="C2587" s="4">
        <v>9963291642</v>
      </c>
      <c r="D2587" s="6"/>
      <c r="E2587" s="4" t="s">
        <v>4024</v>
      </c>
      <c r="F2587" s="67" t="s">
        <v>3004</v>
      </c>
      <c r="G2587" s="3" t="s">
        <v>16</v>
      </c>
      <c r="H2587" s="2" t="s">
        <v>4020</v>
      </c>
      <c r="I2587" s="4" t="s">
        <v>88</v>
      </c>
      <c r="J2587" s="31">
        <v>45775</v>
      </c>
      <c r="K2587" s="31">
        <v>45776</v>
      </c>
      <c r="L2587" s="31">
        <v>45777</v>
      </c>
      <c r="M2587" s="31">
        <v>45810</v>
      </c>
      <c r="N2587" s="31">
        <v>45810</v>
      </c>
      <c r="O2587" s="2" t="s">
        <v>297</v>
      </c>
    </row>
    <row r="2588" spans="1:15">
      <c r="A2588" s="3">
        <f t="shared" si="41"/>
        <v>2587</v>
      </c>
      <c r="B2588" s="67" t="s">
        <v>4025</v>
      </c>
      <c r="C2588" s="4">
        <v>8500913852</v>
      </c>
      <c r="D2588" s="6"/>
      <c r="E2588" s="4" t="s">
        <v>2419</v>
      </c>
      <c r="F2588" s="67" t="s">
        <v>2144</v>
      </c>
      <c r="G2588" s="2" t="s">
        <v>424</v>
      </c>
      <c r="H2588" s="2" t="s">
        <v>4020</v>
      </c>
      <c r="I2588" s="4" t="s">
        <v>88</v>
      </c>
      <c r="J2588" s="31">
        <v>45775</v>
      </c>
      <c r="K2588" s="31">
        <v>45786</v>
      </c>
      <c r="L2588" s="31"/>
      <c r="M2588" s="31"/>
      <c r="N2588" s="31"/>
      <c r="O2588" s="2" t="s">
        <v>425</v>
      </c>
    </row>
    <row r="2589" spans="1:15">
      <c r="A2589" s="3">
        <f t="shared" si="41"/>
        <v>2588</v>
      </c>
      <c r="B2589" s="67" t="s">
        <v>4026</v>
      </c>
      <c r="C2589" s="4">
        <v>9985981889</v>
      </c>
      <c r="D2589" s="6"/>
      <c r="E2589" s="4" t="s">
        <v>2419</v>
      </c>
      <c r="F2589" s="67" t="s">
        <v>4027</v>
      </c>
      <c r="G2589" s="2" t="s">
        <v>424</v>
      </c>
      <c r="H2589" s="2" t="s">
        <v>4020</v>
      </c>
      <c r="I2589" s="4" t="s">
        <v>88</v>
      </c>
      <c r="J2589" s="31">
        <v>45775</v>
      </c>
      <c r="K2589" s="31">
        <v>45786</v>
      </c>
      <c r="L2589" s="31"/>
      <c r="M2589" s="31"/>
      <c r="N2589" s="31"/>
      <c r="O2589" s="2" t="s">
        <v>425</v>
      </c>
    </row>
    <row r="2590" spans="1:15">
      <c r="A2590" s="3">
        <f t="shared" si="41"/>
        <v>2589</v>
      </c>
      <c r="B2590" s="67" t="s">
        <v>4028</v>
      </c>
      <c r="C2590" s="4">
        <v>9052470073</v>
      </c>
      <c r="D2590" s="6"/>
      <c r="E2590" s="4" t="s">
        <v>4024</v>
      </c>
      <c r="F2590" s="67" t="s">
        <v>4027</v>
      </c>
      <c r="G2590" s="2" t="s">
        <v>424</v>
      </c>
      <c r="H2590" s="2" t="s">
        <v>4020</v>
      </c>
      <c r="I2590" s="4" t="s">
        <v>88</v>
      </c>
      <c r="J2590" s="31">
        <v>45775</v>
      </c>
      <c r="K2590" s="31">
        <v>45786</v>
      </c>
      <c r="L2590" s="31"/>
      <c r="M2590" s="31"/>
      <c r="N2590" s="31"/>
      <c r="O2590" s="2" t="s">
        <v>425</v>
      </c>
    </row>
    <row r="2591" spans="1:15">
      <c r="A2591" s="3">
        <f t="shared" si="41"/>
        <v>2590</v>
      </c>
      <c r="B2591" s="67" t="s">
        <v>4029</v>
      </c>
      <c r="C2591" s="4">
        <v>8074270127</v>
      </c>
      <c r="D2591" s="6"/>
      <c r="E2591" s="4" t="s">
        <v>2419</v>
      </c>
      <c r="F2591" s="67" t="s">
        <v>4030</v>
      </c>
      <c r="G2591" s="2" t="s">
        <v>424</v>
      </c>
      <c r="H2591" s="2" t="s">
        <v>4020</v>
      </c>
      <c r="I2591" s="4" t="s">
        <v>88</v>
      </c>
      <c r="J2591" s="31">
        <v>45775</v>
      </c>
      <c r="K2591" s="31">
        <v>45786</v>
      </c>
      <c r="L2591" s="31"/>
      <c r="M2591" s="31"/>
      <c r="N2591" s="31"/>
      <c r="O2591" s="2" t="s">
        <v>425</v>
      </c>
    </row>
    <row r="2592" spans="1:15">
      <c r="A2592" s="3">
        <f t="shared" si="41"/>
        <v>2591</v>
      </c>
      <c r="B2592" s="67" t="s">
        <v>4031</v>
      </c>
      <c r="C2592" s="4">
        <v>9550817767</v>
      </c>
      <c r="D2592" s="6"/>
      <c r="E2592" s="4" t="s">
        <v>2419</v>
      </c>
      <c r="F2592" s="67" t="s">
        <v>4032</v>
      </c>
      <c r="G2592" s="2" t="s">
        <v>424</v>
      </c>
      <c r="H2592" s="2" t="s">
        <v>4020</v>
      </c>
      <c r="I2592" s="4" t="s">
        <v>88</v>
      </c>
      <c r="J2592" s="31">
        <v>45775</v>
      </c>
      <c r="K2592" s="31">
        <v>45786</v>
      </c>
      <c r="L2592" s="31"/>
      <c r="M2592" s="31"/>
      <c r="N2592" s="31"/>
      <c r="O2592" s="2" t="s">
        <v>425</v>
      </c>
    </row>
    <row r="2593" spans="1:15">
      <c r="A2593" s="3">
        <f t="shared" si="41"/>
        <v>2592</v>
      </c>
      <c r="B2593" s="67" t="s">
        <v>4033</v>
      </c>
      <c r="C2593" s="4">
        <v>9828107793</v>
      </c>
      <c r="D2593" s="6"/>
      <c r="E2593" s="4" t="s">
        <v>2476</v>
      </c>
      <c r="F2593" s="67" t="s">
        <v>1467</v>
      </c>
      <c r="G2593" s="2" t="s">
        <v>295</v>
      </c>
      <c r="H2593" s="2" t="s">
        <v>487</v>
      </c>
      <c r="I2593" s="4" t="s">
        <v>88</v>
      </c>
      <c r="J2593" s="31">
        <v>45775</v>
      </c>
      <c r="K2593" s="31">
        <v>45776</v>
      </c>
      <c r="L2593" s="31">
        <v>45784</v>
      </c>
      <c r="M2593" s="31">
        <v>45889</v>
      </c>
      <c r="N2593" s="31"/>
      <c r="O2593" s="2" t="s">
        <v>297</v>
      </c>
    </row>
    <row r="2594" spans="1:15">
      <c r="A2594" s="3">
        <f t="shared" si="41"/>
        <v>2593</v>
      </c>
      <c r="B2594" s="67" t="s">
        <v>4034</v>
      </c>
      <c r="C2594" s="4">
        <v>9867908821</v>
      </c>
      <c r="D2594" s="6"/>
      <c r="E2594" s="4" t="s">
        <v>2476</v>
      </c>
      <c r="F2594" s="67" t="s">
        <v>1467</v>
      </c>
      <c r="G2594" s="2" t="s">
        <v>416</v>
      </c>
      <c r="H2594" s="2" t="s">
        <v>487</v>
      </c>
      <c r="I2594" s="4" t="s">
        <v>88</v>
      </c>
      <c r="J2594" s="31">
        <v>45775</v>
      </c>
      <c r="K2594" s="31">
        <v>45776</v>
      </c>
      <c r="L2594" s="31"/>
      <c r="M2594" s="31"/>
      <c r="N2594" s="31"/>
      <c r="O2594" s="2" t="s">
        <v>297</v>
      </c>
    </row>
    <row r="2595" spans="1:15">
      <c r="A2595" s="3">
        <f t="shared" ref="A2595:A2658" si="42">ROW()-1</f>
        <v>2594</v>
      </c>
      <c r="B2595" s="67" t="s">
        <v>4035</v>
      </c>
      <c r="C2595" s="4">
        <v>7709561238</v>
      </c>
      <c r="D2595" s="6"/>
      <c r="E2595" s="4" t="s">
        <v>2716</v>
      </c>
      <c r="F2595" s="67" t="s">
        <v>3061</v>
      </c>
      <c r="G2595" s="2" t="s">
        <v>424</v>
      </c>
      <c r="H2595" s="2" t="s">
        <v>487</v>
      </c>
      <c r="I2595" s="4" t="s">
        <v>88</v>
      </c>
      <c r="J2595" s="31">
        <v>45775</v>
      </c>
      <c r="K2595" s="31">
        <v>45776</v>
      </c>
      <c r="L2595" s="31"/>
      <c r="M2595" s="31"/>
      <c r="N2595" s="31"/>
      <c r="O2595" s="2" t="s">
        <v>425</v>
      </c>
    </row>
    <row r="2596" spans="1:15">
      <c r="A2596" s="3">
        <f t="shared" si="42"/>
        <v>2595</v>
      </c>
      <c r="B2596" s="67" t="s">
        <v>4036</v>
      </c>
      <c r="C2596" s="4">
        <v>9055085697</v>
      </c>
      <c r="D2596" s="6"/>
      <c r="E2596" s="4" t="s">
        <v>3295</v>
      </c>
      <c r="F2596" s="67" t="s">
        <v>3061</v>
      </c>
      <c r="G2596" s="2" t="s">
        <v>416</v>
      </c>
      <c r="H2596" s="2" t="s">
        <v>487</v>
      </c>
      <c r="I2596" s="4" t="s">
        <v>88</v>
      </c>
      <c r="J2596" s="31">
        <v>45775</v>
      </c>
      <c r="K2596" s="31">
        <v>45776</v>
      </c>
      <c r="L2596" s="31"/>
      <c r="M2596" s="31"/>
      <c r="N2596" s="31"/>
      <c r="O2596" s="2" t="s">
        <v>297</v>
      </c>
    </row>
    <row r="2597" spans="1:15">
      <c r="A2597" s="3">
        <f t="shared" si="42"/>
        <v>2596</v>
      </c>
      <c r="B2597" s="67" t="s">
        <v>4037</v>
      </c>
      <c r="C2597" s="4">
        <v>8493993985</v>
      </c>
      <c r="D2597" s="6"/>
      <c r="E2597" s="4" t="s">
        <v>3295</v>
      </c>
      <c r="F2597" s="67" t="s">
        <v>3061</v>
      </c>
      <c r="G2597" s="2" t="s">
        <v>424</v>
      </c>
      <c r="H2597" s="2" t="s">
        <v>487</v>
      </c>
      <c r="I2597" s="4" t="s">
        <v>88</v>
      </c>
      <c r="J2597" s="31">
        <v>45775</v>
      </c>
      <c r="K2597" s="31">
        <v>45776</v>
      </c>
      <c r="L2597" s="31"/>
      <c r="M2597" s="31"/>
      <c r="N2597" s="31"/>
      <c r="O2597" s="2" t="s">
        <v>425</v>
      </c>
    </row>
    <row r="2598" spans="1:15">
      <c r="A2598" s="3">
        <f t="shared" si="42"/>
        <v>2597</v>
      </c>
      <c r="B2598" s="67" t="s">
        <v>4038</v>
      </c>
      <c r="C2598" s="4">
        <v>8091739959</v>
      </c>
      <c r="D2598" s="6"/>
      <c r="E2598" s="4" t="s">
        <v>3295</v>
      </c>
      <c r="F2598" s="67" t="s">
        <v>3061</v>
      </c>
      <c r="G2598" s="2" t="s">
        <v>16</v>
      </c>
      <c r="H2598" s="2" t="s">
        <v>487</v>
      </c>
      <c r="I2598" s="4" t="s">
        <v>88</v>
      </c>
      <c r="J2598" s="31">
        <v>45775</v>
      </c>
      <c r="K2598" s="31">
        <v>45776</v>
      </c>
      <c r="L2598" s="31">
        <v>45784</v>
      </c>
      <c r="M2598" s="31">
        <v>45815</v>
      </c>
      <c r="N2598" s="31">
        <v>45814</v>
      </c>
      <c r="O2598" s="2" t="s">
        <v>297</v>
      </c>
    </row>
    <row r="2599" spans="1:15">
      <c r="A2599" s="3">
        <f t="shared" si="42"/>
        <v>2598</v>
      </c>
      <c r="B2599" s="67" t="s">
        <v>1598</v>
      </c>
      <c r="C2599" s="4">
        <v>8192864537</v>
      </c>
      <c r="D2599" s="6"/>
      <c r="E2599" s="4" t="s">
        <v>2716</v>
      </c>
      <c r="F2599" s="67" t="s">
        <v>3061</v>
      </c>
      <c r="G2599" s="3" t="s">
        <v>16</v>
      </c>
      <c r="H2599" s="2" t="s">
        <v>487</v>
      </c>
      <c r="I2599" s="4" t="s">
        <v>88</v>
      </c>
      <c r="J2599" s="31">
        <v>45775</v>
      </c>
      <c r="K2599" s="31">
        <v>45776</v>
      </c>
      <c r="L2599" s="31">
        <v>45807</v>
      </c>
      <c r="M2599" s="31">
        <v>45838</v>
      </c>
      <c r="N2599" s="31">
        <v>45838</v>
      </c>
      <c r="O2599" s="2" t="s">
        <v>297</v>
      </c>
    </row>
    <row r="2600" spans="1:15">
      <c r="A2600" s="3">
        <f t="shared" si="42"/>
        <v>2599</v>
      </c>
      <c r="B2600" s="67" t="s">
        <v>4039</v>
      </c>
      <c r="C2600" s="4">
        <v>7697975877</v>
      </c>
      <c r="D2600" s="6"/>
      <c r="E2600" s="4" t="s">
        <v>3295</v>
      </c>
      <c r="F2600" s="67" t="s">
        <v>3061</v>
      </c>
      <c r="G2600" s="2" t="s">
        <v>16</v>
      </c>
      <c r="H2600" s="2" t="s">
        <v>487</v>
      </c>
      <c r="I2600" s="4" t="s">
        <v>88</v>
      </c>
      <c r="J2600" s="31">
        <v>45775</v>
      </c>
      <c r="K2600" s="31">
        <v>45776</v>
      </c>
      <c r="L2600" s="31">
        <v>45784</v>
      </c>
      <c r="M2600" s="31">
        <v>45818</v>
      </c>
      <c r="N2600" s="31">
        <v>45818</v>
      </c>
      <c r="O2600" s="2" t="s">
        <v>297</v>
      </c>
    </row>
    <row r="2601" spans="1:15">
      <c r="A2601" s="3">
        <f t="shared" si="42"/>
        <v>2600</v>
      </c>
      <c r="B2601" s="67" t="s">
        <v>4040</v>
      </c>
      <c r="C2601" s="4">
        <v>7781046957</v>
      </c>
      <c r="D2601" s="6">
        <v>9883624958</v>
      </c>
      <c r="E2601" s="4" t="s">
        <v>3295</v>
      </c>
      <c r="F2601" s="67" t="s">
        <v>3061</v>
      </c>
      <c r="G2601" s="2" t="s">
        <v>16</v>
      </c>
      <c r="H2601" s="2" t="s">
        <v>487</v>
      </c>
      <c r="I2601" s="4" t="s">
        <v>88</v>
      </c>
      <c r="J2601" s="31">
        <v>45775</v>
      </c>
      <c r="K2601" s="31">
        <v>45776</v>
      </c>
      <c r="L2601" s="31">
        <v>45784</v>
      </c>
      <c r="M2601" s="31">
        <v>45815</v>
      </c>
      <c r="N2601" s="31">
        <v>45814</v>
      </c>
      <c r="O2601" s="2" t="s">
        <v>297</v>
      </c>
    </row>
    <row r="2602" spans="1:15">
      <c r="A2602" s="3">
        <f t="shared" si="42"/>
        <v>2601</v>
      </c>
      <c r="B2602" s="67" t="s">
        <v>4041</v>
      </c>
      <c r="C2602" s="4">
        <v>9661101507</v>
      </c>
      <c r="D2602" s="6">
        <v>9060912646</v>
      </c>
      <c r="E2602" s="4" t="s">
        <v>3295</v>
      </c>
      <c r="F2602" s="67" t="s">
        <v>3061</v>
      </c>
      <c r="G2602" s="2" t="s">
        <v>424</v>
      </c>
      <c r="H2602" s="2" t="s">
        <v>487</v>
      </c>
      <c r="I2602" s="4" t="s">
        <v>88</v>
      </c>
      <c r="J2602" s="31">
        <v>45775</v>
      </c>
      <c r="K2602" s="31">
        <v>45776</v>
      </c>
      <c r="L2602" s="31"/>
      <c r="M2602" s="31"/>
      <c r="N2602" s="31"/>
      <c r="O2602" s="2" t="s">
        <v>425</v>
      </c>
    </row>
    <row r="2603" spans="1:15">
      <c r="A2603" s="3">
        <f t="shared" si="42"/>
        <v>2602</v>
      </c>
      <c r="B2603" s="67" t="s">
        <v>4042</v>
      </c>
      <c r="C2603" s="4">
        <v>9431895078</v>
      </c>
      <c r="D2603" s="6"/>
      <c r="E2603" s="4" t="s">
        <v>2260</v>
      </c>
      <c r="F2603" s="67" t="s">
        <v>2261</v>
      </c>
      <c r="G2603" s="2" t="s">
        <v>16</v>
      </c>
      <c r="H2603" s="2" t="s">
        <v>487</v>
      </c>
      <c r="I2603" s="4" t="s">
        <v>88</v>
      </c>
      <c r="J2603" s="31">
        <v>45775</v>
      </c>
      <c r="K2603" s="31">
        <v>45776</v>
      </c>
      <c r="L2603" s="31">
        <v>45784</v>
      </c>
      <c r="M2603" s="31">
        <v>45818</v>
      </c>
      <c r="N2603" s="31">
        <v>45818</v>
      </c>
      <c r="O2603" s="2" t="s">
        <v>297</v>
      </c>
    </row>
    <row r="2604" spans="1:15">
      <c r="A2604" s="3">
        <f t="shared" si="42"/>
        <v>2603</v>
      </c>
      <c r="B2604" s="67" t="s">
        <v>4043</v>
      </c>
      <c r="C2604" s="4">
        <v>9541892151</v>
      </c>
      <c r="D2604" s="6"/>
      <c r="E2604" s="4" t="s">
        <v>2260</v>
      </c>
      <c r="F2604" s="67" t="s">
        <v>2261</v>
      </c>
      <c r="G2604" s="2" t="s">
        <v>764</v>
      </c>
      <c r="H2604" s="2" t="s">
        <v>487</v>
      </c>
      <c r="I2604" s="4" t="s">
        <v>88</v>
      </c>
      <c r="J2604" s="31">
        <v>45775</v>
      </c>
      <c r="K2604" s="31">
        <v>45776</v>
      </c>
      <c r="L2604" s="31"/>
      <c r="M2604" s="31"/>
      <c r="N2604" s="31"/>
      <c r="O2604" s="2" t="s">
        <v>425</v>
      </c>
    </row>
    <row r="2605" spans="1:15">
      <c r="A2605" s="3">
        <f t="shared" si="42"/>
        <v>2604</v>
      </c>
      <c r="B2605" s="67" t="s">
        <v>4044</v>
      </c>
      <c r="C2605" s="4">
        <v>6304611768</v>
      </c>
      <c r="D2605" s="6"/>
      <c r="E2605" s="4" t="s">
        <v>4045</v>
      </c>
      <c r="F2605" s="67" t="s">
        <v>2261</v>
      </c>
      <c r="G2605" s="3" t="s">
        <v>16</v>
      </c>
      <c r="H2605" s="2" t="s">
        <v>487</v>
      </c>
      <c r="I2605" s="4" t="s">
        <v>88</v>
      </c>
      <c r="J2605" s="31">
        <v>45775</v>
      </c>
      <c r="K2605" s="31">
        <v>45776</v>
      </c>
      <c r="L2605" s="31">
        <v>45793</v>
      </c>
      <c r="M2605" s="31">
        <v>45825</v>
      </c>
      <c r="N2605" s="31">
        <v>45825</v>
      </c>
      <c r="O2605" s="2" t="s">
        <v>297</v>
      </c>
    </row>
    <row r="2606" spans="1:15">
      <c r="A2606" s="3">
        <f t="shared" si="42"/>
        <v>2605</v>
      </c>
      <c r="B2606" s="67" t="s">
        <v>4046</v>
      </c>
      <c r="C2606" s="4">
        <v>7893473974</v>
      </c>
      <c r="D2606" s="6"/>
      <c r="E2606" s="4" t="s">
        <v>4047</v>
      </c>
      <c r="F2606" s="67"/>
      <c r="G2606" s="2" t="s">
        <v>295</v>
      </c>
      <c r="H2606" s="2" t="s">
        <v>785</v>
      </c>
      <c r="I2606" s="4" t="s">
        <v>88</v>
      </c>
      <c r="J2606" s="31">
        <v>45775</v>
      </c>
      <c r="K2606" s="31">
        <v>45777</v>
      </c>
      <c r="L2606" s="31">
        <v>45784</v>
      </c>
      <c r="M2606" s="31">
        <v>45818</v>
      </c>
      <c r="N2606" s="31"/>
      <c r="O2606" s="2" t="s">
        <v>297</v>
      </c>
    </row>
    <row r="2607" spans="1:15">
      <c r="A2607" s="3">
        <f t="shared" si="42"/>
        <v>2606</v>
      </c>
      <c r="B2607" s="67" t="s">
        <v>4048</v>
      </c>
      <c r="C2607" s="4">
        <v>7032814667</v>
      </c>
      <c r="D2607" s="6"/>
      <c r="E2607" s="4" t="s">
        <v>1892</v>
      </c>
      <c r="F2607" s="67" t="s">
        <v>4049</v>
      </c>
      <c r="G2607" s="3" t="s">
        <v>295</v>
      </c>
      <c r="H2607" s="2" t="s">
        <v>788</v>
      </c>
      <c r="I2607" s="4" t="s">
        <v>88</v>
      </c>
      <c r="J2607" s="31">
        <v>45775</v>
      </c>
      <c r="K2607" s="31">
        <v>45776</v>
      </c>
      <c r="L2607" s="31">
        <v>45779</v>
      </c>
      <c r="M2607" s="31">
        <v>45818</v>
      </c>
      <c r="N2607" s="31"/>
      <c r="O2607" s="2" t="s">
        <v>297</v>
      </c>
    </row>
    <row r="2608" spans="1:15">
      <c r="A2608" s="3">
        <f t="shared" si="42"/>
        <v>2607</v>
      </c>
      <c r="B2608" s="67" t="s">
        <v>4050</v>
      </c>
      <c r="C2608" s="4">
        <v>9640734150</v>
      </c>
      <c r="D2608" s="6"/>
      <c r="E2608" s="4" t="s">
        <v>502</v>
      </c>
      <c r="F2608" s="67" t="s">
        <v>4051</v>
      </c>
      <c r="G2608" s="2" t="s">
        <v>416</v>
      </c>
      <c r="H2608" s="2" t="s">
        <v>361</v>
      </c>
      <c r="I2608" s="4" t="s">
        <v>88</v>
      </c>
      <c r="J2608" s="31">
        <v>45775</v>
      </c>
      <c r="K2608" s="31">
        <v>45775</v>
      </c>
      <c r="L2608" s="31"/>
      <c r="M2608" s="31"/>
      <c r="N2608" s="31"/>
      <c r="O2608" s="2" t="s">
        <v>297</v>
      </c>
    </row>
    <row r="2609" spans="1:15">
      <c r="A2609" s="3">
        <f t="shared" si="42"/>
        <v>2608</v>
      </c>
      <c r="B2609" s="67" t="s">
        <v>4052</v>
      </c>
      <c r="C2609" s="4">
        <v>8210902428</v>
      </c>
      <c r="D2609" s="6"/>
      <c r="E2609" s="4" t="s">
        <v>500</v>
      </c>
      <c r="F2609" s="67" t="s">
        <v>461</v>
      </c>
      <c r="G2609" s="2" t="s">
        <v>16</v>
      </c>
      <c r="H2609" s="2" t="s">
        <v>361</v>
      </c>
      <c r="I2609" s="4" t="s">
        <v>88</v>
      </c>
      <c r="J2609" s="31">
        <v>45775</v>
      </c>
      <c r="K2609" s="31">
        <v>45775</v>
      </c>
      <c r="L2609" s="31">
        <v>45779</v>
      </c>
      <c r="M2609" s="31">
        <v>45818</v>
      </c>
      <c r="N2609" s="31">
        <v>45818</v>
      </c>
      <c r="O2609" s="2" t="s">
        <v>297</v>
      </c>
    </row>
    <row r="2610" spans="1:15">
      <c r="A2610" s="3">
        <f t="shared" si="42"/>
        <v>2609</v>
      </c>
      <c r="B2610" s="67" t="s">
        <v>4053</v>
      </c>
      <c r="C2610" s="4">
        <v>9347192071</v>
      </c>
      <c r="D2610" s="6"/>
      <c r="E2610" s="4" t="s">
        <v>4054</v>
      </c>
      <c r="F2610" s="67" t="s">
        <v>278</v>
      </c>
      <c r="G2610" s="2" t="s">
        <v>424</v>
      </c>
      <c r="H2610" s="2" t="s">
        <v>296</v>
      </c>
      <c r="I2610" s="4" t="s">
        <v>94</v>
      </c>
      <c r="J2610" s="31">
        <v>45775</v>
      </c>
      <c r="K2610" s="31">
        <v>45784</v>
      </c>
      <c r="L2610" s="31"/>
      <c r="M2610" s="31"/>
      <c r="N2610" s="31"/>
      <c r="O2610" s="2" t="s">
        <v>425</v>
      </c>
    </row>
    <row r="2611" spans="1:15">
      <c r="A2611" s="3">
        <f t="shared" si="42"/>
        <v>2610</v>
      </c>
      <c r="B2611" s="67" t="s">
        <v>4055</v>
      </c>
      <c r="C2611" s="4">
        <v>8019496330</v>
      </c>
      <c r="D2611" s="6"/>
      <c r="E2611" s="4" t="s">
        <v>4054</v>
      </c>
      <c r="F2611" s="67" t="s">
        <v>278</v>
      </c>
      <c r="G2611" s="2" t="s">
        <v>424</v>
      </c>
      <c r="H2611" s="2" t="s">
        <v>296</v>
      </c>
      <c r="I2611" s="4" t="s">
        <v>94</v>
      </c>
      <c r="J2611" s="31">
        <v>45775</v>
      </c>
      <c r="K2611" s="31">
        <v>45784</v>
      </c>
      <c r="L2611" s="31"/>
      <c r="M2611" s="31"/>
      <c r="N2611" s="31"/>
      <c r="O2611" s="2" t="s">
        <v>425</v>
      </c>
    </row>
    <row r="2612" spans="1:15">
      <c r="A2612" s="3">
        <f t="shared" si="42"/>
        <v>2611</v>
      </c>
      <c r="B2612" s="67" t="s">
        <v>4056</v>
      </c>
      <c r="C2612" s="4">
        <v>7036254614</v>
      </c>
      <c r="D2612" s="6"/>
      <c r="E2612" s="4" t="s">
        <v>3935</v>
      </c>
      <c r="F2612" s="67" t="s">
        <v>4057</v>
      </c>
      <c r="G2612" s="3" t="s">
        <v>1175</v>
      </c>
      <c r="H2612" s="2" t="s">
        <v>3797</v>
      </c>
      <c r="I2612" s="4" t="s">
        <v>94</v>
      </c>
      <c r="J2612" s="31">
        <v>45775</v>
      </c>
      <c r="K2612" s="31"/>
      <c r="L2612" s="31"/>
      <c r="M2612" s="31"/>
      <c r="N2612" s="31"/>
      <c r="O2612" s="2" t="s">
        <v>1004</v>
      </c>
    </row>
    <row r="2613" spans="1:15">
      <c r="A2613" s="3">
        <f t="shared" si="42"/>
        <v>2612</v>
      </c>
      <c r="B2613" s="67" t="s">
        <v>4058</v>
      </c>
      <c r="C2613" s="4">
        <v>9182808620</v>
      </c>
      <c r="D2613" s="6"/>
      <c r="E2613" s="4" t="s">
        <v>4059</v>
      </c>
      <c r="F2613" s="67" t="s">
        <v>4060</v>
      </c>
      <c r="G2613" s="3" t="s">
        <v>1175</v>
      </c>
      <c r="H2613" s="2" t="s">
        <v>3797</v>
      </c>
      <c r="I2613" s="4" t="s">
        <v>94</v>
      </c>
      <c r="J2613" s="31">
        <v>45775</v>
      </c>
      <c r="K2613" s="31"/>
      <c r="L2613" s="31"/>
      <c r="M2613" s="31"/>
      <c r="N2613" s="31"/>
      <c r="O2613" s="2" t="s">
        <v>1004</v>
      </c>
    </row>
    <row r="2614" spans="1:15">
      <c r="A2614" s="3">
        <f t="shared" si="42"/>
        <v>2613</v>
      </c>
      <c r="B2614" s="67" t="s">
        <v>4061</v>
      </c>
      <c r="C2614" s="4">
        <v>9966168258</v>
      </c>
      <c r="D2614" s="6"/>
      <c r="E2614" s="4" t="s">
        <v>3925</v>
      </c>
      <c r="F2614" s="67" t="s">
        <v>4062</v>
      </c>
      <c r="G2614" s="3" t="s">
        <v>1175</v>
      </c>
      <c r="H2614" s="2" t="s">
        <v>3797</v>
      </c>
      <c r="I2614" s="4" t="s">
        <v>94</v>
      </c>
      <c r="J2614" s="31">
        <v>45775</v>
      </c>
      <c r="K2614" s="31"/>
      <c r="L2614" s="31"/>
      <c r="M2614" s="31"/>
      <c r="N2614" s="31"/>
      <c r="O2614" s="2" t="s">
        <v>1004</v>
      </c>
    </row>
    <row r="2615" spans="1:15">
      <c r="A2615" s="3">
        <f t="shared" si="42"/>
        <v>2614</v>
      </c>
      <c r="B2615" s="67" t="s">
        <v>4063</v>
      </c>
      <c r="C2615" s="4">
        <v>7569977959</v>
      </c>
      <c r="D2615" s="6"/>
      <c r="E2615" s="4" t="s">
        <v>3925</v>
      </c>
      <c r="F2615" s="67" t="s">
        <v>4064</v>
      </c>
      <c r="G2615" s="3" t="s">
        <v>1175</v>
      </c>
      <c r="H2615" s="2" t="s">
        <v>3797</v>
      </c>
      <c r="I2615" s="4" t="s">
        <v>94</v>
      </c>
      <c r="J2615" s="31">
        <v>45775</v>
      </c>
      <c r="K2615" s="31"/>
      <c r="L2615" s="31"/>
      <c r="M2615" s="31"/>
      <c r="N2615" s="31"/>
      <c r="O2615" s="2" t="s">
        <v>1004</v>
      </c>
    </row>
    <row r="2616" spans="1:15">
      <c r="A2616" s="3">
        <f t="shared" si="42"/>
        <v>2615</v>
      </c>
      <c r="B2616" s="67" t="s">
        <v>4065</v>
      </c>
      <c r="C2616" s="4">
        <v>8074117224</v>
      </c>
      <c r="D2616" s="6"/>
      <c r="E2616" s="4" t="s">
        <v>4059</v>
      </c>
      <c r="F2616" s="67" t="s">
        <v>4066</v>
      </c>
      <c r="G2616" s="3" t="s">
        <v>1175</v>
      </c>
      <c r="H2616" s="2" t="s">
        <v>3797</v>
      </c>
      <c r="I2616" s="4" t="s">
        <v>94</v>
      </c>
      <c r="J2616" s="31">
        <v>45775</v>
      </c>
      <c r="K2616" s="31"/>
      <c r="L2616" s="31"/>
      <c r="M2616" s="31"/>
      <c r="N2616" s="31"/>
      <c r="O2616" s="2" t="s">
        <v>1004</v>
      </c>
    </row>
    <row r="2617" spans="1:15">
      <c r="A2617" s="3">
        <f t="shared" si="42"/>
        <v>2616</v>
      </c>
      <c r="B2617" s="67" t="s">
        <v>4067</v>
      </c>
      <c r="C2617" s="4">
        <v>8328591143</v>
      </c>
      <c r="D2617" s="6"/>
      <c r="E2617" s="4" t="s">
        <v>4059</v>
      </c>
      <c r="F2617" s="67" t="s">
        <v>4060</v>
      </c>
      <c r="G2617" s="3" t="s">
        <v>1175</v>
      </c>
      <c r="H2617" s="2" t="s">
        <v>3797</v>
      </c>
      <c r="I2617" s="4" t="s">
        <v>94</v>
      </c>
      <c r="J2617" s="31">
        <v>45775</v>
      </c>
      <c r="K2617" s="31"/>
      <c r="L2617" s="31"/>
      <c r="M2617" s="31"/>
      <c r="N2617" s="31"/>
      <c r="O2617" s="2" t="s">
        <v>1004</v>
      </c>
    </row>
    <row r="2618" spans="1:15">
      <c r="A2618" s="3">
        <f t="shared" si="42"/>
        <v>2617</v>
      </c>
      <c r="B2618" s="67" t="s">
        <v>4068</v>
      </c>
      <c r="C2618" s="4">
        <v>9491430427</v>
      </c>
      <c r="D2618" s="6"/>
      <c r="E2618" s="4" t="s">
        <v>52</v>
      </c>
      <c r="F2618" s="67" t="s">
        <v>4069</v>
      </c>
      <c r="G2618" s="2" t="s">
        <v>424</v>
      </c>
      <c r="H2618" s="2" t="s">
        <v>679</v>
      </c>
      <c r="I2618" s="4" t="s">
        <v>42</v>
      </c>
      <c r="J2618" s="31">
        <v>45775</v>
      </c>
      <c r="K2618" s="31">
        <v>45776</v>
      </c>
      <c r="L2618" s="31"/>
      <c r="M2618" s="31"/>
      <c r="N2618" s="31"/>
      <c r="O2618" s="2" t="s">
        <v>425</v>
      </c>
    </row>
    <row r="2619" spans="1:15">
      <c r="A2619" s="3">
        <f t="shared" si="42"/>
        <v>2618</v>
      </c>
      <c r="B2619" s="67" t="s">
        <v>4070</v>
      </c>
      <c r="C2619" s="4">
        <v>9959918441</v>
      </c>
      <c r="D2619" s="6"/>
      <c r="E2619" s="4" t="s">
        <v>52</v>
      </c>
      <c r="F2619" s="67" t="s">
        <v>4011</v>
      </c>
      <c r="G2619" s="2" t="s">
        <v>764</v>
      </c>
      <c r="H2619" s="2" t="s">
        <v>679</v>
      </c>
      <c r="I2619" s="4" t="s">
        <v>42</v>
      </c>
      <c r="J2619" s="31">
        <v>45775</v>
      </c>
      <c r="K2619" s="31">
        <v>45777</v>
      </c>
      <c r="L2619" s="31"/>
      <c r="M2619" s="31"/>
      <c r="N2619" s="31"/>
      <c r="O2619" s="2" t="s">
        <v>425</v>
      </c>
    </row>
    <row r="2620" spans="1:15">
      <c r="A2620" s="3">
        <f t="shared" si="42"/>
        <v>2619</v>
      </c>
      <c r="B2620" s="67" t="s">
        <v>4071</v>
      </c>
      <c r="C2620" s="4">
        <v>9440631806</v>
      </c>
      <c r="D2620" s="6"/>
      <c r="E2620" s="4" t="s">
        <v>52</v>
      </c>
      <c r="F2620" s="67" t="s">
        <v>4011</v>
      </c>
      <c r="G2620" s="2" t="s">
        <v>764</v>
      </c>
      <c r="H2620" s="2" t="s">
        <v>679</v>
      </c>
      <c r="I2620" s="4" t="s">
        <v>42</v>
      </c>
      <c r="J2620" s="31">
        <v>45775</v>
      </c>
      <c r="K2620" s="31">
        <v>45793</v>
      </c>
      <c r="L2620" s="31"/>
      <c r="M2620" s="31"/>
      <c r="N2620" s="31"/>
      <c r="O2620" s="2" t="s">
        <v>425</v>
      </c>
    </row>
    <row r="2621" spans="1:15">
      <c r="A2621" s="3">
        <f t="shared" si="42"/>
        <v>2620</v>
      </c>
      <c r="B2621" s="67" t="s">
        <v>4072</v>
      </c>
      <c r="C2621" s="4">
        <v>9992833159</v>
      </c>
      <c r="D2621" s="6"/>
      <c r="E2621" s="4" t="s">
        <v>2375</v>
      </c>
      <c r="F2621" s="67" t="s">
        <v>303</v>
      </c>
      <c r="G2621" s="2" t="s">
        <v>18</v>
      </c>
      <c r="H2621" s="2" t="s">
        <v>913</v>
      </c>
      <c r="I2621" s="4" t="s">
        <v>94</v>
      </c>
      <c r="J2621" s="31">
        <v>45775</v>
      </c>
      <c r="K2621" s="31">
        <v>45784</v>
      </c>
      <c r="L2621" s="31"/>
      <c r="M2621" s="31"/>
      <c r="N2621" s="31"/>
      <c r="O2621" s="2" t="s">
        <v>297</v>
      </c>
    </row>
    <row r="2622" spans="1:15">
      <c r="A2622" s="3">
        <f t="shared" si="42"/>
        <v>2621</v>
      </c>
      <c r="B2622" s="67" t="s">
        <v>4073</v>
      </c>
      <c r="C2622" s="4">
        <v>7828026898</v>
      </c>
      <c r="D2622" s="6"/>
      <c r="E2622" s="4" t="s">
        <v>2375</v>
      </c>
      <c r="F2622" s="67" t="s">
        <v>303</v>
      </c>
      <c r="G2622" s="2" t="s">
        <v>424</v>
      </c>
      <c r="H2622" s="2" t="s">
        <v>913</v>
      </c>
      <c r="I2622" s="4" t="s">
        <v>94</v>
      </c>
      <c r="J2622" s="31">
        <v>45775</v>
      </c>
      <c r="K2622" s="31">
        <v>45784</v>
      </c>
      <c r="L2622" s="31"/>
      <c r="M2622" s="31"/>
      <c r="N2622" s="31"/>
      <c r="O2622" s="2" t="s">
        <v>425</v>
      </c>
    </row>
    <row r="2623" spans="1:15">
      <c r="A2623" s="3">
        <f t="shared" si="42"/>
        <v>2622</v>
      </c>
      <c r="B2623" s="67" t="s">
        <v>4074</v>
      </c>
      <c r="C2623" s="4">
        <v>8348679348</v>
      </c>
      <c r="D2623" s="6"/>
      <c r="E2623" s="4" t="s">
        <v>640</v>
      </c>
      <c r="F2623" s="67" t="s">
        <v>294</v>
      </c>
      <c r="G2623" s="2" t="s">
        <v>764</v>
      </c>
      <c r="H2623" s="2" t="s">
        <v>630</v>
      </c>
      <c r="I2623" s="4" t="s">
        <v>94</v>
      </c>
      <c r="J2623" s="31">
        <v>45775</v>
      </c>
      <c r="K2623" s="31">
        <v>45779</v>
      </c>
      <c r="L2623" s="31"/>
      <c r="M2623" s="31"/>
      <c r="N2623" s="31"/>
      <c r="O2623" s="2" t="s">
        <v>425</v>
      </c>
    </row>
    <row r="2624" spans="1:15">
      <c r="A2624" s="3">
        <f t="shared" si="42"/>
        <v>2623</v>
      </c>
      <c r="B2624" s="67" t="s">
        <v>4075</v>
      </c>
      <c r="C2624" s="4">
        <v>6297061149</v>
      </c>
      <c r="D2624" s="6"/>
      <c r="E2624" s="4" t="s">
        <v>640</v>
      </c>
      <c r="F2624" s="67" t="s">
        <v>294</v>
      </c>
      <c r="G2624" s="2" t="s">
        <v>16</v>
      </c>
      <c r="H2624" s="2" t="s">
        <v>630</v>
      </c>
      <c r="I2624" s="4" t="s">
        <v>94</v>
      </c>
      <c r="J2624" s="31">
        <v>45775</v>
      </c>
      <c r="K2624" s="31">
        <v>45779</v>
      </c>
      <c r="L2624" s="31">
        <v>45784</v>
      </c>
      <c r="M2624" s="31">
        <v>45802</v>
      </c>
      <c r="N2624" s="31">
        <v>45802</v>
      </c>
      <c r="O2624" s="2" t="s">
        <v>297</v>
      </c>
    </row>
    <row r="2625" spans="1:15">
      <c r="A2625" s="3">
        <f t="shared" si="42"/>
        <v>2624</v>
      </c>
      <c r="B2625" s="67" t="s">
        <v>4076</v>
      </c>
      <c r="C2625" s="4">
        <v>8297787247</v>
      </c>
      <c r="D2625" s="6"/>
      <c r="E2625" s="4" t="s">
        <v>4077</v>
      </c>
      <c r="F2625" s="67" t="s">
        <v>4078</v>
      </c>
      <c r="G2625" s="2" t="s">
        <v>16</v>
      </c>
      <c r="H2625" s="2" t="s">
        <v>3794</v>
      </c>
      <c r="I2625" s="4" t="s">
        <v>94</v>
      </c>
      <c r="J2625" s="31">
        <v>45775</v>
      </c>
      <c r="K2625" s="31">
        <v>45776</v>
      </c>
      <c r="L2625" s="31">
        <v>45792</v>
      </c>
      <c r="M2625" s="31">
        <v>45803</v>
      </c>
      <c r="N2625" s="31">
        <v>45803</v>
      </c>
      <c r="O2625" s="2" t="s">
        <v>297</v>
      </c>
    </row>
    <row r="2626" spans="1:15">
      <c r="A2626" s="3">
        <f t="shared" si="42"/>
        <v>2625</v>
      </c>
      <c r="B2626" s="67" t="s">
        <v>4079</v>
      </c>
      <c r="C2626" s="4">
        <v>8651125361</v>
      </c>
      <c r="D2626" s="6"/>
      <c r="E2626" s="4" t="s">
        <v>4077</v>
      </c>
      <c r="F2626" s="67" t="s">
        <v>308</v>
      </c>
      <c r="G2626" s="2" t="s">
        <v>424</v>
      </c>
      <c r="H2626" s="2" t="s">
        <v>3794</v>
      </c>
      <c r="I2626" s="4" t="s">
        <v>94</v>
      </c>
      <c r="J2626" s="31">
        <v>45775</v>
      </c>
      <c r="K2626" s="31">
        <v>45776</v>
      </c>
      <c r="L2626" s="31"/>
      <c r="M2626" s="31"/>
      <c r="N2626" s="31"/>
      <c r="O2626" s="2" t="s">
        <v>425</v>
      </c>
    </row>
    <row r="2627" spans="1:15">
      <c r="A2627" s="3">
        <f t="shared" si="42"/>
        <v>2626</v>
      </c>
      <c r="B2627" s="67" t="s">
        <v>4080</v>
      </c>
      <c r="C2627" s="4">
        <v>8333080148</v>
      </c>
      <c r="D2627" s="6"/>
      <c r="E2627" s="4" t="s">
        <v>4077</v>
      </c>
      <c r="F2627" s="67" t="s">
        <v>308</v>
      </c>
      <c r="G2627" s="2" t="s">
        <v>16</v>
      </c>
      <c r="H2627" s="2" t="s">
        <v>3794</v>
      </c>
      <c r="I2627" s="4" t="s">
        <v>94</v>
      </c>
      <c r="J2627" s="31">
        <v>45775</v>
      </c>
      <c r="K2627" s="31">
        <v>45776</v>
      </c>
      <c r="L2627" s="31">
        <v>45784</v>
      </c>
      <c r="M2627" s="31">
        <v>45789</v>
      </c>
      <c r="N2627" s="31">
        <v>45789</v>
      </c>
      <c r="O2627" s="2" t="s">
        <v>297</v>
      </c>
    </row>
    <row r="2628" spans="1:15">
      <c r="A2628" s="3">
        <f t="shared" si="42"/>
        <v>2627</v>
      </c>
      <c r="B2628" s="67" t="s">
        <v>1016</v>
      </c>
      <c r="C2628" s="4">
        <v>9093064001</v>
      </c>
      <c r="D2628" s="6"/>
      <c r="E2628" s="4" t="s">
        <v>3925</v>
      </c>
      <c r="F2628" s="67" t="s">
        <v>463</v>
      </c>
      <c r="G2628" s="3" t="s">
        <v>295</v>
      </c>
      <c r="H2628" s="2" t="s">
        <v>3797</v>
      </c>
      <c r="I2628" s="4" t="s">
        <v>94</v>
      </c>
      <c r="J2628" s="31">
        <v>45766</v>
      </c>
      <c r="K2628" s="31">
        <v>45769</v>
      </c>
      <c r="L2628" s="31">
        <v>45775</v>
      </c>
      <c r="M2628" s="31">
        <v>45785</v>
      </c>
      <c r="N2628" s="31"/>
      <c r="O2628" s="2" t="s">
        <v>297</v>
      </c>
    </row>
    <row r="2629" spans="1:15">
      <c r="A2629" s="3">
        <f t="shared" si="42"/>
        <v>2628</v>
      </c>
      <c r="B2629" s="67" t="s">
        <v>4081</v>
      </c>
      <c r="C2629" s="4">
        <v>9967412505</v>
      </c>
      <c r="D2629" s="6"/>
      <c r="E2629" s="4" t="s">
        <v>1574</v>
      </c>
      <c r="F2629" s="67" t="s">
        <v>4082</v>
      </c>
      <c r="G2629" s="2" t="s">
        <v>16</v>
      </c>
      <c r="H2629" s="2" t="s">
        <v>1605</v>
      </c>
      <c r="I2629" s="4" t="s">
        <v>94</v>
      </c>
      <c r="J2629" s="31">
        <v>45766</v>
      </c>
      <c r="K2629" s="31">
        <v>45769</v>
      </c>
      <c r="L2629" s="31">
        <v>45775</v>
      </c>
      <c r="M2629" s="31">
        <v>45805</v>
      </c>
      <c r="N2629" s="31">
        <v>45804</v>
      </c>
      <c r="O2629" s="2" t="s">
        <v>297</v>
      </c>
    </row>
    <row r="2630" spans="1:15">
      <c r="A2630" s="3">
        <f t="shared" si="42"/>
        <v>2629</v>
      </c>
      <c r="B2630" s="67" t="s">
        <v>4083</v>
      </c>
      <c r="C2630" s="4">
        <v>7780434158</v>
      </c>
      <c r="D2630" s="6"/>
      <c r="E2630" s="4" t="s">
        <v>3935</v>
      </c>
      <c r="F2630" s="67" t="s">
        <v>329</v>
      </c>
      <c r="G2630" s="3" t="s">
        <v>1175</v>
      </c>
      <c r="H2630" s="2" t="s">
        <v>3797</v>
      </c>
      <c r="I2630" s="4" t="s">
        <v>94</v>
      </c>
      <c r="J2630" s="31">
        <v>45776</v>
      </c>
      <c r="K2630" s="31"/>
      <c r="L2630" s="31"/>
      <c r="M2630" s="31"/>
      <c r="N2630" s="31"/>
      <c r="O2630" s="2" t="s">
        <v>1004</v>
      </c>
    </row>
    <row r="2631" spans="1:15">
      <c r="A2631" s="3">
        <f t="shared" si="42"/>
        <v>2630</v>
      </c>
      <c r="B2631" s="67" t="s">
        <v>4084</v>
      </c>
      <c r="C2631" s="4">
        <v>9346272443</v>
      </c>
      <c r="D2631" s="6"/>
      <c r="E2631" s="4" t="s">
        <v>3935</v>
      </c>
      <c r="F2631" s="67" t="s">
        <v>329</v>
      </c>
      <c r="G2631" s="3" t="s">
        <v>1175</v>
      </c>
      <c r="H2631" s="2" t="s">
        <v>3797</v>
      </c>
      <c r="I2631" s="4" t="s">
        <v>94</v>
      </c>
      <c r="J2631" s="31">
        <v>45776</v>
      </c>
      <c r="K2631" s="31"/>
      <c r="L2631" s="31"/>
      <c r="M2631" s="31"/>
      <c r="N2631" s="31"/>
      <c r="O2631" s="2" t="s">
        <v>1004</v>
      </c>
    </row>
    <row r="2632" spans="1:15">
      <c r="A2632" s="3">
        <f t="shared" si="42"/>
        <v>2631</v>
      </c>
      <c r="B2632" s="67" t="s">
        <v>4085</v>
      </c>
      <c r="C2632" s="4">
        <v>8005694748</v>
      </c>
      <c r="D2632" s="6"/>
      <c r="E2632" s="4" t="s">
        <v>1926</v>
      </c>
      <c r="F2632" s="67" t="s">
        <v>4086</v>
      </c>
      <c r="G2632" s="2" t="s">
        <v>424</v>
      </c>
      <c r="H2632" s="2" t="s">
        <v>368</v>
      </c>
      <c r="I2632" s="4" t="s">
        <v>94</v>
      </c>
      <c r="J2632" s="31">
        <v>45776</v>
      </c>
      <c r="K2632" s="31">
        <v>45777</v>
      </c>
      <c r="L2632" s="31"/>
      <c r="M2632" s="31"/>
      <c r="N2632" s="31"/>
      <c r="O2632" s="2" t="s">
        <v>425</v>
      </c>
    </row>
    <row r="2633" spans="1:15">
      <c r="A2633" s="3">
        <f t="shared" si="42"/>
        <v>2632</v>
      </c>
      <c r="B2633" s="67" t="s">
        <v>4087</v>
      </c>
      <c r="C2633" s="4">
        <v>9190228909</v>
      </c>
      <c r="D2633" s="6"/>
      <c r="E2633" s="4" t="s">
        <v>1824</v>
      </c>
      <c r="F2633" s="67" t="s">
        <v>142</v>
      </c>
      <c r="G2633" s="3" t="s">
        <v>1175</v>
      </c>
      <c r="H2633" s="2" t="s">
        <v>94</v>
      </c>
      <c r="I2633" s="4" t="s">
        <v>94</v>
      </c>
      <c r="J2633" s="31">
        <v>45776</v>
      </c>
      <c r="K2633" s="31"/>
      <c r="L2633" s="31"/>
      <c r="M2633" s="31"/>
      <c r="N2633" s="31"/>
      <c r="O2633" s="2" t="s">
        <v>1004</v>
      </c>
    </row>
    <row r="2634" spans="1:15">
      <c r="A2634" s="3">
        <f t="shared" si="42"/>
        <v>2633</v>
      </c>
      <c r="B2634" s="67" t="s">
        <v>4088</v>
      </c>
      <c r="C2634" s="4">
        <v>7008799784</v>
      </c>
      <c r="D2634" s="6">
        <v>8223016130</v>
      </c>
      <c r="E2634" s="4" t="s">
        <v>1824</v>
      </c>
      <c r="F2634" s="67" t="s">
        <v>142</v>
      </c>
      <c r="G2634" s="3" t="s">
        <v>16</v>
      </c>
      <c r="H2634" s="2" t="s">
        <v>94</v>
      </c>
      <c r="I2634" s="4" t="s">
        <v>94</v>
      </c>
      <c r="J2634" s="31">
        <v>45776</v>
      </c>
      <c r="K2634" s="31">
        <v>45790</v>
      </c>
      <c r="L2634" s="31">
        <v>45792</v>
      </c>
      <c r="M2634" s="31">
        <v>45818</v>
      </c>
      <c r="N2634" s="31">
        <v>45813</v>
      </c>
      <c r="O2634" s="2" t="s">
        <v>297</v>
      </c>
    </row>
    <row r="2635" spans="1:15">
      <c r="A2635" s="3">
        <f t="shared" si="42"/>
        <v>2634</v>
      </c>
      <c r="B2635" s="67" t="s">
        <v>4089</v>
      </c>
      <c r="C2635" s="4">
        <v>8535096092</v>
      </c>
      <c r="D2635" s="6">
        <v>8650070350</v>
      </c>
      <c r="E2635" s="4" t="s">
        <v>359</v>
      </c>
      <c r="F2635" s="67" t="s">
        <v>360</v>
      </c>
      <c r="G2635" s="2" t="s">
        <v>295</v>
      </c>
      <c r="H2635" s="2" t="s">
        <v>361</v>
      </c>
      <c r="I2635" s="4" t="s">
        <v>94</v>
      </c>
      <c r="J2635" s="31">
        <v>45776</v>
      </c>
      <c r="K2635" s="31">
        <v>45784</v>
      </c>
      <c r="L2635" s="31">
        <v>45786</v>
      </c>
      <c r="M2635" s="31">
        <v>45827</v>
      </c>
      <c r="N2635" s="31"/>
      <c r="O2635" s="2" t="s">
        <v>297</v>
      </c>
    </row>
    <row r="2636" spans="1:15">
      <c r="A2636" s="3">
        <f t="shared" si="42"/>
        <v>2635</v>
      </c>
      <c r="B2636" s="67" t="s">
        <v>4090</v>
      </c>
      <c r="C2636" s="4">
        <v>9131307579</v>
      </c>
      <c r="D2636" s="6"/>
      <c r="E2636" s="4" t="s">
        <v>1108</v>
      </c>
      <c r="F2636" s="67" t="s">
        <v>1109</v>
      </c>
      <c r="G2636" s="2" t="s">
        <v>764</v>
      </c>
      <c r="H2636" s="2" t="s">
        <v>815</v>
      </c>
      <c r="I2636" s="4" t="s">
        <v>94</v>
      </c>
      <c r="J2636" s="31">
        <v>45776</v>
      </c>
      <c r="K2636" s="31">
        <v>45777</v>
      </c>
      <c r="L2636" s="31"/>
      <c r="M2636" s="31"/>
      <c r="N2636" s="31"/>
      <c r="O2636" s="2" t="s">
        <v>425</v>
      </c>
    </row>
    <row r="2637" spans="1:15">
      <c r="A2637" s="3">
        <f t="shared" si="42"/>
        <v>2636</v>
      </c>
      <c r="B2637" s="67" t="s">
        <v>4091</v>
      </c>
      <c r="C2637" s="4">
        <v>9702286152</v>
      </c>
      <c r="D2637" s="6"/>
      <c r="E2637" s="4" t="s">
        <v>1108</v>
      </c>
      <c r="F2637" s="67" t="s">
        <v>1109</v>
      </c>
      <c r="G2637" s="2" t="s">
        <v>18</v>
      </c>
      <c r="H2637" s="2" t="s">
        <v>815</v>
      </c>
      <c r="I2637" s="4" t="s">
        <v>94</v>
      </c>
      <c r="J2637" s="31">
        <v>45776</v>
      </c>
      <c r="K2637" s="31">
        <v>45777</v>
      </c>
      <c r="L2637" s="31"/>
      <c r="M2637" s="31"/>
      <c r="N2637" s="31"/>
      <c r="O2637" s="2" t="s">
        <v>297</v>
      </c>
    </row>
    <row r="2638" spans="1:15">
      <c r="A2638" s="3">
        <f t="shared" si="42"/>
        <v>2637</v>
      </c>
      <c r="B2638" s="67" t="s">
        <v>4092</v>
      </c>
      <c r="C2638" s="4">
        <v>9440407232</v>
      </c>
      <c r="D2638" s="6"/>
      <c r="E2638" s="4" t="s">
        <v>1540</v>
      </c>
      <c r="F2638" s="67" t="s">
        <v>4011</v>
      </c>
      <c r="G2638" s="2" t="s">
        <v>424</v>
      </c>
      <c r="H2638" s="2" t="s">
        <v>785</v>
      </c>
      <c r="I2638" s="4" t="s">
        <v>42</v>
      </c>
      <c r="J2638" s="31">
        <v>45777</v>
      </c>
      <c r="K2638" s="31">
        <v>45782</v>
      </c>
      <c r="L2638" s="31"/>
      <c r="M2638" s="31"/>
      <c r="N2638" s="31"/>
      <c r="O2638" s="2" t="s">
        <v>425</v>
      </c>
    </row>
    <row r="2639" spans="1:15">
      <c r="A2639" s="3">
        <f t="shared" si="42"/>
        <v>2638</v>
      </c>
      <c r="B2639" s="67" t="s">
        <v>4093</v>
      </c>
      <c r="C2639" s="4">
        <v>9949837333</v>
      </c>
      <c r="D2639" s="6"/>
      <c r="E2639" s="4" t="s">
        <v>1540</v>
      </c>
      <c r="F2639" s="67" t="s">
        <v>4094</v>
      </c>
      <c r="G2639" s="2" t="s">
        <v>424</v>
      </c>
      <c r="H2639" s="2" t="s">
        <v>785</v>
      </c>
      <c r="I2639" s="4" t="s">
        <v>42</v>
      </c>
      <c r="J2639" s="31">
        <v>45777</v>
      </c>
      <c r="K2639" s="31">
        <v>45793</v>
      </c>
      <c r="L2639" s="31"/>
      <c r="M2639" s="31"/>
      <c r="N2639" s="31"/>
      <c r="O2639" s="2" t="s">
        <v>425</v>
      </c>
    </row>
    <row r="2640" spans="1:15">
      <c r="A2640" s="3">
        <f t="shared" si="42"/>
        <v>2639</v>
      </c>
      <c r="B2640" s="67" t="s">
        <v>4095</v>
      </c>
      <c r="C2640" s="4">
        <v>8492938098</v>
      </c>
      <c r="D2640" s="6"/>
      <c r="E2640" s="4" t="s">
        <v>2716</v>
      </c>
      <c r="F2640" s="67" t="s">
        <v>3061</v>
      </c>
      <c r="G2640" s="2" t="s">
        <v>16</v>
      </c>
      <c r="H2640" s="2" t="s">
        <v>487</v>
      </c>
      <c r="I2640" s="3" t="s">
        <v>88</v>
      </c>
      <c r="J2640" s="31">
        <v>45740</v>
      </c>
      <c r="K2640" s="31">
        <v>45767</v>
      </c>
      <c r="L2640" s="31">
        <v>45777</v>
      </c>
      <c r="M2640" s="31">
        <v>45823</v>
      </c>
      <c r="N2640" s="31">
        <v>45823</v>
      </c>
      <c r="O2640" s="2" t="s">
        <v>297</v>
      </c>
    </row>
    <row r="2641" spans="1:15">
      <c r="A2641" s="3">
        <f t="shared" si="42"/>
        <v>2640</v>
      </c>
      <c r="B2641" s="67" t="s">
        <v>4096</v>
      </c>
      <c r="C2641" s="4">
        <v>9391834677</v>
      </c>
      <c r="D2641" s="6"/>
      <c r="E2641" s="4" t="s">
        <v>99</v>
      </c>
      <c r="F2641" s="67" t="s">
        <v>1765</v>
      </c>
      <c r="G2641" s="2" t="s">
        <v>424</v>
      </c>
      <c r="H2641" s="2" t="s">
        <v>361</v>
      </c>
      <c r="I2641" s="4" t="s">
        <v>42</v>
      </c>
      <c r="J2641" s="31">
        <v>45777</v>
      </c>
      <c r="K2641" s="31">
        <v>45842</v>
      </c>
      <c r="L2641" s="31"/>
      <c r="M2641" s="31"/>
      <c r="N2641" s="31"/>
      <c r="O2641" s="2" t="s">
        <v>749</v>
      </c>
    </row>
    <row r="2642" spans="1:15">
      <c r="A2642" s="3">
        <f t="shared" si="42"/>
        <v>2641</v>
      </c>
      <c r="B2642" s="67" t="s">
        <v>4097</v>
      </c>
      <c r="C2642" s="4">
        <v>8019728471</v>
      </c>
      <c r="D2642" s="6">
        <v>9441747699</v>
      </c>
      <c r="E2642" s="4" t="s">
        <v>59</v>
      </c>
      <c r="F2642" s="67" t="s">
        <v>4098</v>
      </c>
      <c r="G2642" s="2" t="s">
        <v>16</v>
      </c>
      <c r="H2642" s="2" t="s">
        <v>660</v>
      </c>
      <c r="I2642" s="4" t="s">
        <v>42</v>
      </c>
      <c r="J2642" s="31">
        <v>45777</v>
      </c>
      <c r="K2642" s="31">
        <v>45777</v>
      </c>
      <c r="L2642" s="31">
        <v>45777</v>
      </c>
      <c r="M2642" s="31">
        <v>45796</v>
      </c>
      <c r="N2642" s="31">
        <v>45796</v>
      </c>
      <c r="O2642" s="2" t="s">
        <v>297</v>
      </c>
    </row>
    <row r="2643" spans="1:15">
      <c r="A2643" s="3">
        <f t="shared" si="42"/>
        <v>2642</v>
      </c>
      <c r="B2643" s="67" t="s">
        <v>4099</v>
      </c>
      <c r="C2643" s="4">
        <v>9959798889</v>
      </c>
      <c r="D2643" s="6"/>
      <c r="E2643" s="4" t="s">
        <v>52</v>
      </c>
      <c r="F2643" s="67" t="s">
        <v>972</v>
      </c>
      <c r="G2643" s="2" t="s">
        <v>424</v>
      </c>
      <c r="H2643" s="2" t="s">
        <v>660</v>
      </c>
      <c r="I2643" s="4" t="s">
        <v>42</v>
      </c>
      <c r="J2643" s="31">
        <v>45777</v>
      </c>
      <c r="K2643" s="31">
        <v>45777</v>
      </c>
      <c r="L2643" s="31"/>
      <c r="M2643" s="31"/>
      <c r="N2643" s="31"/>
      <c r="O2643" s="2" t="s">
        <v>749</v>
      </c>
    </row>
    <row r="2644" spans="1:15">
      <c r="A2644" s="3">
        <f t="shared" si="42"/>
        <v>2643</v>
      </c>
      <c r="B2644" s="67" t="s">
        <v>4100</v>
      </c>
      <c r="C2644" s="4">
        <v>8328150906</v>
      </c>
      <c r="D2644" s="6"/>
      <c r="E2644" s="17" t="s">
        <v>59</v>
      </c>
      <c r="F2644" s="67" t="s">
        <v>972</v>
      </c>
      <c r="G2644" s="2" t="s">
        <v>16</v>
      </c>
      <c r="H2644" s="2" t="s">
        <v>660</v>
      </c>
      <c r="I2644" s="4" t="s">
        <v>42</v>
      </c>
      <c r="J2644" s="31">
        <v>45777</v>
      </c>
      <c r="K2644" s="31">
        <v>45777</v>
      </c>
      <c r="L2644" s="31">
        <v>45779</v>
      </c>
      <c r="M2644" s="31">
        <v>45802</v>
      </c>
      <c r="N2644" s="31">
        <v>45799</v>
      </c>
      <c r="O2644" s="2" t="s">
        <v>297</v>
      </c>
    </row>
    <row r="2645" spans="1:15">
      <c r="A2645" s="3">
        <f t="shared" si="42"/>
        <v>2644</v>
      </c>
      <c r="B2645" s="67" t="s">
        <v>4101</v>
      </c>
      <c r="C2645" s="4">
        <v>9912374284</v>
      </c>
      <c r="D2645" s="6"/>
      <c r="E2645" s="17" t="s">
        <v>59</v>
      </c>
      <c r="F2645" s="67" t="s">
        <v>3655</v>
      </c>
      <c r="G2645" s="2" t="s">
        <v>16</v>
      </c>
      <c r="H2645" s="2" t="s">
        <v>660</v>
      </c>
      <c r="I2645" s="4" t="s">
        <v>42</v>
      </c>
      <c r="J2645" s="31">
        <v>45777</v>
      </c>
      <c r="K2645" s="31">
        <v>45777</v>
      </c>
      <c r="L2645" s="31">
        <v>45779</v>
      </c>
      <c r="M2645" s="31">
        <v>45787</v>
      </c>
      <c r="N2645" s="31">
        <v>45789</v>
      </c>
      <c r="O2645" s="2" t="s">
        <v>297</v>
      </c>
    </row>
    <row r="2646" spans="1:15">
      <c r="A2646" s="3">
        <f t="shared" si="42"/>
        <v>2645</v>
      </c>
      <c r="B2646" s="67" t="s">
        <v>4102</v>
      </c>
      <c r="C2646" s="4">
        <v>9679675674</v>
      </c>
      <c r="D2646" s="6"/>
      <c r="E2646" s="4" t="s">
        <v>3852</v>
      </c>
      <c r="F2646" s="67" t="s">
        <v>3853</v>
      </c>
      <c r="G2646" s="2" t="s">
        <v>764</v>
      </c>
      <c r="H2646" s="2" t="s">
        <v>3854</v>
      </c>
      <c r="I2646" s="4" t="s">
        <v>88</v>
      </c>
      <c r="J2646" s="31">
        <v>45778</v>
      </c>
      <c r="K2646" s="31">
        <v>45833</v>
      </c>
      <c r="L2646" s="31"/>
      <c r="M2646" s="31"/>
      <c r="N2646" s="31"/>
      <c r="O2646" s="2" t="s">
        <v>425</v>
      </c>
    </row>
    <row r="2647" spans="1:15">
      <c r="A2647" s="3">
        <f t="shared" si="42"/>
        <v>2646</v>
      </c>
      <c r="B2647" s="67" t="s">
        <v>4103</v>
      </c>
      <c r="C2647" s="4">
        <v>7602188165</v>
      </c>
      <c r="D2647" s="6"/>
      <c r="E2647" s="4" t="s">
        <v>3852</v>
      </c>
      <c r="F2647" s="67" t="s">
        <v>3853</v>
      </c>
      <c r="G2647" s="2" t="s">
        <v>764</v>
      </c>
      <c r="H2647" s="2" t="s">
        <v>3854</v>
      </c>
      <c r="I2647" s="4" t="s">
        <v>88</v>
      </c>
      <c r="J2647" s="31">
        <v>45778</v>
      </c>
      <c r="K2647" s="31">
        <v>45833</v>
      </c>
      <c r="L2647" s="31"/>
      <c r="M2647" s="31"/>
      <c r="N2647" s="31"/>
      <c r="O2647" s="2" t="s">
        <v>425</v>
      </c>
    </row>
    <row r="2648" spans="1:15">
      <c r="A2648" s="3">
        <f t="shared" si="42"/>
        <v>2647</v>
      </c>
      <c r="B2648" s="67" t="s">
        <v>4104</v>
      </c>
      <c r="C2648" s="4">
        <v>9764697166</v>
      </c>
      <c r="D2648" s="6">
        <v>7620726700</v>
      </c>
      <c r="E2648" s="4" t="s">
        <v>3852</v>
      </c>
      <c r="F2648" s="67" t="s">
        <v>3853</v>
      </c>
      <c r="G2648" s="2" t="s">
        <v>424</v>
      </c>
      <c r="H2648" s="2" t="s">
        <v>3854</v>
      </c>
      <c r="I2648" s="4" t="s">
        <v>88</v>
      </c>
      <c r="J2648" s="31">
        <v>45778</v>
      </c>
      <c r="K2648" s="31">
        <v>45833</v>
      </c>
      <c r="L2648" s="31"/>
      <c r="M2648" s="31"/>
      <c r="N2648" s="31"/>
      <c r="O2648" s="2" t="s">
        <v>425</v>
      </c>
    </row>
    <row r="2649" spans="1:15">
      <c r="A2649" s="3">
        <f t="shared" si="42"/>
        <v>2648</v>
      </c>
      <c r="B2649" s="67" t="s">
        <v>4105</v>
      </c>
      <c r="C2649" s="4">
        <v>9720601725</v>
      </c>
      <c r="D2649" s="6"/>
      <c r="E2649" s="4" t="s">
        <v>1738</v>
      </c>
      <c r="F2649" s="67" t="s">
        <v>4106</v>
      </c>
      <c r="G2649" s="2" t="s">
        <v>416</v>
      </c>
      <c r="H2649" s="2" t="s">
        <v>361</v>
      </c>
      <c r="I2649" s="4" t="s">
        <v>88</v>
      </c>
      <c r="J2649" s="31">
        <v>45778</v>
      </c>
      <c r="K2649" s="31">
        <v>45782</v>
      </c>
      <c r="L2649" s="31"/>
      <c r="M2649" s="31"/>
      <c r="N2649" s="31"/>
      <c r="O2649" s="2" t="s">
        <v>297</v>
      </c>
    </row>
    <row r="2650" spans="1:15">
      <c r="A2650" s="3">
        <f t="shared" si="42"/>
        <v>2649</v>
      </c>
      <c r="B2650" s="67" t="s">
        <v>4107</v>
      </c>
      <c r="C2650" s="4">
        <v>9425078907</v>
      </c>
      <c r="D2650" s="6"/>
      <c r="E2650" s="4" t="s">
        <v>1738</v>
      </c>
      <c r="F2650" s="67" t="s">
        <v>4106</v>
      </c>
      <c r="G2650" s="2" t="s">
        <v>416</v>
      </c>
      <c r="H2650" s="2" t="s">
        <v>361</v>
      </c>
      <c r="I2650" s="4" t="s">
        <v>88</v>
      </c>
      <c r="J2650" s="31">
        <v>45778</v>
      </c>
      <c r="K2650" s="31">
        <v>45782</v>
      </c>
      <c r="L2650" s="31"/>
      <c r="M2650" s="31"/>
      <c r="N2650" s="31"/>
      <c r="O2650" s="2" t="s">
        <v>297</v>
      </c>
    </row>
    <row r="2651" spans="1:15">
      <c r="A2651" s="3">
        <f t="shared" si="42"/>
        <v>2650</v>
      </c>
      <c r="B2651" s="67" t="s">
        <v>4108</v>
      </c>
      <c r="C2651" s="4">
        <v>9347951785</v>
      </c>
      <c r="D2651" s="6"/>
      <c r="E2651" s="4" t="s">
        <v>3226</v>
      </c>
      <c r="F2651" s="67" t="s">
        <v>4109</v>
      </c>
      <c r="G2651" s="2" t="s">
        <v>424</v>
      </c>
      <c r="H2651" s="2" t="s">
        <v>2425</v>
      </c>
      <c r="I2651" s="4" t="s">
        <v>42</v>
      </c>
      <c r="J2651" s="31">
        <v>45778</v>
      </c>
      <c r="K2651" s="31">
        <v>45824</v>
      </c>
      <c r="L2651" s="31"/>
      <c r="M2651" s="31"/>
      <c r="N2651" s="31"/>
      <c r="O2651" s="2" t="s">
        <v>749</v>
      </c>
    </row>
    <row r="2652" spans="1:15">
      <c r="A2652" s="3">
        <f t="shared" si="42"/>
        <v>2651</v>
      </c>
      <c r="B2652" s="67" t="s">
        <v>4110</v>
      </c>
      <c r="C2652" s="4">
        <v>9493223335</v>
      </c>
      <c r="D2652" s="6"/>
      <c r="E2652" s="17" t="s">
        <v>3925</v>
      </c>
      <c r="F2652" s="67" t="s">
        <v>4111</v>
      </c>
      <c r="G2652" s="2" t="s">
        <v>416</v>
      </c>
      <c r="H2652" s="2" t="s">
        <v>3797</v>
      </c>
      <c r="I2652" s="4" t="s">
        <v>94</v>
      </c>
      <c r="J2652" s="31">
        <v>45774</v>
      </c>
      <c r="K2652" s="31">
        <v>45778</v>
      </c>
      <c r="L2652" s="31"/>
      <c r="M2652" s="31"/>
      <c r="N2652" s="31"/>
      <c r="O2652" s="2" t="s">
        <v>297</v>
      </c>
    </row>
    <row r="2653" spans="1:15">
      <c r="A2653" s="3">
        <f t="shared" si="42"/>
        <v>2652</v>
      </c>
      <c r="B2653" s="67" t="s">
        <v>4112</v>
      </c>
      <c r="C2653" s="4">
        <v>6200949336</v>
      </c>
      <c r="D2653" s="6"/>
      <c r="E2653" s="17" t="s">
        <v>3925</v>
      </c>
      <c r="F2653" s="67" t="s">
        <v>4113</v>
      </c>
      <c r="G2653" s="2" t="s">
        <v>416</v>
      </c>
      <c r="H2653" s="2" t="s">
        <v>3797</v>
      </c>
      <c r="I2653" s="4" t="s">
        <v>94</v>
      </c>
      <c r="J2653" s="31">
        <v>45774</v>
      </c>
      <c r="K2653" s="31">
        <v>45778</v>
      </c>
      <c r="L2653" s="31"/>
      <c r="M2653" s="31"/>
      <c r="N2653" s="31"/>
      <c r="O2653" s="2" t="s">
        <v>297</v>
      </c>
    </row>
    <row r="2654" spans="1:15">
      <c r="A2654" s="3">
        <f t="shared" si="42"/>
        <v>2653</v>
      </c>
      <c r="B2654" s="67" t="s">
        <v>4114</v>
      </c>
      <c r="C2654" s="4">
        <v>7032363686</v>
      </c>
      <c r="D2654" s="6"/>
      <c r="E2654" s="17" t="s">
        <v>3925</v>
      </c>
      <c r="F2654" s="67" t="s">
        <v>2438</v>
      </c>
      <c r="G2654" s="2" t="s">
        <v>416</v>
      </c>
      <c r="H2654" s="2" t="s">
        <v>3797</v>
      </c>
      <c r="I2654" s="4" t="s">
        <v>94</v>
      </c>
      <c r="J2654" s="31">
        <v>45774</v>
      </c>
      <c r="K2654" s="31">
        <v>45778</v>
      </c>
      <c r="L2654" s="31"/>
      <c r="M2654" s="31"/>
      <c r="N2654" s="31"/>
      <c r="O2654" s="2" t="s">
        <v>297</v>
      </c>
    </row>
    <row r="2655" spans="1:15">
      <c r="A2655" s="3">
        <f t="shared" si="42"/>
        <v>2654</v>
      </c>
      <c r="B2655" s="67" t="s">
        <v>3977</v>
      </c>
      <c r="C2655" s="4">
        <v>9398944899</v>
      </c>
      <c r="D2655" s="6"/>
      <c r="E2655" s="17" t="s">
        <v>3925</v>
      </c>
      <c r="F2655" s="67" t="s">
        <v>4115</v>
      </c>
      <c r="G2655" s="2" t="s">
        <v>18</v>
      </c>
      <c r="H2655" s="2" t="s">
        <v>3797</v>
      </c>
      <c r="I2655" s="4" t="s">
        <v>94</v>
      </c>
      <c r="J2655" s="31">
        <v>45774</v>
      </c>
      <c r="K2655" s="31">
        <v>45778</v>
      </c>
      <c r="L2655" s="31"/>
      <c r="M2655" s="31"/>
      <c r="N2655" s="31"/>
      <c r="O2655" s="2" t="s">
        <v>297</v>
      </c>
    </row>
    <row r="2656" spans="1:15">
      <c r="A2656" s="3">
        <f t="shared" si="42"/>
        <v>2655</v>
      </c>
      <c r="B2656" s="67" t="s">
        <v>4116</v>
      </c>
      <c r="C2656" s="4">
        <v>8247219552</v>
      </c>
      <c r="D2656" s="6"/>
      <c r="E2656" s="17" t="s">
        <v>3925</v>
      </c>
      <c r="F2656" s="67" t="s">
        <v>2438</v>
      </c>
      <c r="G2656" s="2" t="s">
        <v>18</v>
      </c>
      <c r="H2656" s="2" t="s">
        <v>3797</v>
      </c>
      <c r="I2656" s="4" t="s">
        <v>94</v>
      </c>
      <c r="J2656" s="31">
        <v>45774</v>
      </c>
      <c r="K2656" s="31">
        <v>45778</v>
      </c>
      <c r="L2656" s="31"/>
      <c r="M2656" s="31"/>
      <c r="N2656" s="31"/>
      <c r="O2656" s="2" t="s">
        <v>297</v>
      </c>
    </row>
    <row r="2657" spans="1:15">
      <c r="A2657" s="3">
        <f t="shared" si="42"/>
        <v>2656</v>
      </c>
      <c r="B2657" s="67" t="s">
        <v>4117</v>
      </c>
      <c r="C2657" s="4">
        <v>9346391782</v>
      </c>
      <c r="D2657" s="6"/>
      <c r="E2657" s="17" t="s">
        <v>3925</v>
      </c>
      <c r="F2657" s="67" t="s">
        <v>4111</v>
      </c>
      <c r="G2657" s="2" t="s">
        <v>18</v>
      </c>
      <c r="H2657" s="2" t="s">
        <v>3797</v>
      </c>
      <c r="I2657" s="4" t="s">
        <v>94</v>
      </c>
      <c r="J2657" s="31">
        <v>45774</v>
      </c>
      <c r="K2657" s="31">
        <v>45778</v>
      </c>
      <c r="L2657" s="31"/>
      <c r="M2657" s="31"/>
      <c r="N2657" s="31"/>
      <c r="O2657" s="2" t="s">
        <v>297</v>
      </c>
    </row>
    <row r="2658" spans="1:15">
      <c r="A2658" s="3">
        <f t="shared" si="42"/>
        <v>2657</v>
      </c>
      <c r="B2658" s="67" t="s">
        <v>4118</v>
      </c>
      <c r="C2658" s="4"/>
      <c r="D2658" s="6"/>
      <c r="E2658" s="17" t="s">
        <v>3925</v>
      </c>
      <c r="F2658" s="67" t="s">
        <v>4111</v>
      </c>
      <c r="G2658" s="3" t="s">
        <v>1175</v>
      </c>
      <c r="H2658" s="2" t="s">
        <v>3797</v>
      </c>
      <c r="I2658" s="4" t="s">
        <v>94</v>
      </c>
      <c r="J2658" s="31">
        <v>45774</v>
      </c>
      <c r="K2658" s="31"/>
      <c r="L2658" s="31"/>
      <c r="M2658" s="31"/>
      <c r="N2658" s="31"/>
      <c r="O2658" s="2" t="s">
        <v>1004</v>
      </c>
    </row>
    <row r="2659" spans="1:15">
      <c r="A2659" s="3">
        <f t="shared" ref="A2659:A2722" si="43">ROW()-1</f>
        <v>2658</v>
      </c>
      <c r="B2659" s="67" t="s">
        <v>4119</v>
      </c>
      <c r="C2659" s="4">
        <v>9398735296</v>
      </c>
      <c r="D2659" s="6"/>
      <c r="E2659" s="4" t="s">
        <v>3925</v>
      </c>
      <c r="F2659" s="67" t="s">
        <v>4120</v>
      </c>
      <c r="G2659" s="2" t="s">
        <v>16</v>
      </c>
      <c r="H2659" s="2" t="s">
        <v>3797</v>
      </c>
      <c r="I2659" s="4" t="s">
        <v>94</v>
      </c>
      <c r="J2659" s="31">
        <v>45774</v>
      </c>
      <c r="K2659" s="31">
        <v>45778</v>
      </c>
      <c r="L2659" s="31">
        <v>45785</v>
      </c>
      <c r="M2659" s="31">
        <v>45793</v>
      </c>
      <c r="N2659" s="31">
        <v>45792</v>
      </c>
      <c r="O2659" s="2" t="s">
        <v>297</v>
      </c>
    </row>
    <row r="2660" spans="1:15">
      <c r="A2660" s="3">
        <f t="shared" si="43"/>
        <v>2659</v>
      </c>
      <c r="B2660" s="67" t="s">
        <v>4121</v>
      </c>
      <c r="C2660" s="4">
        <v>8918751860</v>
      </c>
      <c r="D2660" s="6"/>
      <c r="E2660" s="4" t="s">
        <v>3925</v>
      </c>
      <c r="F2660" s="67" t="s">
        <v>4122</v>
      </c>
      <c r="G2660" s="2" t="s">
        <v>18</v>
      </c>
      <c r="H2660" s="2" t="s">
        <v>3797</v>
      </c>
      <c r="I2660" s="4" t="s">
        <v>94</v>
      </c>
      <c r="J2660" s="31">
        <v>45774</v>
      </c>
      <c r="K2660" s="31">
        <v>45778</v>
      </c>
      <c r="L2660" s="31"/>
      <c r="M2660" s="31"/>
      <c r="N2660" s="31"/>
      <c r="O2660" s="2" t="s">
        <v>297</v>
      </c>
    </row>
    <row r="2661" spans="1:15">
      <c r="A2661" s="3">
        <f t="shared" si="43"/>
        <v>2660</v>
      </c>
      <c r="B2661" s="67" t="s">
        <v>4123</v>
      </c>
      <c r="C2661" s="4">
        <v>7036991845</v>
      </c>
      <c r="D2661" s="6"/>
      <c r="E2661" s="4" t="s">
        <v>3925</v>
      </c>
      <c r="F2661" s="67" t="s">
        <v>4124</v>
      </c>
      <c r="G2661" s="3" t="s">
        <v>1175</v>
      </c>
      <c r="H2661" s="2" t="s">
        <v>3797</v>
      </c>
      <c r="I2661" s="4" t="s">
        <v>94</v>
      </c>
      <c r="J2661" s="31">
        <v>45774</v>
      </c>
      <c r="K2661" s="31"/>
      <c r="L2661" s="31"/>
      <c r="M2661" s="31"/>
      <c r="N2661" s="31"/>
      <c r="O2661" s="2" t="s">
        <v>1004</v>
      </c>
    </row>
    <row r="2662" spans="1:15">
      <c r="A2662" s="3">
        <f t="shared" si="43"/>
        <v>2661</v>
      </c>
      <c r="B2662" s="67" t="s">
        <v>4125</v>
      </c>
      <c r="C2662" s="4">
        <v>9985932887</v>
      </c>
      <c r="D2662" s="6"/>
      <c r="E2662" s="4" t="s">
        <v>3925</v>
      </c>
      <c r="F2662" s="67" t="s">
        <v>4122</v>
      </c>
      <c r="G2662" s="2" t="s">
        <v>416</v>
      </c>
      <c r="H2662" s="2" t="s">
        <v>3797</v>
      </c>
      <c r="I2662" s="4" t="s">
        <v>94</v>
      </c>
      <c r="J2662" s="31">
        <v>45774</v>
      </c>
      <c r="K2662" s="31">
        <v>45778</v>
      </c>
      <c r="L2662" s="31"/>
      <c r="M2662" s="31"/>
      <c r="N2662" s="31"/>
      <c r="O2662" s="2" t="s">
        <v>297</v>
      </c>
    </row>
    <row r="2663" spans="1:15">
      <c r="A2663" s="3">
        <f t="shared" si="43"/>
        <v>2662</v>
      </c>
      <c r="B2663" s="67" t="s">
        <v>3795</v>
      </c>
      <c r="C2663" s="4">
        <v>9488153294</v>
      </c>
      <c r="D2663" s="6">
        <v>9153005990</v>
      </c>
      <c r="E2663" s="4" t="s">
        <v>3925</v>
      </c>
      <c r="F2663" s="67" t="s">
        <v>4126</v>
      </c>
      <c r="G2663" s="3" t="s">
        <v>1175</v>
      </c>
      <c r="H2663" s="2" t="s">
        <v>3797</v>
      </c>
      <c r="I2663" s="4" t="s">
        <v>94</v>
      </c>
      <c r="J2663" s="31">
        <v>45774</v>
      </c>
      <c r="K2663" s="31"/>
      <c r="L2663" s="31"/>
      <c r="M2663" s="31"/>
      <c r="N2663" s="31"/>
      <c r="O2663" s="2" t="s">
        <v>1004</v>
      </c>
    </row>
    <row r="2664" spans="1:15">
      <c r="A2664" s="3">
        <f t="shared" si="43"/>
        <v>2663</v>
      </c>
      <c r="B2664" s="67" t="s">
        <v>4127</v>
      </c>
      <c r="C2664" s="4">
        <v>8886818404</v>
      </c>
      <c r="D2664" s="6"/>
      <c r="E2664" s="4" t="s">
        <v>3925</v>
      </c>
      <c r="F2664" s="67" t="s">
        <v>463</v>
      </c>
      <c r="G2664" s="3" t="s">
        <v>1175</v>
      </c>
      <c r="H2664" s="2" t="s">
        <v>3797</v>
      </c>
      <c r="I2664" s="4" t="s">
        <v>94</v>
      </c>
      <c r="J2664" s="31">
        <v>45774</v>
      </c>
      <c r="K2664" s="31"/>
      <c r="L2664" s="31"/>
      <c r="M2664" s="31"/>
      <c r="N2664" s="31"/>
      <c r="O2664" s="2" t="s">
        <v>1004</v>
      </c>
    </row>
    <row r="2665" spans="1:15">
      <c r="A2665" s="3">
        <f t="shared" si="43"/>
        <v>2664</v>
      </c>
      <c r="B2665" s="67" t="s">
        <v>3798</v>
      </c>
      <c r="C2665" s="4">
        <v>9053847620</v>
      </c>
      <c r="D2665" s="6"/>
      <c r="E2665" s="4" t="s">
        <v>3925</v>
      </c>
      <c r="F2665" s="67" t="s">
        <v>463</v>
      </c>
      <c r="G2665" s="3" t="s">
        <v>1175</v>
      </c>
      <c r="H2665" s="2" t="s">
        <v>3797</v>
      </c>
      <c r="I2665" s="4" t="s">
        <v>94</v>
      </c>
      <c r="J2665" s="31">
        <v>45774</v>
      </c>
      <c r="K2665" s="31"/>
      <c r="L2665" s="31"/>
      <c r="M2665" s="31"/>
      <c r="N2665" s="31"/>
      <c r="O2665" s="2" t="s">
        <v>1004</v>
      </c>
    </row>
    <row r="2666" spans="1:15">
      <c r="A2666" s="3">
        <f t="shared" si="43"/>
        <v>2665</v>
      </c>
      <c r="B2666" s="67" t="s">
        <v>4128</v>
      </c>
      <c r="C2666" s="4">
        <v>9502253344</v>
      </c>
      <c r="D2666" s="6"/>
      <c r="E2666" s="4" t="s">
        <v>135</v>
      </c>
      <c r="F2666" s="67" t="s">
        <v>1756</v>
      </c>
      <c r="G2666" s="2" t="s">
        <v>16</v>
      </c>
      <c r="H2666" s="2" t="s">
        <v>815</v>
      </c>
      <c r="I2666" s="4" t="s">
        <v>88</v>
      </c>
      <c r="J2666" s="31">
        <v>45776</v>
      </c>
      <c r="K2666" s="31">
        <v>45777</v>
      </c>
      <c r="L2666" s="31">
        <v>45777</v>
      </c>
      <c r="M2666" s="31">
        <v>45807</v>
      </c>
      <c r="N2666" s="31">
        <v>45803</v>
      </c>
      <c r="O2666" s="2" t="s">
        <v>297</v>
      </c>
    </row>
    <row r="2667" spans="1:15">
      <c r="A2667" s="3">
        <f t="shared" si="43"/>
        <v>2666</v>
      </c>
      <c r="B2667" s="67" t="s">
        <v>4129</v>
      </c>
      <c r="C2667" s="4">
        <v>8492955612</v>
      </c>
      <c r="D2667" s="6"/>
      <c r="E2667" s="4" t="s">
        <v>2260</v>
      </c>
      <c r="F2667" s="67" t="s">
        <v>4130</v>
      </c>
      <c r="G2667" s="2" t="s">
        <v>16</v>
      </c>
      <c r="H2667" s="2" t="s">
        <v>487</v>
      </c>
      <c r="I2667" s="4" t="s">
        <v>88</v>
      </c>
      <c r="J2667" s="31">
        <v>45764</v>
      </c>
      <c r="K2667" s="31">
        <v>45766</v>
      </c>
      <c r="L2667" s="31">
        <v>45777</v>
      </c>
      <c r="M2667" s="31">
        <v>45807</v>
      </c>
      <c r="N2667" s="31">
        <v>45807</v>
      </c>
      <c r="O2667" s="2" t="s">
        <v>297</v>
      </c>
    </row>
    <row r="2668" spans="1:15">
      <c r="A2668" s="3">
        <f t="shared" si="43"/>
        <v>2667</v>
      </c>
      <c r="B2668" s="67" t="s">
        <v>4131</v>
      </c>
      <c r="C2668" s="4">
        <v>9685906029</v>
      </c>
      <c r="D2668" s="6"/>
      <c r="E2668" s="4" t="s">
        <v>1092</v>
      </c>
      <c r="F2668" s="67" t="s">
        <v>333</v>
      </c>
      <c r="G2668" s="2" t="s">
        <v>295</v>
      </c>
      <c r="H2668" s="2" t="s">
        <v>1096</v>
      </c>
      <c r="I2668" s="4" t="s">
        <v>94</v>
      </c>
      <c r="J2668" s="31">
        <v>45779</v>
      </c>
      <c r="K2668" s="31">
        <v>45780</v>
      </c>
      <c r="L2668" s="31">
        <v>45784</v>
      </c>
      <c r="M2668" s="31">
        <v>45815</v>
      </c>
      <c r="N2668" s="31"/>
      <c r="O2668" s="2" t="s">
        <v>297</v>
      </c>
    </row>
    <row r="2669" spans="1:15">
      <c r="A2669" s="3">
        <f t="shared" si="43"/>
        <v>2668</v>
      </c>
      <c r="B2669" s="67" t="s">
        <v>4132</v>
      </c>
      <c r="C2669" s="4">
        <v>7095022100</v>
      </c>
      <c r="D2669" s="6"/>
      <c r="E2669" s="4" t="s">
        <v>1092</v>
      </c>
      <c r="F2669" s="67" t="s">
        <v>333</v>
      </c>
      <c r="G2669" s="3" t="s">
        <v>18</v>
      </c>
      <c r="H2669" s="2" t="s">
        <v>1096</v>
      </c>
      <c r="I2669" s="4" t="s">
        <v>94</v>
      </c>
      <c r="J2669" s="31">
        <v>45779</v>
      </c>
      <c r="K2669" s="31">
        <v>45780</v>
      </c>
      <c r="L2669" s="31"/>
      <c r="M2669" s="31"/>
      <c r="N2669" s="31"/>
      <c r="O2669" s="2" t="s">
        <v>297</v>
      </c>
    </row>
    <row r="2670" spans="1:15">
      <c r="A2670" s="3">
        <f t="shared" si="43"/>
        <v>2669</v>
      </c>
      <c r="B2670" s="67" t="s">
        <v>4133</v>
      </c>
      <c r="C2670" s="4">
        <v>9492945861</v>
      </c>
      <c r="D2670" s="6"/>
      <c r="E2670" s="4" t="s">
        <v>2321</v>
      </c>
      <c r="F2670" s="67" t="s">
        <v>2306</v>
      </c>
      <c r="G2670" s="2" t="s">
        <v>16</v>
      </c>
      <c r="H2670" s="2" t="s">
        <v>815</v>
      </c>
      <c r="I2670" s="4" t="s">
        <v>88</v>
      </c>
      <c r="J2670" s="31">
        <v>45777</v>
      </c>
      <c r="K2670" s="31">
        <v>45777</v>
      </c>
      <c r="L2670" s="31">
        <v>45779</v>
      </c>
      <c r="M2670" s="31">
        <v>45838</v>
      </c>
      <c r="N2670" s="31">
        <v>45838</v>
      </c>
      <c r="O2670" s="2" t="s">
        <v>297</v>
      </c>
    </row>
    <row r="2671" spans="1:15">
      <c r="A2671" s="3">
        <f t="shared" si="43"/>
        <v>2670</v>
      </c>
      <c r="B2671" s="67" t="s">
        <v>4134</v>
      </c>
      <c r="C2671" s="4">
        <v>6300932229</v>
      </c>
      <c r="D2671" s="6"/>
      <c r="E2671" s="4" t="s">
        <v>1173</v>
      </c>
      <c r="F2671" s="67" t="s">
        <v>1992</v>
      </c>
      <c r="G2671" s="2" t="s">
        <v>16</v>
      </c>
      <c r="H2671" s="2" t="s">
        <v>1186</v>
      </c>
      <c r="I2671" s="4" t="s">
        <v>94</v>
      </c>
      <c r="J2671" s="31">
        <v>45775</v>
      </c>
      <c r="K2671" s="31">
        <v>45777</v>
      </c>
      <c r="L2671" s="31">
        <v>45779</v>
      </c>
      <c r="M2671" s="31">
        <v>45782</v>
      </c>
      <c r="N2671" s="31">
        <v>45782</v>
      </c>
      <c r="O2671" s="2" t="s">
        <v>297</v>
      </c>
    </row>
    <row r="2672" spans="1:15">
      <c r="A2672" s="3">
        <f t="shared" si="43"/>
        <v>2671</v>
      </c>
      <c r="B2672" s="67" t="s">
        <v>4135</v>
      </c>
      <c r="C2672" s="4">
        <v>7488188205</v>
      </c>
      <c r="D2672" s="6"/>
      <c r="E2672" s="4" t="s">
        <v>3599</v>
      </c>
      <c r="F2672" s="67" t="s">
        <v>412</v>
      </c>
      <c r="G2672" s="3" t="s">
        <v>330</v>
      </c>
      <c r="H2672" s="2" t="s">
        <v>788</v>
      </c>
      <c r="I2672" s="4" t="s">
        <v>94</v>
      </c>
      <c r="J2672" s="31">
        <v>45706</v>
      </c>
      <c r="K2672" s="31">
        <v>45709</v>
      </c>
      <c r="L2672" s="31">
        <v>45779</v>
      </c>
      <c r="M2672" s="31">
        <v>45795</v>
      </c>
      <c r="N2672" s="31">
        <v>45796</v>
      </c>
      <c r="O2672" s="2" t="s">
        <v>297</v>
      </c>
    </row>
    <row r="2673" spans="1:15">
      <c r="A2673" s="3">
        <f t="shared" si="43"/>
        <v>2672</v>
      </c>
      <c r="B2673" s="67" t="s">
        <v>4136</v>
      </c>
      <c r="C2673" s="4">
        <v>6289480211</v>
      </c>
      <c r="D2673" s="6"/>
      <c r="E2673" s="4" t="s">
        <v>3599</v>
      </c>
      <c r="F2673" s="67" t="s">
        <v>412</v>
      </c>
      <c r="G2673" s="2" t="s">
        <v>18</v>
      </c>
      <c r="H2673" s="2" t="s">
        <v>788</v>
      </c>
      <c r="I2673" s="4" t="s">
        <v>94</v>
      </c>
      <c r="J2673" s="31">
        <v>45706</v>
      </c>
      <c r="K2673" s="31">
        <v>45709</v>
      </c>
      <c r="L2673" s="31">
        <v>45779</v>
      </c>
      <c r="M2673" s="31">
        <v>45795</v>
      </c>
      <c r="N2673" s="31"/>
      <c r="O2673" s="2" t="s">
        <v>297</v>
      </c>
    </row>
    <row r="2674" spans="1:15">
      <c r="A2674" s="3">
        <f t="shared" si="43"/>
        <v>2673</v>
      </c>
      <c r="B2674" s="67" t="s">
        <v>4137</v>
      </c>
      <c r="C2674" s="4">
        <v>9302868106</v>
      </c>
      <c r="D2674" s="6"/>
      <c r="E2674" s="4" t="s">
        <v>3599</v>
      </c>
      <c r="F2674" s="67" t="s">
        <v>412</v>
      </c>
      <c r="G2674" s="2" t="s">
        <v>330</v>
      </c>
      <c r="H2674" s="2" t="s">
        <v>788</v>
      </c>
      <c r="I2674" s="4" t="s">
        <v>94</v>
      </c>
      <c r="J2674" s="31">
        <v>45706</v>
      </c>
      <c r="K2674" s="31">
        <v>45709</v>
      </c>
      <c r="L2674" s="31">
        <v>45779</v>
      </c>
      <c r="M2674" s="31">
        <v>45795</v>
      </c>
      <c r="N2674" s="31">
        <v>45798</v>
      </c>
      <c r="O2674" s="2" t="s">
        <v>297</v>
      </c>
    </row>
    <row r="2675" spans="1:15">
      <c r="A2675" s="3">
        <f t="shared" si="43"/>
        <v>2674</v>
      </c>
      <c r="B2675" s="67" t="s">
        <v>4138</v>
      </c>
      <c r="C2675" s="4">
        <v>7292990021</v>
      </c>
      <c r="D2675" s="6"/>
      <c r="E2675" s="4" t="s">
        <v>3599</v>
      </c>
      <c r="F2675" s="67" t="s">
        <v>412</v>
      </c>
      <c r="G2675" s="3" t="s">
        <v>295</v>
      </c>
      <c r="H2675" s="2" t="s">
        <v>788</v>
      </c>
      <c r="I2675" s="4" t="s">
        <v>94</v>
      </c>
      <c r="J2675" s="31">
        <v>45706</v>
      </c>
      <c r="K2675" s="31">
        <v>45709</v>
      </c>
      <c r="L2675" s="31">
        <v>45779</v>
      </c>
      <c r="M2675" s="31">
        <v>45795</v>
      </c>
      <c r="N2675" s="31"/>
      <c r="O2675" s="2" t="s">
        <v>297</v>
      </c>
    </row>
    <row r="2676" spans="1:15">
      <c r="A2676" s="3">
        <f t="shared" si="43"/>
        <v>2675</v>
      </c>
      <c r="B2676" s="67" t="s">
        <v>4139</v>
      </c>
      <c r="C2676" s="4">
        <v>6371085972</v>
      </c>
      <c r="D2676" s="6"/>
      <c r="E2676" s="4" t="s">
        <v>3599</v>
      </c>
      <c r="F2676" s="67" t="s">
        <v>412</v>
      </c>
      <c r="G2676" s="2" t="s">
        <v>16</v>
      </c>
      <c r="H2676" s="2" t="s">
        <v>788</v>
      </c>
      <c r="I2676" s="4" t="s">
        <v>94</v>
      </c>
      <c r="J2676" s="31">
        <v>45706</v>
      </c>
      <c r="K2676" s="31">
        <v>45709</v>
      </c>
      <c r="L2676" s="31">
        <v>45779</v>
      </c>
      <c r="M2676" s="31">
        <v>45795</v>
      </c>
      <c r="N2676" s="31">
        <v>45794</v>
      </c>
      <c r="O2676" s="2" t="s">
        <v>297</v>
      </c>
    </row>
    <row r="2677" spans="1:15">
      <c r="A2677" s="3">
        <f t="shared" si="43"/>
        <v>2676</v>
      </c>
      <c r="B2677" s="67" t="s">
        <v>4140</v>
      </c>
      <c r="C2677" s="4">
        <v>7095425457</v>
      </c>
      <c r="D2677" s="6"/>
      <c r="E2677" s="17" t="s">
        <v>3954</v>
      </c>
      <c r="F2677" s="67" t="s">
        <v>443</v>
      </c>
      <c r="G2677" s="2" t="s">
        <v>416</v>
      </c>
      <c r="H2677" s="2" t="s">
        <v>3240</v>
      </c>
      <c r="I2677" s="4" t="s">
        <v>42</v>
      </c>
      <c r="J2677" s="31">
        <v>45779</v>
      </c>
      <c r="K2677" s="31">
        <v>45790</v>
      </c>
      <c r="L2677" s="31"/>
      <c r="M2677" s="31"/>
      <c r="N2677" s="31"/>
      <c r="O2677" s="2" t="s">
        <v>297</v>
      </c>
    </row>
    <row r="2678" spans="1:15">
      <c r="A2678" s="3">
        <f t="shared" si="43"/>
        <v>2677</v>
      </c>
      <c r="B2678" s="67" t="s">
        <v>4141</v>
      </c>
      <c r="C2678" s="4">
        <v>9032933221</v>
      </c>
      <c r="D2678" s="6"/>
      <c r="E2678" s="4" t="s">
        <v>127</v>
      </c>
      <c r="F2678" s="67" t="s">
        <v>4142</v>
      </c>
      <c r="G2678" s="2" t="s">
        <v>424</v>
      </c>
      <c r="H2678" s="2" t="s">
        <v>3240</v>
      </c>
      <c r="I2678" s="4" t="s">
        <v>42</v>
      </c>
      <c r="J2678" s="31">
        <v>45779</v>
      </c>
      <c r="K2678" s="31">
        <v>45786</v>
      </c>
      <c r="L2678" s="31"/>
      <c r="M2678" s="31"/>
      <c r="N2678" s="31"/>
      <c r="O2678" s="2" t="s">
        <v>749</v>
      </c>
    </row>
    <row r="2679" spans="1:15">
      <c r="A2679" s="3">
        <f t="shared" si="43"/>
        <v>2678</v>
      </c>
      <c r="B2679" s="67" t="s">
        <v>4143</v>
      </c>
      <c r="C2679" s="4">
        <v>7893055325</v>
      </c>
      <c r="D2679" s="6"/>
      <c r="E2679" s="4" t="s">
        <v>127</v>
      </c>
      <c r="F2679" s="67" t="s">
        <v>308</v>
      </c>
      <c r="G2679" s="2" t="s">
        <v>764</v>
      </c>
      <c r="H2679" s="2" t="s">
        <v>3240</v>
      </c>
      <c r="I2679" s="4" t="s">
        <v>42</v>
      </c>
      <c r="J2679" s="31">
        <v>45779</v>
      </c>
      <c r="K2679" s="31">
        <v>45786</v>
      </c>
      <c r="L2679" s="31"/>
      <c r="M2679" s="31"/>
      <c r="N2679" s="31"/>
      <c r="O2679" s="2" t="s">
        <v>425</v>
      </c>
    </row>
    <row r="2680" spans="1:15">
      <c r="A2680" s="3">
        <f t="shared" si="43"/>
        <v>2679</v>
      </c>
      <c r="B2680" s="67" t="s">
        <v>4144</v>
      </c>
      <c r="C2680" s="4">
        <v>8688570513</v>
      </c>
      <c r="D2680" s="6"/>
      <c r="E2680" s="4" t="s">
        <v>127</v>
      </c>
      <c r="F2680" s="67" t="s">
        <v>279</v>
      </c>
      <c r="G2680" s="2" t="s">
        <v>16</v>
      </c>
      <c r="H2680" s="2" t="s">
        <v>4145</v>
      </c>
      <c r="I2680" s="4" t="s">
        <v>42</v>
      </c>
      <c r="J2680" s="31">
        <v>45779</v>
      </c>
      <c r="K2680" s="31">
        <v>45786</v>
      </c>
      <c r="L2680" s="31">
        <v>45786</v>
      </c>
      <c r="M2680" s="31">
        <v>45823</v>
      </c>
      <c r="N2680" s="31">
        <v>45823</v>
      </c>
      <c r="O2680" s="2" t="s">
        <v>297</v>
      </c>
    </row>
    <row r="2681" spans="1:15">
      <c r="A2681" s="3">
        <f t="shared" si="43"/>
        <v>2680</v>
      </c>
      <c r="B2681" s="67" t="s">
        <v>4146</v>
      </c>
      <c r="C2681" s="4">
        <v>6371347664</v>
      </c>
      <c r="D2681" s="6"/>
      <c r="E2681" s="4" t="s">
        <v>127</v>
      </c>
      <c r="F2681" s="67" t="s">
        <v>920</v>
      </c>
      <c r="G2681" s="2" t="s">
        <v>16</v>
      </c>
      <c r="H2681" s="2" t="s">
        <v>3240</v>
      </c>
      <c r="I2681" s="4" t="s">
        <v>42</v>
      </c>
      <c r="J2681" s="31">
        <v>45779</v>
      </c>
      <c r="K2681" s="31">
        <v>45790</v>
      </c>
      <c r="L2681" s="31">
        <v>45793</v>
      </c>
      <c r="M2681" s="31">
        <v>45838</v>
      </c>
      <c r="N2681" s="31">
        <v>45834</v>
      </c>
      <c r="O2681" s="2" t="s">
        <v>297</v>
      </c>
    </row>
    <row r="2682" spans="1:15">
      <c r="A2682" s="3">
        <f t="shared" si="43"/>
        <v>2681</v>
      </c>
      <c r="B2682" s="67" t="s">
        <v>4147</v>
      </c>
      <c r="C2682" s="4">
        <v>6309001022</v>
      </c>
      <c r="D2682" s="6"/>
      <c r="E2682" s="4" t="s">
        <v>145</v>
      </c>
      <c r="F2682" s="67" t="s">
        <v>4148</v>
      </c>
      <c r="G2682" s="2" t="s">
        <v>424</v>
      </c>
      <c r="H2682" s="2" t="s">
        <v>42</v>
      </c>
      <c r="I2682" s="4" t="s">
        <v>42</v>
      </c>
      <c r="J2682" s="31">
        <v>45779</v>
      </c>
      <c r="K2682" s="31">
        <v>45786</v>
      </c>
      <c r="L2682" s="31"/>
      <c r="M2682" s="31"/>
      <c r="N2682" s="31"/>
      <c r="O2682" s="2" t="s">
        <v>425</v>
      </c>
    </row>
    <row r="2683" spans="1:15">
      <c r="A2683" s="3">
        <f t="shared" si="43"/>
        <v>2682</v>
      </c>
      <c r="B2683" s="67" t="s">
        <v>4149</v>
      </c>
      <c r="C2683" s="4">
        <v>6309720491</v>
      </c>
      <c r="D2683" s="6"/>
      <c r="E2683" s="4" t="s">
        <v>148</v>
      </c>
      <c r="F2683" s="67" t="s">
        <v>4150</v>
      </c>
      <c r="G2683" s="2" t="s">
        <v>424</v>
      </c>
      <c r="H2683" s="2" t="s">
        <v>42</v>
      </c>
      <c r="I2683" s="4" t="s">
        <v>42</v>
      </c>
      <c r="J2683" s="31">
        <v>45779</v>
      </c>
      <c r="K2683" s="31">
        <v>45786</v>
      </c>
      <c r="L2683" s="31"/>
      <c r="M2683" s="31"/>
      <c r="N2683" s="31"/>
      <c r="O2683" s="2" t="s">
        <v>749</v>
      </c>
    </row>
    <row r="2684" spans="1:15">
      <c r="A2684" s="3">
        <f t="shared" si="43"/>
        <v>2683</v>
      </c>
      <c r="B2684" s="67" t="s">
        <v>4151</v>
      </c>
      <c r="C2684" s="4">
        <v>6281762630</v>
      </c>
      <c r="D2684" s="6"/>
      <c r="E2684" s="4" t="s">
        <v>148</v>
      </c>
      <c r="F2684" s="67" t="s">
        <v>4152</v>
      </c>
      <c r="G2684" s="2" t="s">
        <v>424</v>
      </c>
      <c r="H2684" s="2" t="s">
        <v>42</v>
      </c>
      <c r="I2684" s="4" t="s">
        <v>42</v>
      </c>
      <c r="J2684" s="31">
        <v>45779</v>
      </c>
      <c r="K2684" s="31">
        <v>45786</v>
      </c>
      <c r="L2684" s="31"/>
      <c r="M2684" s="31"/>
      <c r="N2684" s="31"/>
      <c r="O2684" s="2" t="s">
        <v>749</v>
      </c>
    </row>
    <row r="2685" spans="1:15">
      <c r="A2685" s="3">
        <f t="shared" si="43"/>
        <v>2684</v>
      </c>
      <c r="B2685" s="67" t="s">
        <v>4153</v>
      </c>
      <c r="C2685" s="4">
        <v>8129178729</v>
      </c>
      <c r="D2685" s="6">
        <v>9502907351</v>
      </c>
      <c r="E2685" s="4" t="s">
        <v>121</v>
      </c>
      <c r="F2685" s="67" t="s">
        <v>4154</v>
      </c>
      <c r="G2685" s="2" t="s">
        <v>18</v>
      </c>
      <c r="H2685" s="2" t="s">
        <v>679</v>
      </c>
      <c r="I2685" s="4" t="s">
        <v>42</v>
      </c>
      <c r="J2685" s="31">
        <v>45779</v>
      </c>
      <c r="K2685" s="31"/>
      <c r="L2685" s="31"/>
      <c r="M2685" s="31"/>
      <c r="N2685" s="31"/>
      <c r="O2685" s="2" t="s">
        <v>1004</v>
      </c>
    </row>
    <row r="2686" spans="1:15">
      <c r="A2686" s="3">
        <f t="shared" si="43"/>
        <v>2685</v>
      </c>
      <c r="B2686" s="67" t="s">
        <v>4155</v>
      </c>
      <c r="C2686" s="4">
        <v>9908700483</v>
      </c>
      <c r="D2686" s="6"/>
      <c r="E2686" s="4" t="s">
        <v>118</v>
      </c>
      <c r="F2686" s="67" t="s">
        <v>4156</v>
      </c>
      <c r="G2686" s="3" t="s">
        <v>424</v>
      </c>
      <c r="H2686" s="2" t="s">
        <v>679</v>
      </c>
      <c r="I2686" s="4" t="s">
        <v>42</v>
      </c>
      <c r="J2686" s="31">
        <v>45779</v>
      </c>
      <c r="K2686" s="31">
        <v>45787</v>
      </c>
      <c r="L2686" s="31"/>
      <c r="M2686" s="31"/>
      <c r="N2686" s="31"/>
      <c r="O2686" s="2" t="s">
        <v>749</v>
      </c>
    </row>
    <row r="2687" spans="1:15">
      <c r="A2687" s="3">
        <f t="shared" si="43"/>
        <v>2686</v>
      </c>
      <c r="B2687" s="67" t="s">
        <v>4157</v>
      </c>
      <c r="C2687" s="4">
        <v>9617701560</v>
      </c>
      <c r="D2687" s="6"/>
      <c r="E2687" s="4" t="s">
        <v>52</v>
      </c>
      <c r="F2687" s="67" t="s">
        <v>972</v>
      </c>
      <c r="G2687" s="2" t="s">
        <v>424</v>
      </c>
      <c r="H2687" s="2" t="s">
        <v>679</v>
      </c>
      <c r="I2687" s="4" t="s">
        <v>42</v>
      </c>
      <c r="J2687" s="31">
        <v>45779</v>
      </c>
      <c r="K2687" s="31">
        <v>45779</v>
      </c>
      <c r="L2687" s="31"/>
      <c r="M2687" s="31"/>
      <c r="N2687" s="31"/>
      <c r="O2687" s="2" t="s">
        <v>425</v>
      </c>
    </row>
    <row r="2688" spans="1:15">
      <c r="A2688" s="3">
        <f t="shared" si="43"/>
        <v>2687</v>
      </c>
      <c r="B2688" s="67" t="s">
        <v>4158</v>
      </c>
      <c r="C2688" s="4">
        <v>7893459485</v>
      </c>
      <c r="D2688" s="6"/>
      <c r="E2688" s="4" t="s">
        <v>107</v>
      </c>
      <c r="F2688" s="67" t="s">
        <v>4159</v>
      </c>
      <c r="G2688" s="2" t="s">
        <v>424</v>
      </c>
      <c r="H2688" s="2" t="s">
        <v>102</v>
      </c>
      <c r="I2688" s="4" t="s">
        <v>42</v>
      </c>
      <c r="J2688" s="31">
        <v>45779</v>
      </c>
      <c r="K2688" s="31">
        <v>45782</v>
      </c>
      <c r="L2688" s="31"/>
      <c r="M2688" s="31"/>
      <c r="N2688" s="31"/>
      <c r="O2688" s="2" t="s">
        <v>425</v>
      </c>
    </row>
    <row r="2689" spans="1:15">
      <c r="A2689" s="3">
        <f t="shared" si="43"/>
        <v>2688</v>
      </c>
      <c r="B2689" s="67" t="s">
        <v>4160</v>
      </c>
      <c r="C2689" s="4">
        <v>8333040081</v>
      </c>
      <c r="D2689" s="6"/>
      <c r="E2689" s="4" t="s">
        <v>107</v>
      </c>
      <c r="F2689" s="67" t="s">
        <v>569</v>
      </c>
      <c r="G2689" s="2" t="s">
        <v>416</v>
      </c>
      <c r="H2689" s="2" t="s">
        <v>102</v>
      </c>
      <c r="I2689" s="4" t="s">
        <v>42</v>
      </c>
      <c r="J2689" s="31">
        <v>45779</v>
      </c>
      <c r="K2689" s="31">
        <v>45782</v>
      </c>
      <c r="L2689" s="31"/>
      <c r="M2689" s="31"/>
      <c r="N2689" s="31"/>
      <c r="O2689" s="2" t="s">
        <v>297</v>
      </c>
    </row>
    <row r="2690" spans="1:15">
      <c r="A2690" s="3">
        <f t="shared" si="43"/>
        <v>2689</v>
      </c>
      <c r="B2690" s="67" t="s">
        <v>4161</v>
      </c>
      <c r="C2690" s="4">
        <v>9160873535</v>
      </c>
      <c r="D2690" s="6"/>
      <c r="E2690" s="4" t="s">
        <v>110</v>
      </c>
      <c r="F2690" s="67" t="s">
        <v>4162</v>
      </c>
      <c r="G2690" s="2" t="s">
        <v>16</v>
      </c>
      <c r="H2690" s="2" t="s">
        <v>102</v>
      </c>
      <c r="I2690" s="4" t="s">
        <v>42</v>
      </c>
      <c r="J2690" s="31">
        <v>45780</v>
      </c>
      <c r="K2690" s="31">
        <v>45782</v>
      </c>
      <c r="L2690" s="31">
        <v>45798</v>
      </c>
      <c r="M2690" s="31">
        <v>45819</v>
      </c>
      <c r="N2690" s="31">
        <v>45821</v>
      </c>
      <c r="O2690" s="2" t="s">
        <v>297</v>
      </c>
    </row>
    <row r="2691" spans="1:15">
      <c r="A2691" s="3">
        <f t="shared" si="43"/>
        <v>2690</v>
      </c>
      <c r="B2691" s="67" t="s">
        <v>4163</v>
      </c>
      <c r="C2691" s="4">
        <v>9963923288</v>
      </c>
      <c r="D2691" s="6"/>
      <c r="E2691" s="4" t="s">
        <v>148</v>
      </c>
      <c r="F2691" s="67" t="s">
        <v>1421</v>
      </c>
      <c r="G2691" s="2" t="s">
        <v>416</v>
      </c>
      <c r="H2691" s="2" t="s">
        <v>42</v>
      </c>
      <c r="I2691" s="4" t="s">
        <v>42</v>
      </c>
      <c r="J2691" s="31">
        <v>45780</v>
      </c>
      <c r="K2691" s="31">
        <v>45815</v>
      </c>
      <c r="L2691" s="31"/>
      <c r="M2691" s="31"/>
      <c r="N2691" s="31"/>
      <c r="O2691" s="2" t="s">
        <v>297</v>
      </c>
    </row>
    <row r="2692" spans="1:15">
      <c r="A2692" s="3">
        <f t="shared" si="43"/>
        <v>2691</v>
      </c>
      <c r="B2692" s="67" t="s">
        <v>4164</v>
      </c>
      <c r="C2692" s="4">
        <v>7758919799</v>
      </c>
      <c r="D2692" s="6"/>
      <c r="E2692" s="4" t="s">
        <v>96</v>
      </c>
      <c r="F2692" s="67" t="s">
        <v>360</v>
      </c>
      <c r="G2692" s="2" t="s">
        <v>295</v>
      </c>
      <c r="H2692" s="2" t="s">
        <v>361</v>
      </c>
      <c r="I2692" s="4" t="s">
        <v>94</v>
      </c>
      <c r="J2692" s="31">
        <v>45782</v>
      </c>
      <c r="K2692" s="31">
        <v>45782</v>
      </c>
      <c r="L2692" s="31">
        <v>45792</v>
      </c>
      <c r="M2692" s="31">
        <v>45823</v>
      </c>
      <c r="N2692" s="31"/>
      <c r="O2692" s="2" t="s">
        <v>297</v>
      </c>
    </row>
    <row r="2693" spans="1:15">
      <c r="A2693" s="3">
        <f t="shared" si="43"/>
        <v>2692</v>
      </c>
      <c r="B2693" s="67" t="s">
        <v>1637</v>
      </c>
      <c r="C2693" s="4">
        <v>9918374770</v>
      </c>
      <c r="D2693" s="6"/>
      <c r="E2693" s="4" t="s">
        <v>96</v>
      </c>
      <c r="F2693" s="67" t="s">
        <v>360</v>
      </c>
      <c r="G2693" s="2" t="s">
        <v>330</v>
      </c>
      <c r="H2693" s="2" t="s">
        <v>361</v>
      </c>
      <c r="I2693" s="4" t="s">
        <v>94</v>
      </c>
      <c r="J2693" s="31">
        <v>45782</v>
      </c>
      <c r="K2693" s="31">
        <v>45782</v>
      </c>
      <c r="L2693" s="31">
        <v>45786</v>
      </c>
      <c r="M2693" s="31">
        <v>45815</v>
      </c>
      <c r="N2693" s="31">
        <v>45815</v>
      </c>
      <c r="O2693" s="2" t="s">
        <v>297</v>
      </c>
    </row>
    <row r="2694" spans="1:15">
      <c r="A2694" s="3">
        <f t="shared" si="43"/>
        <v>2693</v>
      </c>
      <c r="B2694" s="67" t="s">
        <v>4165</v>
      </c>
      <c r="C2694" s="4">
        <v>9664262411</v>
      </c>
      <c r="D2694" s="6"/>
      <c r="E2694" s="4" t="s">
        <v>96</v>
      </c>
      <c r="F2694" s="67" t="s">
        <v>360</v>
      </c>
      <c r="G2694" s="2" t="s">
        <v>416</v>
      </c>
      <c r="H2694" s="2" t="s">
        <v>361</v>
      </c>
      <c r="I2694" s="4" t="s">
        <v>94</v>
      </c>
      <c r="J2694" s="31">
        <v>45782</v>
      </c>
      <c r="K2694" s="31">
        <v>45782</v>
      </c>
      <c r="L2694" s="31"/>
      <c r="M2694" s="31"/>
      <c r="N2694" s="31"/>
      <c r="O2694" s="2" t="s">
        <v>297</v>
      </c>
    </row>
    <row r="2695" spans="1:15">
      <c r="A2695" s="3">
        <f t="shared" si="43"/>
        <v>2694</v>
      </c>
      <c r="B2695" s="67" t="s">
        <v>4166</v>
      </c>
      <c r="C2695" s="4">
        <v>7205713989</v>
      </c>
      <c r="D2695" s="6"/>
      <c r="E2695" s="4" t="s">
        <v>96</v>
      </c>
      <c r="F2695" s="67" t="s">
        <v>360</v>
      </c>
      <c r="G2695" s="2" t="s">
        <v>16</v>
      </c>
      <c r="H2695" s="2" t="s">
        <v>361</v>
      </c>
      <c r="I2695" s="4" t="s">
        <v>94</v>
      </c>
      <c r="J2695" s="31">
        <v>45782</v>
      </c>
      <c r="K2695" s="31">
        <v>45783</v>
      </c>
      <c r="L2695" s="31">
        <v>45785</v>
      </c>
      <c r="M2695" s="31">
        <v>45828</v>
      </c>
      <c r="N2695" s="31">
        <v>45828</v>
      </c>
      <c r="O2695" s="2" t="s">
        <v>297</v>
      </c>
    </row>
    <row r="2696" spans="1:15">
      <c r="A2696" s="3">
        <f t="shared" si="43"/>
        <v>2695</v>
      </c>
      <c r="B2696" s="67" t="s">
        <v>4167</v>
      </c>
      <c r="C2696" s="4">
        <v>9801661623</v>
      </c>
      <c r="D2696" s="6"/>
      <c r="E2696" s="4" t="s">
        <v>96</v>
      </c>
      <c r="F2696" s="67" t="s">
        <v>360</v>
      </c>
      <c r="G2696" s="3" t="s">
        <v>295</v>
      </c>
      <c r="H2696" s="2" t="s">
        <v>361</v>
      </c>
      <c r="I2696" s="4" t="s">
        <v>94</v>
      </c>
      <c r="J2696" s="31">
        <v>45782</v>
      </c>
      <c r="K2696" s="31">
        <v>45782</v>
      </c>
      <c r="L2696" s="31">
        <v>45785</v>
      </c>
      <c r="M2696" s="31">
        <v>45807</v>
      </c>
      <c r="N2696" s="31"/>
      <c r="O2696" s="2" t="s">
        <v>297</v>
      </c>
    </row>
    <row r="2697" spans="1:15">
      <c r="A2697" s="3">
        <f t="shared" si="43"/>
        <v>2696</v>
      </c>
      <c r="B2697" s="67" t="s">
        <v>4168</v>
      </c>
      <c r="C2697" s="4">
        <v>9182969207</v>
      </c>
      <c r="D2697" s="6">
        <v>9515877800</v>
      </c>
      <c r="E2697" s="4" t="s">
        <v>96</v>
      </c>
      <c r="F2697" s="67" t="s">
        <v>360</v>
      </c>
      <c r="G2697" s="2" t="s">
        <v>424</v>
      </c>
      <c r="H2697" s="2" t="s">
        <v>361</v>
      </c>
      <c r="I2697" s="4" t="s">
        <v>94</v>
      </c>
      <c r="J2697" s="31">
        <v>45782</v>
      </c>
      <c r="K2697" s="31">
        <v>45782</v>
      </c>
      <c r="L2697" s="31"/>
      <c r="M2697" s="31"/>
      <c r="N2697" s="31"/>
      <c r="O2697" s="2" t="s">
        <v>425</v>
      </c>
    </row>
    <row r="2698" spans="1:15">
      <c r="A2698" s="3">
        <f t="shared" si="43"/>
        <v>2697</v>
      </c>
      <c r="B2698" s="67" t="s">
        <v>4169</v>
      </c>
      <c r="C2698" s="4">
        <v>9850964732</v>
      </c>
      <c r="D2698" s="6">
        <v>9588608846</v>
      </c>
      <c r="E2698" s="4" t="s">
        <v>96</v>
      </c>
      <c r="F2698" s="67" t="s">
        <v>360</v>
      </c>
      <c r="G2698" s="2" t="s">
        <v>295</v>
      </c>
      <c r="H2698" s="2" t="s">
        <v>361</v>
      </c>
      <c r="I2698" s="4" t="s">
        <v>94</v>
      </c>
      <c r="J2698" s="31">
        <v>45782</v>
      </c>
      <c r="K2698" s="31">
        <v>45782</v>
      </c>
      <c r="L2698" s="31">
        <v>45786</v>
      </c>
      <c r="M2698" s="31">
        <v>45817</v>
      </c>
      <c r="N2698" s="31"/>
      <c r="O2698" s="2" t="s">
        <v>297</v>
      </c>
    </row>
    <row r="2699" spans="1:15">
      <c r="A2699" s="3">
        <f t="shared" si="43"/>
        <v>2698</v>
      </c>
      <c r="B2699" s="67" t="s">
        <v>4170</v>
      </c>
      <c r="C2699" s="4">
        <v>7451094996</v>
      </c>
      <c r="D2699" s="6"/>
      <c r="E2699" s="4" t="s">
        <v>96</v>
      </c>
      <c r="F2699" s="67" t="s">
        <v>360</v>
      </c>
      <c r="G2699" s="2" t="s">
        <v>16</v>
      </c>
      <c r="H2699" s="2" t="s">
        <v>361</v>
      </c>
      <c r="I2699" s="4" t="s">
        <v>94</v>
      </c>
      <c r="J2699" s="31">
        <v>45782</v>
      </c>
      <c r="K2699" s="31">
        <v>45783</v>
      </c>
      <c r="L2699" s="31">
        <v>45792</v>
      </c>
      <c r="M2699" s="31">
        <v>45830</v>
      </c>
      <c r="N2699" s="31">
        <v>45832</v>
      </c>
      <c r="O2699" s="2" t="s">
        <v>297</v>
      </c>
    </row>
    <row r="2700" spans="1:15">
      <c r="A2700" s="3">
        <f t="shared" si="43"/>
        <v>2699</v>
      </c>
      <c r="B2700" s="67" t="s">
        <v>4171</v>
      </c>
      <c r="C2700" s="4">
        <v>7875422520</v>
      </c>
      <c r="D2700" s="6"/>
      <c r="E2700" s="4" t="s">
        <v>96</v>
      </c>
      <c r="F2700" s="67" t="s">
        <v>360</v>
      </c>
      <c r="G2700" s="2" t="s">
        <v>424</v>
      </c>
      <c r="H2700" s="2" t="s">
        <v>361</v>
      </c>
      <c r="I2700" s="4" t="s">
        <v>94</v>
      </c>
      <c r="J2700" s="31">
        <v>45782</v>
      </c>
      <c r="K2700" s="31">
        <v>45782</v>
      </c>
      <c r="L2700" s="31"/>
      <c r="M2700" s="31"/>
      <c r="N2700" s="31"/>
      <c r="O2700" s="2" t="s">
        <v>425</v>
      </c>
    </row>
    <row r="2701" spans="1:15">
      <c r="A2701" s="3">
        <f t="shared" si="43"/>
        <v>2700</v>
      </c>
      <c r="B2701" s="67" t="s">
        <v>4172</v>
      </c>
      <c r="C2701" s="4">
        <v>7764974870</v>
      </c>
      <c r="D2701" s="6">
        <v>7008000000</v>
      </c>
      <c r="E2701" s="4" t="s">
        <v>3869</v>
      </c>
      <c r="F2701" s="67" t="s">
        <v>3870</v>
      </c>
      <c r="G2701" s="2" t="s">
        <v>424</v>
      </c>
      <c r="H2701" s="2" t="s">
        <v>3854</v>
      </c>
      <c r="I2701" s="4" t="s">
        <v>88</v>
      </c>
      <c r="J2701" s="31">
        <v>45782</v>
      </c>
      <c r="K2701" s="31">
        <v>45834</v>
      </c>
      <c r="L2701" s="31"/>
      <c r="M2701" s="31"/>
      <c r="N2701" s="31"/>
      <c r="O2701" s="2" t="s">
        <v>425</v>
      </c>
    </row>
    <row r="2702" spans="1:15">
      <c r="A2702" s="3">
        <f t="shared" si="43"/>
        <v>2701</v>
      </c>
      <c r="B2702" s="67" t="s">
        <v>4173</v>
      </c>
      <c r="C2702" s="4">
        <v>8757721003</v>
      </c>
      <c r="D2702" s="6"/>
      <c r="E2702" s="4" t="s">
        <v>3869</v>
      </c>
      <c r="F2702" s="67" t="s">
        <v>3870</v>
      </c>
      <c r="G2702" s="2" t="s">
        <v>424</v>
      </c>
      <c r="H2702" s="2" t="s">
        <v>3854</v>
      </c>
      <c r="I2702" s="4" t="s">
        <v>88</v>
      </c>
      <c r="J2702" s="31">
        <v>45782</v>
      </c>
      <c r="K2702" s="31">
        <v>45834</v>
      </c>
      <c r="L2702" s="31"/>
      <c r="M2702" s="31"/>
      <c r="N2702" s="31"/>
      <c r="O2702" s="2" t="s">
        <v>425</v>
      </c>
    </row>
    <row r="2703" spans="1:15">
      <c r="A2703" s="3">
        <f t="shared" si="43"/>
        <v>2702</v>
      </c>
      <c r="B2703" s="67" t="s">
        <v>4174</v>
      </c>
      <c r="C2703" s="4">
        <v>8808440211</v>
      </c>
      <c r="D2703" s="6"/>
      <c r="E2703" s="4" t="s">
        <v>3869</v>
      </c>
      <c r="F2703" s="67" t="s">
        <v>3870</v>
      </c>
      <c r="G2703" s="2" t="s">
        <v>424</v>
      </c>
      <c r="H2703" s="2" t="s">
        <v>3854</v>
      </c>
      <c r="I2703" s="4" t="s">
        <v>88</v>
      </c>
      <c r="J2703" s="31">
        <v>45782</v>
      </c>
      <c r="K2703" s="31">
        <v>45834</v>
      </c>
      <c r="L2703" s="31"/>
      <c r="M2703" s="31"/>
      <c r="N2703" s="31"/>
      <c r="O2703" s="2" t="s">
        <v>425</v>
      </c>
    </row>
    <row r="2704" spans="1:15">
      <c r="A2704" s="3">
        <f t="shared" si="43"/>
        <v>2703</v>
      </c>
      <c r="B2704" s="67" t="s">
        <v>4175</v>
      </c>
      <c r="C2704" s="4">
        <v>9948784344</v>
      </c>
      <c r="D2704" s="6"/>
      <c r="E2704" s="4" t="s">
        <v>2216</v>
      </c>
      <c r="F2704" s="67" t="s">
        <v>308</v>
      </c>
      <c r="G2704" s="2" t="s">
        <v>424</v>
      </c>
      <c r="H2704" s="2" t="s">
        <v>162</v>
      </c>
      <c r="I2704" s="4" t="s">
        <v>94</v>
      </c>
      <c r="J2704" s="31">
        <v>45783</v>
      </c>
      <c r="K2704" s="31">
        <v>45792</v>
      </c>
      <c r="L2704" s="31"/>
      <c r="M2704" s="31"/>
      <c r="N2704" s="31"/>
      <c r="O2704" s="2" t="s">
        <v>425</v>
      </c>
    </row>
    <row r="2705" spans="1:15">
      <c r="A2705" s="3">
        <f t="shared" si="43"/>
        <v>2704</v>
      </c>
      <c r="B2705" s="67" t="s">
        <v>4176</v>
      </c>
      <c r="C2705" s="4">
        <v>8765552305</v>
      </c>
      <c r="D2705" s="6"/>
      <c r="E2705" s="4" t="s">
        <v>2216</v>
      </c>
      <c r="F2705" s="67" t="s">
        <v>308</v>
      </c>
      <c r="G2705" s="2" t="s">
        <v>424</v>
      </c>
      <c r="H2705" s="2" t="s">
        <v>162</v>
      </c>
      <c r="I2705" s="4" t="s">
        <v>94</v>
      </c>
      <c r="J2705" s="31">
        <v>45783</v>
      </c>
      <c r="K2705" s="31">
        <v>45792</v>
      </c>
      <c r="L2705" s="31"/>
      <c r="M2705" s="31"/>
      <c r="N2705" s="31"/>
      <c r="O2705" s="2" t="s">
        <v>425</v>
      </c>
    </row>
    <row r="2706" spans="1:15">
      <c r="A2706" s="3">
        <f t="shared" si="43"/>
        <v>2705</v>
      </c>
      <c r="B2706" s="67" t="s">
        <v>4177</v>
      </c>
      <c r="C2706" s="4">
        <v>7997884724</v>
      </c>
      <c r="D2706" s="6"/>
      <c r="E2706" s="4" t="s">
        <v>2216</v>
      </c>
      <c r="F2706" s="67" t="s">
        <v>308</v>
      </c>
      <c r="G2706" s="2" t="s">
        <v>424</v>
      </c>
      <c r="H2706" s="2" t="s">
        <v>162</v>
      </c>
      <c r="I2706" s="4" t="s">
        <v>94</v>
      </c>
      <c r="J2706" s="31">
        <v>45783</v>
      </c>
      <c r="K2706" s="31">
        <v>45793</v>
      </c>
      <c r="L2706" s="31"/>
      <c r="M2706" s="31"/>
      <c r="N2706" s="31"/>
      <c r="O2706" s="2" t="s">
        <v>425</v>
      </c>
    </row>
    <row r="2707" spans="1:15">
      <c r="A2707" s="3">
        <f t="shared" si="43"/>
        <v>2706</v>
      </c>
      <c r="B2707" s="67" t="s">
        <v>4178</v>
      </c>
      <c r="C2707" s="4">
        <v>9337928264</v>
      </c>
      <c r="D2707" s="6">
        <v>8967234926</v>
      </c>
      <c r="E2707" s="4" t="s">
        <v>1014</v>
      </c>
      <c r="F2707" s="67" t="s">
        <v>294</v>
      </c>
      <c r="G2707" s="2" t="s">
        <v>764</v>
      </c>
      <c r="H2707" s="2" t="s">
        <v>630</v>
      </c>
      <c r="I2707" s="4" t="s">
        <v>94</v>
      </c>
      <c r="J2707" s="31">
        <v>45783</v>
      </c>
      <c r="K2707" s="31">
        <v>45791</v>
      </c>
      <c r="L2707" s="31"/>
      <c r="M2707" s="31"/>
      <c r="N2707" s="31"/>
      <c r="O2707" s="2" t="s">
        <v>425</v>
      </c>
    </row>
    <row r="2708" spans="1:15">
      <c r="A2708" s="3">
        <f t="shared" si="43"/>
        <v>2707</v>
      </c>
      <c r="B2708" s="67" t="s">
        <v>4179</v>
      </c>
      <c r="C2708" s="4">
        <v>8825923278</v>
      </c>
      <c r="D2708" s="6">
        <v>9750599751</v>
      </c>
      <c r="E2708" s="4" t="s">
        <v>640</v>
      </c>
      <c r="F2708" s="67" t="s">
        <v>3002</v>
      </c>
      <c r="G2708" s="2" t="s">
        <v>764</v>
      </c>
      <c r="H2708" s="2" t="s">
        <v>630</v>
      </c>
      <c r="I2708" s="4" t="s">
        <v>94</v>
      </c>
      <c r="J2708" s="31">
        <v>45783</v>
      </c>
      <c r="K2708" s="31">
        <v>45792</v>
      </c>
      <c r="L2708" s="31"/>
      <c r="M2708" s="31"/>
      <c r="N2708" s="31"/>
      <c r="O2708" s="2" t="s">
        <v>425</v>
      </c>
    </row>
    <row r="2709" spans="1:15">
      <c r="A2709" s="3">
        <f t="shared" si="43"/>
        <v>2708</v>
      </c>
      <c r="B2709" s="67" t="s">
        <v>1178</v>
      </c>
      <c r="C2709" s="4">
        <v>8010738208</v>
      </c>
      <c r="D2709" s="6"/>
      <c r="E2709" s="4" t="s">
        <v>640</v>
      </c>
      <c r="F2709" s="67" t="s">
        <v>294</v>
      </c>
      <c r="G2709" s="2" t="s">
        <v>764</v>
      </c>
      <c r="H2709" s="2" t="s">
        <v>630</v>
      </c>
      <c r="I2709" s="4" t="s">
        <v>94</v>
      </c>
      <c r="J2709" s="31">
        <v>45783</v>
      </c>
      <c r="K2709" s="31">
        <v>45791</v>
      </c>
      <c r="L2709" s="31"/>
      <c r="M2709" s="31"/>
      <c r="N2709" s="31"/>
      <c r="O2709" s="2" t="s">
        <v>425</v>
      </c>
    </row>
    <row r="2710" spans="1:15">
      <c r="A2710" s="3">
        <f t="shared" si="43"/>
        <v>2709</v>
      </c>
      <c r="B2710" s="67" t="s">
        <v>4180</v>
      </c>
      <c r="C2710" s="4">
        <v>6294625143</v>
      </c>
      <c r="D2710" s="6"/>
      <c r="E2710" s="4" t="s">
        <v>640</v>
      </c>
      <c r="F2710" s="67" t="s">
        <v>294</v>
      </c>
      <c r="G2710" s="2" t="s">
        <v>764</v>
      </c>
      <c r="H2710" s="2" t="s">
        <v>630</v>
      </c>
      <c r="I2710" s="4" t="s">
        <v>94</v>
      </c>
      <c r="J2710" s="31">
        <v>45783</v>
      </c>
      <c r="K2710" s="31">
        <v>45791</v>
      </c>
      <c r="L2710" s="31"/>
      <c r="M2710" s="31"/>
      <c r="N2710" s="31"/>
      <c r="O2710" s="2" t="s">
        <v>425</v>
      </c>
    </row>
    <row r="2711" spans="1:15">
      <c r="A2711" s="3">
        <f t="shared" si="43"/>
        <v>2710</v>
      </c>
      <c r="B2711" s="67" t="s">
        <v>4181</v>
      </c>
      <c r="C2711" s="4">
        <v>8618473722</v>
      </c>
      <c r="D2711" s="6"/>
      <c r="E2711" s="4" t="s">
        <v>640</v>
      </c>
      <c r="F2711" s="67" t="s">
        <v>294</v>
      </c>
      <c r="G2711" s="2" t="s">
        <v>764</v>
      </c>
      <c r="H2711" s="2" t="s">
        <v>630</v>
      </c>
      <c r="I2711" s="4" t="s">
        <v>94</v>
      </c>
      <c r="J2711" s="31">
        <v>45783</v>
      </c>
      <c r="K2711" s="31">
        <v>45793</v>
      </c>
      <c r="L2711" s="31"/>
      <c r="M2711" s="31"/>
      <c r="N2711" s="31"/>
      <c r="O2711" s="2" t="s">
        <v>425</v>
      </c>
    </row>
    <row r="2712" spans="1:15">
      <c r="A2712" s="3">
        <f t="shared" si="43"/>
        <v>2711</v>
      </c>
      <c r="B2712" s="67" t="s">
        <v>4182</v>
      </c>
      <c r="C2712" s="4">
        <v>8491959804</v>
      </c>
      <c r="D2712" s="6"/>
      <c r="E2712" s="4" t="s">
        <v>355</v>
      </c>
      <c r="F2712" s="67" t="s">
        <v>308</v>
      </c>
      <c r="G2712" s="2" t="s">
        <v>16</v>
      </c>
      <c r="H2712" s="2" t="s">
        <v>357</v>
      </c>
      <c r="I2712" s="4" t="s">
        <v>94</v>
      </c>
      <c r="J2712" s="31">
        <v>45783</v>
      </c>
      <c r="K2712" s="31">
        <v>45784</v>
      </c>
      <c r="L2712" s="31">
        <v>45792</v>
      </c>
      <c r="M2712" s="31">
        <v>45823</v>
      </c>
      <c r="N2712" s="31">
        <v>45823</v>
      </c>
      <c r="O2712" s="2" t="s">
        <v>297</v>
      </c>
    </row>
    <row r="2713" spans="1:15">
      <c r="A2713" s="3">
        <f t="shared" si="43"/>
        <v>2712</v>
      </c>
      <c r="B2713" s="67" t="s">
        <v>4183</v>
      </c>
      <c r="C2713" s="4">
        <v>8599859624</v>
      </c>
      <c r="D2713" s="6"/>
      <c r="E2713" s="4" t="s">
        <v>355</v>
      </c>
      <c r="F2713" s="67" t="s">
        <v>569</v>
      </c>
      <c r="G2713" s="2" t="s">
        <v>416</v>
      </c>
      <c r="H2713" s="2" t="s">
        <v>357</v>
      </c>
      <c r="I2713" s="4" t="s">
        <v>94</v>
      </c>
      <c r="J2713" s="31">
        <v>45783</v>
      </c>
      <c r="K2713" s="31">
        <v>45783</v>
      </c>
      <c r="L2713" s="31"/>
      <c r="M2713" s="31"/>
      <c r="N2713" s="31"/>
      <c r="O2713" s="2" t="s">
        <v>297</v>
      </c>
    </row>
    <row r="2714" spans="1:15">
      <c r="A2714" s="3">
        <f t="shared" si="43"/>
        <v>2713</v>
      </c>
      <c r="B2714" s="67" t="s">
        <v>4184</v>
      </c>
      <c r="C2714" s="4">
        <v>8695342849</v>
      </c>
      <c r="D2714" s="6"/>
      <c r="E2714" s="4" t="s">
        <v>3852</v>
      </c>
      <c r="F2714" s="67" t="s">
        <v>4185</v>
      </c>
      <c r="G2714" s="2" t="s">
        <v>16</v>
      </c>
      <c r="H2714" s="2" t="s">
        <v>3854</v>
      </c>
      <c r="I2714" s="4" t="s">
        <v>88</v>
      </c>
      <c r="J2714" s="31">
        <v>45783</v>
      </c>
      <c r="K2714" s="31">
        <v>45789</v>
      </c>
      <c r="L2714" s="31">
        <v>45793</v>
      </c>
      <c r="M2714" s="31">
        <v>45825</v>
      </c>
      <c r="N2714" s="31">
        <v>45825</v>
      </c>
      <c r="O2714" s="2" t="s">
        <v>297</v>
      </c>
    </row>
    <row r="2715" spans="1:15">
      <c r="A2715" s="3">
        <f t="shared" si="43"/>
        <v>2714</v>
      </c>
      <c r="B2715" s="67" t="s">
        <v>4186</v>
      </c>
      <c r="C2715" s="4">
        <v>9547230598</v>
      </c>
      <c r="D2715" s="6">
        <v>8910886621</v>
      </c>
      <c r="E2715" s="4" t="s">
        <v>3852</v>
      </c>
      <c r="F2715" s="67" t="s">
        <v>569</v>
      </c>
      <c r="G2715" s="2" t="s">
        <v>416</v>
      </c>
      <c r="H2715" s="2" t="s">
        <v>3854</v>
      </c>
      <c r="I2715" s="4" t="s">
        <v>88</v>
      </c>
      <c r="J2715" s="31">
        <v>45783</v>
      </c>
      <c r="K2715" s="31">
        <v>45800</v>
      </c>
      <c r="L2715" s="31"/>
      <c r="M2715" s="31"/>
      <c r="N2715" s="31"/>
      <c r="O2715" s="2" t="s">
        <v>297</v>
      </c>
    </row>
    <row r="2716" spans="1:15">
      <c r="A2716" s="3">
        <f t="shared" si="43"/>
        <v>2715</v>
      </c>
      <c r="B2716" s="67" t="s">
        <v>4187</v>
      </c>
      <c r="C2716" s="4">
        <v>7385249407</v>
      </c>
      <c r="D2716" s="6"/>
      <c r="E2716" s="4" t="s">
        <v>3869</v>
      </c>
      <c r="F2716" s="67" t="s">
        <v>4188</v>
      </c>
      <c r="G2716" s="2" t="s">
        <v>764</v>
      </c>
      <c r="H2716" s="2" t="s">
        <v>3854</v>
      </c>
      <c r="I2716" s="4" t="s">
        <v>88</v>
      </c>
      <c r="J2716" s="31">
        <v>45784</v>
      </c>
      <c r="K2716" s="31">
        <v>45839</v>
      </c>
      <c r="L2716" s="31"/>
      <c r="M2716" s="31"/>
      <c r="N2716" s="31"/>
      <c r="O2716" s="2" t="s">
        <v>425</v>
      </c>
    </row>
    <row r="2717" spans="1:15">
      <c r="A2717" s="3">
        <f t="shared" si="43"/>
        <v>2716</v>
      </c>
      <c r="B2717" s="67" t="s">
        <v>4189</v>
      </c>
      <c r="C2717" s="4">
        <v>7766824030</v>
      </c>
      <c r="D2717" s="6"/>
      <c r="E2717" s="4" t="s">
        <v>3869</v>
      </c>
      <c r="F2717" s="67" t="s">
        <v>4188</v>
      </c>
      <c r="G2717" s="2" t="s">
        <v>424</v>
      </c>
      <c r="H2717" s="2" t="s">
        <v>3854</v>
      </c>
      <c r="I2717" s="4" t="s">
        <v>88</v>
      </c>
      <c r="J2717" s="31">
        <v>45785</v>
      </c>
      <c r="K2717" s="31">
        <v>45839</v>
      </c>
      <c r="L2717" s="31"/>
      <c r="M2717" s="31"/>
      <c r="N2717" s="31"/>
      <c r="O2717" s="2" t="s">
        <v>425</v>
      </c>
    </row>
    <row r="2718" spans="1:15">
      <c r="A2718" s="3">
        <f t="shared" si="43"/>
        <v>2717</v>
      </c>
      <c r="B2718" s="67" t="s">
        <v>4190</v>
      </c>
      <c r="C2718" s="4">
        <v>9049502057</v>
      </c>
      <c r="D2718" s="6"/>
      <c r="E2718" s="4" t="s">
        <v>3869</v>
      </c>
      <c r="F2718" s="67" t="s">
        <v>4191</v>
      </c>
      <c r="G2718" s="2" t="s">
        <v>764</v>
      </c>
      <c r="H2718" s="2" t="s">
        <v>3854</v>
      </c>
      <c r="I2718" s="4" t="s">
        <v>88</v>
      </c>
      <c r="J2718" s="31">
        <v>45786</v>
      </c>
      <c r="K2718" s="31">
        <v>45839</v>
      </c>
      <c r="L2718" s="31"/>
      <c r="M2718" s="31"/>
      <c r="N2718" s="31"/>
      <c r="O2718" s="2" t="s">
        <v>425</v>
      </c>
    </row>
    <row r="2719" spans="1:15">
      <c r="A2719" s="3">
        <f t="shared" si="43"/>
        <v>2718</v>
      </c>
      <c r="B2719" s="67" t="s">
        <v>4192</v>
      </c>
      <c r="C2719" s="4">
        <v>7014286871</v>
      </c>
      <c r="D2719" s="6"/>
      <c r="E2719" s="4" t="s">
        <v>3869</v>
      </c>
      <c r="F2719" s="67" t="s">
        <v>569</v>
      </c>
      <c r="G2719" s="2" t="s">
        <v>764</v>
      </c>
      <c r="H2719" s="2" t="s">
        <v>3854</v>
      </c>
      <c r="I2719" s="4" t="s">
        <v>88</v>
      </c>
      <c r="J2719" s="31">
        <v>45783</v>
      </c>
      <c r="K2719" s="31">
        <v>45839</v>
      </c>
      <c r="L2719" s="31"/>
      <c r="M2719" s="31"/>
      <c r="N2719" s="31"/>
      <c r="O2719" s="2" t="s">
        <v>425</v>
      </c>
    </row>
    <row r="2720" spans="1:15">
      <c r="A2720" s="3">
        <f t="shared" si="43"/>
        <v>2719</v>
      </c>
      <c r="B2720" s="67" t="s">
        <v>4193</v>
      </c>
      <c r="C2720" s="4">
        <v>8200696396</v>
      </c>
      <c r="D2720" s="6"/>
      <c r="E2720" s="4" t="s">
        <v>3869</v>
      </c>
      <c r="F2720" s="67" t="s">
        <v>2482</v>
      </c>
      <c r="G2720" s="2" t="s">
        <v>424</v>
      </c>
      <c r="H2720" s="2" t="s">
        <v>3854</v>
      </c>
      <c r="I2720" s="4" t="s">
        <v>88</v>
      </c>
      <c r="J2720" s="31">
        <v>45783</v>
      </c>
      <c r="K2720" s="31">
        <v>45854</v>
      </c>
      <c r="L2720" s="31"/>
      <c r="M2720" s="31"/>
      <c r="N2720" s="31"/>
      <c r="O2720" s="2" t="s">
        <v>425</v>
      </c>
    </row>
    <row r="2721" spans="1:15">
      <c r="A2721" s="3">
        <f t="shared" si="43"/>
        <v>2720</v>
      </c>
      <c r="B2721" s="67" t="s">
        <v>4194</v>
      </c>
      <c r="C2721" s="4">
        <v>8768769006</v>
      </c>
      <c r="D2721" s="6"/>
      <c r="E2721" s="4" t="s">
        <v>3591</v>
      </c>
      <c r="F2721" s="67" t="s">
        <v>569</v>
      </c>
      <c r="G2721" s="3" t="s">
        <v>1175</v>
      </c>
      <c r="H2721" s="2" t="s">
        <v>296</v>
      </c>
      <c r="I2721" s="4" t="s">
        <v>94</v>
      </c>
      <c r="J2721" s="31">
        <v>45783</v>
      </c>
      <c r="K2721" s="31"/>
      <c r="L2721" s="31"/>
      <c r="M2721" s="31"/>
      <c r="N2721" s="31"/>
      <c r="O2721" s="2" t="s">
        <v>1004</v>
      </c>
    </row>
    <row r="2722" spans="1:15">
      <c r="A2722" s="3">
        <f t="shared" si="43"/>
        <v>2721</v>
      </c>
      <c r="B2722" s="67" t="s">
        <v>4195</v>
      </c>
      <c r="C2722" s="4">
        <v>9749711705</v>
      </c>
      <c r="D2722" s="6"/>
      <c r="E2722" s="4" t="s">
        <v>640</v>
      </c>
      <c r="F2722" s="67" t="s">
        <v>294</v>
      </c>
      <c r="G2722" s="2" t="s">
        <v>295</v>
      </c>
      <c r="H2722" s="2" t="s">
        <v>296</v>
      </c>
      <c r="I2722" s="4" t="s">
        <v>94</v>
      </c>
      <c r="J2722" s="31">
        <v>45834</v>
      </c>
      <c r="K2722" s="31">
        <v>45834</v>
      </c>
      <c r="L2722" s="31">
        <v>45835</v>
      </c>
      <c r="M2722" s="31">
        <v>45874</v>
      </c>
      <c r="N2722" s="31"/>
      <c r="O2722" s="2" t="s">
        <v>297</v>
      </c>
    </row>
    <row r="2723" spans="1:15">
      <c r="A2723" s="3">
        <f t="shared" ref="A2723:A2786" si="44">ROW()-1</f>
        <v>2722</v>
      </c>
      <c r="B2723" s="67" t="s">
        <v>4196</v>
      </c>
      <c r="C2723" s="4">
        <v>8085090330</v>
      </c>
      <c r="D2723" s="6"/>
      <c r="E2723" s="4" t="s">
        <v>526</v>
      </c>
      <c r="F2723" s="67" t="s">
        <v>333</v>
      </c>
      <c r="G2723" s="2" t="s">
        <v>295</v>
      </c>
      <c r="H2723" s="2" t="s">
        <v>1096</v>
      </c>
      <c r="I2723" s="4" t="s">
        <v>94</v>
      </c>
      <c r="J2723" s="31">
        <v>45779</v>
      </c>
      <c r="K2723" s="31">
        <v>45780</v>
      </c>
      <c r="L2723" s="31">
        <v>45784</v>
      </c>
      <c r="M2723" s="31">
        <v>45945</v>
      </c>
      <c r="N2723" s="31"/>
      <c r="O2723" s="2" t="s">
        <v>297</v>
      </c>
    </row>
    <row r="2724" spans="1:15">
      <c r="A2724" s="3">
        <f t="shared" si="44"/>
        <v>2723</v>
      </c>
      <c r="B2724" s="67" t="s">
        <v>4197</v>
      </c>
      <c r="C2724" s="4">
        <v>8074518873</v>
      </c>
      <c r="D2724" s="6"/>
      <c r="E2724" s="4" t="s">
        <v>3767</v>
      </c>
      <c r="F2724" s="67" t="s">
        <v>4198</v>
      </c>
      <c r="G2724" s="2" t="s">
        <v>330</v>
      </c>
      <c r="H2724" s="2" t="s">
        <v>42</v>
      </c>
      <c r="I2724" s="4" t="s">
        <v>42</v>
      </c>
      <c r="J2724" s="31">
        <v>45784</v>
      </c>
      <c r="K2724" s="31">
        <v>45784</v>
      </c>
      <c r="L2724" s="31">
        <v>45785</v>
      </c>
      <c r="M2724" s="31">
        <v>45810</v>
      </c>
      <c r="N2724" s="31">
        <v>45787</v>
      </c>
      <c r="O2724" s="2" t="s">
        <v>297</v>
      </c>
    </row>
    <row r="2725" spans="1:15">
      <c r="A2725" s="3">
        <f t="shared" si="44"/>
        <v>2724</v>
      </c>
      <c r="B2725" s="67" t="s">
        <v>4199</v>
      </c>
      <c r="C2725" s="4">
        <v>8115906485</v>
      </c>
      <c r="D2725" s="6">
        <v>9956190229</v>
      </c>
      <c r="E2725" s="4" t="s">
        <v>4200</v>
      </c>
      <c r="F2725" s="67" t="s">
        <v>2482</v>
      </c>
      <c r="G2725" s="3" t="s">
        <v>1175</v>
      </c>
      <c r="H2725" s="2" t="s">
        <v>4201</v>
      </c>
      <c r="I2725" s="4" t="s">
        <v>88</v>
      </c>
      <c r="J2725" s="31">
        <v>45784</v>
      </c>
      <c r="K2725" s="31"/>
      <c r="L2725" s="31"/>
      <c r="M2725" s="31"/>
      <c r="N2725" s="31"/>
      <c r="O2725" s="2" t="s">
        <v>1004</v>
      </c>
    </row>
    <row r="2726" spans="1:15">
      <c r="A2726" s="3">
        <f t="shared" si="44"/>
        <v>2725</v>
      </c>
      <c r="B2726" s="67" t="s">
        <v>4202</v>
      </c>
      <c r="C2726" s="4">
        <v>8809443004</v>
      </c>
      <c r="D2726" s="6">
        <v>7978686061</v>
      </c>
      <c r="E2726" s="4" t="s">
        <v>4200</v>
      </c>
      <c r="F2726" s="67" t="s">
        <v>4203</v>
      </c>
      <c r="G2726" s="3" t="s">
        <v>1175</v>
      </c>
      <c r="H2726" s="2" t="s">
        <v>4201</v>
      </c>
      <c r="I2726" s="4" t="s">
        <v>88</v>
      </c>
      <c r="J2726" s="31">
        <v>45784</v>
      </c>
      <c r="K2726" s="31"/>
      <c r="L2726" s="31"/>
      <c r="M2726" s="31"/>
      <c r="N2726" s="31"/>
      <c r="O2726" s="2" t="s">
        <v>1004</v>
      </c>
    </row>
    <row r="2727" spans="1:15">
      <c r="A2727" s="3">
        <f t="shared" si="44"/>
        <v>2726</v>
      </c>
      <c r="B2727" s="67" t="s">
        <v>4204</v>
      </c>
      <c r="C2727" s="4">
        <v>8602151779</v>
      </c>
      <c r="D2727" s="6"/>
      <c r="E2727" s="4" t="s">
        <v>4200</v>
      </c>
      <c r="F2727" s="67" t="s">
        <v>4205</v>
      </c>
      <c r="G2727" s="3" t="s">
        <v>1175</v>
      </c>
      <c r="H2727" s="2" t="s">
        <v>4201</v>
      </c>
      <c r="I2727" s="4" t="s">
        <v>88</v>
      </c>
      <c r="J2727" s="31">
        <v>45784</v>
      </c>
      <c r="K2727" s="31"/>
      <c r="L2727" s="31"/>
      <c r="M2727" s="31"/>
      <c r="N2727" s="31"/>
      <c r="O2727" s="2" t="s">
        <v>1004</v>
      </c>
    </row>
    <row r="2728" spans="1:15">
      <c r="A2728" s="3">
        <f t="shared" si="44"/>
        <v>2727</v>
      </c>
      <c r="B2728" s="67" t="s">
        <v>4206</v>
      </c>
      <c r="C2728" s="4">
        <v>9641408133</v>
      </c>
      <c r="D2728" s="6">
        <v>8910523980</v>
      </c>
      <c r="E2728" s="4" t="s">
        <v>4200</v>
      </c>
      <c r="F2728" s="67" t="s">
        <v>1981</v>
      </c>
      <c r="G2728" s="3" t="s">
        <v>1175</v>
      </c>
      <c r="H2728" s="2" t="s">
        <v>4201</v>
      </c>
      <c r="I2728" s="4" t="s">
        <v>88</v>
      </c>
      <c r="J2728" s="31">
        <v>45784</v>
      </c>
      <c r="K2728" s="31"/>
      <c r="L2728" s="31"/>
      <c r="M2728" s="31"/>
      <c r="N2728" s="31"/>
      <c r="O2728" s="2" t="s">
        <v>1004</v>
      </c>
    </row>
    <row r="2729" spans="1:15">
      <c r="A2729" s="3">
        <f t="shared" si="44"/>
        <v>2728</v>
      </c>
      <c r="B2729" s="67" t="s">
        <v>4207</v>
      </c>
      <c r="C2729" s="4">
        <v>9439669727</v>
      </c>
      <c r="D2729" s="6">
        <v>8249295621</v>
      </c>
      <c r="E2729" s="4" t="s">
        <v>4200</v>
      </c>
      <c r="F2729" s="67" t="s">
        <v>4208</v>
      </c>
      <c r="G2729" s="3" t="s">
        <v>1175</v>
      </c>
      <c r="H2729" s="2" t="s">
        <v>4201</v>
      </c>
      <c r="I2729" s="4" t="s">
        <v>88</v>
      </c>
      <c r="J2729" s="31">
        <v>45784</v>
      </c>
      <c r="K2729" s="31"/>
      <c r="L2729" s="31"/>
      <c r="M2729" s="31"/>
      <c r="N2729" s="31"/>
      <c r="O2729" s="2" t="s">
        <v>1004</v>
      </c>
    </row>
    <row r="2730" spans="1:15">
      <c r="A2730" s="3">
        <f t="shared" si="44"/>
        <v>2729</v>
      </c>
      <c r="B2730" s="67" t="s">
        <v>4209</v>
      </c>
      <c r="C2730" s="4">
        <v>6304312044</v>
      </c>
      <c r="D2730" s="6"/>
      <c r="E2730" s="4" t="s">
        <v>96</v>
      </c>
      <c r="F2730" s="67" t="s">
        <v>360</v>
      </c>
      <c r="G2730" s="2" t="s">
        <v>424</v>
      </c>
      <c r="H2730" s="2" t="s">
        <v>361</v>
      </c>
      <c r="I2730" s="4" t="s">
        <v>94</v>
      </c>
      <c r="J2730" s="31">
        <v>45784</v>
      </c>
      <c r="K2730" s="31">
        <v>45842</v>
      </c>
      <c r="L2730" s="31"/>
      <c r="M2730" s="31"/>
      <c r="N2730" s="31"/>
      <c r="O2730" s="2" t="s">
        <v>749</v>
      </c>
    </row>
    <row r="2731" spans="1:15">
      <c r="A2731" s="3">
        <f t="shared" si="44"/>
        <v>2730</v>
      </c>
      <c r="B2731" s="67" t="s">
        <v>4210</v>
      </c>
      <c r="C2731" s="4">
        <v>7488632586</v>
      </c>
      <c r="D2731" s="6"/>
      <c r="E2731" s="4" t="s">
        <v>96</v>
      </c>
      <c r="F2731" s="67" t="s">
        <v>360</v>
      </c>
      <c r="G2731" s="2" t="s">
        <v>16</v>
      </c>
      <c r="H2731" s="2" t="s">
        <v>361</v>
      </c>
      <c r="I2731" s="4" t="s">
        <v>94</v>
      </c>
      <c r="J2731" s="31">
        <v>45784</v>
      </c>
      <c r="K2731" s="31">
        <v>45786</v>
      </c>
      <c r="L2731" s="31">
        <v>45786</v>
      </c>
      <c r="M2731" s="31">
        <v>45819</v>
      </c>
      <c r="N2731" s="31">
        <v>45819</v>
      </c>
      <c r="O2731" s="2" t="s">
        <v>297</v>
      </c>
    </row>
    <row r="2732" spans="1:15">
      <c r="A2732" s="3">
        <f t="shared" si="44"/>
        <v>2731</v>
      </c>
      <c r="B2732" s="67" t="s">
        <v>4211</v>
      </c>
      <c r="C2732" s="4">
        <v>7319616729</v>
      </c>
      <c r="D2732" s="6"/>
      <c r="E2732" s="4" t="s">
        <v>96</v>
      </c>
      <c r="F2732" s="67" t="s">
        <v>1044</v>
      </c>
      <c r="G2732" s="2" t="s">
        <v>416</v>
      </c>
      <c r="H2732" s="2" t="s">
        <v>361</v>
      </c>
      <c r="I2732" s="4" t="s">
        <v>94</v>
      </c>
      <c r="J2732" s="31">
        <v>45784</v>
      </c>
      <c r="K2732" s="31">
        <v>45786</v>
      </c>
      <c r="L2732" s="31"/>
      <c r="M2732" s="31"/>
      <c r="N2732" s="31"/>
      <c r="O2732" s="2" t="s">
        <v>297</v>
      </c>
    </row>
    <row r="2733" spans="1:15">
      <c r="A2733" s="3">
        <f t="shared" si="44"/>
        <v>2732</v>
      </c>
      <c r="B2733" s="67" t="s">
        <v>4212</v>
      </c>
      <c r="C2733" s="4">
        <v>6390973415</v>
      </c>
      <c r="D2733" s="6"/>
      <c r="E2733" s="4" t="s">
        <v>96</v>
      </c>
      <c r="F2733" s="67" t="s">
        <v>1044</v>
      </c>
      <c r="G2733" s="2" t="s">
        <v>18</v>
      </c>
      <c r="H2733" s="2" t="s">
        <v>361</v>
      </c>
      <c r="I2733" s="4" t="s">
        <v>94</v>
      </c>
      <c r="J2733" s="31">
        <v>45784</v>
      </c>
      <c r="K2733" s="31">
        <v>45842</v>
      </c>
      <c r="L2733" s="31"/>
      <c r="M2733" s="31"/>
      <c r="N2733" s="31"/>
      <c r="O2733" s="2" t="s">
        <v>297</v>
      </c>
    </row>
    <row r="2734" spans="1:15">
      <c r="A2734" s="3">
        <f t="shared" si="44"/>
        <v>2733</v>
      </c>
      <c r="B2734" s="67" t="s">
        <v>4213</v>
      </c>
      <c r="C2734" s="4">
        <v>6207137087</v>
      </c>
      <c r="D2734" s="6"/>
      <c r="E2734" s="4" t="s">
        <v>96</v>
      </c>
      <c r="F2734" s="67" t="s">
        <v>1044</v>
      </c>
      <c r="G2734" s="2" t="s">
        <v>764</v>
      </c>
      <c r="H2734" s="2" t="s">
        <v>361</v>
      </c>
      <c r="I2734" s="4" t="s">
        <v>94</v>
      </c>
      <c r="J2734" s="31">
        <v>45784</v>
      </c>
      <c r="K2734" s="31">
        <v>45786</v>
      </c>
      <c r="L2734" s="31"/>
      <c r="M2734" s="31"/>
      <c r="N2734" s="31"/>
      <c r="O2734" s="2" t="s">
        <v>425</v>
      </c>
    </row>
    <row r="2735" spans="1:15">
      <c r="A2735" s="3">
        <f t="shared" si="44"/>
        <v>2734</v>
      </c>
      <c r="B2735" s="67" t="s">
        <v>4214</v>
      </c>
      <c r="C2735" s="4">
        <v>8941993673</v>
      </c>
      <c r="D2735" s="6">
        <v>9628467581</v>
      </c>
      <c r="E2735" s="4" t="s">
        <v>96</v>
      </c>
      <c r="F2735" s="67" t="s">
        <v>1044</v>
      </c>
      <c r="G2735" s="2" t="s">
        <v>16</v>
      </c>
      <c r="H2735" s="2" t="s">
        <v>361</v>
      </c>
      <c r="I2735" s="4" t="s">
        <v>94</v>
      </c>
      <c r="J2735" s="31">
        <v>45784</v>
      </c>
      <c r="K2735" s="31">
        <v>45786</v>
      </c>
      <c r="L2735" s="31">
        <v>45792</v>
      </c>
      <c r="M2735" s="31">
        <v>45807</v>
      </c>
      <c r="N2735" s="31">
        <v>45804</v>
      </c>
      <c r="O2735" s="2" t="s">
        <v>297</v>
      </c>
    </row>
    <row r="2736" spans="1:15">
      <c r="A2736" s="3">
        <f t="shared" si="44"/>
        <v>2735</v>
      </c>
      <c r="B2736" s="67" t="s">
        <v>4215</v>
      </c>
      <c r="C2736" s="4">
        <v>9729813755</v>
      </c>
      <c r="D2736" s="6">
        <v>8168048204</v>
      </c>
      <c r="E2736" s="4" t="s">
        <v>96</v>
      </c>
      <c r="F2736" s="67" t="s">
        <v>360</v>
      </c>
      <c r="G2736" s="2" t="s">
        <v>16</v>
      </c>
      <c r="H2736" s="2" t="s">
        <v>361</v>
      </c>
      <c r="I2736" s="4" t="s">
        <v>94</v>
      </c>
      <c r="J2736" s="31">
        <v>45784</v>
      </c>
      <c r="K2736" s="31">
        <v>45786</v>
      </c>
      <c r="L2736" s="31">
        <v>45786</v>
      </c>
      <c r="M2736" s="31">
        <v>45823</v>
      </c>
      <c r="N2736" s="31">
        <v>45824</v>
      </c>
      <c r="O2736" s="2" t="s">
        <v>297</v>
      </c>
    </row>
    <row r="2737" spans="1:15">
      <c r="A2737" s="3">
        <f t="shared" si="44"/>
        <v>2736</v>
      </c>
      <c r="B2737" s="67" t="s">
        <v>4216</v>
      </c>
      <c r="C2737" s="4">
        <v>7307817561</v>
      </c>
      <c r="D2737" s="6"/>
      <c r="E2737" s="4" t="s">
        <v>99</v>
      </c>
      <c r="F2737" s="67" t="s">
        <v>360</v>
      </c>
      <c r="G2737" s="3" t="s">
        <v>16</v>
      </c>
      <c r="H2737" s="2" t="s">
        <v>361</v>
      </c>
      <c r="I2737" s="4" t="s">
        <v>94</v>
      </c>
      <c r="J2737" s="31">
        <v>45784</v>
      </c>
      <c r="K2737" s="31">
        <v>45786</v>
      </c>
      <c r="L2737" s="31">
        <v>45800</v>
      </c>
      <c r="M2737" s="31">
        <v>45810</v>
      </c>
      <c r="N2737" s="31">
        <v>45812</v>
      </c>
      <c r="O2737" s="2" t="s">
        <v>297</v>
      </c>
    </row>
    <row r="2738" spans="1:15">
      <c r="A2738" s="3">
        <f t="shared" si="44"/>
        <v>2737</v>
      </c>
      <c r="B2738" s="67" t="s">
        <v>4217</v>
      </c>
      <c r="C2738" s="4">
        <v>9959635237</v>
      </c>
      <c r="D2738" s="6"/>
      <c r="E2738" s="4" t="s">
        <v>124</v>
      </c>
      <c r="F2738" s="67" t="s">
        <v>443</v>
      </c>
      <c r="G2738" s="2" t="s">
        <v>16</v>
      </c>
      <c r="H2738" s="2" t="s">
        <v>296</v>
      </c>
      <c r="I2738" s="4" t="s">
        <v>42</v>
      </c>
      <c r="J2738" s="31">
        <v>45784</v>
      </c>
      <c r="K2738" s="31">
        <v>45786</v>
      </c>
      <c r="L2738" s="31">
        <v>45786</v>
      </c>
      <c r="M2738" s="31">
        <v>45819</v>
      </c>
      <c r="N2738" s="31">
        <v>45821</v>
      </c>
      <c r="O2738" s="2" t="s">
        <v>297</v>
      </c>
    </row>
    <row r="2739" spans="1:15">
      <c r="A2739" s="3">
        <f t="shared" si="44"/>
        <v>2738</v>
      </c>
      <c r="B2739" s="67" t="s">
        <v>4218</v>
      </c>
      <c r="C2739" s="4">
        <v>9533233751</v>
      </c>
      <c r="D2739" s="6"/>
      <c r="E2739" s="4" t="s">
        <v>124</v>
      </c>
      <c r="F2739" s="67" t="s">
        <v>4219</v>
      </c>
      <c r="G2739" s="2" t="s">
        <v>764</v>
      </c>
      <c r="H2739" s="2" t="s">
        <v>3240</v>
      </c>
      <c r="I2739" s="4" t="s">
        <v>42</v>
      </c>
      <c r="J2739" s="31">
        <v>45784</v>
      </c>
      <c r="K2739" s="31">
        <v>45814</v>
      </c>
      <c r="L2739" s="31"/>
      <c r="M2739" s="31"/>
      <c r="N2739" s="31"/>
      <c r="O2739" s="2" t="s">
        <v>425</v>
      </c>
    </row>
    <row r="2740" spans="1:15">
      <c r="A2740" s="3">
        <f t="shared" si="44"/>
        <v>2739</v>
      </c>
      <c r="B2740" s="67" t="s">
        <v>4220</v>
      </c>
      <c r="C2740" s="4">
        <v>7989285478</v>
      </c>
      <c r="D2740" s="6"/>
      <c r="E2740" s="4" t="s">
        <v>127</v>
      </c>
      <c r="F2740" s="67" t="s">
        <v>443</v>
      </c>
      <c r="G2740" s="2" t="s">
        <v>764</v>
      </c>
      <c r="H2740" s="2" t="s">
        <v>3240</v>
      </c>
      <c r="I2740" s="4" t="s">
        <v>42</v>
      </c>
      <c r="J2740" s="31">
        <v>45784</v>
      </c>
      <c r="K2740" s="31">
        <v>45790</v>
      </c>
      <c r="L2740" s="31"/>
      <c r="M2740" s="31"/>
      <c r="N2740" s="31"/>
      <c r="O2740" s="2" t="s">
        <v>425</v>
      </c>
    </row>
    <row r="2741" spans="1:15">
      <c r="A2741" s="3">
        <f t="shared" si="44"/>
        <v>2740</v>
      </c>
      <c r="B2741" s="67" t="s">
        <v>363</v>
      </c>
      <c r="C2741" s="4">
        <v>6205968896</v>
      </c>
      <c r="D2741" s="6"/>
      <c r="E2741" s="4" t="s">
        <v>127</v>
      </c>
      <c r="F2741" s="67" t="s">
        <v>4221</v>
      </c>
      <c r="G2741" s="2" t="s">
        <v>16</v>
      </c>
      <c r="H2741" s="3" t="s">
        <v>3117</v>
      </c>
      <c r="I2741" s="4" t="s">
        <v>42</v>
      </c>
      <c r="J2741" s="31">
        <v>45784</v>
      </c>
      <c r="K2741" s="31">
        <v>45786</v>
      </c>
      <c r="L2741" s="31">
        <v>45786</v>
      </c>
      <c r="M2741" s="31">
        <v>45793</v>
      </c>
      <c r="N2741" s="31">
        <v>45793</v>
      </c>
      <c r="O2741" s="2" t="s">
        <v>297</v>
      </c>
    </row>
    <row r="2742" spans="1:15">
      <c r="A2742" s="3">
        <f t="shared" si="44"/>
        <v>2741</v>
      </c>
      <c r="B2742" s="67" t="s">
        <v>4222</v>
      </c>
      <c r="C2742" s="4">
        <v>7093811603</v>
      </c>
      <c r="D2742" s="6"/>
      <c r="E2742" s="4" t="s">
        <v>4223</v>
      </c>
      <c r="F2742" s="67" t="s">
        <v>4224</v>
      </c>
      <c r="G2742" s="2" t="s">
        <v>18</v>
      </c>
      <c r="H2742" s="2" t="s">
        <v>3797</v>
      </c>
      <c r="I2742" s="4" t="s">
        <v>94</v>
      </c>
      <c r="J2742" s="31">
        <v>45785</v>
      </c>
      <c r="K2742" s="31">
        <v>45791</v>
      </c>
      <c r="L2742" s="31"/>
      <c r="M2742" s="31"/>
      <c r="N2742" s="31"/>
      <c r="O2742" s="2" t="s">
        <v>297</v>
      </c>
    </row>
    <row r="2743" spans="1:15">
      <c r="A2743" s="3">
        <f t="shared" si="44"/>
        <v>2742</v>
      </c>
      <c r="B2743" s="67" t="s">
        <v>4225</v>
      </c>
      <c r="C2743" s="4">
        <v>9701455307</v>
      </c>
      <c r="D2743" s="6"/>
      <c r="E2743" s="4" t="s">
        <v>3941</v>
      </c>
      <c r="F2743" s="67" t="s">
        <v>303</v>
      </c>
      <c r="G2743" s="3" t="s">
        <v>295</v>
      </c>
      <c r="H2743" s="2" t="s">
        <v>3797</v>
      </c>
      <c r="I2743" s="4" t="s">
        <v>94</v>
      </c>
      <c r="J2743" s="31">
        <v>45785</v>
      </c>
      <c r="K2743" s="31">
        <v>45791</v>
      </c>
      <c r="L2743" s="31">
        <v>45793</v>
      </c>
      <c r="M2743" s="31">
        <v>45810</v>
      </c>
      <c r="N2743" s="31"/>
      <c r="O2743" s="2" t="s">
        <v>297</v>
      </c>
    </row>
    <row r="2744" spans="1:15">
      <c r="A2744" s="3">
        <f t="shared" si="44"/>
        <v>2743</v>
      </c>
      <c r="B2744" s="67" t="s">
        <v>4226</v>
      </c>
      <c r="C2744" s="4">
        <v>7255955883</v>
      </c>
      <c r="D2744" s="6"/>
      <c r="E2744" s="4" t="s">
        <v>3941</v>
      </c>
      <c r="F2744" s="67" t="s">
        <v>4227</v>
      </c>
      <c r="G2744" s="3" t="s">
        <v>16</v>
      </c>
      <c r="H2744" s="2" t="s">
        <v>3797</v>
      </c>
      <c r="I2744" s="4" t="s">
        <v>94</v>
      </c>
      <c r="J2744" s="31">
        <v>45785</v>
      </c>
      <c r="K2744" s="31">
        <v>45791</v>
      </c>
      <c r="L2744" s="31">
        <v>45793</v>
      </c>
      <c r="M2744" s="31">
        <v>45810</v>
      </c>
      <c r="N2744" s="31">
        <v>45809</v>
      </c>
      <c r="O2744" s="2" t="s">
        <v>297</v>
      </c>
    </row>
    <row r="2745" spans="1:15">
      <c r="A2745" s="3">
        <f t="shared" si="44"/>
        <v>2744</v>
      </c>
      <c r="B2745" s="67" t="s">
        <v>4228</v>
      </c>
      <c r="C2745" s="4">
        <v>6300359061</v>
      </c>
      <c r="D2745" s="6"/>
      <c r="E2745" s="4" t="s">
        <v>4223</v>
      </c>
      <c r="F2745" s="67" t="s">
        <v>4224</v>
      </c>
      <c r="G2745" s="3" t="s">
        <v>424</v>
      </c>
      <c r="H2745" s="2" t="s">
        <v>3797</v>
      </c>
      <c r="I2745" s="4" t="s">
        <v>94</v>
      </c>
      <c r="J2745" s="31">
        <v>45785</v>
      </c>
      <c r="K2745" s="31">
        <v>45791</v>
      </c>
      <c r="L2745" s="31"/>
      <c r="M2745" s="31"/>
      <c r="N2745" s="31"/>
      <c r="O2745" s="2" t="s">
        <v>749</v>
      </c>
    </row>
    <row r="2746" spans="1:15">
      <c r="A2746" s="3">
        <f t="shared" si="44"/>
        <v>2745</v>
      </c>
      <c r="B2746" s="67" t="s">
        <v>4229</v>
      </c>
      <c r="C2746" s="4">
        <v>8008984066</v>
      </c>
      <c r="D2746" s="6"/>
      <c r="E2746" s="4" t="s">
        <v>4223</v>
      </c>
      <c r="F2746" s="67" t="s">
        <v>4224</v>
      </c>
      <c r="G2746" s="3" t="s">
        <v>424</v>
      </c>
      <c r="H2746" s="2" t="s">
        <v>3797</v>
      </c>
      <c r="I2746" s="4" t="s">
        <v>94</v>
      </c>
      <c r="J2746" s="31">
        <v>45785</v>
      </c>
      <c r="K2746" s="31">
        <v>45791</v>
      </c>
      <c r="L2746" s="31"/>
      <c r="M2746" s="31"/>
      <c r="N2746" s="31"/>
      <c r="O2746" s="2" t="s">
        <v>749</v>
      </c>
    </row>
    <row r="2747" spans="1:15">
      <c r="A2747" s="3">
        <f t="shared" si="44"/>
        <v>2746</v>
      </c>
      <c r="B2747" s="67" t="s">
        <v>4230</v>
      </c>
      <c r="C2747" s="4">
        <v>7828838584</v>
      </c>
      <c r="D2747" s="6"/>
      <c r="E2747" s="4" t="s">
        <v>3852</v>
      </c>
      <c r="F2747" s="67" t="s">
        <v>4231</v>
      </c>
      <c r="G2747" s="2" t="s">
        <v>424</v>
      </c>
      <c r="H2747" s="2" t="s">
        <v>3854</v>
      </c>
      <c r="I2747" s="4" t="s">
        <v>88</v>
      </c>
      <c r="J2747" s="31">
        <v>45785</v>
      </c>
      <c r="K2747" s="31">
        <v>45834</v>
      </c>
      <c r="L2747" s="31"/>
      <c r="M2747" s="31"/>
      <c r="N2747" s="31"/>
      <c r="O2747" s="2" t="s">
        <v>425</v>
      </c>
    </row>
    <row r="2748" spans="1:15">
      <c r="A2748" s="3">
        <f t="shared" si="44"/>
        <v>2747</v>
      </c>
      <c r="B2748" s="67" t="s">
        <v>4232</v>
      </c>
      <c r="C2748" s="4">
        <v>9039284642</v>
      </c>
      <c r="D2748" s="6"/>
      <c r="E2748" s="4" t="s">
        <v>3852</v>
      </c>
      <c r="F2748" s="67" t="s">
        <v>1772</v>
      </c>
      <c r="G2748" s="2" t="s">
        <v>764</v>
      </c>
      <c r="H2748" s="2" t="s">
        <v>3854</v>
      </c>
      <c r="I2748" s="4" t="s">
        <v>88</v>
      </c>
      <c r="J2748" s="31">
        <v>45785</v>
      </c>
      <c r="K2748" s="31">
        <v>45834</v>
      </c>
      <c r="L2748" s="31"/>
      <c r="M2748" s="31"/>
      <c r="N2748" s="31"/>
      <c r="O2748" s="2" t="s">
        <v>425</v>
      </c>
    </row>
    <row r="2749" spans="1:15">
      <c r="A2749" s="3">
        <f t="shared" si="44"/>
        <v>2748</v>
      </c>
      <c r="B2749" s="67" t="s">
        <v>4233</v>
      </c>
      <c r="C2749" s="4">
        <v>9166145486</v>
      </c>
      <c r="D2749" s="6"/>
      <c r="E2749" s="4" t="s">
        <v>3852</v>
      </c>
      <c r="F2749" s="67" t="s">
        <v>4234</v>
      </c>
      <c r="G2749" s="2" t="s">
        <v>295</v>
      </c>
      <c r="H2749" s="2" t="s">
        <v>3854</v>
      </c>
      <c r="I2749" s="4" t="s">
        <v>88</v>
      </c>
      <c r="J2749" s="31">
        <v>45785</v>
      </c>
      <c r="K2749" s="31">
        <v>45800</v>
      </c>
      <c r="L2749" s="31">
        <v>45803</v>
      </c>
      <c r="M2749" s="31">
        <v>45834</v>
      </c>
      <c r="N2749" s="31"/>
      <c r="O2749" s="2" t="s">
        <v>297</v>
      </c>
    </row>
    <row r="2750" spans="1:15">
      <c r="A2750" s="3">
        <f t="shared" si="44"/>
        <v>2749</v>
      </c>
      <c r="B2750" s="67" t="s">
        <v>4235</v>
      </c>
      <c r="C2750" s="4">
        <v>9853744215</v>
      </c>
      <c r="D2750" s="6"/>
      <c r="E2750" s="4" t="s">
        <v>3852</v>
      </c>
      <c r="F2750" s="67" t="s">
        <v>4236</v>
      </c>
      <c r="G2750" s="2" t="s">
        <v>424</v>
      </c>
      <c r="H2750" s="2" t="s">
        <v>3854</v>
      </c>
      <c r="I2750" s="4" t="s">
        <v>88</v>
      </c>
      <c r="J2750" s="31">
        <v>45785</v>
      </c>
      <c r="K2750" s="31">
        <v>45834</v>
      </c>
      <c r="L2750" s="31"/>
      <c r="M2750" s="31"/>
      <c r="N2750" s="31"/>
      <c r="O2750" s="2" t="s">
        <v>425</v>
      </c>
    </row>
    <row r="2751" spans="1:15">
      <c r="A2751" s="3">
        <f t="shared" si="44"/>
        <v>2750</v>
      </c>
      <c r="B2751" s="67" t="s">
        <v>4237</v>
      </c>
      <c r="C2751" s="4">
        <v>6393072447</v>
      </c>
      <c r="D2751" s="6"/>
      <c r="E2751" s="4" t="s">
        <v>3852</v>
      </c>
      <c r="F2751" s="67" t="s">
        <v>4238</v>
      </c>
      <c r="G2751" s="2" t="s">
        <v>764</v>
      </c>
      <c r="H2751" s="2" t="s">
        <v>3854</v>
      </c>
      <c r="I2751" s="4" t="s">
        <v>88</v>
      </c>
      <c r="J2751" s="31">
        <v>45785</v>
      </c>
      <c r="K2751" s="31">
        <v>45834</v>
      </c>
      <c r="L2751" s="31"/>
      <c r="M2751" s="31"/>
      <c r="N2751" s="31"/>
      <c r="O2751" s="2" t="s">
        <v>425</v>
      </c>
    </row>
    <row r="2752" spans="1:15">
      <c r="A2752" s="3">
        <f t="shared" si="44"/>
        <v>2751</v>
      </c>
      <c r="B2752" s="67" t="s">
        <v>4239</v>
      </c>
      <c r="C2752" s="4">
        <v>7751089388</v>
      </c>
      <c r="D2752" s="6"/>
      <c r="E2752" s="4" t="s">
        <v>3852</v>
      </c>
      <c r="F2752" s="67" t="s">
        <v>4238</v>
      </c>
      <c r="G2752" s="2" t="s">
        <v>764</v>
      </c>
      <c r="H2752" s="2" t="s">
        <v>3854</v>
      </c>
      <c r="I2752" s="4" t="s">
        <v>88</v>
      </c>
      <c r="J2752" s="31">
        <v>45785</v>
      </c>
      <c r="K2752" s="31">
        <v>45834</v>
      </c>
      <c r="L2752" s="31"/>
      <c r="M2752" s="31"/>
      <c r="N2752" s="31"/>
      <c r="O2752" s="2" t="s">
        <v>425</v>
      </c>
    </row>
    <row r="2753" spans="1:15">
      <c r="A2753" s="3">
        <f t="shared" si="44"/>
        <v>2752</v>
      </c>
      <c r="B2753" s="67" t="s">
        <v>4240</v>
      </c>
      <c r="C2753" s="4">
        <v>8435272660</v>
      </c>
      <c r="D2753" s="6"/>
      <c r="E2753" s="4" t="s">
        <v>3869</v>
      </c>
      <c r="F2753" s="67" t="s">
        <v>4241</v>
      </c>
      <c r="G2753" s="2" t="s">
        <v>764</v>
      </c>
      <c r="H2753" s="2" t="s">
        <v>3854</v>
      </c>
      <c r="I2753" s="4" t="s">
        <v>88</v>
      </c>
      <c r="J2753" s="31">
        <v>45785</v>
      </c>
      <c r="K2753" s="31">
        <v>45835</v>
      </c>
      <c r="L2753" s="31"/>
      <c r="M2753" s="31"/>
      <c r="N2753" s="31"/>
      <c r="O2753" s="2" t="s">
        <v>425</v>
      </c>
    </row>
    <row r="2754" spans="1:15">
      <c r="A2754" s="3">
        <f t="shared" si="44"/>
        <v>2753</v>
      </c>
      <c r="B2754" s="67" t="s">
        <v>4242</v>
      </c>
      <c r="C2754" s="4">
        <v>9794805915</v>
      </c>
      <c r="D2754" s="6"/>
      <c r="E2754" s="4" t="s">
        <v>3869</v>
      </c>
      <c r="F2754" s="67" t="s">
        <v>2482</v>
      </c>
      <c r="G2754" s="2" t="s">
        <v>764</v>
      </c>
      <c r="H2754" s="2" t="s">
        <v>3854</v>
      </c>
      <c r="I2754" s="4" t="s">
        <v>88</v>
      </c>
      <c r="J2754" s="31">
        <v>45785</v>
      </c>
      <c r="K2754" s="31">
        <v>45835</v>
      </c>
      <c r="L2754" s="31"/>
      <c r="M2754" s="31"/>
      <c r="N2754" s="31"/>
      <c r="O2754" s="2" t="s">
        <v>425</v>
      </c>
    </row>
    <row r="2755" spans="1:15">
      <c r="A2755" s="3">
        <f t="shared" si="44"/>
        <v>2754</v>
      </c>
      <c r="B2755" s="67" t="s">
        <v>4243</v>
      </c>
      <c r="C2755" s="4">
        <v>8738006509</v>
      </c>
      <c r="D2755" s="6"/>
      <c r="E2755" s="4" t="s">
        <v>3869</v>
      </c>
      <c r="F2755" s="67" t="s">
        <v>569</v>
      </c>
      <c r="G2755" s="2" t="s">
        <v>764</v>
      </c>
      <c r="H2755" s="2" t="s">
        <v>3854</v>
      </c>
      <c r="I2755" s="4" t="s">
        <v>88</v>
      </c>
      <c r="J2755" s="31">
        <v>45785</v>
      </c>
      <c r="K2755" s="31">
        <v>45835</v>
      </c>
      <c r="L2755" s="31"/>
      <c r="M2755" s="31"/>
      <c r="N2755" s="31"/>
      <c r="O2755" s="2" t="s">
        <v>425</v>
      </c>
    </row>
    <row r="2756" spans="1:15">
      <c r="A2756" s="3">
        <f t="shared" si="44"/>
        <v>2755</v>
      </c>
      <c r="B2756" s="67" t="s">
        <v>4244</v>
      </c>
      <c r="C2756" s="4">
        <v>7389803352</v>
      </c>
      <c r="D2756" s="6"/>
      <c r="E2756" s="4" t="s">
        <v>3869</v>
      </c>
      <c r="F2756" s="67" t="s">
        <v>4245</v>
      </c>
      <c r="G2756" s="2" t="s">
        <v>764</v>
      </c>
      <c r="H2756" s="2" t="s">
        <v>3854</v>
      </c>
      <c r="I2756" s="4" t="s">
        <v>88</v>
      </c>
      <c r="J2756" s="31">
        <v>45785</v>
      </c>
      <c r="K2756" s="31">
        <v>45835</v>
      </c>
      <c r="L2756" s="31"/>
      <c r="M2756" s="31"/>
      <c r="N2756" s="31"/>
      <c r="O2756" s="2" t="s">
        <v>425</v>
      </c>
    </row>
    <row r="2757" spans="1:15">
      <c r="A2757" s="3">
        <f t="shared" si="44"/>
        <v>2756</v>
      </c>
      <c r="B2757" s="67" t="s">
        <v>4246</v>
      </c>
      <c r="C2757" s="4">
        <v>7979842722</v>
      </c>
      <c r="D2757" s="6"/>
      <c r="E2757" s="4" t="s">
        <v>3869</v>
      </c>
      <c r="F2757" s="67" t="s">
        <v>4247</v>
      </c>
      <c r="G2757" s="2" t="s">
        <v>764</v>
      </c>
      <c r="H2757" s="2" t="s">
        <v>3854</v>
      </c>
      <c r="I2757" s="4" t="s">
        <v>88</v>
      </c>
      <c r="J2757" s="31">
        <v>45785</v>
      </c>
      <c r="K2757" s="31">
        <v>45835</v>
      </c>
      <c r="L2757" s="31"/>
      <c r="M2757" s="31"/>
      <c r="N2757" s="31"/>
      <c r="O2757" s="2" t="s">
        <v>425</v>
      </c>
    </row>
    <row r="2758" spans="1:15">
      <c r="A2758" s="3">
        <f t="shared" si="44"/>
        <v>2757</v>
      </c>
      <c r="B2758" s="67" t="s">
        <v>4248</v>
      </c>
      <c r="C2758" s="4">
        <v>9440699414</v>
      </c>
      <c r="D2758" s="6"/>
      <c r="E2758" s="4" t="s">
        <v>2891</v>
      </c>
      <c r="F2758" s="67" t="s">
        <v>1060</v>
      </c>
      <c r="G2758" s="3" t="s">
        <v>416</v>
      </c>
      <c r="H2758" s="2" t="s">
        <v>357</v>
      </c>
      <c r="I2758" s="4" t="s">
        <v>94</v>
      </c>
      <c r="J2758" s="31">
        <v>45785</v>
      </c>
      <c r="K2758" s="31">
        <v>45792</v>
      </c>
      <c r="L2758" s="31"/>
      <c r="M2758" s="31"/>
      <c r="N2758" s="31"/>
      <c r="O2758" s="2" t="s">
        <v>297</v>
      </c>
    </row>
    <row r="2759" spans="1:15">
      <c r="A2759" s="3">
        <f t="shared" si="44"/>
        <v>2758</v>
      </c>
      <c r="B2759" s="67" t="s">
        <v>4249</v>
      </c>
      <c r="C2759" s="4">
        <v>7752864421</v>
      </c>
      <c r="D2759" s="6"/>
      <c r="E2759" s="4" t="s">
        <v>2891</v>
      </c>
      <c r="F2759" s="67" t="s">
        <v>1060</v>
      </c>
      <c r="G2759" s="2" t="s">
        <v>18</v>
      </c>
      <c r="H2759" s="2" t="s">
        <v>357</v>
      </c>
      <c r="I2759" s="4" t="s">
        <v>94</v>
      </c>
      <c r="J2759" s="31">
        <v>45785</v>
      </c>
      <c r="K2759" s="31">
        <v>45786</v>
      </c>
      <c r="L2759" s="31"/>
      <c r="M2759" s="31"/>
      <c r="N2759" s="31"/>
      <c r="O2759" s="2" t="s">
        <v>297</v>
      </c>
    </row>
    <row r="2760" spans="1:15">
      <c r="A2760" s="3">
        <f t="shared" si="44"/>
        <v>2759</v>
      </c>
      <c r="B2760" s="67" t="s">
        <v>4250</v>
      </c>
      <c r="C2760" s="4">
        <v>6205499956</v>
      </c>
      <c r="D2760" s="6"/>
      <c r="E2760" s="4" t="s">
        <v>2891</v>
      </c>
      <c r="F2760" s="67" t="s">
        <v>3698</v>
      </c>
      <c r="G2760" s="3" t="s">
        <v>416</v>
      </c>
      <c r="H2760" s="2" t="s">
        <v>357</v>
      </c>
      <c r="I2760" s="4" t="s">
        <v>94</v>
      </c>
      <c r="J2760" s="31">
        <v>45785</v>
      </c>
      <c r="K2760" s="31">
        <v>45786</v>
      </c>
      <c r="L2760" s="31"/>
      <c r="M2760" s="31"/>
      <c r="N2760" s="31"/>
      <c r="O2760" s="2" t="s">
        <v>297</v>
      </c>
    </row>
    <row r="2761" spans="1:15">
      <c r="A2761" s="3">
        <f t="shared" si="44"/>
        <v>2760</v>
      </c>
      <c r="B2761" s="67" t="s">
        <v>4251</v>
      </c>
      <c r="C2761" s="4">
        <v>8052804067</v>
      </c>
      <c r="D2761" s="6"/>
      <c r="E2761" s="4" t="s">
        <v>2891</v>
      </c>
      <c r="F2761" s="67" t="s">
        <v>1060</v>
      </c>
      <c r="G2761" s="3" t="s">
        <v>295</v>
      </c>
      <c r="H2761" s="2" t="s">
        <v>357</v>
      </c>
      <c r="I2761" s="4" t="s">
        <v>94</v>
      </c>
      <c r="J2761" s="31">
        <v>45785</v>
      </c>
      <c r="K2761" s="31">
        <v>45786</v>
      </c>
      <c r="L2761" s="31">
        <v>45793</v>
      </c>
      <c r="M2761" s="31">
        <v>45804</v>
      </c>
      <c r="N2761" s="31"/>
      <c r="O2761" s="2" t="s">
        <v>297</v>
      </c>
    </row>
    <row r="2762" spans="1:15">
      <c r="A2762" s="3">
        <f t="shared" si="44"/>
        <v>2761</v>
      </c>
      <c r="B2762" s="67" t="s">
        <v>4252</v>
      </c>
      <c r="C2762" s="4">
        <v>6303373468</v>
      </c>
      <c r="D2762" s="6"/>
      <c r="E2762" s="4" t="s">
        <v>127</v>
      </c>
      <c r="F2762" s="67" t="s">
        <v>471</v>
      </c>
      <c r="G2762" s="2" t="s">
        <v>424</v>
      </c>
      <c r="H2762" s="2" t="s">
        <v>3240</v>
      </c>
      <c r="I2762" s="4" t="s">
        <v>42</v>
      </c>
      <c r="J2762" s="31">
        <v>45785</v>
      </c>
      <c r="K2762" s="31">
        <v>45800</v>
      </c>
      <c r="L2762" s="31"/>
      <c r="M2762" s="31"/>
      <c r="N2762" s="31"/>
      <c r="O2762" s="2" t="s">
        <v>425</v>
      </c>
    </row>
    <row r="2763" spans="1:15">
      <c r="A2763" s="3">
        <f t="shared" si="44"/>
        <v>2762</v>
      </c>
      <c r="B2763" s="67" t="s">
        <v>2211</v>
      </c>
      <c r="C2763" s="4">
        <v>9553945065</v>
      </c>
      <c r="D2763" s="6"/>
      <c r="E2763" s="4" t="s">
        <v>99</v>
      </c>
      <c r="F2763" s="67" t="s">
        <v>1421</v>
      </c>
      <c r="G2763" s="2" t="s">
        <v>16</v>
      </c>
      <c r="H2763" s="2" t="s">
        <v>361</v>
      </c>
      <c r="I2763" s="4" t="s">
        <v>42</v>
      </c>
      <c r="J2763" s="31">
        <v>45785</v>
      </c>
      <c r="K2763" s="31">
        <v>45793</v>
      </c>
      <c r="L2763" s="31">
        <v>45798</v>
      </c>
      <c r="M2763" s="31">
        <v>45831</v>
      </c>
      <c r="N2763" s="31">
        <v>45832</v>
      </c>
      <c r="O2763" s="2" t="s">
        <v>297</v>
      </c>
    </row>
    <row r="2764" spans="1:15">
      <c r="A2764" s="3">
        <f t="shared" si="44"/>
        <v>2763</v>
      </c>
      <c r="B2764" s="67" t="s">
        <v>4253</v>
      </c>
      <c r="C2764" s="4">
        <v>8625030320</v>
      </c>
      <c r="D2764" s="6"/>
      <c r="E2764" s="4" t="s">
        <v>96</v>
      </c>
      <c r="F2764" s="67" t="s">
        <v>503</v>
      </c>
      <c r="G2764" s="2" t="s">
        <v>424</v>
      </c>
      <c r="H2764" s="2" t="s">
        <v>361</v>
      </c>
      <c r="I2764" s="4" t="s">
        <v>42</v>
      </c>
      <c r="J2764" s="31">
        <v>45785</v>
      </c>
      <c r="K2764" s="31">
        <v>45793</v>
      </c>
      <c r="L2764" s="31"/>
      <c r="M2764" s="31"/>
      <c r="N2764" s="31"/>
      <c r="O2764" s="2" t="s">
        <v>425</v>
      </c>
    </row>
    <row r="2765" spans="1:15">
      <c r="A2765" s="3">
        <f t="shared" si="44"/>
        <v>2764</v>
      </c>
      <c r="B2765" s="67" t="s">
        <v>4254</v>
      </c>
      <c r="C2765" s="4">
        <v>7894356043</v>
      </c>
      <c r="D2765" s="6"/>
      <c r="E2765" s="4" t="s">
        <v>99</v>
      </c>
      <c r="F2765" s="67" t="s">
        <v>461</v>
      </c>
      <c r="G2765" s="2" t="s">
        <v>18</v>
      </c>
      <c r="H2765" s="2" t="s">
        <v>361</v>
      </c>
      <c r="I2765" s="4" t="s">
        <v>42</v>
      </c>
      <c r="J2765" s="31">
        <v>45785</v>
      </c>
      <c r="K2765" s="31">
        <v>45793</v>
      </c>
      <c r="L2765" s="31"/>
      <c r="M2765" s="31"/>
      <c r="N2765" s="31"/>
      <c r="O2765" s="2" t="s">
        <v>297</v>
      </c>
    </row>
    <row r="2766" spans="1:15">
      <c r="A2766" s="3">
        <f t="shared" si="44"/>
        <v>2765</v>
      </c>
      <c r="B2766" s="67" t="s">
        <v>4255</v>
      </c>
      <c r="C2766" s="4">
        <v>8260076133</v>
      </c>
      <c r="D2766" s="6"/>
      <c r="E2766" s="4" t="s">
        <v>99</v>
      </c>
      <c r="F2766" s="67" t="s">
        <v>4256</v>
      </c>
      <c r="G2766" s="2" t="s">
        <v>330</v>
      </c>
      <c r="H2766" s="2" t="s">
        <v>361</v>
      </c>
      <c r="I2766" s="4" t="s">
        <v>94</v>
      </c>
      <c r="J2766" s="31">
        <v>45785</v>
      </c>
      <c r="K2766" s="31">
        <v>45800</v>
      </c>
      <c r="L2766" s="31">
        <v>45807</v>
      </c>
      <c r="M2766" s="31">
        <v>45838</v>
      </c>
      <c r="N2766" s="31">
        <v>45839</v>
      </c>
      <c r="O2766" s="2" t="s">
        <v>297</v>
      </c>
    </row>
    <row r="2767" spans="1:15">
      <c r="A2767" s="3">
        <f t="shared" si="44"/>
        <v>2766</v>
      </c>
      <c r="B2767" s="67" t="s">
        <v>4257</v>
      </c>
      <c r="C2767" s="4">
        <v>9179998333</v>
      </c>
      <c r="D2767" s="6">
        <v>7089111119</v>
      </c>
      <c r="E2767" s="4" t="s">
        <v>173</v>
      </c>
      <c r="F2767" s="67" t="s">
        <v>4011</v>
      </c>
      <c r="G2767" s="2" t="s">
        <v>764</v>
      </c>
      <c r="H2767" s="2" t="s">
        <v>3240</v>
      </c>
      <c r="I2767" s="4" t="s">
        <v>42</v>
      </c>
      <c r="J2767" s="31">
        <v>45786</v>
      </c>
      <c r="K2767" s="31">
        <v>45834</v>
      </c>
      <c r="L2767" s="31"/>
      <c r="M2767" s="31"/>
      <c r="N2767" s="31"/>
      <c r="O2767" s="2" t="s">
        <v>425</v>
      </c>
    </row>
    <row r="2768" spans="1:15">
      <c r="A2768" s="3">
        <f t="shared" si="44"/>
        <v>2767</v>
      </c>
      <c r="B2768" s="67" t="s">
        <v>4258</v>
      </c>
      <c r="C2768" s="4"/>
      <c r="D2768" s="6"/>
      <c r="E2768" s="4" t="s">
        <v>3928</v>
      </c>
      <c r="F2768" s="67" t="s">
        <v>4259</v>
      </c>
      <c r="G2768" s="2" t="s">
        <v>16</v>
      </c>
      <c r="H2768" s="2"/>
      <c r="I2768" s="4"/>
      <c r="J2768" s="31"/>
      <c r="K2768" s="31"/>
      <c r="L2768" s="31"/>
      <c r="M2768" s="31"/>
      <c r="N2768" s="31"/>
      <c r="O2768" s="2" t="s">
        <v>297</v>
      </c>
    </row>
    <row r="2769" spans="1:15">
      <c r="A2769" s="3">
        <f t="shared" si="44"/>
        <v>2768</v>
      </c>
      <c r="B2769" s="67" t="s">
        <v>4260</v>
      </c>
      <c r="C2769" s="4"/>
      <c r="D2769" s="6"/>
      <c r="E2769" s="4" t="s">
        <v>3935</v>
      </c>
      <c r="F2769" s="67" t="s">
        <v>308</v>
      </c>
      <c r="G2769" s="2" t="s">
        <v>16</v>
      </c>
      <c r="H2769" s="2"/>
      <c r="I2769" s="4"/>
      <c r="J2769" s="31"/>
      <c r="K2769" s="31"/>
      <c r="L2769" s="31"/>
      <c r="M2769" s="31"/>
      <c r="N2769" s="31"/>
      <c r="O2769" s="2" t="s">
        <v>297</v>
      </c>
    </row>
    <row r="2770" spans="1:15">
      <c r="A2770" s="3">
        <f t="shared" si="44"/>
        <v>2769</v>
      </c>
      <c r="B2770" s="67" t="s">
        <v>4261</v>
      </c>
      <c r="C2770" s="4"/>
      <c r="D2770" s="6"/>
      <c r="E2770" s="4" t="s">
        <v>3925</v>
      </c>
      <c r="F2770" s="67" t="s">
        <v>4262</v>
      </c>
      <c r="G2770" s="2" t="s">
        <v>16</v>
      </c>
      <c r="H2770" s="2"/>
      <c r="I2770" s="4"/>
      <c r="J2770" s="31"/>
      <c r="K2770" s="31"/>
      <c r="L2770" s="31"/>
      <c r="M2770" s="31"/>
      <c r="N2770" s="31"/>
      <c r="O2770" s="2" t="s">
        <v>297</v>
      </c>
    </row>
    <row r="2771" spans="1:15">
      <c r="A2771" s="3">
        <f t="shared" si="44"/>
        <v>2770</v>
      </c>
      <c r="B2771" s="67" t="s">
        <v>4263</v>
      </c>
      <c r="C2771" s="4"/>
      <c r="D2771" s="6"/>
      <c r="E2771" s="4" t="s">
        <v>3792</v>
      </c>
      <c r="F2771" s="67" t="s">
        <v>252</v>
      </c>
      <c r="G2771" s="2" t="s">
        <v>16</v>
      </c>
      <c r="H2771" s="2"/>
      <c r="I2771" s="4"/>
      <c r="J2771" s="31"/>
      <c r="K2771" s="31"/>
      <c r="L2771" s="31"/>
      <c r="M2771" s="31"/>
      <c r="N2771" s="31"/>
      <c r="O2771" s="2" t="s">
        <v>297</v>
      </c>
    </row>
    <row r="2772" spans="1:15">
      <c r="A2772" s="3">
        <f t="shared" si="44"/>
        <v>2771</v>
      </c>
      <c r="B2772" s="67" t="s">
        <v>1025</v>
      </c>
      <c r="C2772" s="4">
        <v>7205584795</v>
      </c>
      <c r="D2772" s="6"/>
      <c r="E2772" s="4" t="s">
        <v>4264</v>
      </c>
      <c r="F2772" s="67" t="s">
        <v>4265</v>
      </c>
      <c r="G2772" s="3" t="s">
        <v>1175</v>
      </c>
      <c r="H2772" s="2" t="s">
        <v>4266</v>
      </c>
      <c r="I2772" s="4" t="s">
        <v>88</v>
      </c>
      <c r="J2772" s="31">
        <v>45786</v>
      </c>
      <c r="K2772" s="31"/>
      <c r="L2772" s="31"/>
      <c r="M2772" s="31"/>
      <c r="N2772" s="31"/>
      <c r="O2772" s="2" t="s">
        <v>1004</v>
      </c>
    </row>
    <row r="2773" spans="1:15">
      <c r="A2773" s="3">
        <f t="shared" si="44"/>
        <v>2772</v>
      </c>
      <c r="B2773" s="67" t="s">
        <v>4267</v>
      </c>
      <c r="C2773" s="4">
        <v>8483014697</v>
      </c>
      <c r="D2773" s="6"/>
      <c r="E2773" s="4" t="s">
        <v>4264</v>
      </c>
      <c r="F2773" s="67" t="s">
        <v>2340</v>
      </c>
      <c r="G2773" s="3" t="s">
        <v>1175</v>
      </c>
      <c r="H2773" s="2" t="s">
        <v>4266</v>
      </c>
      <c r="I2773" s="4" t="s">
        <v>88</v>
      </c>
      <c r="J2773" s="31">
        <v>45786</v>
      </c>
      <c r="K2773" s="31"/>
      <c r="L2773" s="31"/>
      <c r="M2773" s="31"/>
      <c r="N2773" s="31"/>
      <c r="O2773" s="2" t="s">
        <v>1004</v>
      </c>
    </row>
    <row r="2774" spans="1:15">
      <c r="A2774" s="3">
        <f t="shared" si="44"/>
        <v>2773</v>
      </c>
      <c r="B2774" s="67" t="s">
        <v>4268</v>
      </c>
      <c r="C2774" s="4">
        <v>6264087679</v>
      </c>
      <c r="D2774" s="6">
        <v>8224957617</v>
      </c>
      <c r="E2774" s="4" t="s">
        <v>4264</v>
      </c>
      <c r="F2774" s="67" t="s">
        <v>4269</v>
      </c>
      <c r="G2774" s="2" t="s">
        <v>16</v>
      </c>
      <c r="H2774" s="2" t="s">
        <v>4266</v>
      </c>
      <c r="I2774" s="4" t="s">
        <v>88</v>
      </c>
      <c r="J2774" s="31">
        <v>45784</v>
      </c>
      <c r="K2774" s="31">
        <v>45784</v>
      </c>
      <c r="L2774" s="31">
        <v>45786</v>
      </c>
      <c r="M2774" s="31">
        <v>45817</v>
      </c>
      <c r="N2774" s="31">
        <v>45817</v>
      </c>
      <c r="O2774" s="2" t="s">
        <v>297</v>
      </c>
    </row>
    <row r="2775" spans="1:15">
      <c r="A2775" s="3">
        <f t="shared" si="44"/>
        <v>2774</v>
      </c>
      <c r="B2775" s="67" t="s">
        <v>4270</v>
      </c>
      <c r="C2775" s="4">
        <v>9603594240</v>
      </c>
      <c r="D2775" s="6"/>
      <c r="E2775" s="4" t="s">
        <v>4264</v>
      </c>
      <c r="F2775" s="67" t="s">
        <v>329</v>
      </c>
      <c r="G2775" s="3" t="s">
        <v>1175</v>
      </c>
      <c r="H2775" s="2" t="s">
        <v>4266</v>
      </c>
      <c r="I2775" s="4" t="s">
        <v>88</v>
      </c>
      <c r="J2775" s="31">
        <v>45786</v>
      </c>
      <c r="K2775" s="31"/>
      <c r="L2775" s="31"/>
      <c r="M2775" s="31"/>
      <c r="N2775" s="31"/>
      <c r="O2775" s="2" t="s">
        <v>1004</v>
      </c>
    </row>
    <row r="2776" spans="1:15">
      <c r="A2776" s="3">
        <f t="shared" si="44"/>
        <v>2775</v>
      </c>
      <c r="B2776" s="67" t="s">
        <v>4271</v>
      </c>
      <c r="C2776" s="4">
        <v>9000974009</v>
      </c>
      <c r="D2776" s="6"/>
      <c r="E2776" s="4" t="s">
        <v>4264</v>
      </c>
      <c r="F2776" s="67" t="s">
        <v>451</v>
      </c>
      <c r="G2776" s="2" t="s">
        <v>16</v>
      </c>
      <c r="H2776" s="2" t="s">
        <v>4266</v>
      </c>
      <c r="I2776" s="4" t="s">
        <v>88</v>
      </c>
      <c r="J2776" s="31">
        <v>45784</v>
      </c>
      <c r="K2776" s="31">
        <v>45784</v>
      </c>
      <c r="L2776" s="31">
        <v>45786</v>
      </c>
      <c r="M2776" s="31">
        <v>45817</v>
      </c>
      <c r="N2776" s="31">
        <v>45817</v>
      </c>
      <c r="O2776" s="2" t="s">
        <v>297</v>
      </c>
    </row>
    <row r="2777" spans="1:15">
      <c r="A2777" s="3">
        <f t="shared" si="44"/>
        <v>2776</v>
      </c>
      <c r="B2777" s="67" t="s">
        <v>4272</v>
      </c>
      <c r="C2777" s="4">
        <v>8686269684</v>
      </c>
      <c r="D2777" s="6"/>
      <c r="E2777" s="4" t="s">
        <v>2419</v>
      </c>
      <c r="F2777" s="67" t="s">
        <v>2144</v>
      </c>
      <c r="G2777" s="2" t="s">
        <v>330</v>
      </c>
      <c r="H2777" s="2" t="s">
        <v>2421</v>
      </c>
      <c r="I2777" s="4" t="s">
        <v>88</v>
      </c>
      <c r="J2777" s="31">
        <v>45786</v>
      </c>
      <c r="K2777" s="31">
        <v>45786</v>
      </c>
      <c r="L2777" s="31">
        <v>45786</v>
      </c>
      <c r="M2777" s="31">
        <v>45793</v>
      </c>
      <c r="N2777" s="31">
        <v>45793</v>
      </c>
      <c r="O2777" s="2" t="s">
        <v>297</v>
      </c>
    </row>
    <row r="2778" spans="1:15">
      <c r="A2778" s="3">
        <f t="shared" si="44"/>
        <v>2777</v>
      </c>
      <c r="B2778" s="67" t="s">
        <v>4273</v>
      </c>
      <c r="C2778" s="4">
        <v>7097260443</v>
      </c>
      <c r="D2778" s="6"/>
      <c r="E2778" s="4" t="s">
        <v>2419</v>
      </c>
      <c r="F2778" s="67" t="s">
        <v>4274</v>
      </c>
      <c r="G2778" s="2" t="s">
        <v>16</v>
      </c>
      <c r="H2778" s="2" t="s">
        <v>2421</v>
      </c>
      <c r="I2778" s="4" t="s">
        <v>88</v>
      </c>
      <c r="J2778" s="31">
        <v>45786</v>
      </c>
      <c r="K2778" s="31">
        <v>45786</v>
      </c>
      <c r="L2778" s="31">
        <v>45786</v>
      </c>
      <c r="M2778" s="31">
        <v>45806</v>
      </c>
      <c r="N2778" s="31">
        <v>45806</v>
      </c>
      <c r="O2778" s="2" t="s">
        <v>297</v>
      </c>
    </row>
    <row r="2779" spans="1:15">
      <c r="A2779" s="3">
        <f t="shared" si="44"/>
        <v>2778</v>
      </c>
      <c r="B2779" s="67" t="s">
        <v>4275</v>
      </c>
      <c r="C2779" s="4">
        <v>9133812057</v>
      </c>
      <c r="D2779" s="6"/>
      <c r="E2779" s="4" t="s">
        <v>2009</v>
      </c>
      <c r="F2779" s="67" t="s">
        <v>268</v>
      </c>
      <c r="G2779" s="2" t="s">
        <v>16</v>
      </c>
      <c r="H2779" s="2" t="s">
        <v>357</v>
      </c>
      <c r="I2779" s="4" t="s">
        <v>94</v>
      </c>
      <c r="J2779" s="31">
        <v>45777</v>
      </c>
      <c r="K2779" s="31">
        <v>45778</v>
      </c>
      <c r="L2779" s="31">
        <v>45785</v>
      </c>
      <c r="M2779" s="31">
        <v>45799</v>
      </c>
      <c r="N2779" s="31">
        <v>45799</v>
      </c>
      <c r="O2779" s="2" t="s">
        <v>297</v>
      </c>
    </row>
    <row r="2780" spans="1:15">
      <c r="A2780" s="3">
        <f t="shared" si="44"/>
        <v>2779</v>
      </c>
      <c r="B2780" s="67" t="s">
        <v>4276</v>
      </c>
      <c r="C2780" s="4">
        <v>9553356024</v>
      </c>
      <c r="D2780" s="6"/>
      <c r="E2780" s="4" t="s">
        <v>96</v>
      </c>
      <c r="F2780" s="67" t="s">
        <v>2469</v>
      </c>
      <c r="G2780" s="2" t="s">
        <v>16</v>
      </c>
      <c r="H2780" s="2" t="s">
        <v>361</v>
      </c>
      <c r="I2780" s="4" t="s">
        <v>94</v>
      </c>
      <c r="J2780" s="31">
        <v>45777</v>
      </c>
      <c r="K2780" s="31">
        <v>45778</v>
      </c>
      <c r="L2780" s="31">
        <v>45785</v>
      </c>
      <c r="M2780" s="31">
        <v>45818</v>
      </c>
      <c r="N2780" s="31">
        <v>45819</v>
      </c>
      <c r="O2780" s="2" t="s">
        <v>297</v>
      </c>
    </row>
    <row r="2781" spans="1:15">
      <c r="A2781" s="3">
        <f t="shared" si="44"/>
        <v>2780</v>
      </c>
      <c r="B2781" s="67" t="s">
        <v>4277</v>
      </c>
      <c r="C2781" s="4">
        <v>8309723774</v>
      </c>
      <c r="D2781" s="6">
        <v>9440787207</v>
      </c>
      <c r="E2781" s="4" t="s">
        <v>127</v>
      </c>
      <c r="F2781" s="67" t="s">
        <v>4278</v>
      </c>
      <c r="G2781" s="2" t="s">
        <v>16</v>
      </c>
      <c r="H2781" s="2" t="s">
        <v>3240</v>
      </c>
      <c r="I2781" s="4" t="s">
        <v>42</v>
      </c>
      <c r="J2781" s="31">
        <v>45786</v>
      </c>
      <c r="K2781" s="31">
        <v>45790</v>
      </c>
      <c r="L2781" s="31">
        <v>45793</v>
      </c>
      <c r="M2781" s="31">
        <v>45808</v>
      </c>
      <c r="N2781" s="31">
        <v>45819</v>
      </c>
      <c r="O2781" s="2" t="s">
        <v>297</v>
      </c>
    </row>
    <row r="2782" spans="1:15">
      <c r="A2782" s="3">
        <f t="shared" si="44"/>
        <v>2781</v>
      </c>
      <c r="B2782" s="67" t="s">
        <v>4279</v>
      </c>
      <c r="C2782" s="4">
        <v>7569858534</v>
      </c>
      <c r="D2782" s="6"/>
      <c r="E2782" s="4" t="s">
        <v>127</v>
      </c>
      <c r="F2782" s="67" t="s">
        <v>4280</v>
      </c>
      <c r="G2782" s="2" t="s">
        <v>424</v>
      </c>
      <c r="H2782" s="2" t="s">
        <v>3240</v>
      </c>
      <c r="I2782" s="4" t="s">
        <v>42</v>
      </c>
      <c r="J2782" s="31">
        <v>45786</v>
      </c>
      <c r="K2782" s="31">
        <v>45790</v>
      </c>
      <c r="L2782" s="31"/>
      <c r="M2782" s="31"/>
      <c r="N2782" s="31"/>
      <c r="O2782" s="2" t="s">
        <v>749</v>
      </c>
    </row>
    <row r="2783" spans="1:15">
      <c r="A2783" s="3">
        <f t="shared" si="44"/>
        <v>2782</v>
      </c>
      <c r="B2783" s="67" t="s">
        <v>4281</v>
      </c>
      <c r="C2783" s="4">
        <v>7386678249</v>
      </c>
      <c r="D2783" s="6"/>
      <c r="E2783" s="4" t="s">
        <v>127</v>
      </c>
      <c r="F2783" s="67" t="s">
        <v>4282</v>
      </c>
      <c r="G2783" s="2" t="s">
        <v>16</v>
      </c>
      <c r="H2783" s="2" t="s">
        <v>3240</v>
      </c>
      <c r="I2783" s="4" t="s">
        <v>42</v>
      </c>
      <c r="J2783" s="31">
        <v>45786</v>
      </c>
      <c r="K2783" s="31">
        <v>45790</v>
      </c>
      <c r="L2783" s="31">
        <v>45792</v>
      </c>
      <c r="M2783" s="31">
        <v>45833</v>
      </c>
      <c r="N2783" s="31">
        <v>45814</v>
      </c>
      <c r="O2783" s="2" t="s">
        <v>297</v>
      </c>
    </row>
    <row r="2784" spans="1:15">
      <c r="A2784" s="3">
        <f t="shared" si="44"/>
        <v>2783</v>
      </c>
      <c r="B2784" s="67" t="s">
        <v>4283</v>
      </c>
      <c r="C2784" s="4">
        <v>6301640962</v>
      </c>
      <c r="D2784" s="6">
        <v>9963767781</v>
      </c>
      <c r="E2784" s="4" t="s">
        <v>124</v>
      </c>
      <c r="F2784" s="67" t="s">
        <v>4284</v>
      </c>
      <c r="G2784" s="2" t="s">
        <v>16</v>
      </c>
      <c r="H2784" s="2" t="s">
        <v>3240</v>
      </c>
      <c r="I2784" s="4" t="s">
        <v>42</v>
      </c>
      <c r="J2784" s="31">
        <v>45786</v>
      </c>
      <c r="K2784" s="31">
        <v>45790</v>
      </c>
      <c r="L2784" s="31">
        <v>45792</v>
      </c>
      <c r="M2784" s="31">
        <v>45823</v>
      </c>
      <c r="N2784" s="31">
        <v>45806</v>
      </c>
      <c r="O2784" s="2" t="s">
        <v>297</v>
      </c>
    </row>
    <row r="2785" spans="1:15">
      <c r="A2785" s="3">
        <f t="shared" si="44"/>
        <v>2784</v>
      </c>
      <c r="B2785" s="67" t="s">
        <v>4285</v>
      </c>
      <c r="C2785" s="4">
        <v>8897619481</v>
      </c>
      <c r="D2785" s="6"/>
      <c r="E2785" s="4" t="s">
        <v>3987</v>
      </c>
      <c r="F2785" s="67" t="s">
        <v>585</v>
      </c>
      <c r="G2785" s="2" t="s">
        <v>16</v>
      </c>
      <c r="H2785" s="2" t="s">
        <v>296</v>
      </c>
      <c r="I2785" s="4" t="s">
        <v>94</v>
      </c>
      <c r="J2785" s="31">
        <v>45782</v>
      </c>
      <c r="K2785" s="31">
        <v>45782</v>
      </c>
      <c r="L2785" s="31">
        <v>45786</v>
      </c>
      <c r="M2785" s="31">
        <v>45804</v>
      </c>
      <c r="N2785" s="31">
        <v>45803</v>
      </c>
      <c r="O2785" s="2" t="s">
        <v>297</v>
      </c>
    </row>
    <row r="2786" spans="1:15">
      <c r="A2786" s="3">
        <f t="shared" si="44"/>
        <v>2785</v>
      </c>
      <c r="B2786" s="67" t="s">
        <v>4286</v>
      </c>
      <c r="C2786" s="4">
        <v>9630115454</v>
      </c>
      <c r="D2786" s="6"/>
      <c r="E2786" s="4" t="s">
        <v>4200</v>
      </c>
      <c r="F2786" s="67" t="s">
        <v>4287</v>
      </c>
      <c r="G2786" s="2" t="s">
        <v>16</v>
      </c>
      <c r="H2786" s="2" t="s">
        <v>4201</v>
      </c>
      <c r="I2786" s="4" t="s">
        <v>88</v>
      </c>
      <c r="J2786" s="31">
        <v>45786</v>
      </c>
      <c r="K2786" s="31">
        <v>45786</v>
      </c>
      <c r="L2786" s="31">
        <v>45786</v>
      </c>
      <c r="M2786" s="31">
        <v>45818</v>
      </c>
      <c r="N2786" s="31">
        <v>45818</v>
      </c>
      <c r="O2786" s="2" t="s">
        <v>297</v>
      </c>
    </row>
    <row r="2787" spans="1:15">
      <c r="A2787" s="3">
        <f t="shared" ref="A2787:A2849" si="45">ROW()-1</f>
        <v>2786</v>
      </c>
      <c r="B2787" s="67" t="s">
        <v>4288</v>
      </c>
      <c r="C2787" s="4">
        <v>9360979535</v>
      </c>
      <c r="D2787" s="6"/>
      <c r="E2787" s="4" t="s">
        <v>127</v>
      </c>
      <c r="F2787" s="67" t="s">
        <v>4289</v>
      </c>
      <c r="G2787" s="3" t="s">
        <v>764</v>
      </c>
      <c r="H2787" s="2" t="s">
        <v>3240</v>
      </c>
      <c r="I2787" s="4" t="s">
        <v>42</v>
      </c>
      <c r="J2787" s="31">
        <v>45787</v>
      </c>
      <c r="K2787" s="31">
        <v>45797</v>
      </c>
      <c r="L2787" s="31"/>
      <c r="M2787" s="31"/>
      <c r="N2787" s="31"/>
      <c r="O2787" s="3" t="s">
        <v>425</v>
      </c>
    </row>
    <row r="2788" spans="1:15">
      <c r="A2788" s="3">
        <f t="shared" si="45"/>
        <v>2787</v>
      </c>
      <c r="B2788" s="67" t="s">
        <v>4290</v>
      </c>
      <c r="C2788" s="4">
        <v>8885370524</v>
      </c>
      <c r="D2788" s="6"/>
      <c r="E2788" s="4" t="s">
        <v>127</v>
      </c>
      <c r="F2788" s="67" t="s">
        <v>4291</v>
      </c>
      <c r="G2788" s="2" t="s">
        <v>16</v>
      </c>
      <c r="H2788" s="2" t="s">
        <v>3240</v>
      </c>
      <c r="I2788" s="4" t="s">
        <v>42</v>
      </c>
      <c r="J2788" s="31">
        <v>45787</v>
      </c>
      <c r="K2788" s="31">
        <v>45797</v>
      </c>
      <c r="L2788" s="31">
        <v>45805</v>
      </c>
      <c r="M2788" s="31">
        <v>45838</v>
      </c>
      <c r="N2788" s="31">
        <v>45838</v>
      </c>
      <c r="O2788" s="2" t="s">
        <v>297</v>
      </c>
    </row>
    <row r="2789" spans="1:15">
      <c r="A2789" s="3">
        <f t="shared" si="45"/>
        <v>2788</v>
      </c>
      <c r="B2789" s="67" t="s">
        <v>4292</v>
      </c>
      <c r="C2789" s="4">
        <v>8667539588</v>
      </c>
      <c r="D2789" s="6"/>
      <c r="E2789" s="4" t="s">
        <v>121</v>
      </c>
      <c r="F2789" s="67" t="s">
        <v>4293</v>
      </c>
      <c r="G2789" s="2" t="s">
        <v>764</v>
      </c>
      <c r="H2789" s="2" t="s">
        <v>3240</v>
      </c>
      <c r="I2789" s="4" t="s">
        <v>42</v>
      </c>
      <c r="J2789" s="31">
        <v>45787</v>
      </c>
      <c r="K2789" s="31">
        <v>45794</v>
      </c>
      <c r="L2789" s="31"/>
      <c r="M2789" s="31"/>
      <c r="N2789" s="31"/>
      <c r="O2789" s="2" t="s">
        <v>425</v>
      </c>
    </row>
    <row r="2790" spans="1:15">
      <c r="A2790" s="3">
        <f t="shared" si="45"/>
        <v>2789</v>
      </c>
      <c r="B2790" s="67" t="s">
        <v>4294</v>
      </c>
      <c r="C2790" s="4">
        <v>8948638866</v>
      </c>
      <c r="D2790" s="6"/>
      <c r="E2790" s="4" t="s">
        <v>121</v>
      </c>
      <c r="F2790" s="67" t="s">
        <v>4295</v>
      </c>
      <c r="G2790" s="2" t="s">
        <v>764</v>
      </c>
      <c r="H2790" s="2" t="s">
        <v>3240</v>
      </c>
      <c r="I2790" s="4" t="s">
        <v>42</v>
      </c>
      <c r="J2790" s="31">
        <v>45787</v>
      </c>
      <c r="K2790" s="31">
        <v>45814</v>
      </c>
      <c r="L2790" s="31"/>
      <c r="M2790" s="31"/>
      <c r="N2790" s="31"/>
      <c r="O2790" s="2" t="s">
        <v>425</v>
      </c>
    </row>
    <row r="2791" spans="1:15">
      <c r="A2791" s="3">
        <f t="shared" si="45"/>
        <v>2790</v>
      </c>
      <c r="B2791" s="67" t="s">
        <v>4296</v>
      </c>
      <c r="C2791" s="4">
        <v>6370154058</v>
      </c>
      <c r="D2791" s="6"/>
      <c r="E2791" s="17" t="s">
        <v>99</v>
      </c>
      <c r="F2791" s="67" t="s">
        <v>4297</v>
      </c>
      <c r="G2791" s="2" t="s">
        <v>16</v>
      </c>
      <c r="H2791" s="2" t="s">
        <v>361</v>
      </c>
      <c r="I2791" s="4" t="s">
        <v>94</v>
      </c>
      <c r="J2791" s="31">
        <v>45789</v>
      </c>
      <c r="K2791" s="31">
        <v>45800</v>
      </c>
      <c r="L2791" s="31">
        <v>45805</v>
      </c>
      <c r="M2791" s="31">
        <v>45826</v>
      </c>
      <c r="N2791" s="31">
        <v>45826</v>
      </c>
      <c r="O2791" s="2" t="s">
        <v>297</v>
      </c>
    </row>
    <row r="2792" spans="1:15">
      <c r="A2792" s="3">
        <f t="shared" si="45"/>
        <v>2791</v>
      </c>
      <c r="B2792" s="67" t="s">
        <v>4298</v>
      </c>
      <c r="C2792" s="4">
        <v>9384266081</v>
      </c>
      <c r="D2792" s="6"/>
      <c r="E2792" s="4" t="s">
        <v>1043</v>
      </c>
      <c r="F2792" s="67" t="s">
        <v>1044</v>
      </c>
      <c r="G2792" s="2" t="s">
        <v>424</v>
      </c>
      <c r="H2792" s="2" t="s">
        <v>361</v>
      </c>
      <c r="I2792" s="4" t="s">
        <v>94</v>
      </c>
      <c r="J2792" s="31">
        <v>45789</v>
      </c>
      <c r="K2792" s="31">
        <v>45800</v>
      </c>
      <c r="L2792" s="31"/>
      <c r="M2792" s="31"/>
      <c r="N2792" s="31"/>
      <c r="O2792" s="2" t="s">
        <v>425</v>
      </c>
    </row>
    <row r="2793" spans="1:15">
      <c r="A2793" s="3">
        <f t="shared" si="45"/>
        <v>2792</v>
      </c>
      <c r="B2793" s="67" t="s">
        <v>4299</v>
      </c>
      <c r="C2793" s="4">
        <v>9450201410</v>
      </c>
      <c r="D2793" s="6"/>
      <c r="E2793" s="4" t="s">
        <v>1043</v>
      </c>
      <c r="F2793" s="67" t="s">
        <v>1044</v>
      </c>
      <c r="G2793" s="2" t="s">
        <v>424</v>
      </c>
      <c r="H2793" s="2" t="s">
        <v>361</v>
      </c>
      <c r="I2793" s="4" t="s">
        <v>94</v>
      </c>
      <c r="J2793" s="31">
        <v>45789</v>
      </c>
      <c r="K2793" s="31">
        <v>45800</v>
      </c>
      <c r="L2793" s="31"/>
      <c r="M2793" s="31"/>
      <c r="N2793" s="31"/>
      <c r="O2793" s="2" t="s">
        <v>425</v>
      </c>
    </row>
    <row r="2794" spans="1:15">
      <c r="A2794" s="3">
        <f t="shared" si="45"/>
        <v>2793</v>
      </c>
      <c r="B2794" s="67" t="s">
        <v>4300</v>
      </c>
      <c r="C2794" s="4">
        <v>9807545858</v>
      </c>
      <c r="D2794" s="6"/>
      <c r="E2794" s="4" t="s">
        <v>1120</v>
      </c>
      <c r="F2794" s="67" t="s">
        <v>1060</v>
      </c>
      <c r="G2794" s="3" t="s">
        <v>416</v>
      </c>
      <c r="H2794" s="2" t="s">
        <v>357</v>
      </c>
      <c r="I2794" s="4" t="s">
        <v>94</v>
      </c>
      <c r="J2794" s="31">
        <v>45789</v>
      </c>
      <c r="K2794" s="31">
        <v>45789</v>
      </c>
      <c r="L2794" s="31"/>
      <c r="M2794" s="31"/>
      <c r="N2794" s="31"/>
      <c r="O2794" s="2" t="s">
        <v>297</v>
      </c>
    </row>
    <row r="2795" spans="1:15">
      <c r="A2795" s="3">
        <f t="shared" si="45"/>
        <v>2794</v>
      </c>
      <c r="B2795" s="67" t="s">
        <v>4301</v>
      </c>
      <c r="C2795" s="4">
        <v>9027218225</v>
      </c>
      <c r="D2795" s="6">
        <v>8958000000</v>
      </c>
      <c r="E2795" s="4" t="s">
        <v>1120</v>
      </c>
      <c r="F2795" s="67" t="s">
        <v>1060</v>
      </c>
      <c r="G2795" s="3" t="s">
        <v>416</v>
      </c>
      <c r="H2795" s="2" t="s">
        <v>357</v>
      </c>
      <c r="I2795" s="4" t="s">
        <v>94</v>
      </c>
      <c r="J2795" s="31">
        <v>45789</v>
      </c>
      <c r="K2795" s="31">
        <v>45789</v>
      </c>
      <c r="L2795" s="31"/>
      <c r="M2795" s="31"/>
      <c r="N2795" s="31"/>
      <c r="O2795" s="2" t="s">
        <v>297</v>
      </c>
    </row>
    <row r="2796" spans="1:15">
      <c r="A2796" s="3">
        <f t="shared" si="45"/>
        <v>2795</v>
      </c>
      <c r="B2796" s="67" t="s">
        <v>4302</v>
      </c>
      <c r="C2796" s="4">
        <v>7018006418</v>
      </c>
      <c r="D2796" s="6"/>
      <c r="E2796" s="4" t="s">
        <v>856</v>
      </c>
      <c r="F2796" s="67" t="s">
        <v>1109</v>
      </c>
      <c r="G2796" s="2" t="s">
        <v>764</v>
      </c>
      <c r="H2796" s="2" t="s">
        <v>815</v>
      </c>
      <c r="I2796" s="4" t="s">
        <v>94</v>
      </c>
      <c r="J2796" s="31">
        <v>45789</v>
      </c>
      <c r="K2796" s="31">
        <v>45805</v>
      </c>
      <c r="L2796" s="31"/>
      <c r="M2796" s="31"/>
      <c r="N2796" s="31"/>
      <c r="O2796" s="2" t="s">
        <v>425</v>
      </c>
    </row>
    <row r="2797" spans="1:15">
      <c r="A2797" s="3">
        <f t="shared" si="45"/>
        <v>2796</v>
      </c>
      <c r="B2797" s="67" t="s">
        <v>4303</v>
      </c>
      <c r="C2797" s="4">
        <v>7828341548</v>
      </c>
      <c r="D2797" s="6"/>
      <c r="E2797" s="4" t="s">
        <v>856</v>
      </c>
      <c r="F2797" s="67" t="s">
        <v>1109</v>
      </c>
      <c r="G2797" s="2" t="s">
        <v>16</v>
      </c>
      <c r="H2797" s="2" t="s">
        <v>815</v>
      </c>
      <c r="I2797" s="4" t="s">
        <v>94</v>
      </c>
      <c r="J2797" s="31">
        <v>45789</v>
      </c>
      <c r="K2797" s="31">
        <v>45805</v>
      </c>
      <c r="L2797" s="31">
        <v>45807</v>
      </c>
      <c r="M2797" s="31">
        <v>45838</v>
      </c>
      <c r="N2797" s="31">
        <v>45838</v>
      </c>
      <c r="O2797" s="2" t="s">
        <v>297</v>
      </c>
    </row>
    <row r="2798" spans="1:15">
      <c r="A2798" s="3">
        <f t="shared" si="45"/>
        <v>2797</v>
      </c>
      <c r="B2798" s="67" t="s">
        <v>4304</v>
      </c>
      <c r="C2798" s="4">
        <v>7396896662</v>
      </c>
      <c r="D2798" s="6"/>
      <c r="E2798" s="4" t="s">
        <v>4024</v>
      </c>
      <c r="F2798" s="67" t="s">
        <v>4022</v>
      </c>
      <c r="G2798" s="2" t="s">
        <v>16</v>
      </c>
      <c r="H2798" s="2" t="s">
        <v>4020</v>
      </c>
      <c r="I2798" s="4" t="s">
        <v>88</v>
      </c>
      <c r="J2798" s="31">
        <v>45789</v>
      </c>
      <c r="K2798" s="31">
        <v>45791</v>
      </c>
      <c r="L2798" s="31">
        <v>45793</v>
      </c>
      <c r="M2798" s="31">
        <v>45825</v>
      </c>
      <c r="N2798" s="31">
        <v>45825</v>
      </c>
      <c r="O2798" s="2" t="s">
        <v>297</v>
      </c>
    </row>
    <row r="2799" spans="1:15">
      <c r="A2799" s="3">
        <f t="shared" si="45"/>
        <v>2798</v>
      </c>
      <c r="B2799" s="67" t="s">
        <v>4305</v>
      </c>
      <c r="C2799" s="4">
        <v>8013264934</v>
      </c>
      <c r="D2799" s="6"/>
      <c r="E2799" s="4" t="s">
        <v>124</v>
      </c>
      <c r="F2799" s="67" t="s">
        <v>443</v>
      </c>
      <c r="G2799" s="2" t="s">
        <v>16</v>
      </c>
      <c r="H2799" s="2" t="s">
        <v>3240</v>
      </c>
      <c r="I2799" s="4" t="s">
        <v>42</v>
      </c>
      <c r="J2799" s="31">
        <v>45789</v>
      </c>
      <c r="K2799" s="31">
        <v>45807</v>
      </c>
      <c r="L2799" s="31">
        <v>45807</v>
      </c>
      <c r="M2799" s="31">
        <v>45848</v>
      </c>
      <c r="N2799" s="31">
        <v>45848</v>
      </c>
      <c r="O2799" s="2" t="s">
        <v>297</v>
      </c>
    </row>
    <row r="2800" spans="1:15">
      <c r="A2800" s="3">
        <f t="shared" si="45"/>
        <v>2799</v>
      </c>
      <c r="B2800" s="67" t="s">
        <v>4306</v>
      </c>
      <c r="C2800" s="4">
        <v>8125581815</v>
      </c>
      <c r="D2800" s="6"/>
      <c r="E2800" s="4" t="s">
        <v>124</v>
      </c>
      <c r="F2800" s="67" t="s">
        <v>4307</v>
      </c>
      <c r="G2800" s="2" t="s">
        <v>16</v>
      </c>
      <c r="H2800" s="2" t="s">
        <v>3240</v>
      </c>
      <c r="I2800" s="4" t="s">
        <v>42</v>
      </c>
      <c r="J2800" s="31">
        <v>45789</v>
      </c>
      <c r="K2800" s="31">
        <v>45806</v>
      </c>
      <c r="L2800" s="31">
        <v>45807</v>
      </c>
      <c r="M2800" s="31">
        <v>45839</v>
      </c>
      <c r="N2800" s="31">
        <v>45840</v>
      </c>
      <c r="O2800" s="2" t="s">
        <v>297</v>
      </c>
    </row>
    <row r="2801" spans="1:15">
      <c r="A2801" s="3">
        <f t="shared" si="45"/>
        <v>2800</v>
      </c>
      <c r="B2801" s="67" t="s">
        <v>4308</v>
      </c>
      <c r="C2801" s="4">
        <v>6303526934</v>
      </c>
      <c r="D2801" s="6"/>
      <c r="E2801" s="4" t="s">
        <v>127</v>
      </c>
      <c r="F2801" s="67" t="s">
        <v>471</v>
      </c>
      <c r="G2801" s="2" t="s">
        <v>295</v>
      </c>
      <c r="H2801" s="2" t="s">
        <v>3240</v>
      </c>
      <c r="I2801" s="4" t="s">
        <v>42</v>
      </c>
      <c r="J2801" s="31">
        <v>45789</v>
      </c>
      <c r="K2801" s="31">
        <v>45814</v>
      </c>
      <c r="L2801" s="31">
        <v>45814</v>
      </c>
      <c r="M2801" s="31">
        <v>45853</v>
      </c>
      <c r="N2801" s="31"/>
      <c r="O2801" s="2" t="s">
        <v>297</v>
      </c>
    </row>
    <row r="2802" spans="1:15">
      <c r="A2802" s="3">
        <f t="shared" si="45"/>
        <v>2801</v>
      </c>
      <c r="B2802" s="67" t="s">
        <v>1507</v>
      </c>
      <c r="C2802" s="4">
        <v>9369333671</v>
      </c>
      <c r="D2802" s="6"/>
      <c r="E2802" s="4" t="s">
        <v>127</v>
      </c>
      <c r="F2802" s="67" t="s">
        <v>471</v>
      </c>
      <c r="G2802" s="2" t="s">
        <v>764</v>
      </c>
      <c r="H2802" s="2" t="s">
        <v>3240</v>
      </c>
      <c r="I2802" s="4" t="s">
        <v>42</v>
      </c>
      <c r="J2802" s="31">
        <v>45789</v>
      </c>
      <c r="K2802" s="31">
        <v>45790</v>
      </c>
      <c r="L2802" s="31"/>
      <c r="M2802" s="31"/>
      <c r="N2802" s="31"/>
      <c r="O2802" s="2" t="s">
        <v>425</v>
      </c>
    </row>
    <row r="2803" spans="1:15">
      <c r="A2803" s="3">
        <f t="shared" si="45"/>
        <v>2802</v>
      </c>
      <c r="B2803" s="67" t="s">
        <v>4309</v>
      </c>
      <c r="C2803" s="4">
        <v>8328022007</v>
      </c>
      <c r="D2803" s="6"/>
      <c r="E2803" s="4" t="s">
        <v>124</v>
      </c>
      <c r="F2803" s="67" t="s">
        <v>4310</v>
      </c>
      <c r="G2803" s="2" t="s">
        <v>16</v>
      </c>
      <c r="H2803" s="2" t="s">
        <v>3240</v>
      </c>
      <c r="I2803" s="4" t="s">
        <v>42</v>
      </c>
      <c r="J2803" s="31">
        <v>45789</v>
      </c>
      <c r="K2803" s="31">
        <v>45790</v>
      </c>
      <c r="L2803" s="31">
        <v>45793</v>
      </c>
      <c r="M2803" s="31">
        <v>45818</v>
      </c>
      <c r="N2803" s="31">
        <v>45817</v>
      </c>
      <c r="O2803" s="2" t="s">
        <v>297</v>
      </c>
    </row>
    <row r="2804" spans="1:15">
      <c r="A2804" s="3">
        <f t="shared" si="45"/>
        <v>2803</v>
      </c>
      <c r="B2804" s="67" t="s">
        <v>4311</v>
      </c>
      <c r="C2804" s="4">
        <v>8319639325</v>
      </c>
      <c r="D2804" s="6"/>
      <c r="E2804" s="4" t="s">
        <v>124</v>
      </c>
      <c r="F2804" s="67" t="s">
        <v>4312</v>
      </c>
      <c r="G2804" s="2" t="s">
        <v>764</v>
      </c>
      <c r="H2804" s="2" t="s">
        <v>3240</v>
      </c>
      <c r="I2804" s="4" t="s">
        <v>42</v>
      </c>
      <c r="J2804" s="31">
        <v>45789</v>
      </c>
      <c r="K2804" s="31">
        <v>45790</v>
      </c>
      <c r="L2804" s="31"/>
      <c r="M2804" s="31"/>
      <c r="N2804" s="31"/>
      <c r="O2804" s="2" t="s">
        <v>425</v>
      </c>
    </row>
    <row r="2805" spans="1:15">
      <c r="A2805" s="3">
        <f t="shared" si="45"/>
        <v>2804</v>
      </c>
      <c r="B2805" s="67" t="s">
        <v>4313</v>
      </c>
      <c r="C2805" s="4">
        <v>8341941811</v>
      </c>
      <c r="D2805" s="6"/>
      <c r="E2805" s="4" t="s">
        <v>127</v>
      </c>
      <c r="F2805" s="67" t="s">
        <v>4314</v>
      </c>
      <c r="G2805" s="2" t="s">
        <v>16</v>
      </c>
      <c r="H2805" s="2" t="s">
        <v>3240</v>
      </c>
      <c r="I2805" s="4" t="s">
        <v>42</v>
      </c>
      <c r="J2805" s="31">
        <v>45789</v>
      </c>
      <c r="K2805" s="31">
        <v>45799</v>
      </c>
      <c r="L2805" s="31">
        <v>45805</v>
      </c>
      <c r="M2805" s="31">
        <v>45845</v>
      </c>
      <c r="N2805" s="31">
        <v>45845</v>
      </c>
      <c r="O2805" s="2" t="s">
        <v>297</v>
      </c>
    </row>
    <row r="2806" spans="1:15">
      <c r="A2806" s="3">
        <f t="shared" si="45"/>
        <v>2805</v>
      </c>
      <c r="B2806" s="67" t="s">
        <v>4315</v>
      </c>
      <c r="C2806" s="4">
        <v>7780781424</v>
      </c>
      <c r="D2806" s="6"/>
      <c r="E2806" s="4" t="s">
        <v>127</v>
      </c>
      <c r="F2806" s="67" t="s">
        <v>4316</v>
      </c>
      <c r="G2806" s="2" t="s">
        <v>16</v>
      </c>
      <c r="H2806" s="2" t="s">
        <v>3240</v>
      </c>
      <c r="I2806" s="4" t="s">
        <v>42</v>
      </c>
      <c r="J2806" s="31">
        <v>45789</v>
      </c>
      <c r="K2806" s="31">
        <v>45800</v>
      </c>
      <c r="L2806" s="31">
        <v>45805</v>
      </c>
      <c r="M2806" s="31">
        <v>45823</v>
      </c>
      <c r="N2806" s="31">
        <v>45824</v>
      </c>
      <c r="O2806" s="2" t="s">
        <v>297</v>
      </c>
    </row>
    <row r="2807" spans="1:15">
      <c r="A2807" s="3">
        <f t="shared" si="45"/>
        <v>2806</v>
      </c>
      <c r="B2807" s="67" t="s">
        <v>4317</v>
      </c>
      <c r="C2807" s="4">
        <v>9236161616</v>
      </c>
      <c r="D2807" s="6"/>
      <c r="E2807" s="4" t="s">
        <v>127</v>
      </c>
      <c r="F2807" s="67" t="s">
        <v>4318</v>
      </c>
      <c r="G2807" s="2" t="s">
        <v>295</v>
      </c>
      <c r="H2807" s="2" t="s">
        <v>3240</v>
      </c>
      <c r="I2807" s="4" t="s">
        <v>42</v>
      </c>
      <c r="J2807" s="31">
        <v>45790</v>
      </c>
      <c r="K2807" s="31">
        <v>45790</v>
      </c>
      <c r="L2807" s="31">
        <v>45792</v>
      </c>
      <c r="M2807" s="31">
        <v>45823</v>
      </c>
      <c r="N2807" s="31"/>
      <c r="O2807" s="2" t="s">
        <v>297</v>
      </c>
    </row>
    <row r="2808" spans="1:15">
      <c r="A2808" s="3">
        <f t="shared" si="45"/>
        <v>2807</v>
      </c>
      <c r="B2808" s="67" t="s">
        <v>4319</v>
      </c>
      <c r="C2808" s="4">
        <v>9945710681</v>
      </c>
      <c r="D2808" s="6"/>
      <c r="E2808" s="4" t="s">
        <v>151</v>
      </c>
      <c r="F2808" s="67"/>
      <c r="G2808" s="2" t="s">
        <v>16</v>
      </c>
      <c r="H2808" s="2" t="s">
        <v>88</v>
      </c>
      <c r="I2808" s="4" t="s">
        <v>88</v>
      </c>
      <c r="J2808" s="31">
        <v>45790</v>
      </c>
      <c r="K2808" s="31">
        <v>45790</v>
      </c>
      <c r="L2808" s="31">
        <v>45793</v>
      </c>
      <c r="M2808" s="31">
        <v>45825</v>
      </c>
      <c r="N2808" s="31">
        <v>45792</v>
      </c>
      <c r="O2808" s="2" t="s">
        <v>297</v>
      </c>
    </row>
    <row r="2809" spans="1:15">
      <c r="A2809" s="3">
        <f t="shared" si="45"/>
        <v>2808</v>
      </c>
      <c r="B2809" s="67" t="s">
        <v>4320</v>
      </c>
      <c r="C2809" s="4">
        <v>7981911623</v>
      </c>
      <c r="D2809" s="6"/>
      <c r="E2809" s="4" t="s">
        <v>121</v>
      </c>
      <c r="F2809" s="67" t="s">
        <v>1199</v>
      </c>
      <c r="G2809" s="2" t="s">
        <v>416</v>
      </c>
      <c r="H2809" s="2" t="s">
        <v>679</v>
      </c>
      <c r="I2809" s="4" t="s">
        <v>42</v>
      </c>
      <c r="J2809" s="31">
        <v>45790</v>
      </c>
      <c r="K2809" s="31">
        <v>45795</v>
      </c>
      <c r="L2809" s="31"/>
      <c r="M2809" s="31"/>
      <c r="N2809" s="31"/>
      <c r="O2809" s="2" t="s">
        <v>297</v>
      </c>
    </row>
    <row r="2810" spans="1:15">
      <c r="A2810" s="3">
        <f t="shared" si="45"/>
        <v>2809</v>
      </c>
      <c r="B2810" s="67" t="s">
        <v>4321</v>
      </c>
      <c r="C2810" s="4">
        <v>9618360330</v>
      </c>
      <c r="D2810" s="6">
        <v>9182618529</v>
      </c>
      <c r="E2810" s="4" t="s">
        <v>63</v>
      </c>
      <c r="F2810" s="67" t="s">
        <v>1663</v>
      </c>
      <c r="G2810" s="2" t="s">
        <v>424</v>
      </c>
      <c r="H2810" s="2" t="s">
        <v>679</v>
      </c>
      <c r="I2810" s="4" t="s">
        <v>42</v>
      </c>
      <c r="J2810" s="31">
        <v>45790</v>
      </c>
      <c r="K2810" s="31">
        <v>45811</v>
      </c>
      <c r="L2810" s="31"/>
      <c r="M2810" s="31"/>
      <c r="N2810" s="31"/>
      <c r="O2810" s="2" t="s">
        <v>425</v>
      </c>
    </row>
    <row r="2811" spans="1:15">
      <c r="A2811" s="3">
        <f t="shared" si="45"/>
        <v>2810</v>
      </c>
      <c r="B2811" s="67" t="s">
        <v>1426</v>
      </c>
      <c r="C2811" s="4">
        <v>9704054577</v>
      </c>
      <c r="D2811" s="6">
        <v>8919544828</v>
      </c>
      <c r="E2811" s="4" t="s">
        <v>173</v>
      </c>
      <c r="F2811" s="67" t="s">
        <v>972</v>
      </c>
      <c r="G2811" s="2" t="s">
        <v>424</v>
      </c>
      <c r="H2811" s="2" t="s">
        <v>679</v>
      </c>
      <c r="I2811" s="4" t="s">
        <v>42</v>
      </c>
      <c r="J2811" s="31">
        <v>45790</v>
      </c>
      <c r="K2811" s="31">
        <v>45811</v>
      </c>
      <c r="L2811" s="31"/>
      <c r="M2811" s="31"/>
      <c r="N2811" s="31"/>
      <c r="O2811" s="2" t="s">
        <v>425</v>
      </c>
    </row>
    <row r="2812" spans="1:15">
      <c r="A2812" s="3">
        <f t="shared" si="45"/>
        <v>2811</v>
      </c>
      <c r="B2812" s="67" t="s">
        <v>4322</v>
      </c>
      <c r="C2812" s="4">
        <v>8919928686</v>
      </c>
      <c r="D2812" s="6">
        <v>9765096157</v>
      </c>
      <c r="E2812" s="4" t="s">
        <v>121</v>
      </c>
      <c r="F2812" s="67" t="s">
        <v>972</v>
      </c>
      <c r="G2812" s="2" t="s">
        <v>424</v>
      </c>
      <c r="H2812" s="2" t="s">
        <v>3240</v>
      </c>
      <c r="I2812" s="4" t="s">
        <v>42</v>
      </c>
      <c r="J2812" s="31">
        <v>45790</v>
      </c>
      <c r="K2812" s="31">
        <v>45847</v>
      </c>
      <c r="L2812" s="31"/>
      <c r="M2812" s="31"/>
      <c r="N2812" s="31"/>
      <c r="O2812" s="2" t="s">
        <v>425</v>
      </c>
    </row>
    <row r="2813" spans="1:15">
      <c r="A2813" s="3">
        <f t="shared" si="45"/>
        <v>2812</v>
      </c>
      <c r="B2813" s="67" t="s">
        <v>1390</v>
      </c>
      <c r="C2813" s="4">
        <v>9536600335</v>
      </c>
      <c r="D2813" s="6"/>
      <c r="E2813" s="17" t="s">
        <v>3954</v>
      </c>
      <c r="F2813" s="67" t="s">
        <v>329</v>
      </c>
      <c r="G2813" s="2" t="s">
        <v>416</v>
      </c>
      <c r="H2813" s="2" t="s">
        <v>3240</v>
      </c>
      <c r="I2813" s="4" t="s">
        <v>42</v>
      </c>
      <c r="J2813" s="31">
        <v>45791</v>
      </c>
      <c r="K2813" s="31">
        <v>45799</v>
      </c>
      <c r="L2813" s="31"/>
      <c r="M2813" s="31"/>
      <c r="N2813" s="31"/>
      <c r="O2813" s="2" t="s">
        <v>297</v>
      </c>
    </row>
    <row r="2814" spans="1:15">
      <c r="A2814" s="3">
        <f t="shared" si="45"/>
        <v>2813</v>
      </c>
      <c r="B2814" s="67" t="s">
        <v>4323</v>
      </c>
      <c r="C2814" s="4">
        <v>6290400748</v>
      </c>
      <c r="D2814" s="6"/>
      <c r="E2814" s="4" t="s">
        <v>127</v>
      </c>
      <c r="F2814" s="67" t="s">
        <v>2093</v>
      </c>
      <c r="G2814" s="2" t="s">
        <v>18</v>
      </c>
      <c r="H2814" s="2" t="s">
        <v>3240</v>
      </c>
      <c r="I2814" s="4" t="s">
        <v>42</v>
      </c>
      <c r="J2814" s="31">
        <v>45791</v>
      </c>
      <c r="K2814" s="31">
        <v>45799</v>
      </c>
      <c r="L2814" s="31"/>
      <c r="M2814" s="31"/>
      <c r="N2814" s="31"/>
      <c r="O2814" s="2" t="s">
        <v>297</v>
      </c>
    </row>
    <row r="2815" spans="1:15">
      <c r="A2815" s="3">
        <f t="shared" si="45"/>
        <v>2814</v>
      </c>
      <c r="B2815" s="67" t="s">
        <v>4324</v>
      </c>
      <c r="C2815" s="4">
        <v>7659898408</v>
      </c>
      <c r="D2815" s="6"/>
      <c r="E2815" s="4" t="s">
        <v>127</v>
      </c>
      <c r="F2815" s="67" t="s">
        <v>4325</v>
      </c>
      <c r="G2815" s="2" t="s">
        <v>424</v>
      </c>
      <c r="H2815" s="2" t="s">
        <v>3240</v>
      </c>
      <c r="I2815" s="4" t="s">
        <v>42</v>
      </c>
      <c r="J2815" s="31">
        <v>45791</v>
      </c>
      <c r="K2815" s="31">
        <v>45800</v>
      </c>
      <c r="L2815" s="31"/>
      <c r="M2815" s="31"/>
      <c r="N2815" s="31"/>
      <c r="O2815" s="2" t="s">
        <v>749</v>
      </c>
    </row>
    <row r="2816" spans="1:15">
      <c r="A2816" s="3">
        <f t="shared" si="45"/>
        <v>2815</v>
      </c>
      <c r="B2816" s="67" t="s">
        <v>4326</v>
      </c>
      <c r="C2816" s="4">
        <v>9182454917</v>
      </c>
      <c r="D2816" s="6"/>
      <c r="E2816" s="4" t="s">
        <v>127</v>
      </c>
      <c r="F2816" s="67" t="s">
        <v>4327</v>
      </c>
      <c r="G2816" s="2" t="s">
        <v>424</v>
      </c>
      <c r="H2816" s="2" t="s">
        <v>3240</v>
      </c>
      <c r="I2816" s="4" t="s">
        <v>42</v>
      </c>
      <c r="J2816" s="31">
        <v>45791</v>
      </c>
      <c r="K2816" s="31">
        <v>45800</v>
      </c>
      <c r="L2816" s="31"/>
      <c r="M2816" s="31"/>
      <c r="N2816" s="31"/>
      <c r="O2816" s="2" t="s">
        <v>425</v>
      </c>
    </row>
    <row r="2817" spans="1:15">
      <c r="A2817" s="3">
        <f t="shared" si="45"/>
        <v>2816</v>
      </c>
      <c r="B2817" s="67" t="s">
        <v>4328</v>
      </c>
      <c r="C2817" s="4">
        <v>8141066778</v>
      </c>
      <c r="D2817" s="3">
        <v>9380968389</v>
      </c>
      <c r="E2817" s="4" t="s">
        <v>1760</v>
      </c>
      <c r="F2817" s="67" t="s">
        <v>1109</v>
      </c>
      <c r="G2817" s="3" t="s">
        <v>416</v>
      </c>
      <c r="H2817" s="2" t="s">
        <v>815</v>
      </c>
      <c r="I2817" s="4" t="s">
        <v>94</v>
      </c>
      <c r="J2817" s="31">
        <v>45791</v>
      </c>
      <c r="K2817" s="31">
        <v>45792</v>
      </c>
      <c r="L2817" s="31"/>
      <c r="M2817" s="31"/>
      <c r="N2817" s="31"/>
      <c r="O2817" s="2" t="s">
        <v>297</v>
      </c>
    </row>
    <row r="2818" spans="1:15">
      <c r="A2818" s="3">
        <f t="shared" si="45"/>
        <v>2817</v>
      </c>
      <c r="B2818" s="67" t="s">
        <v>4329</v>
      </c>
      <c r="C2818" s="4">
        <v>8074990393</v>
      </c>
      <c r="D2818" s="3">
        <v>9550080726</v>
      </c>
      <c r="E2818" s="4" t="s">
        <v>1760</v>
      </c>
      <c r="F2818" s="67" t="s">
        <v>1109</v>
      </c>
      <c r="G2818" s="3" t="s">
        <v>1175</v>
      </c>
      <c r="H2818" s="2" t="s">
        <v>815</v>
      </c>
      <c r="I2818" s="4" t="s">
        <v>94</v>
      </c>
      <c r="J2818" s="31">
        <v>45791</v>
      </c>
      <c r="K2818" s="31"/>
      <c r="L2818" s="31"/>
      <c r="M2818" s="31"/>
      <c r="N2818" s="31"/>
      <c r="O2818" s="2" t="s">
        <v>1004</v>
      </c>
    </row>
    <row r="2819" spans="1:15">
      <c r="A2819" s="3">
        <f t="shared" si="45"/>
        <v>2818</v>
      </c>
      <c r="B2819" s="67" t="s">
        <v>4330</v>
      </c>
      <c r="C2819" s="4">
        <v>7381725379</v>
      </c>
      <c r="D2819" s="3">
        <v>9434805827</v>
      </c>
      <c r="E2819" s="4" t="s">
        <v>4200</v>
      </c>
      <c r="F2819" s="67" t="s">
        <v>4331</v>
      </c>
      <c r="G2819" s="2" t="s">
        <v>16</v>
      </c>
      <c r="H2819" s="2" t="s">
        <v>4201</v>
      </c>
      <c r="I2819" s="4" t="s">
        <v>88</v>
      </c>
      <c r="J2819" s="31">
        <v>45791</v>
      </c>
      <c r="K2819" s="31">
        <v>45791</v>
      </c>
      <c r="L2819" s="31">
        <v>45793</v>
      </c>
      <c r="M2819" s="31">
        <v>45825</v>
      </c>
      <c r="N2819" s="31">
        <v>45825</v>
      </c>
      <c r="O2819" s="2" t="s">
        <v>297</v>
      </c>
    </row>
    <row r="2820" spans="1:15">
      <c r="A2820" s="3">
        <f t="shared" si="45"/>
        <v>2819</v>
      </c>
      <c r="B2820" s="67" t="s">
        <v>4332</v>
      </c>
      <c r="C2820" s="4">
        <v>8085471723</v>
      </c>
      <c r="D2820" s="6"/>
      <c r="E2820" s="4" t="s">
        <v>4200</v>
      </c>
      <c r="F2820" s="67" t="s">
        <v>4333</v>
      </c>
      <c r="G2820" s="2" t="s">
        <v>16</v>
      </c>
      <c r="H2820" s="2" t="s">
        <v>4201</v>
      </c>
      <c r="I2820" s="4" t="s">
        <v>88</v>
      </c>
      <c r="J2820" s="31">
        <v>45791</v>
      </c>
      <c r="K2820" s="31">
        <v>45791</v>
      </c>
      <c r="L2820" s="31">
        <v>45793</v>
      </c>
      <c r="M2820" s="31">
        <v>45825</v>
      </c>
      <c r="N2820" s="31">
        <v>45825</v>
      </c>
      <c r="O2820" s="2" t="s">
        <v>297</v>
      </c>
    </row>
    <row r="2821" spans="1:15">
      <c r="A2821" s="3">
        <f t="shared" si="45"/>
        <v>2820</v>
      </c>
      <c r="B2821" s="67" t="s">
        <v>4334</v>
      </c>
      <c r="C2821" s="4">
        <v>9644883944</v>
      </c>
      <c r="D2821" s="6"/>
      <c r="E2821" s="4" t="s">
        <v>4200</v>
      </c>
      <c r="F2821" s="67" t="s">
        <v>4335</v>
      </c>
      <c r="G2821" s="2" t="s">
        <v>16</v>
      </c>
      <c r="H2821" s="2" t="s">
        <v>4201</v>
      </c>
      <c r="I2821" s="4" t="s">
        <v>88</v>
      </c>
      <c r="J2821" s="31">
        <v>45791</v>
      </c>
      <c r="K2821" s="31">
        <v>45791</v>
      </c>
      <c r="L2821" s="31">
        <v>45793</v>
      </c>
      <c r="M2821" s="31">
        <v>45825</v>
      </c>
      <c r="N2821" s="31">
        <v>45825</v>
      </c>
      <c r="O2821" s="2" t="s">
        <v>297</v>
      </c>
    </row>
    <row r="2822" spans="1:15">
      <c r="A2822" s="3">
        <f t="shared" si="45"/>
        <v>2821</v>
      </c>
      <c r="B2822" s="67" t="s">
        <v>4336</v>
      </c>
      <c r="C2822" s="4">
        <v>9703882886</v>
      </c>
      <c r="D2822" s="6"/>
      <c r="E2822" s="4" t="s">
        <v>4337</v>
      </c>
      <c r="F2822" s="67" t="s">
        <v>4338</v>
      </c>
      <c r="G2822" s="2" t="s">
        <v>16</v>
      </c>
      <c r="H2822" s="2" t="s">
        <v>4339</v>
      </c>
      <c r="I2822" s="4" t="s">
        <v>42</v>
      </c>
      <c r="J2822" s="31">
        <v>45792</v>
      </c>
      <c r="K2822" s="31">
        <v>45792</v>
      </c>
      <c r="L2822" s="31">
        <v>45812</v>
      </c>
      <c r="M2822" s="31">
        <v>45854</v>
      </c>
      <c r="N2822" s="31">
        <v>45856</v>
      </c>
      <c r="O2822" s="2" t="s">
        <v>297</v>
      </c>
    </row>
    <row r="2823" spans="1:15">
      <c r="A2823" s="3">
        <f t="shared" si="45"/>
        <v>2822</v>
      </c>
      <c r="B2823" s="67" t="s">
        <v>4340</v>
      </c>
      <c r="C2823" s="4">
        <v>9705804856</v>
      </c>
      <c r="D2823" s="6"/>
      <c r="E2823" s="4" t="s">
        <v>4337</v>
      </c>
      <c r="F2823" s="67" t="s">
        <v>4338</v>
      </c>
      <c r="G2823" s="2" t="s">
        <v>16</v>
      </c>
      <c r="H2823" s="2" t="s">
        <v>4339</v>
      </c>
      <c r="I2823" s="4" t="s">
        <v>42</v>
      </c>
      <c r="J2823" s="31">
        <v>45792</v>
      </c>
      <c r="K2823" s="31">
        <v>45792</v>
      </c>
      <c r="L2823" s="31">
        <v>45854</v>
      </c>
      <c r="M2823" s="31">
        <v>45869</v>
      </c>
      <c r="N2823" s="31">
        <v>45857</v>
      </c>
      <c r="O2823" s="2" t="s">
        <v>297</v>
      </c>
    </row>
    <row r="2824" spans="1:15">
      <c r="A2824" s="3">
        <f t="shared" si="45"/>
        <v>2823</v>
      </c>
      <c r="B2824" s="67" t="s">
        <v>4341</v>
      </c>
      <c r="C2824" s="4">
        <v>9000228952</v>
      </c>
      <c r="D2824" s="6"/>
      <c r="E2824" s="4" t="s">
        <v>151</v>
      </c>
      <c r="F2824" s="67"/>
      <c r="G2824" s="2" t="s">
        <v>330</v>
      </c>
      <c r="H2824" s="2" t="s">
        <v>2553</v>
      </c>
      <c r="I2824" s="4" t="s">
        <v>42</v>
      </c>
      <c r="J2824" s="31">
        <v>45792</v>
      </c>
      <c r="K2824" s="31">
        <v>45792</v>
      </c>
      <c r="L2824" s="31">
        <v>45792</v>
      </c>
      <c r="M2824" s="31">
        <v>45793</v>
      </c>
      <c r="N2824" s="31">
        <v>45793</v>
      </c>
      <c r="O2824" s="2" t="s">
        <v>297</v>
      </c>
    </row>
    <row r="2825" spans="1:15">
      <c r="A2825" s="3">
        <f t="shared" si="45"/>
        <v>2824</v>
      </c>
      <c r="B2825" s="67" t="s">
        <v>4342</v>
      </c>
      <c r="C2825" s="4">
        <v>7581974737</v>
      </c>
      <c r="D2825" s="6"/>
      <c r="E2825" s="4" t="s">
        <v>421</v>
      </c>
      <c r="F2825" s="67" t="s">
        <v>308</v>
      </c>
      <c r="G2825" s="2" t="s">
        <v>16</v>
      </c>
      <c r="H2825" s="2" t="s">
        <v>2535</v>
      </c>
      <c r="I2825" s="4" t="s">
        <v>94</v>
      </c>
      <c r="J2825" s="31">
        <v>45792</v>
      </c>
      <c r="K2825" s="31">
        <v>45796</v>
      </c>
      <c r="L2825" s="31">
        <v>45798</v>
      </c>
      <c r="M2825" s="31">
        <v>45831</v>
      </c>
      <c r="N2825" s="31">
        <v>45831</v>
      </c>
      <c r="O2825" s="2" t="s">
        <v>297</v>
      </c>
    </row>
    <row r="2826" spans="1:15">
      <c r="A2826" s="3">
        <f t="shared" si="45"/>
        <v>2825</v>
      </c>
      <c r="B2826" s="67" t="s">
        <v>4343</v>
      </c>
      <c r="C2826" s="4">
        <v>9883495472</v>
      </c>
      <c r="D2826" s="3">
        <v>6290068040</v>
      </c>
      <c r="E2826" s="4" t="s">
        <v>421</v>
      </c>
      <c r="F2826" s="67" t="s">
        <v>308</v>
      </c>
      <c r="G2826" s="2" t="s">
        <v>424</v>
      </c>
      <c r="H2826" s="2" t="s">
        <v>2535</v>
      </c>
      <c r="I2826" s="4" t="s">
        <v>94</v>
      </c>
      <c r="J2826" s="31">
        <v>45792</v>
      </c>
      <c r="K2826" s="31">
        <v>45796</v>
      </c>
      <c r="L2826" s="31"/>
      <c r="M2826" s="31"/>
      <c r="N2826" s="31"/>
      <c r="O2826" s="2" t="s">
        <v>425</v>
      </c>
    </row>
    <row r="2827" spans="1:15">
      <c r="A2827" s="3">
        <f t="shared" si="45"/>
        <v>2826</v>
      </c>
      <c r="B2827" s="67" t="s">
        <v>2899</v>
      </c>
      <c r="C2827" s="4">
        <v>9140390827</v>
      </c>
      <c r="D2827" s="6"/>
      <c r="E2827" s="4" t="s">
        <v>399</v>
      </c>
      <c r="F2827" s="67" t="s">
        <v>329</v>
      </c>
      <c r="G2827" s="2" t="s">
        <v>295</v>
      </c>
      <c r="H2827" s="2" t="s">
        <v>162</v>
      </c>
      <c r="I2827" s="4" t="s">
        <v>94</v>
      </c>
      <c r="J2827" s="31">
        <v>45792</v>
      </c>
      <c r="K2827" s="31">
        <v>45794</v>
      </c>
      <c r="L2827" s="31">
        <v>45798</v>
      </c>
      <c r="M2827" s="31">
        <v>45829</v>
      </c>
      <c r="N2827" s="31"/>
      <c r="O2827" s="2" t="s">
        <v>297</v>
      </c>
    </row>
    <row r="2828" spans="1:15">
      <c r="A2828" s="3">
        <f t="shared" si="45"/>
        <v>2827</v>
      </c>
      <c r="B2828" s="98" t="s">
        <v>4344</v>
      </c>
      <c r="C2828" s="4">
        <v>9519836337</v>
      </c>
      <c r="D2828" s="6"/>
      <c r="E2828" s="4" t="s">
        <v>399</v>
      </c>
      <c r="F2828" s="67" t="s">
        <v>329</v>
      </c>
      <c r="G2828" s="2" t="s">
        <v>16</v>
      </c>
      <c r="H2828" s="2" t="s">
        <v>162</v>
      </c>
      <c r="I2828" s="4" t="s">
        <v>94</v>
      </c>
      <c r="J2828" s="31">
        <v>45792</v>
      </c>
      <c r="K2828" s="31">
        <v>45793</v>
      </c>
      <c r="L2828" s="31">
        <v>45798</v>
      </c>
      <c r="M2828" s="31">
        <v>45831</v>
      </c>
      <c r="N2828" s="31">
        <v>45832</v>
      </c>
      <c r="O2828" s="2" t="s">
        <v>297</v>
      </c>
    </row>
    <row r="2829" spans="1:15">
      <c r="A2829" s="3">
        <f t="shared" si="45"/>
        <v>2828</v>
      </c>
      <c r="B2829" s="67" t="s">
        <v>4345</v>
      </c>
      <c r="C2829" s="4">
        <v>9382079266</v>
      </c>
      <c r="D2829" s="3">
        <v>7887273153</v>
      </c>
      <c r="E2829" s="4" t="s">
        <v>127</v>
      </c>
      <c r="F2829" s="67" t="s">
        <v>4346</v>
      </c>
      <c r="G2829" s="2" t="s">
        <v>295</v>
      </c>
      <c r="H2829" s="6" t="s">
        <v>296</v>
      </c>
      <c r="I2829" s="4" t="s">
        <v>42</v>
      </c>
      <c r="J2829" s="31">
        <v>45792</v>
      </c>
      <c r="K2829" s="31">
        <v>45793</v>
      </c>
      <c r="L2829" s="31">
        <v>45798</v>
      </c>
      <c r="M2829" s="31">
        <v>45829</v>
      </c>
      <c r="N2829" s="31"/>
      <c r="O2829" s="2" t="s">
        <v>297</v>
      </c>
    </row>
    <row r="2830" spans="1:15">
      <c r="A2830" s="3">
        <f t="shared" si="45"/>
        <v>2829</v>
      </c>
      <c r="B2830" s="67" t="s">
        <v>4347</v>
      </c>
      <c r="C2830" s="4">
        <v>8074414949</v>
      </c>
      <c r="D2830" s="6"/>
      <c r="E2830" s="4" t="s">
        <v>127</v>
      </c>
      <c r="F2830" s="67" t="s">
        <v>4348</v>
      </c>
      <c r="G2830" s="2" t="s">
        <v>16</v>
      </c>
      <c r="H2830" s="2" t="s">
        <v>3240</v>
      </c>
      <c r="I2830" s="4" t="s">
        <v>42</v>
      </c>
      <c r="J2830" s="31">
        <v>45792</v>
      </c>
      <c r="K2830" s="31">
        <v>45799</v>
      </c>
      <c r="L2830" s="31">
        <v>45805</v>
      </c>
      <c r="M2830" s="31">
        <v>45836</v>
      </c>
      <c r="N2830" s="31">
        <v>45839</v>
      </c>
      <c r="O2830" s="2" t="s">
        <v>297</v>
      </c>
    </row>
    <row r="2831" spans="1:15">
      <c r="A2831" s="3">
        <f t="shared" si="45"/>
        <v>2830</v>
      </c>
      <c r="B2831" s="67" t="s">
        <v>4349</v>
      </c>
      <c r="C2831" s="4">
        <v>9244550114</v>
      </c>
      <c r="D2831" s="3">
        <v>8225889752</v>
      </c>
      <c r="E2831" s="4" t="s">
        <v>127</v>
      </c>
      <c r="F2831" s="67" t="s">
        <v>4350</v>
      </c>
      <c r="G2831" s="2" t="s">
        <v>424</v>
      </c>
      <c r="H2831" s="2" t="s">
        <v>3240</v>
      </c>
      <c r="I2831" s="4" t="s">
        <v>42</v>
      </c>
      <c r="J2831" s="31">
        <v>45792</v>
      </c>
      <c r="K2831" s="31">
        <v>45800</v>
      </c>
      <c r="L2831" s="31"/>
      <c r="M2831" s="31"/>
      <c r="N2831" s="31"/>
      <c r="O2831" s="2" t="s">
        <v>425</v>
      </c>
    </row>
    <row r="2832" spans="1:15">
      <c r="A2832" s="3">
        <f t="shared" si="45"/>
        <v>2831</v>
      </c>
      <c r="B2832" s="67" t="s">
        <v>4351</v>
      </c>
      <c r="C2832" s="4">
        <v>7671961119</v>
      </c>
      <c r="D2832" s="6"/>
      <c r="E2832" s="4" t="s">
        <v>127</v>
      </c>
      <c r="F2832" s="67" t="s">
        <v>4352</v>
      </c>
      <c r="G2832" s="2" t="s">
        <v>295</v>
      </c>
      <c r="H2832" s="2" t="s">
        <v>3240</v>
      </c>
      <c r="I2832" s="4" t="s">
        <v>42</v>
      </c>
      <c r="J2832" s="31">
        <v>45792</v>
      </c>
      <c r="K2832" s="31">
        <v>45799</v>
      </c>
      <c r="L2832" s="31">
        <v>45805</v>
      </c>
      <c r="M2832" s="31">
        <v>45826</v>
      </c>
      <c r="N2832" s="31"/>
      <c r="O2832" s="2" t="s">
        <v>297</v>
      </c>
    </row>
    <row r="2833" spans="1:15">
      <c r="A2833" s="3">
        <f t="shared" si="45"/>
        <v>2832</v>
      </c>
      <c r="B2833" s="67" t="s">
        <v>4353</v>
      </c>
      <c r="C2833" s="4">
        <v>7093295004</v>
      </c>
      <c r="D2833" s="6"/>
      <c r="E2833" s="4" t="s">
        <v>3223</v>
      </c>
      <c r="F2833" s="67" t="s">
        <v>4354</v>
      </c>
      <c r="G2833" s="2" t="s">
        <v>424</v>
      </c>
      <c r="H2833" s="2" t="s">
        <v>2425</v>
      </c>
      <c r="I2833" s="4" t="s">
        <v>42</v>
      </c>
      <c r="J2833" s="31">
        <v>45793</v>
      </c>
      <c r="K2833" s="31">
        <v>45824</v>
      </c>
      <c r="L2833" s="31"/>
      <c r="M2833" s="31"/>
      <c r="N2833" s="31"/>
      <c r="O2833" s="2" t="s">
        <v>749</v>
      </c>
    </row>
    <row r="2834" spans="1:15">
      <c r="A2834" s="3">
        <f t="shared" si="45"/>
        <v>2833</v>
      </c>
      <c r="B2834" s="67" t="s">
        <v>4355</v>
      </c>
      <c r="C2834" s="4">
        <v>9611317126</v>
      </c>
      <c r="D2834" s="3">
        <v>6360343722</v>
      </c>
      <c r="E2834" s="4" t="s">
        <v>4054</v>
      </c>
      <c r="F2834" s="67" t="s">
        <v>4356</v>
      </c>
      <c r="G2834" s="2" t="s">
        <v>295</v>
      </c>
      <c r="H2834" s="2" t="s">
        <v>296</v>
      </c>
      <c r="I2834" s="4" t="s">
        <v>94</v>
      </c>
      <c r="J2834" s="31">
        <v>45789</v>
      </c>
      <c r="K2834" s="31">
        <v>45793</v>
      </c>
      <c r="L2834" s="31">
        <v>45833</v>
      </c>
      <c r="M2834" s="31">
        <v>45889</v>
      </c>
      <c r="N2834" s="31"/>
      <c r="O2834" s="2" t="s">
        <v>297</v>
      </c>
    </row>
    <row r="2835" spans="1:15">
      <c r="A2835" s="3">
        <f t="shared" si="45"/>
        <v>2834</v>
      </c>
      <c r="B2835" s="67" t="s">
        <v>4357</v>
      </c>
      <c r="C2835" s="4">
        <v>7765869166</v>
      </c>
      <c r="D2835" s="6"/>
      <c r="E2835" s="4" t="s">
        <v>4358</v>
      </c>
      <c r="F2835" s="67" t="s">
        <v>1060</v>
      </c>
      <c r="G2835" s="2" t="s">
        <v>16</v>
      </c>
      <c r="H2835" s="2" t="s">
        <v>357</v>
      </c>
      <c r="I2835" s="4" t="s">
        <v>94</v>
      </c>
      <c r="J2835" s="31">
        <v>45792</v>
      </c>
      <c r="K2835" s="31">
        <v>45792</v>
      </c>
      <c r="L2835" s="31">
        <v>45793</v>
      </c>
      <c r="M2835" s="31">
        <v>45801</v>
      </c>
      <c r="N2835" s="31">
        <v>45813</v>
      </c>
      <c r="O2835" s="2" t="s">
        <v>297</v>
      </c>
    </row>
    <row r="2836" spans="1:15">
      <c r="A2836" s="3">
        <f t="shared" si="45"/>
        <v>2835</v>
      </c>
      <c r="B2836" s="67" t="s">
        <v>4359</v>
      </c>
      <c r="C2836" s="4">
        <v>9078851174</v>
      </c>
      <c r="D2836" s="6"/>
      <c r="E2836" s="17" t="s">
        <v>4360</v>
      </c>
      <c r="F2836" s="67" t="s">
        <v>3018</v>
      </c>
      <c r="G2836" s="3" t="s">
        <v>330</v>
      </c>
      <c r="H2836" s="2" t="s">
        <v>815</v>
      </c>
      <c r="I2836" s="4" t="s">
        <v>94</v>
      </c>
      <c r="J2836" s="31">
        <v>45792</v>
      </c>
      <c r="K2836" s="31">
        <v>45792</v>
      </c>
      <c r="L2836" s="31">
        <v>45793</v>
      </c>
      <c r="M2836" s="31">
        <v>45801</v>
      </c>
      <c r="N2836" s="31">
        <v>45804</v>
      </c>
      <c r="O2836" s="2" t="s">
        <v>297</v>
      </c>
    </row>
    <row r="2837" spans="1:15">
      <c r="A2837" s="3">
        <f t="shared" si="45"/>
        <v>2836</v>
      </c>
      <c r="B2837" s="67" t="s">
        <v>4361</v>
      </c>
      <c r="C2837" s="4">
        <v>9000513607</v>
      </c>
      <c r="D2837" s="6"/>
      <c r="E2837" s="17" t="s">
        <v>4360</v>
      </c>
      <c r="F2837" s="67" t="s">
        <v>4362</v>
      </c>
      <c r="G2837" s="2" t="s">
        <v>16</v>
      </c>
      <c r="H2837" s="2" t="s">
        <v>815</v>
      </c>
      <c r="I2837" s="4" t="s">
        <v>94</v>
      </c>
      <c r="J2837" s="31">
        <v>45792</v>
      </c>
      <c r="K2837" s="31">
        <v>45792</v>
      </c>
      <c r="L2837" s="31">
        <v>45793</v>
      </c>
      <c r="M2837" s="31">
        <v>45804</v>
      </c>
      <c r="N2837" s="31">
        <v>45804</v>
      </c>
      <c r="O2837" s="2" t="s">
        <v>297</v>
      </c>
    </row>
    <row r="2838" spans="1:15">
      <c r="A2838" s="3">
        <f t="shared" si="45"/>
        <v>2837</v>
      </c>
      <c r="B2838" s="67" t="s">
        <v>4363</v>
      </c>
      <c r="C2838" s="4">
        <v>8861609757</v>
      </c>
      <c r="D2838" s="6"/>
      <c r="E2838" s="4" t="s">
        <v>4364</v>
      </c>
      <c r="F2838" s="67" t="s">
        <v>3416</v>
      </c>
      <c r="G2838" s="2" t="s">
        <v>16</v>
      </c>
      <c r="H2838" s="2" t="s">
        <v>815</v>
      </c>
      <c r="I2838" s="1" t="s">
        <v>42</v>
      </c>
      <c r="J2838" s="31">
        <v>45790</v>
      </c>
      <c r="K2838" s="31">
        <v>45793</v>
      </c>
      <c r="L2838" s="31">
        <v>45793</v>
      </c>
      <c r="M2838" s="31">
        <v>45825</v>
      </c>
      <c r="N2838" s="31">
        <v>45824</v>
      </c>
      <c r="O2838" s="2" t="s">
        <v>297</v>
      </c>
    </row>
    <row r="2839" spans="1:15">
      <c r="A2839" s="3">
        <f t="shared" si="45"/>
        <v>2838</v>
      </c>
      <c r="B2839" s="67" t="s">
        <v>4365</v>
      </c>
      <c r="C2839" s="4">
        <v>6230065399</v>
      </c>
      <c r="D2839" s="6"/>
      <c r="E2839" s="4" t="s">
        <v>4045</v>
      </c>
      <c r="F2839" s="67" t="s">
        <v>4130</v>
      </c>
      <c r="G2839" s="2" t="s">
        <v>295</v>
      </c>
      <c r="H2839" s="2" t="s">
        <v>487</v>
      </c>
      <c r="I2839" s="4" t="s">
        <v>88</v>
      </c>
      <c r="J2839" s="31">
        <v>45791</v>
      </c>
      <c r="K2839" s="31">
        <v>45793</v>
      </c>
      <c r="L2839" s="31">
        <v>45793</v>
      </c>
      <c r="M2839" s="31">
        <v>45825</v>
      </c>
      <c r="N2839" s="31"/>
      <c r="O2839" s="2" t="s">
        <v>297</v>
      </c>
    </row>
    <row r="2840" spans="1:15">
      <c r="A2840" s="3">
        <f t="shared" si="45"/>
        <v>2839</v>
      </c>
      <c r="B2840" s="67" t="s">
        <v>4366</v>
      </c>
      <c r="C2840" s="4">
        <v>7007845237</v>
      </c>
      <c r="D2840" s="3">
        <v>9125449128</v>
      </c>
      <c r="E2840" s="4" t="s">
        <v>4367</v>
      </c>
      <c r="F2840" s="67" t="s">
        <v>4368</v>
      </c>
      <c r="G2840" s="2" t="s">
        <v>16</v>
      </c>
      <c r="H2840" s="2" t="s">
        <v>4201</v>
      </c>
      <c r="I2840" s="4" t="s">
        <v>88</v>
      </c>
      <c r="J2840" s="31">
        <v>45789</v>
      </c>
      <c r="K2840" s="31">
        <v>45791</v>
      </c>
      <c r="L2840" s="31">
        <v>45793</v>
      </c>
      <c r="M2840" s="31">
        <v>45825</v>
      </c>
      <c r="N2840" s="31">
        <v>45825</v>
      </c>
      <c r="O2840" s="2" t="s">
        <v>297</v>
      </c>
    </row>
    <row r="2841" spans="1:15">
      <c r="A2841" s="3">
        <f t="shared" si="45"/>
        <v>2840</v>
      </c>
      <c r="B2841" s="67" t="s">
        <v>4369</v>
      </c>
      <c r="C2841" s="4">
        <v>9603785695</v>
      </c>
      <c r="D2841" s="6"/>
      <c r="E2841" s="4" t="s">
        <v>1540</v>
      </c>
      <c r="F2841" s="67" t="s">
        <v>4370</v>
      </c>
      <c r="G2841" s="2" t="s">
        <v>16</v>
      </c>
      <c r="H2841" s="2" t="s">
        <v>785</v>
      </c>
      <c r="I2841" s="4" t="s">
        <v>42</v>
      </c>
      <c r="J2841" s="31">
        <v>45785</v>
      </c>
      <c r="K2841" s="31">
        <v>45793</v>
      </c>
      <c r="L2841" s="31">
        <v>45793</v>
      </c>
      <c r="M2841" s="31">
        <v>45853</v>
      </c>
      <c r="N2841" s="31">
        <v>45859</v>
      </c>
      <c r="O2841" s="2" t="s">
        <v>297</v>
      </c>
    </row>
    <row r="2842" spans="1:15">
      <c r="A2842" s="3">
        <f t="shared" si="45"/>
        <v>2841</v>
      </c>
      <c r="B2842" s="67" t="s">
        <v>4371</v>
      </c>
      <c r="C2842" s="4">
        <v>9440511112</v>
      </c>
      <c r="D2842" s="6"/>
      <c r="E2842" s="4" t="s">
        <v>4372</v>
      </c>
      <c r="F2842" s="67" t="s">
        <v>4373</v>
      </c>
      <c r="G2842" s="2" t="s">
        <v>16</v>
      </c>
      <c r="H2842" s="2" t="s">
        <v>2425</v>
      </c>
      <c r="I2842" s="4" t="s">
        <v>42</v>
      </c>
      <c r="J2842" s="31">
        <v>45768</v>
      </c>
      <c r="K2842" s="31">
        <v>45786</v>
      </c>
      <c r="L2842" s="31">
        <v>45789</v>
      </c>
      <c r="M2842" s="31">
        <v>45819</v>
      </c>
      <c r="N2842" s="31">
        <v>45817</v>
      </c>
      <c r="O2842" s="2" t="s">
        <v>297</v>
      </c>
    </row>
    <row r="2843" spans="1:15">
      <c r="A2843" s="3">
        <f t="shared" si="45"/>
        <v>2842</v>
      </c>
      <c r="B2843" s="67" t="s">
        <v>4374</v>
      </c>
      <c r="C2843" s="4">
        <v>7382678545</v>
      </c>
      <c r="D2843" s="6"/>
      <c r="E2843" s="4" t="s">
        <v>4375</v>
      </c>
      <c r="F2843" s="67" t="s">
        <v>4376</v>
      </c>
      <c r="G2843" s="2" t="s">
        <v>16</v>
      </c>
      <c r="H2843" s="2" t="s">
        <v>162</v>
      </c>
      <c r="I2843" s="4" t="s">
        <v>42</v>
      </c>
      <c r="J2843" s="31">
        <v>45789</v>
      </c>
      <c r="K2843" s="31">
        <v>45789</v>
      </c>
      <c r="L2843" s="31">
        <v>45793</v>
      </c>
      <c r="M2843" s="31">
        <v>45818</v>
      </c>
      <c r="N2843" s="31">
        <v>45824</v>
      </c>
      <c r="O2843" s="2" t="s">
        <v>297</v>
      </c>
    </row>
    <row r="2844" spans="1:15">
      <c r="A2844" s="3">
        <f t="shared" si="45"/>
        <v>2843</v>
      </c>
      <c r="B2844" s="67" t="s">
        <v>4377</v>
      </c>
      <c r="C2844" s="4">
        <v>9704951961</v>
      </c>
      <c r="D2844" s="6"/>
      <c r="E2844" s="4" t="s">
        <v>4375</v>
      </c>
      <c r="F2844" s="67" t="s">
        <v>4378</v>
      </c>
      <c r="G2844" s="2" t="s">
        <v>16</v>
      </c>
      <c r="H2844" s="2" t="s">
        <v>162</v>
      </c>
      <c r="I2844" s="4" t="s">
        <v>42</v>
      </c>
      <c r="J2844" s="31">
        <v>45778</v>
      </c>
      <c r="K2844" s="31">
        <v>45779</v>
      </c>
      <c r="L2844" s="31">
        <v>45793</v>
      </c>
      <c r="M2844" s="31">
        <v>45809</v>
      </c>
      <c r="N2844" s="31">
        <v>45815</v>
      </c>
      <c r="O2844" s="2" t="s">
        <v>297</v>
      </c>
    </row>
    <row r="2845" spans="1:15">
      <c r="A2845" s="3">
        <f t="shared" si="45"/>
        <v>2844</v>
      </c>
      <c r="B2845" s="67" t="s">
        <v>4379</v>
      </c>
      <c r="C2845" s="4">
        <v>7780193994</v>
      </c>
      <c r="D2845" s="6"/>
      <c r="E2845" s="4" t="s">
        <v>4380</v>
      </c>
      <c r="F2845" s="67" t="s">
        <v>4381</v>
      </c>
      <c r="G2845" s="2" t="s">
        <v>16</v>
      </c>
      <c r="H2845" s="2" t="s">
        <v>41</v>
      </c>
      <c r="I2845" s="4" t="s">
        <v>42</v>
      </c>
      <c r="J2845" s="31">
        <v>45789</v>
      </c>
      <c r="K2845" s="31">
        <v>45789</v>
      </c>
      <c r="L2845" s="31">
        <v>45789</v>
      </c>
      <c r="M2845" s="31">
        <v>45819</v>
      </c>
      <c r="N2845" s="31">
        <v>45799</v>
      </c>
      <c r="O2845" s="2" t="s">
        <v>297</v>
      </c>
    </row>
    <row r="2846" spans="1:15">
      <c r="A2846" s="3">
        <f t="shared" si="45"/>
        <v>2845</v>
      </c>
      <c r="B2846" s="67" t="s">
        <v>4382</v>
      </c>
      <c r="C2846" s="4">
        <v>8662971711</v>
      </c>
      <c r="D2846" s="3">
        <v>9701385011</v>
      </c>
      <c r="E2846" s="4" t="s">
        <v>4383</v>
      </c>
      <c r="F2846" s="67" t="s">
        <v>4381</v>
      </c>
      <c r="G2846" s="2" t="s">
        <v>16</v>
      </c>
      <c r="H2846" s="2" t="s">
        <v>41</v>
      </c>
      <c r="I2846" s="4" t="s">
        <v>42</v>
      </c>
      <c r="J2846" s="31">
        <v>45789</v>
      </c>
      <c r="K2846" s="31">
        <v>45789</v>
      </c>
      <c r="L2846" s="31">
        <v>45789</v>
      </c>
      <c r="M2846" s="31">
        <v>45819</v>
      </c>
      <c r="N2846" s="31">
        <v>45817</v>
      </c>
      <c r="O2846" s="2" t="s">
        <v>297</v>
      </c>
    </row>
    <row r="2847" spans="1:15">
      <c r="A2847" s="3">
        <f t="shared" si="45"/>
        <v>2846</v>
      </c>
      <c r="B2847" s="67" t="s">
        <v>4384</v>
      </c>
      <c r="C2847" s="4"/>
      <c r="D2847" s="6"/>
      <c r="E2847" s="4" t="s">
        <v>3925</v>
      </c>
      <c r="F2847" s="67" t="s">
        <v>303</v>
      </c>
      <c r="G2847" s="2" t="s">
        <v>16</v>
      </c>
      <c r="H2847" s="2" t="s">
        <v>296</v>
      </c>
      <c r="I2847" s="4" t="s">
        <v>94</v>
      </c>
      <c r="J2847" s="31">
        <v>45787</v>
      </c>
      <c r="K2847" s="31">
        <v>45787</v>
      </c>
      <c r="L2847" s="31">
        <v>45789</v>
      </c>
      <c r="M2847" s="31">
        <v>45789</v>
      </c>
      <c r="N2847" s="31">
        <v>45789</v>
      </c>
      <c r="O2847" s="2" t="s">
        <v>297</v>
      </c>
    </row>
    <row r="2848" spans="1:15">
      <c r="A2848" s="3">
        <f t="shared" si="45"/>
        <v>2847</v>
      </c>
      <c r="B2848" s="65" t="s">
        <v>4385</v>
      </c>
      <c r="C2848" s="1">
        <v>7504863085</v>
      </c>
      <c r="D2848" s="1">
        <v>9937340382</v>
      </c>
      <c r="E2848" s="17" t="s">
        <v>2216</v>
      </c>
      <c r="F2848" s="65" t="s">
        <v>329</v>
      </c>
      <c r="G2848" s="2" t="s">
        <v>16</v>
      </c>
      <c r="H2848" s="2" t="s">
        <v>162</v>
      </c>
      <c r="I2848" s="4" t="s">
        <v>94</v>
      </c>
      <c r="J2848" s="31">
        <v>45796</v>
      </c>
      <c r="K2848" s="31">
        <v>45800</v>
      </c>
      <c r="L2848" s="31">
        <v>45805</v>
      </c>
      <c r="M2848" s="31">
        <v>45812</v>
      </c>
      <c r="N2848" s="31">
        <v>45815</v>
      </c>
      <c r="O2848" s="2" t="s">
        <v>297</v>
      </c>
    </row>
    <row r="2849" spans="1:15">
      <c r="A2849" s="3">
        <f t="shared" si="45"/>
        <v>2848</v>
      </c>
      <c r="B2849" s="65" t="s">
        <v>4386</v>
      </c>
      <c r="C2849" s="1">
        <v>9346395730</v>
      </c>
      <c r="D2849" s="6"/>
      <c r="E2849" s="17" t="s">
        <v>2216</v>
      </c>
      <c r="F2849" s="65" t="s">
        <v>569</v>
      </c>
      <c r="G2849" s="2" t="s">
        <v>424</v>
      </c>
      <c r="H2849" s="2" t="s">
        <v>162</v>
      </c>
      <c r="I2849" s="4" t="s">
        <v>94</v>
      </c>
      <c r="J2849" s="31">
        <v>45796</v>
      </c>
      <c r="K2849" s="31">
        <v>45800</v>
      </c>
      <c r="O2849" s="2" t="s">
        <v>425</v>
      </c>
    </row>
    <row r="2850" spans="1:15">
      <c r="A2850" s="3">
        <f t="shared" ref="A2850:A2913" si="46">ROW()-1</f>
        <v>2849</v>
      </c>
      <c r="B2850" s="65" t="s">
        <v>4387</v>
      </c>
      <c r="C2850" s="1">
        <v>8367764473</v>
      </c>
      <c r="D2850" s="6"/>
      <c r="E2850" s="17" t="s">
        <v>4388</v>
      </c>
      <c r="F2850" s="65" t="s">
        <v>308</v>
      </c>
      <c r="G2850" s="3" t="s">
        <v>416</v>
      </c>
      <c r="H2850" s="2" t="s">
        <v>162</v>
      </c>
      <c r="I2850" s="4" t="s">
        <v>94</v>
      </c>
      <c r="J2850" s="31">
        <v>45796</v>
      </c>
      <c r="K2850" s="31">
        <v>45800</v>
      </c>
      <c r="O2850" s="2" t="s">
        <v>297</v>
      </c>
    </row>
    <row r="2851" spans="1:15">
      <c r="A2851" s="3">
        <f t="shared" si="46"/>
        <v>2850</v>
      </c>
      <c r="B2851" s="65" t="s">
        <v>4389</v>
      </c>
      <c r="C2851" s="1">
        <v>9317773809</v>
      </c>
      <c r="D2851" s="6"/>
      <c r="E2851" s="17" t="s">
        <v>4388</v>
      </c>
      <c r="F2851" s="65" t="s">
        <v>569</v>
      </c>
      <c r="G2851" s="2" t="s">
        <v>16</v>
      </c>
      <c r="H2851" s="2" t="s">
        <v>162</v>
      </c>
      <c r="I2851" s="4" t="s">
        <v>94</v>
      </c>
      <c r="J2851" s="31">
        <v>45796</v>
      </c>
      <c r="K2851" s="31">
        <v>45800</v>
      </c>
      <c r="L2851" s="31">
        <v>45805</v>
      </c>
      <c r="M2851" s="31">
        <v>45813</v>
      </c>
      <c r="N2851" s="31">
        <v>45813</v>
      </c>
      <c r="O2851" s="2" t="s">
        <v>297</v>
      </c>
    </row>
    <row r="2852" spans="1:15">
      <c r="A2852" s="3">
        <f t="shared" si="46"/>
        <v>2851</v>
      </c>
      <c r="B2852" s="65" t="s">
        <v>4390</v>
      </c>
      <c r="C2852" s="1">
        <v>9951292968</v>
      </c>
      <c r="D2852" s="1">
        <v>7794909094</v>
      </c>
      <c r="E2852" s="17" t="s">
        <v>1881</v>
      </c>
      <c r="F2852" s="65" t="s">
        <v>4391</v>
      </c>
      <c r="G2852" s="2" t="s">
        <v>16</v>
      </c>
      <c r="H2852" s="2" t="s">
        <v>1096</v>
      </c>
      <c r="I2852" s="4" t="s">
        <v>42</v>
      </c>
      <c r="J2852" s="31">
        <v>45796</v>
      </c>
      <c r="K2852" s="31">
        <v>45797</v>
      </c>
      <c r="L2852" s="31">
        <v>45800</v>
      </c>
      <c r="M2852" s="31">
        <v>45833</v>
      </c>
      <c r="N2852" s="31">
        <v>45838</v>
      </c>
      <c r="O2852" s="2" t="s">
        <v>297</v>
      </c>
    </row>
    <row r="2853" spans="1:15">
      <c r="A2853" s="3">
        <f t="shared" si="46"/>
        <v>2852</v>
      </c>
      <c r="B2853" s="65" t="s">
        <v>4392</v>
      </c>
      <c r="C2853" s="1">
        <v>9676088922</v>
      </c>
      <c r="D2853" s="6"/>
      <c r="E2853" s="17" t="s">
        <v>1881</v>
      </c>
      <c r="F2853" s="65" t="s">
        <v>1174</v>
      </c>
      <c r="G2853" s="2" t="s">
        <v>416</v>
      </c>
      <c r="H2853" s="2" t="s">
        <v>1096</v>
      </c>
      <c r="I2853" s="4" t="s">
        <v>42</v>
      </c>
      <c r="J2853" s="31">
        <v>45796</v>
      </c>
      <c r="K2853" s="31">
        <v>45797</v>
      </c>
      <c r="L2853" s="31"/>
      <c r="M2853" s="31"/>
      <c r="N2853" s="31"/>
      <c r="O2853" s="2" t="s">
        <v>297</v>
      </c>
    </row>
    <row r="2854" spans="1:15">
      <c r="A2854" s="3">
        <f t="shared" si="46"/>
        <v>2853</v>
      </c>
      <c r="B2854" s="65" t="s">
        <v>4393</v>
      </c>
      <c r="C2854" s="1">
        <v>9949025353</v>
      </c>
      <c r="D2854" s="6"/>
      <c r="E2854" s="17" t="s">
        <v>121</v>
      </c>
      <c r="F2854" s="65" t="s">
        <v>4394</v>
      </c>
      <c r="G2854" s="2" t="s">
        <v>424</v>
      </c>
      <c r="H2854" s="2" t="s">
        <v>679</v>
      </c>
      <c r="I2854" s="4" t="s">
        <v>42</v>
      </c>
      <c r="J2854" s="31">
        <v>45795</v>
      </c>
      <c r="K2854" s="31">
        <v>45824</v>
      </c>
      <c r="L2854" s="31"/>
      <c r="M2854" s="31"/>
      <c r="N2854" s="31"/>
      <c r="O2854" s="2" t="s">
        <v>425</v>
      </c>
    </row>
    <row r="2855" spans="1:15">
      <c r="A2855" s="3">
        <f t="shared" si="46"/>
        <v>2854</v>
      </c>
      <c r="B2855" s="65" t="s">
        <v>4395</v>
      </c>
      <c r="C2855" s="1">
        <v>9502171037</v>
      </c>
      <c r="D2855" s="6"/>
      <c r="E2855" s="17" t="s">
        <v>124</v>
      </c>
      <c r="F2855" s="65" t="s">
        <v>4396</v>
      </c>
      <c r="G2855" s="2" t="s">
        <v>416</v>
      </c>
      <c r="H2855" s="2" t="s">
        <v>679</v>
      </c>
      <c r="I2855" s="4" t="s">
        <v>42</v>
      </c>
      <c r="J2855" s="31">
        <v>45795</v>
      </c>
      <c r="K2855" s="31">
        <v>45795</v>
      </c>
      <c r="L2855" s="31"/>
      <c r="M2855" s="31"/>
      <c r="N2855" s="31"/>
      <c r="O2855" s="2" t="s">
        <v>297</v>
      </c>
    </row>
    <row r="2856" spans="1:15">
      <c r="A2856" s="3">
        <f t="shared" si="46"/>
        <v>2855</v>
      </c>
      <c r="B2856" s="65" t="s">
        <v>4397</v>
      </c>
      <c r="C2856" s="1">
        <v>9515034657</v>
      </c>
      <c r="D2856" s="6"/>
      <c r="E2856" s="17" t="s">
        <v>1881</v>
      </c>
      <c r="F2856" s="65"/>
      <c r="G2856" s="2" t="s">
        <v>416</v>
      </c>
      <c r="H2856" s="2" t="s">
        <v>1096</v>
      </c>
      <c r="I2856" s="4" t="s">
        <v>42</v>
      </c>
      <c r="J2856" s="31">
        <v>45796</v>
      </c>
      <c r="K2856" s="31">
        <v>45796</v>
      </c>
      <c r="L2856" s="31"/>
      <c r="M2856" s="31"/>
      <c r="N2856" s="31"/>
      <c r="O2856" s="2" t="s">
        <v>297</v>
      </c>
    </row>
    <row r="2857" spans="1:15">
      <c r="A2857" s="3">
        <f t="shared" si="46"/>
        <v>2856</v>
      </c>
      <c r="B2857" s="65" t="s">
        <v>4398</v>
      </c>
      <c r="C2857" s="1">
        <v>9176783794</v>
      </c>
      <c r="D2857" s="1">
        <v>6879496977</v>
      </c>
      <c r="E2857" s="17" t="s">
        <v>124</v>
      </c>
      <c r="F2857" s="65" t="s">
        <v>4399</v>
      </c>
      <c r="G2857" s="2" t="s">
        <v>416</v>
      </c>
      <c r="H2857" s="2" t="s">
        <v>679</v>
      </c>
      <c r="I2857" s="4" t="s">
        <v>42</v>
      </c>
      <c r="J2857" s="31">
        <v>45795</v>
      </c>
      <c r="K2857" s="31">
        <v>45795</v>
      </c>
      <c r="L2857" s="31"/>
      <c r="M2857" s="31"/>
      <c r="N2857" s="31"/>
      <c r="O2857" s="2" t="s">
        <v>297</v>
      </c>
    </row>
    <row r="2858" spans="1:15">
      <c r="A2858" s="3">
        <f t="shared" si="46"/>
        <v>2857</v>
      </c>
      <c r="B2858" s="65" t="s">
        <v>4400</v>
      </c>
      <c r="C2858" s="1">
        <v>7075526511</v>
      </c>
      <c r="D2858" s="6"/>
      <c r="E2858" s="17" t="s">
        <v>2324</v>
      </c>
      <c r="F2858" s="65" t="s">
        <v>3020</v>
      </c>
      <c r="G2858" s="3" t="s">
        <v>295</v>
      </c>
      <c r="H2858" s="2" t="s">
        <v>815</v>
      </c>
      <c r="I2858" s="4" t="s">
        <v>88</v>
      </c>
      <c r="J2858" s="31">
        <v>45797</v>
      </c>
      <c r="K2858" s="31">
        <v>45798</v>
      </c>
      <c r="L2858" s="31">
        <v>45800</v>
      </c>
      <c r="M2858" s="31">
        <v>45831</v>
      </c>
      <c r="N2858" s="31"/>
      <c r="O2858" s="2" t="s">
        <v>297</v>
      </c>
    </row>
    <row r="2859" spans="1:15">
      <c r="A2859" s="3">
        <f t="shared" si="46"/>
        <v>2858</v>
      </c>
      <c r="B2859" s="65" t="s">
        <v>4401</v>
      </c>
      <c r="C2859" s="1">
        <v>9542020884</v>
      </c>
      <c r="D2859" s="6"/>
      <c r="E2859" s="17" t="s">
        <v>2324</v>
      </c>
      <c r="F2859" s="65" t="s">
        <v>3020</v>
      </c>
      <c r="G2859" s="2" t="s">
        <v>16</v>
      </c>
      <c r="H2859" s="2" t="s">
        <v>815</v>
      </c>
      <c r="I2859" s="4" t="s">
        <v>88</v>
      </c>
      <c r="J2859" s="31">
        <v>45797</v>
      </c>
      <c r="K2859" s="31">
        <v>45798</v>
      </c>
      <c r="L2859" s="31">
        <v>45805</v>
      </c>
      <c r="M2859" s="31">
        <v>45836</v>
      </c>
      <c r="N2859" s="31">
        <v>45836</v>
      </c>
      <c r="O2859" s="2" t="s">
        <v>297</v>
      </c>
    </row>
    <row r="2860" spans="1:15">
      <c r="A2860" s="3">
        <f t="shared" si="46"/>
        <v>2859</v>
      </c>
      <c r="B2860" s="65" t="s">
        <v>4402</v>
      </c>
      <c r="C2860" s="1">
        <v>7736826480</v>
      </c>
      <c r="D2860" s="6"/>
      <c r="E2860" s="17" t="s">
        <v>2324</v>
      </c>
      <c r="F2860" s="65" t="s">
        <v>3020</v>
      </c>
      <c r="G2860" s="2" t="s">
        <v>764</v>
      </c>
      <c r="H2860" s="2" t="s">
        <v>815</v>
      </c>
      <c r="I2860" s="4" t="s">
        <v>88</v>
      </c>
      <c r="J2860" s="31">
        <v>45797</v>
      </c>
      <c r="K2860" s="31">
        <v>45798</v>
      </c>
      <c r="L2860" s="31"/>
      <c r="M2860" s="31"/>
      <c r="N2860" s="31"/>
      <c r="O2860" s="2" t="s">
        <v>425</v>
      </c>
    </row>
    <row r="2861" spans="1:15">
      <c r="A2861" s="3">
        <f t="shared" si="46"/>
        <v>2860</v>
      </c>
      <c r="B2861" s="65" t="s">
        <v>4403</v>
      </c>
      <c r="C2861" s="1">
        <v>8976125821</v>
      </c>
      <c r="D2861" s="6"/>
      <c r="E2861" s="17" t="s">
        <v>4404</v>
      </c>
      <c r="F2861" s="65" t="s">
        <v>4405</v>
      </c>
      <c r="G2861" s="2" t="s">
        <v>424</v>
      </c>
      <c r="H2861" s="2" t="s">
        <v>296</v>
      </c>
      <c r="I2861" s="4" t="s">
        <v>88</v>
      </c>
      <c r="J2861" s="31">
        <v>45797</v>
      </c>
      <c r="K2861" s="31">
        <v>45798</v>
      </c>
      <c r="L2861" s="31"/>
      <c r="M2861" s="31"/>
      <c r="N2861" s="31"/>
      <c r="O2861" s="2" t="s">
        <v>425</v>
      </c>
    </row>
    <row r="2862" spans="1:15">
      <c r="A2862" s="3">
        <f t="shared" si="46"/>
        <v>2861</v>
      </c>
      <c r="B2862" s="65" t="s">
        <v>4406</v>
      </c>
      <c r="C2862" s="1">
        <v>7895157501</v>
      </c>
      <c r="D2862" s="1">
        <v>7668280155</v>
      </c>
      <c r="E2862" s="17" t="s">
        <v>4407</v>
      </c>
      <c r="F2862" s="65" t="s">
        <v>3632</v>
      </c>
      <c r="G2862" s="2" t="s">
        <v>16</v>
      </c>
      <c r="H2862" s="2" t="s">
        <v>487</v>
      </c>
      <c r="I2862" s="4" t="s">
        <v>88</v>
      </c>
      <c r="J2862" s="31">
        <v>45797</v>
      </c>
      <c r="K2862" s="31">
        <v>45798</v>
      </c>
      <c r="L2862" s="31">
        <v>45805</v>
      </c>
      <c r="M2862" s="31">
        <v>45836</v>
      </c>
      <c r="N2862" s="31">
        <v>45836</v>
      </c>
      <c r="O2862" s="2" t="s">
        <v>297</v>
      </c>
    </row>
    <row r="2863" spans="1:15">
      <c r="A2863" s="3">
        <f t="shared" si="46"/>
        <v>2862</v>
      </c>
      <c r="B2863" s="65" t="s">
        <v>4408</v>
      </c>
      <c r="C2863" s="1">
        <v>7989790493</v>
      </c>
      <c r="D2863" s="6"/>
      <c r="E2863" s="17" t="s">
        <v>4407</v>
      </c>
      <c r="F2863" s="65" t="s">
        <v>616</v>
      </c>
      <c r="G2863" s="2" t="s">
        <v>16</v>
      </c>
      <c r="H2863" s="2" t="s">
        <v>487</v>
      </c>
      <c r="I2863" s="4" t="s">
        <v>88</v>
      </c>
      <c r="J2863" s="31">
        <v>45797</v>
      </c>
      <c r="K2863" s="31">
        <v>45798</v>
      </c>
      <c r="L2863" s="31">
        <v>45805</v>
      </c>
      <c r="M2863" s="31">
        <v>45836</v>
      </c>
      <c r="N2863" s="31">
        <v>45836</v>
      </c>
      <c r="O2863" s="2" t="s">
        <v>297</v>
      </c>
    </row>
    <row r="2864" spans="1:15">
      <c r="A2864" s="3">
        <f t="shared" si="46"/>
        <v>2863</v>
      </c>
      <c r="B2864" s="65" t="s">
        <v>4409</v>
      </c>
      <c r="C2864" s="1">
        <v>9424574454</v>
      </c>
      <c r="D2864" s="1">
        <v>9795306194</v>
      </c>
      <c r="E2864" s="17" t="s">
        <v>4045</v>
      </c>
      <c r="F2864" s="65" t="s">
        <v>616</v>
      </c>
      <c r="G2864" s="2" t="s">
        <v>330</v>
      </c>
      <c r="H2864" s="2" t="s">
        <v>487</v>
      </c>
      <c r="I2864" s="4" t="s">
        <v>88</v>
      </c>
      <c r="J2864" s="31">
        <v>45797</v>
      </c>
      <c r="K2864" s="31">
        <v>45798</v>
      </c>
      <c r="L2864" s="31">
        <v>45800</v>
      </c>
      <c r="M2864" s="31">
        <v>45831</v>
      </c>
      <c r="N2864" s="31">
        <v>45831</v>
      </c>
      <c r="O2864" s="2" t="s">
        <v>297</v>
      </c>
    </row>
    <row r="2865" spans="1:15">
      <c r="A2865" s="3">
        <f t="shared" si="46"/>
        <v>2864</v>
      </c>
      <c r="B2865" s="65" t="s">
        <v>4410</v>
      </c>
      <c r="C2865" s="1">
        <v>7602797798</v>
      </c>
      <c r="D2865" s="6"/>
      <c r="E2865" s="17" t="s">
        <v>4045</v>
      </c>
      <c r="F2865" s="65" t="s">
        <v>616</v>
      </c>
      <c r="G2865" s="2" t="s">
        <v>424</v>
      </c>
      <c r="H2865" s="2" t="s">
        <v>487</v>
      </c>
      <c r="I2865" s="4" t="s">
        <v>88</v>
      </c>
      <c r="J2865" s="31">
        <v>45797</v>
      </c>
      <c r="K2865" s="31">
        <v>45798</v>
      </c>
      <c r="L2865" s="31"/>
      <c r="M2865" s="31"/>
      <c r="N2865" s="31"/>
      <c r="O2865" s="2" t="s">
        <v>425</v>
      </c>
    </row>
    <row r="2866" spans="1:15">
      <c r="A2866" s="3">
        <f t="shared" si="46"/>
        <v>2865</v>
      </c>
      <c r="B2866" s="65" t="s">
        <v>4411</v>
      </c>
      <c r="C2866" s="1">
        <v>9415662914</v>
      </c>
      <c r="D2866" s="1">
        <v>9418712718</v>
      </c>
      <c r="E2866" s="17" t="s">
        <v>4045</v>
      </c>
      <c r="F2866" s="65" t="s">
        <v>616</v>
      </c>
      <c r="G2866" s="2" t="s">
        <v>16</v>
      </c>
      <c r="H2866" s="2" t="s">
        <v>487</v>
      </c>
      <c r="I2866" s="4" t="s">
        <v>88</v>
      </c>
      <c r="J2866" s="31">
        <v>45797</v>
      </c>
      <c r="K2866" s="31">
        <v>45798</v>
      </c>
      <c r="L2866" s="31">
        <v>45800</v>
      </c>
      <c r="M2866" s="31">
        <v>45831</v>
      </c>
      <c r="N2866" s="31">
        <v>45831</v>
      </c>
      <c r="O2866" s="2" t="s">
        <v>297</v>
      </c>
    </row>
    <row r="2867" spans="1:15">
      <c r="A2867" s="3">
        <f t="shared" si="46"/>
        <v>2866</v>
      </c>
      <c r="B2867" s="65" t="s">
        <v>4412</v>
      </c>
      <c r="C2867" s="1">
        <v>8332011513</v>
      </c>
      <c r="D2867" s="6"/>
      <c r="E2867" s="17" t="s">
        <v>4413</v>
      </c>
      <c r="F2867" s="65" t="s">
        <v>463</v>
      </c>
      <c r="G2867" s="2" t="s">
        <v>16</v>
      </c>
      <c r="H2867" s="3" t="s">
        <v>999</v>
      </c>
      <c r="I2867" s="4" t="s">
        <v>94</v>
      </c>
      <c r="J2867" s="31">
        <v>45797</v>
      </c>
      <c r="K2867" s="31">
        <v>45797</v>
      </c>
      <c r="L2867" s="31">
        <v>45798</v>
      </c>
      <c r="M2867" s="31">
        <v>45807</v>
      </c>
      <c r="N2867" s="31">
        <v>45807</v>
      </c>
      <c r="O2867" s="2" t="s">
        <v>297</v>
      </c>
    </row>
    <row r="2868" spans="1:15">
      <c r="A2868" s="3">
        <f t="shared" si="46"/>
        <v>2867</v>
      </c>
      <c r="B2868" s="65" t="s">
        <v>4414</v>
      </c>
      <c r="C2868" s="1">
        <v>9701188731</v>
      </c>
      <c r="D2868" s="6"/>
      <c r="E2868" s="17" t="s">
        <v>4413</v>
      </c>
      <c r="F2868" s="65" t="s">
        <v>463</v>
      </c>
      <c r="G2868" s="2" t="s">
        <v>16</v>
      </c>
      <c r="H2868" s="3" t="s">
        <v>999</v>
      </c>
      <c r="I2868" s="4" t="s">
        <v>94</v>
      </c>
      <c r="J2868" s="31">
        <v>45797</v>
      </c>
      <c r="K2868" s="31">
        <v>45797</v>
      </c>
      <c r="L2868" s="31">
        <v>45798</v>
      </c>
      <c r="M2868" s="31">
        <v>45803</v>
      </c>
      <c r="N2868" s="31">
        <v>45807</v>
      </c>
      <c r="O2868" s="2" t="s">
        <v>297</v>
      </c>
    </row>
    <row r="2869" spans="1:15">
      <c r="A2869" s="3">
        <f t="shared" si="46"/>
        <v>2868</v>
      </c>
      <c r="B2869" s="65" t="s">
        <v>4415</v>
      </c>
      <c r="C2869" s="1">
        <v>7899365435</v>
      </c>
      <c r="D2869" s="6"/>
      <c r="E2869" s="17" t="s">
        <v>52</v>
      </c>
      <c r="F2869" s="65" t="s">
        <v>972</v>
      </c>
      <c r="G2869" s="2" t="s">
        <v>424</v>
      </c>
      <c r="H2869" s="2" t="s">
        <v>679</v>
      </c>
      <c r="I2869" s="4" t="s">
        <v>42</v>
      </c>
      <c r="J2869" s="31">
        <v>45798</v>
      </c>
      <c r="K2869" s="31">
        <v>45807</v>
      </c>
      <c r="L2869" s="31"/>
      <c r="M2869" s="31"/>
      <c r="N2869" s="31"/>
      <c r="O2869" s="2" t="s">
        <v>425</v>
      </c>
    </row>
    <row r="2870" spans="1:15">
      <c r="A2870" s="3">
        <f t="shared" si="46"/>
        <v>2869</v>
      </c>
      <c r="B2870" s="65" t="s">
        <v>4416</v>
      </c>
      <c r="C2870" s="1">
        <v>9966687644</v>
      </c>
      <c r="D2870" s="6"/>
      <c r="E2870" s="17" t="s">
        <v>121</v>
      </c>
      <c r="F2870" s="65" t="s">
        <v>4417</v>
      </c>
      <c r="G2870" s="2" t="s">
        <v>764</v>
      </c>
      <c r="H2870" s="2" t="s">
        <v>679</v>
      </c>
      <c r="I2870" s="4" t="s">
        <v>42</v>
      </c>
      <c r="J2870" s="31">
        <v>45798</v>
      </c>
      <c r="K2870" s="31">
        <v>45814</v>
      </c>
      <c r="L2870" s="31"/>
      <c r="M2870" s="31"/>
      <c r="N2870" s="31"/>
      <c r="O2870" s="2" t="s">
        <v>425</v>
      </c>
    </row>
    <row r="2871" spans="1:15">
      <c r="A2871" s="3">
        <f t="shared" si="46"/>
        <v>2870</v>
      </c>
      <c r="B2871" s="65" t="s">
        <v>4418</v>
      </c>
      <c r="C2871" s="1">
        <v>8909814444</v>
      </c>
      <c r="D2871" s="6"/>
      <c r="E2871" s="17" t="s">
        <v>52</v>
      </c>
      <c r="F2871" s="65" t="s">
        <v>275</v>
      </c>
      <c r="G2871" s="2" t="s">
        <v>424</v>
      </c>
      <c r="H2871" s="2" t="s">
        <v>679</v>
      </c>
      <c r="I2871" s="4" t="s">
        <v>42</v>
      </c>
      <c r="J2871" s="31">
        <v>45798</v>
      </c>
      <c r="K2871" s="31">
        <v>45824</v>
      </c>
      <c r="L2871" s="31"/>
      <c r="M2871" s="31"/>
      <c r="N2871" s="31"/>
      <c r="O2871" s="2" t="s">
        <v>425</v>
      </c>
    </row>
    <row r="2872" spans="1:15">
      <c r="A2872" s="3">
        <f t="shared" si="46"/>
        <v>2871</v>
      </c>
      <c r="B2872" s="65" t="s">
        <v>4419</v>
      </c>
      <c r="C2872" s="1">
        <v>9705451355</v>
      </c>
      <c r="D2872" s="6"/>
      <c r="E2872" s="17" t="s">
        <v>1771</v>
      </c>
      <c r="F2872" s="65" t="s">
        <v>4420</v>
      </c>
      <c r="G2872" s="2" t="s">
        <v>416</v>
      </c>
      <c r="H2872" s="2" t="s">
        <v>4421</v>
      </c>
      <c r="I2872" s="4" t="s">
        <v>88</v>
      </c>
      <c r="J2872" s="31">
        <v>45798</v>
      </c>
      <c r="K2872" s="31">
        <v>45821</v>
      </c>
      <c r="L2872" s="31"/>
      <c r="M2872" s="31"/>
      <c r="N2872" s="31"/>
      <c r="O2872" s="2" t="s">
        <v>297</v>
      </c>
    </row>
    <row r="2873" spans="1:15">
      <c r="A2873" s="3">
        <f t="shared" si="46"/>
        <v>2872</v>
      </c>
      <c r="B2873" s="65" t="s">
        <v>4422</v>
      </c>
      <c r="C2873" s="1">
        <v>8126853590</v>
      </c>
      <c r="D2873" s="6"/>
      <c r="E2873" s="17" t="s">
        <v>350</v>
      </c>
      <c r="F2873" s="65" t="s">
        <v>1935</v>
      </c>
      <c r="G2873" s="2" t="s">
        <v>295</v>
      </c>
      <c r="H2873" s="2" t="s">
        <v>352</v>
      </c>
      <c r="I2873" s="4" t="s">
        <v>94</v>
      </c>
      <c r="J2873" s="31">
        <v>45799</v>
      </c>
      <c r="K2873" s="31">
        <v>45800</v>
      </c>
      <c r="L2873" s="31">
        <v>45800</v>
      </c>
      <c r="M2873" s="31">
        <v>45831</v>
      </c>
      <c r="N2873" s="31"/>
      <c r="O2873" s="2" t="s">
        <v>297</v>
      </c>
    </row>
    <row r="2874" spans="1:15">
      <c r="A2874" s="3">
        <f t="shared" si="46"/>
        <v>2873</v>
      </c>
      <c r="B2874" s="65" t="s">
        <v>4423</v>
      </c>
      <c r="C2874" s="1">
        <v>9893643112</v>
      </c>
      <c r="D2874" s="6"/>
      <c r="E2874" s="17" t="s">
        <v>350</v>
      </c>
      <c r="F2874" s="65" t="s">
        <v>1935</v>
      </c>
      <c r="G2874" s="2" t="s">
        <v>424</v>
      </c>
      <c r="H2874" s="2" t="s">
        <v>352</v>
      </c>
      <c r="I2874" s="4" t="s">
        <v>94</v>
      </c>
      <c r="J2874" s="31">
        <v>45793</v>
      </c>
      <c r="K2874" s="31">
        <v>45797</v>
      </c>
      <c r="L2874" s="31"/>
      <c r="M2874" s="31"/>
      <c r="N2874" s="31"/>
      <c r="O2874" s="2" t="s">
        <v>425</v>
      </c>
    </row>
    <row r="2875" spans="1:15">
      <c r="A2875" s="3">
        <f t="shared" si="46"/>
        <v>2874</v>
      </c>
      <c r="B2875" s="65" t="s">
        <v>4424</v>
      </c>
      <c r="C2875" s="1">
        <v>8501026838</v>
      </c>
      <c r="D2875" s="6"/>
      <c r="E2875" s="17" t="s">
        <v>4413</v>
      </c>
      <c r="F2875" s="65" t="s">
        <v>4425</v>
      </c>
      <c r="G2875" s="2" t="s">
        <v>424</v>
      </c>
      <c r="H2875" s="3" t="s">
        <v>999</v>
      </c>
      <c r="I2875" s="4" t="s">
        <v>94</v>
      </c>
      <c r="J2875" s="31">
        <v>45799</v>
      </c>
      <c r="K2875" s="31">
        <v>45799</v>
      </c>
      <c r="L2875" s="31"/>
      <c r="M2875" s="31"/>
      <c r="N2875" s="31"/>
      <c r="O2875" s="2" t="s">
        <v>425</v>
      </c>
    </row>
    <row r="2876" spans="1:15">
      <c r="A2876" s="3">
        <f t="shared" si="46"/>
        <v>2875</v>
      </c>
      <c r="B2876" s="65" t="s">
        <v>4426</v>
      </c>
      <c r="C2876" s="1">
        <v>8861816371</v>
      </c>
      <c r="D2876" s="6"/>
      <c r="E2876" s="17" t="s">
        <v>4413</v>
      </c>
      <c r="F2876" s="65" t="s">
        <v>4425</v>
      </c>
      <c r="G2876" s="2" t="s">
        <v>424</v>
      </c>
      <c r="H2876" s="3" t="s">
        <v>999</v>
      </c>
      <c r="I2876" s="4" t="s">
        <v>94</v>
      </c>
      <c r="J2876" s="31">
        <v>45799</v>
      </c>
      <c r="K2876" s="31">
        <v>45799</v>
      </c>
      <c r="L2876" s="31"/>
      <c r="M2876" s="31"/>
      <c r="N2876" s="31"/>
      <c r="O2876" s="2" t="s">
        <v>425</v>
      </c>
    </row>
    <row r="2877" spans="1:15">
      <c r="A2877" s="3">
        <f t="shared" si="46"/>
        <v>2876</v>
      </c>
      <c r="B2877" s="65" t="s">
        <v>1178</v>
      </c>
      <c r="C2877" s="1">
        <v>7396660656</v>
      </c>
      <c r="D2877" s="6"/>
      <c r="E2877" s="17" t="s">
        <v>4413</v>
      </c>
      <c r="F2877" s="65" t="s">
        <v>4425</v>
      </c>
      <c r="G2877" s="2" t="s">
        <v>424</v>
      </c>
      <c r="H2877" s="3" t="s">
        <v>999</v>
      </c>
      <c r="I2877" s="4" t="s">
        <v>94</v>
      </c>
      <c r="J2877" s="31">
        <v>45799</v>
      </c>
      <c r="K2877" s="31">
        <v>45799</v>
      </c>
      <c r="L2877" s="31"/>
      <c r="M2877" s="31"/>
      <c r="N2877" s="31"/>
      <c r="O2877" s="2" t="s">
        <v>425</v>
      </c>
    </row>
    <row r="2878" spans="1:15">
      <c r="A2878" s="3">
        <f t="shared" si="46"/>
        <v>2877</v>
      </c>
      <c r="B2878" s="65" t="s">
        <v>4427</v>
      </c>
      <c r="C2878" s="1">
        <v>6302335606</v>
      </c>
      <c r="D2878" s="6"/>
      <c r="E2878" s="17" t="s">
        <v>4428</v>
      </c>
      <c r="F2878" s="65" t="s">
        <v>4425</v>
      </c>
      <c r="G2878" s="2" t="s">
        <v>16</v>
      </c>
      <c r="H2878" s="3" t="s">
        <v>999</v>
      </c>
      <c r="I2878" s="4" t="s">
        <v>94</v>
      </c>
      <c r="J2878" s="31">
        <v>45799</v>
      </c>
      <c r="K2878" s="31">
        <v>45800</v>
      </c>
      <c r="L2878" s="31">
        <v>46062</v>
      </c>
      <c r="M2878" s="31">
        <v>46102</v>
      </c>
      <c r="N2878" s="31">
        <v>46102</v>
      </c>
      <c r="O2878" s="2" t="s">
        <v>297</v>
      </c>
    </row>
    <row r="2879" spans="1:15">
      <c r="A2879" s="3">
        <f t="shared" si="46"/>
        <v>2878</v>
      </c>
      <c r="B2879" s="65" t="s">
        <v>4429</v>
      </c>
      <c r="C2879" s="1">
        <v>9177339951</v>
      </c>
      <c r="D2879" s="6"/>
      <c r="E2879" s="17" t="s">
        <v>4413</v>
      </c>
      <c r="F2879" s="65" t="s">
        <v>4425</v>
      </c>
      <c r="G2879" s="2" t="s">
        <v>16</v>
      </c>
      <c r="H2879" s="3" t="s">
        <v>999</v>
      </c>
      <c r="I2879" s="4" t="s">
        <v>94</v>
      </c>
      <c r="J2879" s="31">
        <v>45799</v>
      </c>
      <c r="K2879" s="31">
        <v>45800</v>
      </c>
      <c r="L2879" s="31">
        <v>45800</v>
      </c>
      <c r="M2879" s="31">
        <v>45807</v>
      </c>
      <c r="N2879" s="31">
        <v>45807</v>
      </c>
      <c r="O2879" s="2" t="s">
        <v>297</v>
      </c>
    </row>
    <row r="2880" spans="1:15">
      <c r="A2880" s="3">
        <f t="shared" si="46"/>
        <v>2879</v>
      </c>
      <c r="B2880" s="65" t="s">
        <v>4430</v>
      </c>
      <c r="C2880" s="1">
        <v>9542316054</v>
      </c>
      <c r="D2880" s="6"/>
      <c r="E2880" s="17" t="s">
        <v>4413</v>
      </c>
      <c r="F2880" s="65" t="s">
        <v>4425</v>
      </c>
      <c r="G2880" s="2" t="s">
        <v>16</v>
      </c>
      <c r="H2880" s="3" t="s">
        <v>999</v>
      </c>
      <c r="I2880" s="4" t="s">
        <v>94</v>
      </c>
      <c r="J2880" s="31">
        <v>45799</v>
      </c>
      <c r="K2880" s="31">
        <v>45800</v>
      </c>
      <c r="L2880" s="31">
        <v>45800</v>
      </c>
      <c r="M2880" s="31">
        <v>45805</v>
      </c>
      <c r="N2880" s="31">
        <v>45806</v>
      </c>
      <c r="O2880" s="2" t="s">
        <v>297</v>
      </c>
    </row>
    <row r="2881" spans="1:15">
      <c r="A2881" s="3">
        <f t="shared" si="46"/>
        <v>2880</v>
      </c>
      <c r="B2881" s="65" t="s">
        <v>4431</v>
      </c>
      <c r="C2881" s="1">
        <v>9398785118</v>
      </c>
      <c r="D2881" s="6"/>
      <c r="E2881" s="17" t="s">
        <v>4413</v>
      </c>
      <c r="F2881" s="65" t="s">
        <v>4425</v>
      </c>
      <c r="G2881" s="2" t="s">
        <v>424</v>
      </c>
      <c r="H2881" s="3" t="s">
        <v>999</v>
      </c>
      <c r="I2881" s="4" t="s">
        <v>94</v>
      </c>
      <c r="J2881" s="31">
        <v>45799</v>
      </c>
      <c r="K2881" s="31">
        <v>45799</v>
      </c>
      <c r="L2881" s="31"/>
      <c r="M2881" s="31"/>
      <c r="N2881" s="31"/>
      <c r="O2881" s="2" t="s">
        <v>425</v>
      </c>
    </row>
    <row r="2882" spans="1:15">
      <c r="A2882" s="3">
        <f t="shared" si="46"/>
        <v>2881</v>
      </c>
      <c r="B2882" s="65" t="s">
        <v>4432</v>
      </c>
      <c r="C2882" s="1">
        <v>9550938151</v>
      </c>
      <c r="D2882" s="6"/>
      <c r="E2882" s="17" t="s">
        <v>4413</v>
      </c>
      <c r="F2882" s="65" t="s">
        <v>4425</v>
      </c>
      <c r="G2882" s="2" t="s">
        <v>424</v>
      </c>
      <c r="H2882" s="3" t="s">
        <v>999</v>
      </c>
      <c r="I2882" s="4" t="s">
        <v>94</v>
      </c>
      <c r="J2882" s="31">
        <v>45799</v>
      </c>
      <c r="K2882" s="31">
        <v>45799</v>
      </c>
      <c r="L2882" s="31"/>
      <c r="M2882" s="31"/>
      <c r="N2882" s="31"/>
      <c r="O2882" s="2" t="s">
        <v>425</v>
      </c>
    </row>
    <row r="2883" spans="1:15">
      <c r="A2883" s="3">
        <f t="shared" si="46"/>
        <v>2882</v>
      </c>
      <c r="B2883" s="65" t="s">
        <v>4433</v>
      </c>
      <c r="C2883" s="1">
        <v>7286901633</v>
      </c>
      <c r="D2883" s="6"/>
      <c r="E2883" s="17" t="s">
        <v>4413</v>
      </c>
      <c r="F2883" s="65" t="s">
        <v>4425</v>
      </c>
      <c r="G2883" s="2" t="s">
        <v>16</v>
      </c>
      <c r="H2883" s="3" t="s">
        <v>999</v>
      </c>
      <c r="I2883" s="4" t="s">
        <v>94</v>
      </c>
      <c r="J2883" s="31">
        <v>45799</v>
      </c>
      <c r="K2883" s="31">
        <v>45800</v>
      </c>
      <c r="L2883" s="31">
        <v>45800</v>
      </c>
      <c r="M2883" s="31">
        <v>45805</v>
      </c>
      <c r="N2883" s="31">
        <v>45806</v>
      </c>
      <c r="O2883" s="2" t="s">
        <v>297</v>
      </c>
    </row>
    <row r="2884" spans="1:15">
      <c r="A2884" s="3">
        <f t="shared" si="46"/>
        <v>2883</v>
      </c>
      <c r="B2884" s="118" t="s">
        <v>4434</v>
      </c>
      <c r="C2884" s="6">
        <v>9866610499</v>
      </c>
      <c r="D2884" s="6"/>
      <c r="E2884" s="6" t="s">
        <v>173</v>
      </c>
      <c r="F2884" s="6" t="s">
        <v>972</v>
      </c>
      <c r="G2884" s="2" t="s">
        <v>424</v>
      </c>
      <c r="H2884" s="2" t="s">
        <v>679</v>
      </c>
      <c r="I2884" s="4" t="s">
        <v>42</v>
      </c>
      <c r="J2884" s="31">
        <v>45799</v>
      </c>
      <c r="K2884" s="31">
        <v>45811</v>
      </c>
      <c r="L2884" s="31"/>
      <c r="M2884" s="31"/>
      <c r="N2884" s="31"/>
      <c r="O2884" s="2" t="s">
        <v>425</v>
      </c>
    </row>
    <row r="2885" spans="1:15">
      <c r="A2885" s="3">
        <f t="shared" si="46"/>
        <v>2884</v>
      </c>
      <c r="B2885" s="118" t="s">
        <v>4435</v>
      </c>
      <c r="C2885" s="6">
        <v>8897799103</v>
      </c>
      <c r="D2885" s="6"/>
      <c r="E2885" s="6" t="s">
        <v>121</v>
      </c>
      <c r="F2885" s="6" t="s">
        <v>710</v>
      </c>
      <c r="G2885" s="2" t="s">
        <v>764</v>
      </c>
      <c r="H2885" s="2" t="s">
        <v>679</v>
      </c>
      <c r="I2885" s="4" t="s">
        <v>42</v>
      </c>
      <c r="J2885" s="31">
        <v>45799</v>
      </c>
      <c r="K2885" s="31">
        <v>45814</v>
      </c>
      <c r="L2885" s="31"/>
      <c r="M2885" s="31"/>
      <c r="N2885" s="31"/>
      <c r="O2885" s="2" t="s">
        <v>425</v>
      </c>
    </row>
    <row r="2886" spans="1:15">
      <c r="A2886" s="3">
        <f t="shared" si="46"/>
        <v>2885</v>
      </c>
      <c r="B2886" s="80" t="s">
        <v>4436</v>
      </c>
      <c r="C2886" s="92">
        <v>9912497526</v>
      </c>
      <c r="D2886" s="6"/>
      <c r="E2886" s="7" t="s">
        <v>52</v>
      </c>
      <c r="F2886" s="7" t="s">
        <v>1257</v>
      </c>
      <c r="G2886" s="3" t="s">
        <v>424</v>
      </c>
      <c r="H2886" s="2" t="s">
        <v>679</v>
      </c>
      <c r="I2886" s="4" t="s">
        <v>42</v>
      </c>
      <c r="J2886" s="31">
        <v>45799</v>
      </c>
      <c r="K2886" s="31">
        <v>45807</v>
      </c>
      <c r="L2886" s="31"/>
      <c r="M2886" s="31"/>
      <c r="N2886" s="31"/>
      <c r="O2886" s="3" t="s">
        <v>425</v>
      </c>
    </row>
    <row r="2887" spans="1:15">
      <c r="A2887" s="3">
        <f t="shared" si="46"/>
        <v>2886</v>
      </c>
      <c r="B2887" s="80" t="s">
        <v>4437</v>
      </c>
      <c r="C2887" s="7">
        <v>9542926194</v>
      </c>
      <c r="D2887" s="6"/>
      <c r="E2887" s="7" t="s">
        <v>52</v>
      </c>
      <c r="F2887" s="7" t="s">
        <v>972</v>
      </c>
      <c r="G2887" s="2" t="s">
        <v>424</v>
      </c>
      <c r="H2887" s="2" t="s">
        <v>679</v>
      </c>
      <c r="I2887" s="4" t="s">
        <v>42</v>
      </c>
      <c r="J2887" s="31">
        <v>45799</v>
      </c>
      <c r="K2887" s="31">
        <v>45814</v>
      </c>
      <c r="L2887" s="31"/>
      <c r="M2887" s="31"/>
      <c r="N2887" s="31"/>
      <c r="O2887" s="2" t="s">
        <v>425</v>
      </c>
    </row>
    <row r="2888" spans="1:15">
      <c r="A2888" s="3">
        <f t="shared" si="46"/>
        <v>2887</v>
      </c>
      <c r="B2888" s="80" t="s">
        <v>4438</v>
      </c>
      <c r="C2888" s="7">
        <v>7997707116</v>
      </c>
      <c r="D2888" s="6"/>
      <c r="E2888" s="7" t="s">
        <v>52</v>
      </c>
      <c r="F2888" s="7" t="s">
        <v>972</v>
      </c>
      <c r="G2888" s="2" t="s">
        <v>424</v>
      </c>
      <c r="H2888" s="2" t="s">
        <v>679</v>
      </c>
      <c r="I2888" s="4" t="s">
        <v>42</v>
      </c>
      <c r="J2888" s="31">
        <v>45799</v>
      </c>
      <c r="K2888" s="31">
        <v>45808</v>
      </c>
      <c r="L2888" s="31"/>
      <c r="M2888" s="31"/>
      <c r="N2888" s="31"/>
      <c r="O2888" s="2" t="s">
        <v>425</v>
      </c>
    </row>
    <row r="2889" spans="1:15">
      <c r="A2889" s="3">
        <f t="shared" si="46"/>
        <v>2888</v>
      </c>
      <c r="B2889" s="80" t="s">
        <v>4439</v>
      </c>
      <c r="C2889" s="7">
        <v>7671863083</v>
      </c>
      <c r="D2889" s="6"/>
      <c r="E2889" s="7" t="s">
        <v>59</v>
      </c>
      <c r="F2889" s="7" t="s">
        <v>275</v>
      </c>
      <c r="G2889" s="2" t="s">
        <v>424</v>
      </c>
      <c r="H2889" s="2" t="s">
        <v>679</v>
      </c>
      <c r="I2889" s="4" t="s">
        <v>42</v>
      </c>
      <c r="J2889" s="31">
        <v>45799</v>
      </c>
      <c r="K2889" s="31">
        <v>45807</v>
      </c>
      <c r="L2889" s="31"/>
      <c r="M2889" s="31"/>
      <c r="N2889" s="31"/>
      <c r="O2889" s="2" t="s">
        <v>749</v>
      </c>
    </row>
    <row r="2890" spans="1:15">
      <c r="A2890" s="3">
        <f t="shared" si="46"/>
        <v>2889</v>
      </c>
      <c r="B2890" s="80" t="s">
        <v>4440</v>
      </c>
      <c r="C2890" s="7">
        <v>9542944843</v>
      </c>
      <c r="D2890" s="6"/>
      <c r="E2890" s="7" t="s">
        <v>59</v>
      </c>
      <c r="F2890" s="7" t="s">
        <v>689</v>
      </c>
      <c r="G2890" s="2" t="s">
        <v>424</v>
      </c>
      <c r="H2890" s="2" t="s">
        <v>679</v>
      </c>
      <c r="I2890" s="4" t="s">
        <v>42</v>
      </c>
      <c r="J2890" s="31">
        <v>45799</v>
      </c>
      <c r="K2890" s="31">
        <v>45807</v>
      </c>
      <c r="L2890" s="31"/>
      <c r="M2890" s="31"/>
      <c r="N2890" s="31"/>
      <c r="O2890" s="2" t="s">
        <v>749</v>
      </c>
    </row>
    <row r="2891" spans="1:15">
      <c r="A2891" s="3">
        <f t="shared" si="46"/>
        <v>2890</v>
      </c>
      <c r="B2891" s="80" t="s">
        <v>4441</v>
      </c>
      <c r="C2891" s="7">
        <v>7993023169</v>
      </c>
      <c r="D2891" s="6"/>
      <c r="E2891" s="7" t="s">
        <v>124</v>
      </c>
      <c r="F2891" s="7" t="s">
        <v>471</v>
      </c>
      <c r="G2891" s="2" t="s">
        <v>295</v>
      </c>
      <c r="H2891" s="2" t="s">
        <v>3240</v>
      </c>
      <c r="I2891" s="4" t="s">
        <v>42</v>
      </c>
      <c r="J2891" s="31">
        <v>45799</v>
      </c>
      <c r="K2891" s="31">
        <v>45806</v>
      </c>
      <c r="L2891" s="31">
        <v>45807</v>
      </c>
      <c r="M2891" s="31">
        <v>45838</v>
      </c>
      <c r="N2891" s="31"/>
      <c r="O2891" s="2" t="s">
        <v>297</v>
      </c>
    </row>
    <row r="2892" spans="1:15">
      <c r="A2892" s="3">
        <f t="shared" si="46"/>
        <v>2891</v>
      </c>
      <c r="B2892" s="80" t="s">
        <v>4442</v>
      </c>
      <c r="C2892" s="7">
        <v>8184996621</v>
      </c>
      <c r="D2892" s="6"/>
      <c r="E2892" s="7" t="s">
        <v>124</v>
      </c>
      <c r="F2892" s="7" t="s">
        <v>471</v>
      </c>
      <c r="G2892" s="2" t="s">
        <v>764</v>
      </c>
      <c r="H2892" s="2" t="s">
        <v>3240</v>
      </c>
      <c r="I2892" s="4" t="s">
        <v>42</v>
      </c>
      <c r="J2892" s="31">
        <v>45799</v>
      </c>
      <c r="K2892" s="31">
        <v>45806</v>
      </c>
      <c r="L2892" s="31"/>
      <c r="M2892" s="31"/>
      <c r="N2892" s="31"/>
      <c r="O2892" s="2" t="s">
        <v>425</v>
      </c>
    </row>
    <row r="2893" spans="1:15">
      <c r="A2893" s="3">
        <f t="shared" si="46"/>
        <v>2892</v>
      </c>
      <c r="B2893" s="80" t="s">
        <v>4443</v>
      </c>
      <c r="C2893" s="7">
        <v>7774899189</v>
      </c>
      <c r="D2893" s="6"/>
      <c r="E2893" s="7" t="s">
        <v>1923</v>
      </c>
      <c r="F2893" s="7" t="s">
        <v>4238</v>
      </c>
      <c r="G2893" s="2" t="s">
        <v>330</v>
      </c>
      <c r="H2893" s="2" t="s">
        <v>368</v>
      </c>
      <c r="I2893" s="4" t="s">
        <v>94</v>
      </c>
      <c r="J2893" s="31">
        <v>45624</v>
      </c>
      <c r="K2893" s="31">
        <v>45638</v>
      </c>
      <c r="L2893" s="31">
        <v>45799</v>
      </c>
      <c r="M2893" s="31">
        <v>45831</v>
      </c>
      <c r="N2893" s="31">
        <v>45831</v>
      </c>
      <c r="O2893" s="2" t="s">
        <v>297</v>
      </c>
    </row>
    <row r="2894" spans="1:15">
      <c r="A2894" s="3">
        <f t="shared" si="46"/>
        <v>2893</v>
      </c>
      <c r="B2894" s="80" t="s">
        <v>1577</v>
      </c>
      <c r="C2894" s="7">
        <v>6281253590</v>
      </c>
      <c r="D2894" s="6"/>
      <c r="E2894" s="7" t="s">
        <v>4413</v>
      </c>
      <c r="F2894" s="7" t="s">
        <v>303</v>
      </c>
      <c r="G2894" s="2" t="s">
        <v>16</v>
      </c>
      <c r="H2894" s="3" t="s">
        <v>999</v>
      </c>
      <c r="I2894" s="4" t="s">
        <v>94</v>
      </c>
      <c r="J2894" s="31">
        <v>45799</v>
      </c>
      <c r="K2894" s="31">
        <v>45799</v>
      </c>
      <c r="L2894" s="31">
        <v>45799</v>
      </c>
      <c r="M2894" s="31">
        <v>45834</v>
      </c>
      <c r="N2894" s="31">
        <v>45803</v>
      </c>
      <c r="O2894" s="2" t="s">
        <v>297</v>
      </c>
    </row>
    <row r="2895" spans="1:15">
      <c r="A2895" s="3">
        <f t="shared" si="46"/>
        <v>2894</v>
      </c>
      <c r="B2895" s="80" t="s">
        <v>4444</v>
      </c>
      <c r="C2895" s="7">
        <v>8210890290</v>
      </c>
      <c r="D2895" s="6"/>
      <c r="E2895" s="7" t="s">
        <v>1738</v>
      </c>
      <c r="F2895" s="7" t="s">
        <v>4106</v>
      </c>
      <c r="G2895" s="2" t="s">
        <v>416</v>
      </c>
      <c r="H2895" s="2" t="s">
        <v>361</v>
      </c>
      <c r="I2895" s="4" t="s">
        <v>88</v>
      </c>
      <c r="J2895" s="31">
        <v>45800</v>
      </c>
      <c r="K2895" s="31">
        <v>45840</v>
      </c>
      <c r="L2895" s="31"/>
      <c r="M2895" s="31"/>
      <c r="N2895" s="31"/>
      <c r="O2895" s="2" t="s">
        <v>297</v>
      </c>
    </row>
    <row r="2896" spans="1:15">
      <c r="A2896" s="3">
        <f t="shared" si="46"/>
        <v>2895</v>
      </c>
      <c r="B2896" s="80" t="s">
        <v>4445</v>
      </c>
      <c r="C2896" s="7">
        <v>9797369747</v>
      </c>
      <c r="D2896" s="6"/>
      <c r="E2896" s="7" t="s">
        <v>1738</v>
      </c>
      <c r="F2896" s="7" t="s">
        <v>4106</v>
      </c>
      <c r="G2896" s="2" t="s">
        <v>424</v>
      </c>
      <c r="H2896" s="2" t="s">
        <v>361</v>
      </c>
      <c r="I2896" s="4" t="s">
        <v>88</v>
      </c>
      <c r="J2896" s="31">
        <v>45800</v>
      </c>
      <c r="K2896" s="31">
        <v>45840</v>
      </c>
      <c r="L2896" s="31"/>
      <c r="M2896" s="31"/>
      <c r="N2896" s="31"/>
      <c r="O2896" s="2" t="s">
        <v>425</v>
      </c>
    </row>
    <row r="2897" spans="1:15">
      <c r="A2897" s="3">
        <f t="shared" si="46"/>
        <v>2896</v>
      </c>
      <c r="B2897" s="80" t="s">
        <v>4446</v>
      </c>
      <c r="C2897" s="7">
        <v>8142431786</v>
      </c>
      <c r="D2897" s="6"/>
      <c r="E2897" s="7" t="s">
        <v>121</v>
      </c>
      <c r="F2897" s="7" t="s">
        <v>4405</v>
      </c>
      <c r="G2897" s="2" t="s">
        <v>424</v>
      </c>
      <c r="H2897" s="2" t="s">
        <v>679</v>
      </c>
      <c r="I2897" s="4" t="s">
        <v>42</v>
      </c>
      <c r="J2897" s="31">
        <v>45800</v>
      </c>
      <c r="K2897" s="31">
        <v>45814</v>
      </c>
      <c r="L2897" s="31"/>
      <c r="M2897" s="31"/>
      <c r="N2897" s="31"/>
      <c r="O2897" s="2" t="s">
        <v>425</v>
      </c>
    </row>
    <row r="2898" spans="1:15">
      <c r="A2898" s="3">
        <f t="shared" si="46"/>
        <v>2897</v>
      </c>
      <c r="B2898" s="80" t="s">
        <v>4447</v>
      </c>
      <c r="C2898" s="7">
        <v>8919529310</v>
      </c>
      <c r="D2898" s="6"/>
      <c r="E2898" s="7" t="s">
        <v>121</v>
      </c>
      <c r="F2898" s="7" t="s">
        <v>4405</v>
      </c>
      <c r="G2898" s="2" t="s">
        <v>764</v>
      </c>
      <c r="H2898" s="2" t="s">
        <v>679</v>
      </c>
      <c r="I2898" s="4" t="s">
        <v>42</v>
      </c>
      <c r="J2898" s="31">
        <v>45800</v>
      </c>
      <c r="K2898" s="31">
        <v>45814</v>
      </c>
      <c r="L2898" s="31"/>
      <c r="M2898" s="31"/>
      <c r="N2898" s="31"/>
      <c r="O2898" s="2" t="s">
        <v>425</v>
      </c>
    </row>
    <row r="2899" spans="1:15">
      <c r="A2899" s="3">
        <f t="shared" si="46"/>
        <v>2898</v>
      </c>
      <c r="B2899" s="80" t="s">
        <v>4448</v>
      </c>
      <c r="C2899" s="7">
        <v>8921061768</v>
      </c>
      <c r="D2899" s="6"/>
      <c r="E2899" s="63" t="s">
        <v>4449</v>
      </c>
      <c r="F2899" s="7" t="s">
        <v>543</v>
      </c>
      <c r="G2899" s="2" t="s">
        <v>295</v>
      </c>
      <c r="H2899" s="2" t="s">
        <v>361</v>
      </c>
      <c r="I2899" s="4" t="s">
        <v>42</v>
      </c>
      <c r="J2899" s="31">
        <v>45800</v>
      </c>
      <c r="K2899" s="31">
        <v>45841</v>
      </c>
      <c r="L2899" s="31">
        <v>45846</v>
      </c>
      <c r="M2899" s="31">
        <v>45925</v>
      </c>
      <c r="N2899" s="31"/>
      <c r="O2899" s="2" t="s">
        <v>297</v>
      </c>
    </row>
    <row r="2900" spans="1:15">
      <c r="A2900" s="3">
        <f t="shared" si="46"/>
        <v>2899</v>
      </c>
      <c r="B2900" s="80" t="s">
        <v>4450</v>
      </c>
      <c r="C2900" s="7">
        <v>9959552627</v>
      </c>
      <c r="D2900" s="6"/>
      <c r="E2900" s="7" t="s">
        <v>96</v>
      </c>
      <c r="F2900" s="7" t="s">
        <v>4451</v>
      </c>
      <c r="G2900" s="2" t="s">
        <v>16</v>
      </c>
      <c r="H2900" s="2" t="s">
        <v>361</v>
      </c>
      <c r="I2900" s="4" t="s">
        <v>42</v>
      </c>
      <c r="J2900" s="31">
        <v>45800</v>
      </c>
      <c r="K2900" s="31">
        <v>45841</v>
      </c>
      <c r="L2900" s="31">
        <v>45846</v>
      </c>
      <c r="M2900" s="31">
        <v>45880</v>
      </c>
      <c r="N2900" s="31">
        <v>45880</v>
      </c>
      <c r="O2900" s="2" t="s">
        <v>297</v>
      </c>
    </row>
    <row r="2901" spans="1:15">
      <c r="A2901" s="3">
        <f t="shared" si="46"/>
        <v>2900</v>
      </c>
      <c r="B2901" s="80" t="s">
        <v>4452</v>
      </c>
      <c r="C2901" s="7">
        <v>9835080917</v>
      </c>
      <c r="D2901" s="6"/>
      <c r="E2901" s="7" t="s">
        <v>96</v>
      </c>
      <c r="F2901" s="7" t="s">
        <v>543</v>
      </c>
      <c r="G2901" s="2" t="s">
        <v>416</v>
      </c>
      <c r="H2901" s="2" t="s">
        <v>361</v>
      </c>
      <c r="I2901" s="4" t="s">
        <v>42</v>
      </c>
      <c r="J2901" s="31">
        <v>45800</v>
      </c>
      <c r="K2901" s="31">
        <v>45842</v>
      </c>
      <c r="L2901" s="31"/>
      <c r="M2901" s="31"/>
      <c r="N2901" s="31"/>
      <c r="O2901" s="2" t="s">
        <v>297</v>
      </c>
    </row>
    <row r="2902" spans="1:15">
      <c r="A2902" s="3">
        <f t="shared" si="46"/>
        <v>2901</v>
      </c>
      <c r="B2902" s="80" t="s">
        <v>4453</v>
      </c>
      <c r="C2902" s="7">
        <v>7675841007</v>
      </c>
      <c r="D2902" s="6"/>
      <c r="E2902" s="7" t="s">
        <v>52</v>
      </c>
      <c r="F2902" s="7" t="s">
        <v>972</v>
      </c>
      <c r="G2902" s="2" t="s">
        <v>424</v>
      </c>
      <c r="H2902" s="2" t="s">
        <v>679</v>
      </c>
      <c r="I2902" s="4" t="s">
        <v>42</v>
      </c>
      <c r="J2902" s="31">
        <v>45800</v>
      </c>
      <c r="K2902" s="31">
        <v>45824</v>
      </c>
      <c r="L2902" s="31"/>
      <c r="M2902" s="31"/>
      <c r="N2902" s="31"/>
      <c r="O2902" s="2" t="s">
        <v>425</v>
      </c>
    </row>
    <row r="2903" spans="1:15">
      <c r="A2903" s="3">
        <f t="shared" si="46"/>
        <v>2902</v>
      </c>
      <c r="B2903" s="80" t="s">
        <v>4454</v>
      </c>
      <c r="C2903" s="7">
        <v>9652529551</v>
      </c>
      <c r="D2903" s="6"/>
      <c r="E2903" s="7" t="s">
        <v>52</v>
      </c>
      <c r="F2903" s="7" t="s">
        <v>972</v>
      </c>
      <c r="G2903" s="3" t="s">
        <v>424</v>
      </c>
      <c r="H2903" s="2" t="s">
        <v>679</v>
      </c>
      <c r="I2903" s="4" t="s">
        <v>42</v>
      </c>
      <c r="J2903" s="31">
        <v>45800</v>
      </c>
      <c r="K2903" s="31">
        <v>45807</v>
      </c>
      <c r="L2903" s="31"/>
      <c r="M2903" s="31"/>
      <c r="N2903" s="31"/>
      <c r="O2903" s="3" t="s">
        <v>425</v>
      </c>
    </row>
    <row r="2904" spans="1:15">
      <c r="A2904" s="3">
        <f t="shared" si="46"/>
        <v>2903</v>
      </c>
      <c r="B2904" s="80" t="s">
        <v>4455</v>
      </c>
      <c r="C2904" s="7">
        <v>7984324962</v>
      </c>
      <c r="D2904" s="6"/>
      <c r="E2904" s="7" t="s">
        <v>52</v>
      </c>
      <c r="F2904" s="7" t="s">
        <v>972</v>
      </c>
      <c r="G2904" s="3" t="s">
        <v>424</v>
      </c>
      <c r="H2904" s="2" t="s">
        <v>679</v>
      </c>
      <c r="I2904" s="4" t="s">
        <v>42</v>
      </c>
      <c r="J2904" s="31">
        <v>45800</v>
      </c>
      <c r="K2904" s="31">
        <v>45807</v>
      </c>
      <c r="L2904" s="31"/>
      <c r="M2904" s="31"/>
      <c r="N2904" s="31"/>
      <c r="O2904" s="3" t="s">
        <v>425</v>
      </c>
    </row>
    <row r="2905" spans="1:15">
      <c r="A2905" s="3">
        <f t="shared" si="46"/>
        <v>2904</v>
      </c>
      <c r="B2905" s="80" t="s">
        <v>4456</v>
      </c>
      <c r="C2905" s="7">
        <v>9963393990</v>
      </c>
      <c r="D2905" s="6"/>
      <c r="E2905" s="7" t="s">
        <v>52</v>
      </c>
      <c r="F2905" s="7" t="s">
        <v>1402</v>
      </c>
      <c r="G2905" s="3" t="s">
        <v>424</v>
      </c>
      <c r="H2905" s="2" t="s">
        <v>679</v>
      </c>
      <c r="I2905" s="4" t="s">
        <v>42</v>
      </c>
      <c r="J2905" s="31">
        <v>45800</v>
      </c>
      <c r="K2905" s="31">
        <v>45812</v>
      </c>
      <c r="L2905" s="31"/>
      <c r="M2905" s="31"/>
      <c r="N2905" s="31"/>
      <c r="O2905" s="3" t="s">
        <v>425</v>
      </c>
    </row>
    <row r="2906" spans="1:15" ht="15.6">
      <c r="A2906" s="3">
        <f t="shared" si="46"/>
        <v>2905</v>
      </c>
      <c r="B2906" s="85" t="s">
        <v>4457</v>
      </c>
      <c r="C2906" s="93">
        <v>9694135646</v>
      </c>
      <c r="D2906" s="6"/>
      <c r="E2906" s="93" t="s">
        <v>4458</v>
      </c>
      <c r="F2906" s="93" t="s">
        <v>4459</v>
      </c>
      <c r="G2906" s="2" t="s">
        <v>16</v>
      </c>
      <c r="H2906" s="2" t="s">
        <v>2421</v>
      </c>
      <c r="I2906" s="4" t="s">
        <v>42</v>
      </c>
      <c r="J2906" s="31">
        <v>45800</v>
      </c>
      <c r="K2906" s="31">
        <v>45803</v>
      </c>
      <c r="L2906" s="31">
        <v>45807</v>
      </c>
      <c r="M2906" s="31">
        <v>45870</v>
      </c>
      <c r="N2906" s="31">
        <v>45839</v>
      </c>
      <c r="O2906" s="2" t="s">
        <v>297</v>
      </c>
    </row>
    <row r="2907" spans="1:15" ht="15.6">
      <c r="A2907" s="3">
        <f t="shared" si="46"/>
        <v>2906</v>
      </c>
      <c r="B2907" s="85" t="s">
        <v>4460</v>
      </c>
      <c r="C2907" s="93">
        <v>9581536535</v>
      </c>
      <c r="D2907" s="6"/>
      <c r="E2907" s="93" t="s">
        <v>2419</v>
      </c>
      <c r="F2907" s="93" t="s">
        <v>4461</v>
      </c>
      <c r="G2907" s="2" t="s">
        <v>424</v>
      </c>
      <c r="H2907" s="2" t="s">
        <v>2421</v>
      </c>
      <c r="I2907" s="4" t="s">
        <v>42</v>
      </c>
      <c r="J2907" s="31">
        <v>45800</v>
      </c>
      <c r="K2907" s="31">
        <v>45807</v>
      </c>
      <c r="L2907" s="31"/>
      <c r="M2907" s="31"/>
      <c r="N2907" s="31"/>
      <c r="O2907" s="2" t="s">
        <v>425</v>
      </c>
    </row>
    <row r="2908" spans="1:15" ht="15.6">
      <c r="A2908" s="3">
        <f t="shared" si="46"/>
        <v>2907</v>
      </c>
      <c r="B2908" s="85" t="s">
        <v>4462</v>
      </c>
      <c r="C2908" s="93">
        <v>8717028311</v>
      </c>
      <c r="D2908" s="6"/>
      <c r="E2908" s="93" t="s">
        <v>2419</v>
      </c>
      <c r="F2908" s="93" t="s">
        <v>4463</v>
      </c>
      <c r="G2908" s="2" t="s">
        <v>424</v>
      </c>
      <c r="H2908" s="2" t="s">
        <v>2421</v>
      </c>
      <c r="I2908" s="4" t="s">
        <v>42</v>
      </c>
      <c r="J2908" s="31">
        <v>45800</v>
      </c>
      <c r="K2908" s="31">
        <v>45807</v>
      </c>
      <c r="L2908" s="31"/>
      <c r="M2908" s="31"/>
      <c r="N2908" s="31"/>
      <c r="O2908" s="2" t="s">
        <v>425</v>
      </c>
    </row>
    <row r="2909" spans="1:15" ht="15.6">
      <c r="A2909" s="3">
        <f t="shared" si="46"/>
        <v>2908</v>
      </c>
      <c r="B2909" s="85" t="s">
        <v>4464</v>
      </c>
      <c r="C2909" s="93">
        <v>7357042643</v>
      </c>
      <c r="D2909" s="6"/>
      <c r="E2909" s="93" t="s">
        <v>4358</v>
      </c>
      <c r="F2909" s="93" t="s">
        <v>4465</v>
      </c>
      <c r="G2909" s="2" t="s">
        <v>18</v>
      </c>
      <c r="H2909" s="2" t="s">
        <v>357</v>
      </c>
      <c r="I2909" s="4" t="s">
        <v>94</v>
      </c>
      <c r="J2909" s="31">
        <v>45797</v>
      </c>
      <c r="K2909" s="31">
        <v>45799</v>
      </c>
      <c r="L2909" s="31">
        <v>45800</v>
      </c>
      <c r="M2909" s="31">
        <v>45831</v>
      </c>
      <c r="N2909" s="31"/>
      <c r="O2909" s="2" t="s">
        <v>297</v>
      </c>
    </row>
    <row r="2910" spans="1:15" ht="15.6">
      <c r="A2910" s="3">
        <f t="shared" si="46"/>
        <v>2909</v>
      </c>
      <c r="B2910" s="85" t="s">
        <v>4466</v>
      </c>
      <c r="C2910" s="93">
        <v>9039830027</v>
      </c>
      <c r="D2910" s="6"/>
      <c r="E2910" s="93" t="s">
        <v>4467</v>
      </c>
      <c r="F2910" s="93" t="s">
        <v>4468</v>
      </c>
      <c r="G2910" s="2" t="s">
        <v>16</v>
      </c>
      <c r="H2910" s="2" t="s">
        <v>4469</v>
      </c>
      <c r="I2910" s="4" t="s">
        <v>88</v>
      </c>
      <c r="J2910" s="31">
        <v>45797</v>
      </c>
      <c r="K2910" s="31">
        <v>45799</v>
      </c>
      <c r="L2910" s="31">
        <v>45800</v>
      </c>
      <c r="M2910" s="31">
        <v>45831</v>
      </c>
      <c r="N2910" s="31">
        <v>45831</v>
      </c>
      <c r="O2910" s="2" t="s">
        <v>297</v>
      </c>
    </row>
    <row r="2911" spans="1:15" ht="15.6">
      <c r="A2911" s="3">
        <f t="shared" si="46"/>
        <v>2910</v>
      </c>
      <c r="B2911" s="85" t="s">
        <v>4470</v>
      </c>
      <c r="C2911" s="93">
        <v>9755480313</v>
      </c>
      <c r="D2911" s="6"/>
      <c r="E2911" s="93" t="s">
        <v>4200</v>
      </c>
      <c r="F2911" s="93" t="s">
        <v>4471</v>
      </c>
      <c r="G2911" s="2" t="s">
        <v>16</v>
      </c>
      <c r="H2911" s="2" t="s">
        <v>4201</v>
      </c>
      <c r="I2911" s="4" t="s">
        <v>88</v>
      </c>
      <c r="J2911" s="31">
        <v>45797</v>
      </c>
      <c r="K2911" s="31">
        <v>45799</v>
      </c>
      <c r="L2911" s="31">
        <v>45800</v>
      </c>
      <c r="M2911" s="31">
        <v>45831</v>
      </c>
      <c r="N2911" s="31">
        <v>45831</v>
      </c>
      <c r="O2911" s="2" t="s">
        <v>297</v>
      </c>
    </row>
    <row r="2912" spans="1:15" ht="15.6">
      <c r="A2912" s="3">
        <f t="shared" si="46"/>
        <v>2911</v>
      </c>
      <c r="B2912" s="85" t="s">
        <v>4472</v>
      </c>
      <c r="C2912" s="93">
        <v>8809618967</v>
      </c>
      <c r="D2912" s="6"/>
      <c r="E2912" s="93" t="s">
        <v>4200</v>
      </c>
      <c r="F2912" s="93" t="s">
        <v>4473</v>
      </c>
      <c r="G2912" s="3" t="s">
        <v>295</v>
      </c>
      <c r="H2912" s="2" t="s">
        <v>4201</v>
      </c>
      <c r="I2912" s="4" t="s">
        <v>88</v>
      </c>
      <c r="J2912" s="31">
        <v>45797</v>
      </c>
      <c r="K2912" s="31">
        <v>45799</v>
      </c>
      <c r="L2912" s="31">
        <v>45800</v>
      </c>
      <c r="M2912" s="31">
        <v>45863</v>
      </c>
      <c r="N2912" s="31"/>
      <c r="O2912" s="2" t="s">
        <v>297</v>
      </c>
    </row>
    <row r="2913" spans="1:15" ht="15.6">
      <c r="A2913" s="3">
        <f t="shared" si="46"/>
        <v>2912</v>
      </c>
      <c r="B2913" s="85" t="s">
        <v>4474</v>
      </c>
      <c r="C2913" s="93">
        <v>9644789405</v>
      </c>
      <c r="D2913" s="6"/>
      <c r="E2913" s="93" t="s">
        <v>4467</v>
      </c>
      <c r="F2913" s="93" t="s">
        <v>4468</v>
      </c>
      <c r="G2913" s="2" t="s">
        <v>16</v>
      </c>
      <c r="H2913" s="2" t="s">
        <v>4469</v>
      </c>
      <c r="I2913" s="4" t="s">
        <v>88</v>
      </c>
      <c r="J2913" s="31">
        <v>45797</v>
      </c>
      <c r="K2913" s="31">
        <v>45799</v>
      </c>
      <c r="L2913" s="31">
        <v>45800</v>
      </c>
      <c r="M2913" s="31">
        <v>45831</v>
      </c>
      <c r="N2913" s="31">
        <v>45831</v>
      </c>
      <c r="O2913" s="2" t="s">
        <v>297</v>
      </c>
    </row>
    <row r="2914" spans="1:15" ht="15.6">
      <c r="A2914" s="3">
        <f t="shared" ref="A2914:A2975" si="47">ROW()-1</f>
        <v>2913</v>
      </c>
      <c r="B2914" s="85" t="s">
        <v>4475</v>
      </c>
      <c r="C2914" s="93">
        <v>9817999012</v>
      </c>
      <c r="D2914" s="6"/>
      <c r="E2914" s="93" t="s">
        <v>4476</v>
      </c>
      <c r="F2914" s="93"/>
      <c r="G2914" s="2" t="s">
        <v>424</v>
      </c>
      <c r="H2914" s="2" t="s">
        <v>1544</v>
      </c>
      <c r="I2914" s="4" t="s">
        <v>88</v>
      </c>
      <c r="J2914" s="31">
        <v>45800</v>
      </c>
      <c r="K2914" s="31">
        <v>45859</v>
      </c>
      <c r="L2914" s="31"/>
      <c r="M2914" s="31"/>
      <c r="N2914" s="31"/>
      <c r="O2914" s="2" t="s">
        <v>425</v>
      </c>
    </row>
    <row r="2915" spans="1:15" ht="15.6">
      <c r="A2915" s="3">
        <f t="shared" si="47"/>
        <v>2914</v>
      </c>
      <c r="B2915" s="85" t="s">
        <v>4477</v>
      </c>
      <c r="C2915" s="93">
        <v>9805314779</v>
      </c>
      <c r="D2915" s="1">
        <v>7006600000</v>
      </c>
      <c r="E2915" s="93" t="s">
        <v>4476</v>
      </c>
      <c r="F2915" s="93"/>
      <c r="G2915" s="2" t="s">
        <v>708</v>
      </c>
      <c r="H2915" s="2" t="s">
        <v>1544</v>
      </c>
      <c r="I2915" s="4" t="s">
        <v>88</v>
      </c>
      <c r="J2915" s="31">
        <v>45800</v>
      </c>
      <c r="K2915" s="31">
        <v>45856</v>
      </c>
      <c r="L2915" s="31"/>
      <c r="M2915" s="31"/>
      <c r="N2915" s="31"/>
      <c r="O2915" s="2" t="s">
        <v>297</v>
      </c>
    </row>
    <row r="2916" spans="1:15" ht="15.6">
      <c r="A2916" s="3">
        <f t="shared" si="47"/>
        <v>2915</v>
      </c>
      <c r="B2916" s="85" t="s">
        <v>4478</v>
      </c>
      <c r="C2916" s="93">
        <v>9931989093</v>
      </c>
      <c r="D2916" s="6"/>
      <c r="E2916" s="93" t="s">
        <v>4476</v>
      </c>
      <c r="F2916" s="93"/>
      <c r="G2916" s="2" t="s">
        <v>424</v>
      </c>
      <c r="H2916" s="2" t="s">
        <v>1544</v>
      </c>
      <c r="I2916" s="4" t="s">
        <v>88</v>
      </c>
      <c r="J2916" s="31">
        <v>45800</v>
      </c>
      <c r="K2916" s="31">
        <v>45859</v>
      </c>
      <c r="L2916" s="31"/>
      <c r="M2916" s="31"/>
      <c r="N2916" s="31"/>
      <c r="O2916" s="2" t="s">
        <v>425</v>
      </c>
    </row>
    <row r="2917" spans="1:15" ht="15.6">
      <c r="A2917" s="3">
        <f t="shared" si="47"/>
        <v>2916</v>
      </c>
      <c r="B2917" s="85" t="s">
        <v>4479</v>
      </c>
      <c r="C2917" s="93">
        <v>9906157996</v>
      </c>
      <c r="D2917" s="1">
        <v>9797303668</v>
      </c>
      <c r="E2917" s="93" t="s">
        <v>4476</v>
      </c>
      <c r="F2917" s="93"/>
      <c r="G2917" s="2" t="s">
        <v>708</v>
      </c>
      <c r="H2917" s="2" t="s">
        <v>1544</v>
      </c>
      <c r="I2917" s="4" t="s">
        <v>88</v>
      </c>
      <c r="J2917" s="31">
        <v>45800</v>
      </c>
      <c r="K2917" s="31">
        <v>45848</v>
      </c>
      <c r="L2917" s="31"/>
      <c r="M2917" s="31"/>
      <c r="N2917" s="31"/>
      <c r="O2917" s="2" t="s">
        <v>297</v>
      </c>
    </row>
    <row r="2918" spans="1:15">
      <c r="A2918" s="3">
        <f t="shared" si="47"/>
        <v>2917</v>
      </c>
      <c r="B2918" s="65" t="s">
        <v>4480</v>
      </c>
      <c r="C2918" s="1">
        <v>8328434591</v>
      </c>
      <c r="D2918" s="6"/>
      <c r="E2918" s="17" t="s">
        <v>4481</v>
      </c>
      <c r="F2918" s="65" t="s">
        <v>275</v>
      </c>
      <c r="G2918" s="2" t="s">
        <v>16</v>
      </c>
      <c r="H2918" s="3" t="s">
        <v>999</v>
      </c>
      <c r="I2918" s="4" t="s">
        <v>94</v>
      </c>
      <c r="J2918" s="31">
        <v>45796</v>
      </c>
      <c r="K2918" s="31">
        <v>45798</v>
      </c>
      <c r="L2918" s="31">
        <v>45800</v>
      </c>
      <c r="M2918" s="31">
        <v>45810</v>
      </c>
      <c r="N2918" s="31">
        <v>45810</v>
      </c>
      <c r="O2918" s="2" t="s">
        <v>297</v>
      </c>
    </row>
    <row r="2919" spans="1:15">
      <c r="A2919" s="3">
        <f t="shared" si="47"/>
        <v>2918</v>
      </c>
      <c r="B2919" s="65" t="s">
        <v>4482</v>
      </c>
      <c r="C2919" s="1">
        <v>9533322508</v>
      </c>
      <c r="D2919" s="6"/>
      <c r="E2919" s="17" t="s">
        <v>4483</v>
      </c>
      <c r="F2919" s="65" t="s">
        <v>4484</v>
      </c>
      <c r="G2919" s="2" t="s">
        <v>424</v>
      </c>
      <c r="H2919" s="1" t="s">
        <v>162</v>
      </c>
      <c r="I2919" s="4" t="s">
        <v>42</v>
      </c>
      <c r="J2919" s="31">
        <v>45803</v>
      </c>
      <c r="K2919" s="31">
        <v>45815</v>
      </c>
      <c r="L2919" s="31"/>
      <c r="M2919" s="31"/>
      <c r="N2919" s="31"/>
      <c r="O2919" s="2" t="s">
        <v>425</v>
      </c>
    </row>
    <row r="2920" spans="1:15">
      <c r="A2920" s="3">
        <f t="shared" si="47"/>
        <v>2919</v>
      </c>
      <c r="B2920" s="65" t="s">
        <v>4485</v>
      </c>
      <c r="C2920" s="1">
        <v>9177560677</v>
      </c>
      <c r="D2920" s="6"/>
      <c r="E2920" s="17" t="s">
        <v>4483</v>
      </c>
      <c r="F2920" s="65" t="s">
        <v>4486</v>
      </c>
      <c r="G2920" s="2" t="s">
        <v>424</v>
      </c>
      <c r="H2920" s="1" t="s">
        <v>162</v>
      </c>
      <c r="I2920" s="4" t="s">
        <v>42</v>
      </c>
      <c r="J2920" s="31">
        <v>45803</v>
      </c>
      <c r="K2920" s="31">
        <v>45810</v>
      </c>
      <c r="L2920" s="31"/>
      <c r="M2920" s="31"/>
      <c r="N2920" s="31"/>
      <c r="O2920" s="2" t="s">
        <v>425</v>
      </c>
    </row>
    <row r="2921" spans="1:15">
      <c r="A2921" s="3">
        <f t="shared" si="47"/>
        <v>2920</v>
      </c>
      <c r="B2921" s="65" t="s">
        <v>4487</v>
      </c>
      <c r="C2921" s="1">
        <v>9550891206</v>
      </c>
      <c r="D2921" s="6"/>
      <c r="E2921" s="17" t="s">
        <v>4483</v>
      </c>
      <c r="F2921" s="65" t="s">
        <v>4488</v>
      </c>
      <c r="G2921" s="2" t="s">
        <v>764</v>
      </c>
      <c r="H2921" s="1" t="s">
        <v>162</v>
      </c>
      <c r="I2921" s="4" t="s">
        <v>42</v>
      </c>
      <c r="J2921" s="31">
        <v>45803</v>
      </c>
      <c r="K2921" s="31">
        <v>45810</v>
      </c>
      <c r="L2921" s="31"/>
      <c r="M2921" s="31"/>
      <c r="N2921" s="31"/>
      <c r="O2921" s="2" t="s">
        <v>425</v>
      </c>
    </row>
    <row r="2922" spans="1:15">
      <c r="A2922" s="3">
        <f t="shared" si="47"/>
        <v>2921</v>
      </c>
      <c r="B2922" s="65" t="s">
        <v>4489</v>
      </c>
      <c r="C2922" s="1">
        <v>9100318811</v>
      </c>
      <c r="D2922" s="1">
        <v>6303202127</v>
      </c>
      <c r="E2922" s="17" t="s">
        <v>4264</v>
      </c>
      <c r="F2922" s="65" t="s">
        <v>308</v>
      </c>
      <c r="G2922" s="2" t="s">
        <v>416</v>
      </c>
      <c r="H2922" s="1" t="s">
        <v>999</v>
      </c>
      <c r="I2922" s="4" t="s">
        <v>88</v>
      </c>
      <c r="J2922" s="31">
        <v>45803</v>
      </c>
      <c r="K2922" s="31">
        <v>45804</v>
      </c>
      <c r="L2922" s="31"/>
      <c r="M2922" s="31"/>
      <c r="N2922" s="31"/>
      <c r="O2922" s="2" t="s">
        <v>297</v>
      </c>
    </row>
    <row r="2923" spans="1:15">
      <c r="A2923" s="3">
        <f t="shared" si="47"/>
        <v>2922</v>
      </c>
      <c r="B2923" s="65" t="s">
        <v>4490</v>
      </c>
      <c r="C2923" s="1">
        <v>8722880545</v>
      </c>
      <c r="D2923" s="6"/>
      <c r="E2923" s="17" t="s">
        <v>4264</v>
      </c>
      <c r="F2923" s="65" t="s">
        <v>2113</v>
      </c>
      <c r="G2923" s="2" t="s">
        <v>16</v>
      </c>
      <c r="H2923" s="1" t="s">
        <v>999</v>
      </c>
      <c r="I2923" s="4" t="s">
        <v>88</v>
      </c>
      <c r="J2923" s="31">
        <v>45803</v>
      </c>
      <c r="K2923" s="31">
        <v>45804</v>
      </c>
      <c r="L2923" s="31">
        <v>45805</v>
      </c>
      <c r="M2923" s="31">
        <v>45887</v>
      </c>
      <c r="N2923" s="31">
        <v>45887</v>
      </c>
      <c r="O2923" s="2" t="s">
        <v>297</v>
      </c>
    </row>
    <row r="2924" spans="1:15">
      <c r="A2924" s="3">
        <f t="shared" si="47"/>
        <v>2923</v>
      </c>
      <c r="B2924" s="65" t="s">
        <v>4491</v>
      </c>
      <c r="C2924" s="1">
        <v>9515772774</v>
      </c>
      <c r="D2924" s="6"/>
      <c r="E2924" s="17" t="s">
        <v>4264</v>
      </c>
      <c r="F2924" s="65" t="s">
        <v>4492</v>
      </c>
      <c r="G2924" s="2" t="s">
        <v>16</v>
      </c>
      <c r="H2924" s="1" t="s">
        <v>999</v>
      </c>
      <c r="I2924" s="4" t="s">
        <v>88</v>
      </c>
      <c r="J2924" s="31">
        <v>45803</v>
      </c>
      <c r="K2924" s="31">
        <v>45804</v>
      </c>
      <c r="L2924" s="31">
        <v>45805</v>
      </c>
      <c r="M2924" s="31">
        <v>45836</v>
      </c>
      <c r="N2924" s="31">
        <v>45836</v>
      </c>
      <c r="O2924" s="2" t="s">
        <v>297</v>
      </c>
    </row>
    <row r="2925" spans="1:15">
      <c r="A2925" s="3">
        <f t="shared" si="47"/>
        <v>2924</v>
      </c>
      <c r="B2925" s="65" t="s">
        <v>4493</v>
      </c>
      <c r="C2925" s="1">
        <v>8555864010</v>
      </c>
      <c r="D2925" s="6"/>
      <c r="E2925" s="17" t="s">
        <v>4494</v>
      </c>
      <c r="F2925" s="65" t="s">
        <v>1999</v>
      </c>
      <c r="G2925" s="2" t="s">
        <v>16</v>
      </c>
      <c r="H2925" s="1" t="s">
        <v>999</v>
      </c>
      <c r="I2925" s="4" t="s">
        <v>88</v>
      </c>
      <c r="J2925" s="31">
        <v>45803</v>
      </c>
      <c r="K2925" s="31">
        <v>45804</v>
      </c>
      <c r="L2925" s="31">
        <v>45805</v>
      </c>
      <c r="M2925" s="31">
        <v>45836</v>
      </c>
      <c r="N2925" s="31">
        <v>45836</v>
      </c>
      <c r="O2925" s="2" t="s">
        <v>297</v>
      </c>
    </row>
    <row r="2926" spans="1:15">
      <c r="A2926" s="3">
        <f t="shared" si="47"/>
        <v>2925</v>
      </c>
      <c r="B2926" s="65" t="s">
        <v>4495</v>
      </c>
      <c r="C2926" s="1">
        <v>7047781632</v>
      </c>
      <c r="D2926" s="1">
        <v>9026449865</v>
      </c>
      <c r="E2926" s="17" t="s">
        <v>4494</v>
      </c>
      <c r="F2926" s="65" t="s">
        <v>1312</v>
      </c>
      <c r="G2926" s="2" t="s">
        <v>295</v>
      </c>
      <c r="H2926" s="1" t="s">
        <v>999</v>
      </c>
      <c r="I2926" s="4" t="s">
        <v>88</v>
      </c>
      <c r="J2926" s="31">
        <v>45803</v>
      </c>
      <c r="K2926" s="31">
        <v>45804</v>
      </c>
      <c r="L2926" s="31">
        <v>45805</v>
      </c>
      <c r="M2926" s="31">
        <v>45836</v>
      </c>
      <c r="N2926" s="31"/>
      <c r="O2926" s="2" t="s">
        <v>297</v>
      </c>
    </row>
    <row r="2927" spans="1:15">
      <c r="A2927" s="3">
        <f t="shared" si="47"/>
        <v>2926</v>
      </c>
      <c r="B2927" s="65" t="s">
        <v>4496</v>
      </c>
      <c r="C2927" s="1">
        <v>6303202446</v>
      </c>
      <c r="D2927" s="6"/>
      <c r="E2927" s="17" t="s">
        <v>4264</v>
      </c>
      <c r="F2927" s="65" t="s">
        <v>1999</v>
      </c>
      <c r="G2927" s="2" t="s">
        <v>424</v>
      </c>
      <c r="H2927" s="1" t="s">
        <v>999</v>
      </c>
      <c r="I2927" s="4" t="s">
        <v>88</v>
      </c>
      <c r="J2927" s="31">
        <v>45803</v>
      </c>
      <c r="K2927" s="31">
        <v>45804</v>
      </c>
      <c r="L2927" s="31"/>
      <c r="M2927" s="31"/>
      <c r="N2927" s="31"/>
      <c r="O2927" s="2" t="s">
        <v>425</v>
      </c>
    </row>
    <row r="2928" spans="1:15">
      <c r="A2928" s="3">
        <f t="shared" si="47"/>
        <v>2927</v>
      </c>
      <c r="B2928" s="65" t="s">
        <v>4497</v>
      </c>
      <c r="C2928" s="1">
        <v>7654475256</v>
      </c>
      <c r="D2928" s="1">
        <v>8847508871</v>
      </c>
      <c r="E2928" s="17" t="s">
        <v>4264</v>
      </c>
      <c r="F2928" s="65" t="s">
        <v>1312</v>
      </c>
      <c r="G2928" s="2" t="s">
        <v>424</v>
      </c>
      <c r="H2928" s="1" t="s">
        <v>999</v>
      </c>
      <c r="I2928" s="4" t="s">
        <v>88</v>
      </c>
      <c r="J2928" s="31">
        <v>45803</v>
      </c>
      <c r="K2928" s="31">
        <v>45804</v>
      </c>
      <c r="L2928" s="31"/>
      <c r="M2928" s="31"/>
      <c r="N2928" s="31"/>
      <c r="O2928" s="2" t="s">
        <v>425</v>
      </c>
    </row>
    <row r="2929" spans="1:15">
      <c r="A2929" s="3">
        <f t="shared" si="47"/>
        <v>2928</v>
      </c>
      <c r="B2929" s="65" t="s">
        <v>4498</v>
      </c>
      <c r="C2929" s="1">
        <v>7306780942</v>
      </c>
      <c r="D2929" s="6"/>
      <c r="E2929" s="17" t="s">
        <v>4264</v>
      </c>
      <c r="F2929" s="65" t="s">
        <v>451</v>
      </c>
      <c r="G2929" s="2" t="s">
        <v>424</v>
      </c>
      <c r="H2929" s="1" t="s">
        <v>999</v>
      </c>
      <c r="I2929" s="4" t="s">
        <v>88</v>
      </c>
      <c r="J2929" s="31">
        <v>45803</v>
      </c>
      <c r="K2929" s="31">
        <v>45804</v>
      </c>
      <c r="L2929" s="31"/>
      <c r="M2929" s="31"/>
      <c r="N2929" s="31"/>
      <c r="O2929" s="2" t="s">
        <v>425</v>
      </c>
    </row>
    <row r="2930" spans="1:15">
      <c r="A2930" s="3">
        <f t="shared" si="47"/>
        <v>2929</v>
      </c>
      <c r="B2930" s="65" t="s">
        <v>4499</v>
      </c>
      <c r="C2930" s="1">
        <v>7003630306</v>
      </c>
      <c r="D2930" s="1">
        <v>9038153519</v>
      </c>
      <c r="E2930" s="17" t="s">
        <v>4264</v>
      </c>
      <c r="F2930" s="65" t="s">
        <v>1999</v>
      </c>
      <c r="G2930" s="2" t="s">
        <v>424</v>
      </c>
      <c r="H2930" s="1" t="s">
        <v>999</v>
      </c>
      <c r="I2930" s="4" t="s">
        <v>88</v>
      </c>
      <c r="J2930" s="31">
        <v>45803</v>
      </c>
      <c r="K2930" s="31">
        <v>45804</v>
      </c>
      <c r="L2930" s="31"/>
      <c r="M2930" s="31"/>
      <c r="N2930" s="31"/>
      <c r="O2930" s="2" t="s">
        <v>425</v>
      </c>
    </row>
    <row r="2931" spans="1:15">
      <c r="A2931" s="3">
        <f t="shared" si="47"/>
        <v>2930</v>
      </c>
      <c r="B2931" s="65" t="s">
        <v>4500</v>
      </c>
      <c r="C2931" s="1">
        <v>7008431668</v>
      </c>
      <c r="D2931" s="6"/>
      <c r="E2931" s="17" t="s">
        <v>4264</v>
      </c>
      <c r="F2931" s="65" t="s">
        <v>329</v>
      </c>
      <c r="G2931" s="2" t="s">
        <v>424</v>
      </c>
      <c r="H2931" s="1" t="s">
        <v>999</v>
      </c>
      <c r="I2931" s="4" t="s">
        <v>88</v>
      </c>
      <c r="J2931" s="31">
        <v>45803</v>
      </c>
      <c r="K2931" s="31">
        <v>45804</v>
      </c>
      <c r="L2931" s="31"/>
      <c r="M2931" s="31"/>
      <c r="N2931" s="31"/>
      <c r="O2931" s="2" t="s">
        <v>425</v>
      </c>
    </row>
    <row r="2932" spans="1:15">
      <c r="A2932" s="3">
        <f t="shared" si="47"/>
        <v>2931</v>
      </c>
      <c r="B2932" s="65" t="s">
        <v>4501</v>
      </c>
      <c r="C2932" s="1">
        <v>8977329633</v>
      </c>
      <c r="D2932" s="6"/>
      <c r="E2932" s="17" t="s">
        <v>3223</v>
      </c>
      <c r="F2932" s="65" t="s">
        <v>3227</v>
      </c>
      <c r="G2932" s="2" t="s">
        <v>764</v>
      </c>
      <c r="H2932" s="1" t="s">
        <v>2425</v>
      </c>
      <c r="I2932" s="4" t="s">
        <v>42</v>
      </c>
      <c r="J2932" s="31">
        <v>45803</v>
      </c>
      <c r="K2932" s="31">
        <v>45824</v>
      </c>
      <c r="L2932" s="31"/>
      <c r="M2932" s="31"/>
      <c r="N2932" s="31"/>
      <c r="O2932" s="2" t="s">
        <v>425</v>
      </c>
    </row>
    <row r="2933" spans="1:15">
      <c r="A2933" s="3">
        <f t="shared" si="47"/>
        <v>2932</v>
      </c>
      <c r="B2933" s="65" t="s">
        <v>4502</v>
      </c>
      <c r="C2933" s="1">
        <v>8466081561</v>
      </c>
      <c r="D2933" s="6"/>
      <c r="E2933" s="17" t="s">
        <v>4375</v>
      </c>
      <c r="F2933" s="65" t="s">
        <v>4503</v>
      </c>
      <c r="G2933" s="2" t="s">
        <v>16</v>
      </c>
      <c r="H2933" s="1" t="s">
        <v>162</v>
      </c>
      <c r="I2933" s="4" t="s">
        <v>42</v>
      </c>
      <c r="J2933" s="31">
        <v>45803</v>
      </c>
      <c r="K2933" s="31">
        <v>45810</v>
      </c>
      <c r="L2933" s="31">
        <v>45814</v>
      </c>
      <c r="M2933" s="31">
        <v>45845</v>
      </c>
      <c r="N2933" s="31">
        <v>45831</v>
      </c>
      <c r="O2933" s="2" t="s">
        <v>297</v>
      </c>
    </row>
    <row r="2934" spans="1:15">
      <c r="A2934" s="3">
        <f t="shared" si="47"/>
        <v>2933</v>
      </c>
      <c r="B2934" s="65" t="s">
        <v>4504</v>
      </c>
      <c r="C2934" s="1">
        <v>9741617594</v>
      </c>
      <c r="D2934" s="6"/>
      <c r="E2934" s="17" t="s">
        <v>4505</v>
      </c>
      <c r="F2934" s="65" t="s">
        <v>4506</v>
      </c>
      <c r="G2934" s="2" t="s">
        <v>424</v>
      </c>
      <c r="H2934" s="1" t="s">
        <v>162</v>
      </c>
      <c r="I2934" s="4" t="s">
        <v>42</v>
      </c>
      <c r="J2934" s="31">
        <v>45803</v>
      </c>
      <c r="K2934" s="31">
        <v>45815</v>
      </c>
      <c r="L2934" s="31"/>
      <c r="M2934" s="31"/>
      <c r="N2934" s="31"/>
      <c r="O2934" s="2" t="s">
        <v>425</v>
      </c>
    </row>
    <row r="2935" spans="1:15">
      <c r="A2935" s="3">
        <f t="shared" si="47"/>
        <v>2934</v>
      </c>
      <c r="B2935" s="65" t="s">
        <v>4507</v>
      </c>
      <c r="C2935" s="1">
        <v>9131045257</v>
      </c>
      <c r="D2935" s="6"/>
      <c r="E2935" s="17" t="s">
        <v>127</v>
      </c>
      <c r="F2935" s="65" t="s">
        <v>4508</v>
      </c>
      <c r="G2935" s="2" t="s">
        <v>424</v>
      </c>
      <c r="H2935" s="1" t="s">
        <v>3240</v>
      </c>
      <c r="I2935" s="4" t="s">
        <v>42</v>
      </c>
      <c r="J2935" s="31">
        <v>45803</v>
      </c>
      <c r="K2935" s="31">
        <v>45806</v>
      </c>
      <c r="L2935" s="31"/>
      <c r="M2935" s="31"/>
      <c r="N2935" s="31"/>
      <c r="O2935" s="2" t="s">
        <v>749</v>
      </c>
    </row>
    <row r="2936" spans="1:15">
      <c r="A2936" s="3">
        <f t="shared" si="47"/>
        <v>2935</v>
      </c>
      <c r="B2936" s="65" t="s">
        <v>4509</v>
      </c>
      <c r="C2936" s="1">
        <v>6300235569</v>
      </c>
      <c r="D2936" s="6"/>
      <c r="E2936" s="17" t="s">
        <v>124</v>
      </c>
      <c r="F2936" s="65" t="s">
        <v>4510</v>
      </c>
      <c r="G2936" s="2" t="s">
        <v>424</v>
      </c>
      <c r="H2936" s="1" t="s">
        <v>3240</v>
      </c>
      <c r="I2936" s="4" t="s">
        <v>42</v>
      </c>
      <c r="J2936" s="31">
        <v>45803</v>
      </c>
      <c r="K2936" s="31">
        <v>45806</v>
      </c>
      <c r="L2936" s="31"/>
      <c r="M2936" s="31"/>
      <c r="N2936" s="31"/>
      <c r="O2936" s="2" t="s">
        <v>425</v>
      </c>
    </row>
    <row r="2937" spans="1:15">
      <c r="A2937" s="3">
        <f t="shared" si="47"/>
        <v>2936</v>
      </c>
      <c r="B2937" s="65" t="s">
        <v>4511</v>
      </c>
      <c r="C2937" s="1">
        <v>6300386793</v>
      </c>
      <c r="D2937" s="6"/>
      <c r="E2937" s="17" t="s">
        <v>2471</v>
      </c>
      <c r="F2937" s="65" t="s">
        <v>4512</v>
      </c>
      <c r="G2937" s="2" t="s">
        <v>18</v>
      </c>
      <c r="H2937" s="1" t="s">
        <v>162</v>
      </c>
      <c r="I2937" s="4" t="s">
        <v>94</v>
      </c>
      <c r="J2937" s="31">
        <v>45804</v>
      </c>
      <c r="K2937" s="31"/>
      <c r="L2937" s="31"/>
      <c r="M2937" s="31"/>
      <c r="N2937" s="31"/>
      <c r="O2937" s="2" t="s">
        <v>1004</v>
      </c>
    </row>
    <row r="2938" spans="1:15">
      <c r="A2938" s="3">
        <f t="shared" si="47"/>
        <v>2937</v>
      </c>
      <c r="B2938" s="65" t="s">
        <v>4513</v>
      </c>
      <c r="C2938" s="1">
        <v>7095711731</v>
      </c>
      <c r="D2938" s="6"/>
      <c r="E2938" s="17" t="s">
        <v>2471</v>
      </c>
      <c r="F2938" s="65" t="s">
        <v>4512</v>
      </c>
      <c r="G2938" s="2" t="s">
        <v>18</v>
      </c>
      <c r="H2938" s="1" t="s">
        <v>162</v>
      </c>
      <c r="I2938" s="4" t="s">
        <v>94</v>
      </c>
      <c r="J2938" s="31">
        <v>45804</v>
      </c>
      <c r="K2938" s="31"/>
      <c r="L2938" s="31"/>
      <c r="M2938" s="31"/>
      <c r="N2938" s="31"/>
      <c r="O2938" s="2" t="s">
        <v>1004</v>
      </c>
    </row>
    <row r="2939" spans="1:15">
      <c r="A2939" s="3">
        <f t="shared" si="47"/>
        <v>2938</v>
      </c>
      <c r="B2939" s="65" t="s">
        <v>4514</v>
      </c>
      <c r="C2939" s="1">
        <v>7780577350</v>
      </c>
      <c r="D2939" s="6"/>
      <c r="E2939" s="17" t="s">
        <v>3999</v>
      </c>
      <c r="F2939" s="65" t="s">
        <v>4515</v>
      </c>
      <c r="G2939" s="2" t="s">
        <v>16</v>
      </c>
      <c r="H2939" s="1" t="s">
        <v>3240</v>
      </c>
      <c r="I2939" s="4" t="s">
        <v>42</v>
      </c>
      <c r="J2939" s="31">
        <v>45804</v>
      </c>
      <c r="K2939" s="31">
        <v>45809</v>
      </c>
      <c r="L2939" s="31">
        <v>45811</v>
      </c>
      <c r="M2939" s="31">
        <v>45820</v>
      </c>
      <c r="N2939" s="31">
        <v>45820</v>
      </c>
      <c r="O2939" s="2" t="s">
        <v>297</v>
      </c>
    </row>
    <row r="2940" spans="1:15">
      <c r="A2940" s="3">
        <f t="shared" si="47"/>
        <v>2939</v>
      </c>
      <c r="B2940" s="65" t="s">
        <v>4516</v>
      </c>
      <c r="C2940" s="1">
        <v>9573266060</v>
      </c>
      <c r="D2940" s="6"/>
      <c r="E2940" s="17" t="s">
        <v>4483</v>
      </c>
      <c r="F2940" s="65" t="s">
        <v>4506</v>
      </c>
      <c r="G2940" s="2" t="s">
        <v>424</v>
      </c>
      <c r="H2940" s="1" t="s">
        <v>162</v>
      </c>
      <c r="I2940" s="4" t="s">
        <v>42</v>
      </c>
      <c r="J2940" s="31">
        <v>45804</v>
      </c>
      <c r="K2940" s="31">
        <v>45810</v>
      </c>
      <c r="L2940" s="31"/>
      <c r="M2940" s="31"/>
      <c r="N2940" s="31"/>
      <c r="O2940" s="2" t="s">
        <v>425</v>
      </c>
    </row>
    <row r="2941" spans="1:15">
      <c r="A2941" s="3">
        <f t="shared" si="47"/>
        <v>2940</v>
      </c>
      <c r="B2941" s="65" t="s">
        <v>4517</v>
      </c>
      <c r="C2941" s="1">
        <v>7386866348</v>
      </c>
      <c r="D2941" s="6"/>
      <c r="E2941" s="17" t="s">
        <v>4505</v>
      </c>
      <c r="F2941" s="65" t="s">
        <v>4506</v>
      </c>
      <c r="G2941" s="2" t="s">
        <v>424</v>
      </c>
      <c r="H2941" s="1" t="s">
        <v>162</v>
      </c>
      <c r="I2941" s="4" t="s">
        <v>42</v>
      </c>
      <c r="J2941" s="31">
        <v>45804</v>
      </c>
      <c r="K2941" s="31">
        <v>45815</v>
      </c>
      <c r="L2941" s="31"/>
      <c r="M2941" s="31"/>
      <c r="N2941" s="31"/>
      <c r="O2941" s="2" t="s">
        <v>425</v>
      </c>
    </row>
    <row r="2942" spans="1:15">
      <c r="A2942" s="3">
        <f t="shared" si="47"/>
        <v>2941</v>
      </c>
      <c r="B2942" s="65" t="s">
        <v>4518</v>
      </c>
      <c r="C2942" s="1">
        <v>9993379663</v>
      </c>
      <c r="D2942" s="1">
        <v>9346667091</v>
      </c>
      <c r="E2942" s="17" t="s">
        <v>4449</v>
      </c>
      <c r="F2942" s="65" t="s">
        <v>4519</v>
      </c>
      <c r="G2942" s="2" t="s">
        <v>424</v>
      </c>
      <c r="H2942" s="1" t="s">
        <v>361</v>
      </c>
      <c r="I2942" s="4" t="s">
        <v>42</v>
      </c>
      <c r="J2942" s="31">
        <v>45804</v>
      </c>
      <c r="K2942" s="31">
        <v>45805</v>
      </c>
      <c r="L2942" s="31"/>
      <c r="M2942" s="31"/>
      <c r="N2942" s="31"/>
      <c r="O2942" s="2" t="s">
        <v>425</v>
      </c>
    </row>
    <row r="2943" spans="1:15">
      <c r="A2943" s="3">
        <f t="shared" si="47"/>
        <v>2942</v>
      </c>
      <c r="B2943" s="65" t="s">
        <v>4520</v>
      </c>
      <c r="C2943" s="1">
        <v>8008724013</v>
      </c>
      <c r="D2943" s="6"/>
      <c r="E2943" s="17" t="s">
        <v>3954</v>
      </c>
      <c r="F2943" s="65" t="s">
        <v>471</v>
      </c>
      <c r="G2943" s="2" t="s">
        <v>416</v>
      </c>
      <c r="H2943" s="1" t="s">
        <v>3240</v>
      </c>
      <c r="I2943" s="4" t="s">
        <v>42</v>
      </c>
      <c r="J2943" s="31">
        <v>45804</v>
      </c>
      <c r="K2943" s="31">
        <v>45814</v>
      </c>
      <c r="L2943" s="31"/>
      <c r="M2943" s="31"/>
      <c r="N2943" s="31"/>
      <c r="O2943" s="2" t="s">
        <v>297</v>
      </c>
    </row>
    <row r="2944" spans="1:15">
      <c r="A2944" s="3">
        <f t="shared" si="47"/>
        <v>2943</v>
      </c>
      <c r="B2944" s="65" t="s">
        <v>4521</v>
      </c>
      <c r="C2944" s="1">
        <v>7708498602</v>
      </c>
      <c r="D2944" s="6"/>
      <c r="E2944" s="17" t="s">
        <v>127</v>
      </c>
      <c r="F2944" s="65" t="s">
        <v>443</v>
      </c>
      <c r="G2944" s="2" t="s">
        <v>18</v>
      </c>
      <c r="H2944" s="1" t="s">
        <v>3240</v>
      </c>
      <c r="I2944" s="4" t="s">
        <v>42</v>
      </c>
      <c r="J2944" s="31">
        <v>45804</v>
      </c>
      <c r="K2944" s="31">
        <v>45814</v>
      </c>
      <c r="L2944" s="31"/>
      <c r="M2944" s="31"/>
      <c r="N2944" s="31"/>
      <c r="O2944" s="2" t="s">
        <v>297</v>
      </c>
    </row>
    <row r="2945" spans="1:15">
      <c r="A2945" s="3">
        <f t="shared" si="47"/>
        <v>2944</v>
      </c>
      <c r="B2945" s="65" t="s">
        <v>4522</v>
      </c>
      <c r="C2945" s="1">
        <v>9493900010</v>
      </c>
      <c r="D2945" s="6"/>
      <c r="E2945" s="17" t="s">
        <v>124</v>
      </c>
      <c r="F2945" s="65" t="s">
        <v>471</v>
      </c>
      <c r="G2945" s="2" t="s">
        <v>16</v>
      </c>
      <c r="H2945" s="1" t="s">
        <v>3240</v>
      </c>
      <c r="I2945" s="4" t="s">
        <v>42</v>
      </c>
      <c r="J2945" s="31">
        <v>45804</v>
      </c>
      <c r="K2945" s="31">
        <v>45807</v>
      </c>
      <c r="L2945" s="31">
        <v>45807</v>
      </c>
      <c r="M2945" s="31">
        <v>45845</v>
      </c>
      <c r="N2945" s="31">
        <v>45845</v>
      </c>
      <c r="O2945" s="2" t="s">
        <v>297</v>
      </c>
    </row>
    <row r="2946" spans="1:15">
      <c r="A2946" s="3">
        <f t="shared" si="47"/>
        <v>2945</v>
      </c>
      <c r="B2946" s="65" t="s">
        <v>4523</v>
      </c>
      <c r="C2946" s="1">
        <v>9053187926</v>
      </c>
      <c r="D2946" s="6"/>
      <c r="E2946" s="17" t="s">
        <v>3659</v>
      </c>
      <c r="F2946" s="65" t="s">
        <v>4524</v>
      </c>
      <c r="G2946" s="2" t="s">
        <v>764</v>
      </c>
      <c r="H2946" s="1" t="s">
        <v>42</v>
      </c>
      <c r="I2946" s="4" t="s">
        <v>42</v>
      </c>
      <c r="J2946" s="31">
        <v>45805</v>
      </c>
      <c r="K2946" s="31">
        <v>45830</v>
      </c>
      <c r="L2946" s="31"/>
      <c r="M2946" s="31"/>
      <c r="N2946" s="31"/>
      <c r="O2946" s="2" t="s">
        <v>425</v>
      </c>
    </row>
    <row r="2947" spans="1:15">
      <c r="A2947" s="3">
        <f t="shared" si="47"/>
        <v>2946</v>
      </c>
      <c r="B2947" s="65" t="s">
        <v>4525</v>
      </c>
      <c r="C2947" s="1">
        <v>8008551482</v>
      </c>
      <c r="D2947" s="6"/>
      <c r="E2947" s="17" t="s">
        <v>3659</v>
      </c>
      <c r="F2947" s="65" t="s">
        <v>4526</v>
      </c>
      <c r="G2947" s="2" t="s">
        <v>16</v>
      </c>
      <c r="H2947" s="1" t="s">
        <v>42</v>
      </c>
      <c r="I2947" s="4" t="s">
        <v>42</v>
      </c>
      <c r="J2947" s="31">
        <v>45805</v>
      </c>
      <c r="K2947" s="31">
        <v>45806</v>
      </c>
      <c r="L2947" s="31">
        <v>45807</v>
      </c>
      <c r="M2947" s="31">
        <v>45825</v>
      </c>
      <c r="N2947" s="31">
        <v>45825</v>
      </c>
      <c r="O2947" s="2" t="s">
        <v>297</v>
      </c>
    </row>
    <row r="2948" spans="1:15">
      <c r="A2948" s="3">
        <f t="shared" si="47"/>
        <v>2947</v>
      </c>
      <c r="B2948" s="65" t="s">
        <v>4527</v>
      </c>
      <c r="C2948" s="1">
        <v>7000709066</v>
      </c>
      <c r="D2948" s="6"/>
      <c r="E2948" s="17" t="s">
        <v>3852</v>
      </c>
      <c r="F2948" s="65" t="s">
        <v>4528</v>
      </c>
      <c r="G2948" s="2" t="s">
        <v>424</v>
      </c>
      <c r="H2948" s="1" t="s">
        <v>3854</v>
      </c>
      <c r="I2948" s="4" t="s">
        <v>88</v>
      </c>
      <c r="J2948" s="31">
        <v>45805</v>
      </c>
      <c r="K2948" s="31">
        <v>45834</v>
      </c>
      <c r="L2948" s="31"/>
      <c r="M2948" s="31"/>
      <c r="N2948" s="31"/>
      <c r="O2948" s="2" t="s">
        <v>425</v>
      </c>
    </row>
    <row r="2949" spans="1:15">
      <c r="A2949" s="3">
        <f t="shared" si="47"/>
        <v>2948</v>
      </c>
      <c r="B2949" s="65" t="s">
        <v>4529</v>
      </c>
      <c r="C2949" s="1">
        <v>9106508676</v>
      </c>
      <c r="D2949" s="6"/>
      <c r="E2949" s="17" t="s">
        <v>3852</v>
      </c>
      <c r="F2949" s="65" t="s">
        <v>4528</v>
      </c>
      <c r="G2949" s="2" t="s">
        <v>424</v>
      </c>
      <c r="H2949" s="1" t="s">
        <v>3854</v>
      </c>
      <c r="I2949" s="4" t="s">
        <v>88</v>
      </c>
      <c r="J2949" s="31">
        <v>45805</v>
      </c>
      <c r="K2949" s="31">
        <v>45834</v>
      </c>
      <c r="L2949" s="31"/>
      <c r="M2949" s="31"/>
      <c r="N2949" s="31"/>
      <c r="O2949" s="2" t="s">
        <v>425</v>
      </c>
    </row>
    <row r="2950" spans="1:15">
      <c r="A2950" s="3">
        <f t="shared" si="47"/>
        <v>2949</v>
      </c>
      <c r="B2950" s="65" t="s">
        <v>4530</v>
      </c>
      <c r="C2950" s="1">
        <v>9140990340</v>
      </c>
      <c r="D2950" s="6"/>
      <c r="E2950" s="17" t="s">
        <v>3852</v>
      </c>
      <c r="F2950" s="65" t="s">
        <v>4528</v>
      </c>
      <c r="G2950" s="2" t="s">
        <v>424</v>
      </c>
      <c r="H2950" s="1" t="s">
        <v>3854</v>
      </c>
      <c r="I2950" s="4" t="s">
        <v>88</v>
      </c>
      <c r="J2950" s="31">
        <v>45805</v>
      </c>
      <c r="K2950" s="31">
        <v>45834</v>
      </c>
      <c r="L2950" s="31"/>
      <c r="M2950" s="31"/>
      <c r="N2950" s="31"/>
      <c r="O2950" s="2" t="s">
        <v>425</v>
      </c>
    </row>
    <row r="2951" spans="1:15">
      <c r="A2951" s="3">
        <f t="shared" si="47"/>
        <v>2950</v>
      </c>
      <c r="B2951" s="65" t="s">
        <v>4531</v>
      </c>
      <c r="C2951" s="1">
        <v>9459222144</v>
      </c>
      <c r="D2951" s="6"/>
      <c r="E2951" s="17" t="s">
        <v>4532</v>
      </c>
      <c r="F2951" s="65" t="s">
        <v>4533</v>
      </c>
      <c r="G2951" s="2" t="s">
        <v>295</v>
      </c>
      <c r="H2951" s="1" t="s">
        <v>368</v>
      </c>
      <c r="I2951" s="4" t="s">
        <v>88</v>
      </c>
      <c r="J2951" s="31">
        <v>45778</v>
      </c>
      <c r="K2951" s="31">
        <v>45782</v>
      </c>
      <c r="L2951" s="31">
        <v>45798</v>
      </c>
      <c r="M2951" s="31">
        <v>45833</v>
      </c>
      <c r="N2951" s="31"/>
      <c r="O2951" s="2" t="s">
        <v>297</v>
      </c>
    </row>
    <row r="2952" spans="1:15">
      <c r="A2952" s="3">
        <f t="shared" si="47"/>
        <v>2951</v>
      </c>
      <c r="B2952" s="65" t="s">
        <v>4534</v>
      </c>
      <c r="C2952" s="1">
        <v>7895780096</v>
      </c>
      <c r="D2952" s="6"/>
      <c r="E2952" s="17" t="s">
        <v>4535</v>
      </c>
      <c r="F2952" s="65" t="s">
        <v>4536</v>
      </c>
      <c r="G2952" s="2" t="s">
        <v>16</v>
      </c>
      <c r="H2952" s="1" t="s">
        <v>368</v>
      </c>
      <c r="I2952" s="4" t="s">
        <v>88</v>
      </c>
      <c r="J2952" s="31">
        <v>45778</v>
      </c>
      <c r="K2952" s="31">
        <v>45782</v>
      </c>
      <c r="L2952" s="31">
        <v>45798</v>
      </c>
      <c r="M2952" s="31">
        <v>45834</v>
      </c>
      <c r="N2952" s="31">
        <v>45834</v>
      </c>
      <c r="O2952" s="2" t="s">
        <v>297</v>
      </c>
    </row>
    <row r="2953" spans="1:15">
      <c r="A2953" s="3">
        <f t="shared" si="47"/>
        <v>2952</v>
      </c>
      <c r="B2953" s="65" t="s">
        <v>4537</v>
      </c>
      <c r="C2953" s="1">
        <v>9010033773</v>
      </c>
      <c r="D2953" s="6"/>
      <c r="E2953" s="17" t="s">
        <v>159</v>
      </c>
      <c r="F2953" s="65" t="s">
        <v>2420</v>
      </c>
      <c r="G2953" s="2" t="s">
        <v>16</v>
      </c>
      <c r="H2953" s="1" t="s">
        <v>154</v>
      </c>
      <c r="I2953" s="4" t="s">
        <v>88</v>
      </c>
      <c r="J2953" s="31">
        <v>45778</v>
      </c>
      <c r="K2953" s="31">
        <v>45782</v>
      </c>
      <c r="L2953" s="31">
        <v>45798</v>
      </c>
      <c r="M2953" s="31">
        <v>45834</v>
      </c>
      <c r="N2953" s="31">
        <v>45810</v>
      </c>
      <c r="O2953" s="2" t="s">
        <v>297</v>
      </c>
    </row>
    <row r="2954" spans="1:15">
      <c r="A2954" s="3">
        <f t="shared" si="47"/>
        <v>2953</v>
      </c>
      <c r="B2954" s="65" t="s">
        <v>4538</v>
      </c>
      <c r="C2954" s="1">
        <v>6304867813</v>
      </c>
      <c r="D2954" s="6"/>
      <c r="E2954" s="17" t="s">
        <v>4539</v>
      </c>
      <c r="F2954" s="65" t="s">
        <v>4540</v>
      </c>
      <c r="G2954" s="2" t="s">
        <v>16</v>
      </c>
      <c r="H2954" s="1" t="s">
        <v>999</v>
      </c>
      <c r="I2954" s="4" t="s">
        <v>88</v>
      </c>
      <c r="J2954" s="31">
        <v>45778</v>
      </c>
      <c r="K2954" s="31">
        <v>45782</v>
      </c>
      <c r="L2954" s="31">
        <v>45798</v>
      </c>
      <c r="M2954" s="31">
        <v>45829</v>
      </c>
      <c r="N2954" s="31">
        <v>45859</v>
      </c>
      <c r="O2954" s="2" t="s">
        <v>297</v>
      </c>
    </row>
    <row r="2955" spans="1:15">
      <c r="A2955" s="3">
        <f t="shared" si="47"/>
        <v>2954</v>
      </c>
      <c r="B2955" s="65" t="s">
        <v>4541</v>
      </c>
      <c r="C2955" s="1">
        <v>6281494751</v>
      </c>
      <c r="D2955" s="6"/>
      <c r="E2955" s="17" t="s">
        <v>4539</v>
      </c>
      <c r="F2955" s="65" t="s">
        <v>2116</v>
      </c>
      <c r="G2955" s="2" t="s">
        <v>16</v>
      </c>
      <c r="H2955" s="1" t="s">
        <v>999</v>
      </c>
      <c r="I2955" s="4" t="s">
        <v>88</v>
      </c>
      <c r="J2955" s="31">
        <v>45778</v>
      </c>
      <c r="K2955" s="31">
        <v>45782</v>
      </c>
      <c r="L2955" s="31">
        <v>45798</v>
      </c>
      <c r="M2955" s="31">
        <v>45829</v>
      </c>
      <c r="N2955" s="31">
        <v>45828</v>
      </c>
      <c r="O2955" s="2" t="s">
        <v>297</v>
      </c>
    </row>
    <row r="2956" spans="1:15">
      <c r="A2956" s="3">
        <f t="shared" si="47"/>
        <v>2955</v>
      </c>
      <c r="B2956" s="65" t="s">
        <v>4542</v>
      </c>
      <c r="C2956" s="1">
        <v>8247639297</v>
      </c>
      <c r="D2956" s="6"/>
      <c r="E2956" s="17" t="s">
        <v>127</v>
      </c>
      <c r="F2956" s="65" t="s">
        <v>471</v>
      </c>
      <c r="G2956" s="2" t="s">
        <v>424</v>
      </c>
      <c r="H2956" s="1" t="s">
        <v>3240</v>
      </c>
      <c r="I2956" s="4" t="s">
        <v>42</v>
      </c>
      <c r="J2956" s="31">
        <v>45805</v>
      </c>
      <c r="K2956" s="31">
        <v>45835</v>
      </c>
      <c r="L2956" s="31"/>
      <c r="M2956" s="31"/>
      <c r="N2956" s="31"/>
      <c r="O2956" s="2" t="s">
        <v>425</v>
      </c>
    </row>
    <row r="2957" spans="1:15">
      <c r="A2957" s="3">
        <f t="shared" si="47"/>
        <v>2956</v>
      </c>
      <c r="B2957" s="65" t="s">
        <v>4543</v>
      </c>
      <c r="C2957" s="1">
        <v>6232928487</v>
      </c>
      <c r="D2957" s="6"/>
      <c r="E2957" s="17" t="s">
        <v>127</v>
      </c>
      <c r="F2957" s="65" t="s">
        <v>3834</v>
      </c>
      <c r="G2957" s="2" t="s">
        <v>424</v>
      </c>
      <c r="H2957" s="1" t="s">
        <v>3240</v>
      </c>
      <c r="I2957" s="4" t="s">
        <v>42</v>
      </c>
      <c r="J2957" s="31">
        <v>45805</v>
      </c>
      <c r="K2957" s="31">
        <v>45814</v>
      </c>
      <c r="L2957" s="31"/>
      <c r="M2957" s="31"/>
      <c r="N2957" s="31"/>
      <c r="O2957" s="2" t="s">
        <v>425</v>
      </c>
    </row>
    <row r="2958" spans="1:15">
      <c r="A2958" s="3">
        <f t="shared" si="47"/>
        <v>2957</v>
      </c>
      <c r="B2958" s="65" t="s">
        <v>4544</v>
      </c>
      <c r="C2958" s="1">
        <v>9000568622</v>
      </c>
      <c r="D2958" s="6"/>
      <c r="E2958" s="17" t="s">
        <v>4545</v>
      </c>
      <c r="F2958" s="65" t="s">
        <v>4546</v>
      </c>
      <c r="G2958" s="2" t="s">
        <v>424</v>
      </c>
      <c r="H2958" s="1" t="s">
        <v>162</v>
      </c>
      <c r="I2958" s="4" t="s">
        <v>42</v>
      </c>
      <c r="J2958" s="31">
        <v>45806</v>
      </c>
      <c r="K2958" s="31">
        <v>45827</v>
      </c>
      <c r="L2958" s="31"/>
      <c r="M2958" s="31"/>
      <c r="N2958" s="31"/>
      <c r="O2958" s="2" t="s">
        <v>425</v>
      </c>
    </row>
    <row r="2959" spans="1:15">
      <c r="A2959" s="3">
        <f t="shared" si="47"/>
        <v>2958</v>
      </c>
      <c r="B2959" s="65" t="s">
        <v>4547</v>
      </c>
      <c r="C2959" s="1">
        <v>8074283992</v>
      </c>
      <c r="D2959" s="1">
        <v>7036129040</v>
      </c>
      <c r="E2959" s="17" t="s">
        <v>4545</v>
      </c>
      <c r="F2959" s="65" t="s">
        <v>4503</v>
      </c>
      <c r="G2959" s="2" t="s">
        <v>330</v>
      </c>
      <c r="H2959" s="1" t="s">
        <v>162</v>
      </c>
      <c r="I2959" s="4" t="s">
        <v>42</v>
      </c>
      <c r="J2959" s="31">
        <v>45806</v>
      </c>
      <c r="K2959" s="31">
        <v>45827</v>
      </c>
      <c r="L2959" s="31">
        <v>45832</v>
      </c>
      <c r="M2959" s="31">
        <v>45845</v>
      </c>
      <c r="N2959" s="31">
        <v>45839</v>
      </c>
      <c r="O2959" s="2" t="s">
        <v>297</v>
      </c>
    </row>
    <row r="2960" spans="1:15">
      <c r="A2960" s="3">
        <f t="shared" si="47"/>
        <v>2959</v>
      </c>
      <c r="B2960" s="65" t="s">
        <v>4548</v>
      </c>
      <c r="C2960" s="1">
        <v>8885115566</v>
      </c>
      <c r="D2960" s="6"/>
      <c r="E2960" s="17" t="s">
        <v>4449</v>
      </c>
      <c r="F2960" s="65" t="s">
        <v>687</v>
      </c>
      <c r="G2960" s="2" t="s">
        <v>16</v>
      </c>
      <c r="H2960" s="1" t="s">
        <v>361</v>
      </c>
      <c r="I2960" s="4" t="s">
        <v>42</v>
      </c>
      <c r="J2960" s="31">
        <v>45806</v>
      </c>
      <c r="K2960" s="31">
        <v>45806</v>
      </c>
      <c r="L2960" s="31">
        <v>45807</v>
      </c>
      <c r="M2960" s="31">
        <v>45871</v>
      </c>
      <c r="N2960" s="31">
        <v>45871</v>
      </c>
      <c r="O2960" s="2" t="s">
        <v>297</v>
      </c>
    </row>
    <row r="2961" spans="1:15">
      <c r="A2961" s="3">
        <f t="shared" si="47"/>
        <v>2960</v>
      </c>
      <c r="B2961" s="65" t="s">
        <v>4549</v>
      </c>
      <c r="C2961" s="1">
        <v>8008953602</v>
      </c>
      <c r="D2961" s="6"/>
      <c r="E2961" s="17" t="s">
        <v>124</v>
      </c>
      <c r="F2961" s="65" t="s">
        <v>4550</v>
      </c>
      <c r="G2961" s="2" t="s">
        <v>295</v>
      </c>
      <c r="H2961" s="1" t="s">
        <v>296</v>
      </c>
      <c r="I2961" s="4" t="s">
        <v>42</v>
      </c>
      <c r="J2961" s="31">
        <v>45804</v>
      </c>
      <c r="K2961" s="31">
        <v>45806</v>
      </c>
      <c r="L2961" s="31">
        <v>45814</v>
      </c>
      <c r="M2961" s="31">
        <v>45829</v>
      </c>
      <c r="N2961" s="31"/>
      <c r="O2961" s="2" t="s">
        <v>297</v>
      </c>
    </row>
    <row r="2962" spans="1:15">
      <c r="A2962" s="3">
        <f t="shared" si="47"/>
        <v>2961</v>
      </c>
      <c r="B2962" s="65" t="s">
        <v>4551</v>
      </c>
      <c r="C2962" s="1">
        <v>9505212322</v>
      </c>
      <c r="D2962" s="6"/>
      <c r="E2962" s="17" t="s">
        <v>151</v>
      </c>
      <c r="F2962" s="65" t="s">
        <v>4552</v>
      </c>
      <c r="G2962" s="2" t="s">
        <v>764</v>
      </c>
      <c r="H2962" s="1" t="s">
        <v>42</v>
      </c>
      <c r="I2962" s="4" t="s">
        <v>42</v>
      </c>
      <c r="J2962" s="31">
        <v>45806</v>
      </c>
      <c r="K2962" s="31">
        <v>45830</v>
      </c>
      <c r="L2962" s="31"/>
      <c r="M2962" s="31"/>
      <c r="N2962" s="31"/>
      <c r="O2962" s="2" t="s">
        <v>425</v>
      </c>
    </row>
    <row r="2963" spans="1:15">
      <c r="A2963" s="3">
        <f t="shared" si="47"/>
        <v>2962</v>
      </c>
      <c r="B2963" s="65" t="s">
        <v>4553</v>
      </c>
      <c r="C2963" s="1">
        <v>8639462656</v>
      </c>
      <c r="D2963" s="1">
        <v>8790651373</v>
      </c>
      <c r="E2963" s="17" t="s">
        <v>151</v>
      </c>
      <c r="F2963" s="65" t="s">
        <v>4554</v>
      </c>
      <c r="G2963" s="2" t="s">
        <v>764</v>
      </c>
      <c r="H2963" s="1" t="s">
        <v>42</v>
      </c>
      <c r="I2963" s="4" t="s">
        <v>42</v>
      </c>
      <c r="J2963" s="31">
        <v>45806</v>
      </c>
      <c r="K2963" s="31">
        <v>45830</v>
      </c>
      <c r="L2963" s="31"/>
      <c r="M2963" s="31"/>
      <c r="N2963" s="31"/>
      <c r="O2963" s="2" t="s">
        <v>425</v>
      </c>
    </row>
    <row r="2964" spans="1:15">
      <c r="A2964" s="3">
        <f t="shared" si="47"/>
        <v>2963</v>
      </c>
      <c r="B2964" s="65" t="s">
        <v>4555</v>
      </c>
      <c r="C2964" s="1">
        <v>9642310079</v>
      </c>
      <c r="D2964" s="1">
        <v>8978361365</v>
      </c>
      <c r="E2964" s="17" t="s">
        <v>151</v>
      </c>
      <c r="F2964" s="65" t="s">
        <v>4556</v>
      </c>
      <c r="G2964" s="2" t="s">
        <v>764</v>
      </c>
      <c r="H2964" s="1" t="s">
        <v>42</v>
      </c>
      <c r="I2964" s="4" t="s">
        <v>42</v>
      </c>
      <c r="J2964" s="31">
        <v>45806</v>
      </c>
      <c r="K2964" s="31">
        <v>45830</v>
      </c>
      <c r="L2964" s="31"/>
      <c r="M2964" s="31"/>
      <c r="N2964" s="31"/>
      <c r="O2964" s="2" t="s">
        <v>425</v>
      </c>
    </row>
    <row r="2965" spans="1:15">
      <c r="A2965" s="3">
        <f t="shared" si="47"/>
        <v>2964</v>
      </c>
      <c r="B2965" s="65" t="s">
        <v>4557</v>
      </c>
      <c r="C2965" s="1">
        <v>6375877813</v>
      </c>
      <c r="D2965" s="6"/>
      <c r="E2965" s="17" t="s">
        <v>4558</v>
      </c>
      <c r="F2965" s="65" t="s">
        <v>4559</v>
      </c>
      <c r="G2965" s="2" t="s">
        <v>16</v>
      </c>
      <c r="H2965" s="1" t="s">
        <v>42</v>
      </c>
      <c r="I2965" s="4" t="s">
        <v>42</v>
      </c>
      <c r="J2965" s="31">
        <v>45806</v>
      </c>
      <c r="K2965" s="31">
        <v>45807</v>
      </c>
      <c r="L2965" s="31">
        <v>45807</v>
      </c>
      <c r="M2965" s="31">
        <v>45810</v>
      </c>
      <c r="N2965" s="31">
        <v>45814</v>
      </c>
      <c r="O2965" s="2" t="s">
        <v>297</v>
      </c>
    </row>
    <row r="2966" spans="1:15">
      <c r="A2966" s="3">
        <f t="shared" si="47"/>
        <v>2965</v>
      </c>
      <c r="B2966" s="65" t="s">
        <v>4560</v>
      </c>
      <c r="C2966" s="1">
        <v>8639040330</v>
      </c>
      <c r="D2966" s="6"/>
      <c r="E2966" s="17" t="s">
        <v>151</v>
      </c>
      <c r="F2966" s="65" t="s">
        <v>4561</v>
      </c>
      <c r="G2966" s="2" t="s">
        <v>16</v>
      </c>
      <c r="H2966" s="1" t="s">
        <v>42</v>
      </c>
      <c r="I2966" s="4" t="s">
        <v>42</v>
      </c>
      <c r="J2966" s="31">
        <v>45806</v>
      </c>
      <c r="K2966" s="31">
        <v>45824</v>
      </c>
      <c r="L2966" s="31">
        <v>45827</v>
      </c>
      <c r="M2966" s="31">
        <v>45834</v>
      </c>
      <c r="N2966" s="31">
        <v>45835</v>
      </c>
      <c r="O2966" s="2" t="s">
        <v>297</v>
      </c>
    </row>
    <row r="2967" spans="1:15">
      <c r="A2967" s="3">
        <f t="shared" si="47"/>
        <v>2966</v>
      </c>
      <c r="B2967" s="65" t="s">
        <v>4562</v>
      </c>
      <c r="C2967" s="1">
        <v>6354996832</v>
      </c>
      <c r="D2967" s="1">
        <v>9441044338</v>
      </c>
      <c r="E2967" s="17" t="s">
        <v>59</v>
      </c>
      <c r="F2967" s="65" t="s">
        <v>1663</v>
      </c>
      <c r="G2967" s="2" t="s">
        <v>424</v>
      </c>
      <c r="H2967" s="1" t="s">
        <v>660</v>
      </c>
      <c r="I2967" s="4" t="s">
        <v>42</v>
      </c>
      <c r="J2967" s="31">
        <v>45806</v>
      </c>
      <c r="K2967" s="31">
        <v>45807</v>
      </c>
      <c r="L2967" s="31"/>
      <c r="M2967" s="31"/>
      <c r="N2967" s="31"/>
      <c r="O2967" s="2" t="s">
        <v>425</v>
      </c>
    </row>
    <row r="2968" spans="1:15">
      <c r="A2968" s="3">
        <f t="shared" si="47"/>
        <v>2967</v>
      </c>
      <c r="B2968" s="65" t="s">
        <v>4563</v>
      </c>
      <c r="C2968" s="1">
        <v>9490081837</v>
      </c>
      <c r="D2968" s="1">
        <v>7007563643</v>
      </c>
      <c r="E2968" s="17" t="s">
        <v>52</v>
      </c>
      <c r="F2968" s="65" t="s">
        <v>4564</v>
      </c>
      <c r="G2968" s="2" t="s">
        <v>424</v>
      </c>
      <c r="H2968" s="1" t="s">
        <v>660</v>
      </c>
      <c r="I2968" s="4" t="s">
        <v>42</v>
      </c>
      <c r="J2968" s="31">
        <v>45806</v>
      </c>
      <c r="K2968" s="31">
        <v>45812</v>
      </c>
      <c r="L2968" s="31"/>
      <c r="M2968" s="31"/>
      <c r="N2968" s="31"/>
      <c r="O2968" s="2" t="s">
        <v>425</v>
      </c>
    </row>
    <row r="2969" spans="1:15">
      <c r="A2969" s="3">
        <f t="shared" si="47"/>
        <v>2968</v>
      </c>
      <c r="B2969" s="65" t="s">
        <v>4565</v>
      </c>
      <c r="C2969" s="1">
        <v>9340427826</v>
      </c>
      <c r="D2969" s="6"/>
      <c r="E2969" s="17" t="s">
        <v>127</v>
      </c>
      <c r="F2969" s="65" t="s">
        <v>471</v>
      </c>
      <c r="G2969" s="2" t="s">
        <v>424</v>
      </c>
      <c r="H2969" s="1" t="s">
        <v>3240</v>
      </c>
      <c r="I2969" s="4" t="s">
        <v>42</v>
      </c>
      <c r="J2969" s="31">
        <v>45806</v>
      </c>
      <c r="K2969" s="31">
        <v>45814</v>
      </c>
      <c r="L2969" s="31"/>
      <c r="M2969" s="31"/>
      <c r="N2969" s="31"/>
      <c r="O2969" s="2" t="s">
        <v>749</v>
      </c>
    </row>
    <row r="2970" spans="1:15">
      <c r="A2970" s="3">
        <f t="shared" si="47"/>
        <v>2969</v>
      </c>
      <c r="B2970" s="65" t="s">
        <v>4566</v>
      </c>
      <c r="C2970" s="1">
        <v>7729937760</v>
      </c>
      <c r="D2970" s="6"/>
      <c r="E2970" s="17" t="s">
        <v>124</v>
      </c>
      <c r="F2970" s="65" t="s">
        <v>443</v>
      </c>
      <c r="G2970" s="2" t="s">
        <v>424</v>
      </c>
      <c r="H2970" s="1" t="s">
        <v>3240</v>
      </c>
      <c r="I2970" s="4" t="s">
        <v>42</v>
      </c>
      <c r="J2970" s="31">
        <v>45806</v>
      </c>
      <c r="K2970" s="31">
        <v>45814</v>
      </c>
      <c r="L2970" s="31"/>
      <c r="M2970" s="31"/>
      <c r="N2970" s="31"/>
      <c r="O2970" s="2" t="s">
        <v>425</v>
      </c>
    </row>
    <row r="2971" spans="1:15">
      <c r="A2971" s="3">
        <f t="shared" si="47"/>
        <v>2970</v>
      </c>
      <c r="B2971" s="65" t="s">
        <v>4567</v>
      </c>
      <c r="C2971" s="1">
        <v>9658441441</v>
      </c>
      <c r="D2971" s="1">
        <v>9398390784</v>
      </c>
      <c r="E2971" s="17" t="s">
        <v>3223</v>
      </c>
      <c r="F2971" s="65" t="s">
        <v>4568</v>
      </c>
      <c r="G2971" s="2" t="s">
        <v>764</v>
      </c>
      <c r="H2971" s="1" t="s">
        <v>2425</v>
      </c>
      <c r="I2971" s="4" t="s">
        <v>42</v>
      </c>
      <c r="J2971" s="31">
        <v>45807</v>
      </c>
      <c r="K2971" s="31">
        <v>45824</v>
      </c>
      <c r="L2971" s="31"/>
      <c r="M2971" s="31"/>
      <c r="N2971" s="31"/>
      <c r="O2971" s="2" t="s">
        <v>425</v>
      </c>
    </row>
    <row r="2972" spans="1:15">
      <c r="A2972" s="3">
        <f t="shared" si="47"/>
        <v>2971</v>
      </c>
      <c r="B2972" s="65" t="s">
        <v>4569</v>
      </c>
      <c r="C2972" s="1">
        <v>8985993019</v>
      </c>
      <c r="D2972" s="6"/>
      <c r="E2972" s="17" t="s">
        <v>4570</v>
      </c>
      <c r="F2972" s="65" t="s">
        <v>4571</v>
      </c>
      <c r="G2972" s="2" t="s">
        <v>424</v>
      </c>
      <c r="H2972" s="1" t="s">
        <v>785</v>
      </c>
      <c r="I2972" s="4" t="s">
        <v>42</v>
      </c>
      <c r="J2972" s="31">
        <v>45807</v>
      </c>
      <c r="K2972" s="31">
        <v>45836</v>
      </c>
      <c r="L2972" s="31"/>
      <c r="M2972" s="31"/>
      <c r="N2972" s="31"/>
      <c r="O2972" s="2" t="s">
        <v>425</v>
      </c>
    </row>
    <row r="2973" spans="1:15">
      <c r="A2973" s="3">
        <f t="shared" si="47"/>
        <v>2972</v>
      </c>
      <c r="B2973" s="65" t="s">
        <v>4572</v>
      </c>
      <c r="C2973" s="1">
        <v>8431099508</v>
      </c>
      <c r="D2973" s="6"/>
      <c r="E2973" s="17" t="s">
        <v>4539</v>
      </c>
      <c r="F2973" s="65" t="s">
        <v>1312</v>
      </c>
      <c r="G2973" s="2" t="s">
        <v>295</v>
      </c>
      <c r="H2973" s="1" t="s">
        <v>999</v>
      </c>
      <c r="I2973" s="4" t="s">
        <v>88</v>
      </c>
      <c r="J2973" s="31">
        <v>45807</v>
      </c>
      <c r="K2973" s="31">
        <v>45807</v>
      </c>
      <c r="L2973" s="31">
        <v>45814</v>
      </c>
      <c r="M2973" s="31">
        <v>45891</v>
      </c>
      <c r="N2973" s="31"/>
      <c r="O2973" s="2" t="s">
        <v>297</v>
      </c>
    </row>
    <row r="2974" spans="1:15">
      <c r="A2974" s="3">
        <f t="shared" si="47"/>
        <v>2973</v>
      </c>
      <c r="B2974" s="65" t="s">
        <v>4573</v>
      </c>
      <c r="C2974" s="1">
        <v>7980671120</v>
      </c>
      <c r="D2974" s="6"/>
      <c r="E2974" s="17" t="s">
        <v>4539</v>
      </c>
      <c r="F2974" s="65" t="s">
        <v>451</v>
      </c>
      <c r="G2974" s="2" t="s">
        <v>416</v>
      </c>
      <c r="H2974" s="1" t="s">
        <v>999</v>
      </c>
      <c r="I2974" s="4" t="s">
        <v>88</v>
      </c>
      <c r="J2974" s="31">
        <v>45807</v>
      </c>
      <c r="K2974" s="31">
        <v>45807</v>
      </c>
      <c r="L2974" s="31"/>
      <c r="M2974" s="31"/>
      <c r="N2974" s="31"/>
      <c r="O2974" s="2" t="s">
        <v>297</v>
      </c>
    </row>
    <row r="2975" spans="1:15">
      <c r="A2975" s="3">
        <f t="shared" si="47"/>
        <v>2974</v>
      </c>
      <c r="B2975" s="65" t="s">
        <v>4574</v>
      </c>
      <c r="C2975" s="1">
        <v>8328380338</v>
      </c>
      <c r="D2975" s="6"/>
      <c r="E2975" s="17" t="s">
        <v>4539</v>
      </c>
      <c r="F2975" s="65" t="s">
        <v>4492</v>
      </c>
      <c r="G2975" s="2" t="s">
        <v>16</v>
      </c>
      <c r="H2975" s="1" t="s">
        <v>999</v>
      </c>
      <c r="I2975" s="4" t="s">
        <v>88</v>
      </c>
      <c r="J2975" s="31">
        <v>45807</v>
      </c>
      <c r="K2975" s="31">
        <v>45807</v>
      </c>
      <c r="L2975" s="31">
        <v>45810</v>
      </c>
      <c r="M2975" s="31">
        <v>45840</v>
      </c>
      <c r="N2975" s="31">
        <v>45840</v>
      </c>
      <c r="O2975" s="2" t="s">
        <v>297</v>
      </c>
    </row>
    <row r="2976" spans="1:15">
      <c r="A2976" s="3">
        <f t="shared" ref="A2976:A3039" si="48">ROW()-1</f>
        <v>2975</v>
      </c>
      <c r="B2976" s="65" t="s">
        <v>4575</v>
      </c>
      <c r="C2976" s="1">
        <v>9832939444</v>
      </c>
      <c r="D2976" s="6"/>
      <c r="E2976" s="17" t="s">
        <v>4576</v>
      </c>
      <c r="F2976" s="65" t="s">
        <v>569</v>
      </c>
      <c r="G2976" s="2" t="s">
        <v>295</v>
      </c>
      <c r="H2976" s="1" t="s">
        <v>999</v>
      </c>
      <c r="I2976" s="4" t="s">
        <v>88</v>
      </c>
      <c r="J2976" s="31">
        <v>45807</v>
      </c>
      <c r="K2976" s="31">
        <v>45807</v>
      </c>
      <c r="L2976" s="31">
        <v>45945</v>
      </c>
      <c r="M2976" s="31">
        <v>45976</v>
      </c>
      <c r="N2976" s="31"/>
      <c r="O2976" s="2" t="s">
        <v>297</v>
      </c>
    </row>
    <row r="2977" spans="1:15">
      <c r="A2977" s="3">
        <f t="shared" si="48"/>
        <v>2976</v>
      </c>
      <c r="B2977" s="65" t="s">
        <v>4577</v>
      </c>
      <c r="C2977" s="1">
        <v>9131871570</v>
      </c>
      <c r="D2977" s="6"/>
      <c r="E2977" s="17" t="s">
        <v>4539</v>
      </c>
      <c r="F2977" s="65" t="s">
        <v>1312</v>
      </c>
      <c r="G2977" s="2" t="s">
        <v>416</v>
      </c>
      <c r="H2977" s="1" t="s">
        <v>999</v>
      </c>
      <c r="I2977" s="4" t="s">
        <v>88</v>
      </c>
      <c r="J2977" s="31">
        <v>45807</v>
      </c>
      <c r="K2977" s="31">
        <v>45807</v>
      </c>
      <c r="L2977" s="31"/>
      <c r="M2977" s="31"/>
      <c r="N2977" s="31"/>
      <c r="O2977" s="2" t="s">
        <v>297</v>
      </c>
    </row>
    <row r="2978" spans="1:15">
      <c r="A2978" s="3">
        <f t="shared" si="48"/>
        <v>2977</v>
      </c>
      <c r="B2978" s="65" t="s">
        <v>4578</v>
      </c>
      <c r="C2978" s="1">
        <v>7013204911</v>
      </c>
      <c r="D2978" s="6"/>
      <c r="E2978" s="17" t="s">
        <v>4539</v>
      </c>
      <c r="F2978" s="65" t="s">
        <v>569</v>
      </c>
      <c r="G2978" s="2" t="s">
        <v>295</v>
      </c>
      <c r="H2978" s="1" t="s">
        <v>999</v>
      </c>
      <c r="I2978" s="4" t="s">
        <v>88</v>
      </c>
      <c r="J2978" s="31">
        <v>45807</v>
      </c>
      <c r="K2978" s="31">
        <v>45807</v>
      </c>
      <c r="L2978" s="31">
        <v>45810</v>
      </c>
      <c r="M2978" s="31">
        <v>45840</v>
      </c>
      <c r="N2978" s="31"/>
      <c r="O2978" s="2" t="s">
        <v>297</v>
      </c>
    </row>
    <row r="2979" spans="1:15">
      <c r="A2979" s="3">
        <f t="shared" si="48"/>
        <v>2978</v>
      </c>
      <c r="B2979" s="65" t="s">
        <v>4579</v>
      </c>
      <c r="C2979" s="1">
        <v>9936668739</v>
      </c>
      <c r="D2979" s="6"/>
      <c r="E2979" s="17" t="s">
        <v>4539</v>
      </c>
      <c r="F2979" s="65" t="s">
        <v>4580</v>
      </c>
      <c r="G2979" s="2" t="s">
        <v>424</v>
      </c>
      <c r="H2979" s="1" t="s">
        <v>999</v>
      </c>
      <c r="I2979" s="4" t="s">
        <v>88</v>
      </c>
      <c r="J2979" s="31">
        <v>45807</v>
      </c>
      <c r="K2979" s="31">
        <v>45807</v>
      </c>
      <c r="L2979" s="31"/>
      <c r="M2979" s="31"/>
      <c r="N2979" s="31"/>
      <c r="O2979" s="2" t="s">
        <v>425</v>
      </c>
    </row>
    <row r="2980" spans="1:15">
      <c r="A2980" s="3">
        <f t="shared" si="48"/>
        <v>2979</v>
      </c>
      <c r="B2980" s="65" t="s">
        <v>4581</v>
      </c>
      <c r="C2980" s="1">
        <v>8871444062</v>
      </c>
      <c r="D2980" s="6"/>
      <c r="E2980" s="17" t="s">
        <v>4539</v>
      </c>
      <c r="F2980" s="65" t="s">
        <v>1312</v>
      </c>
      <c r="G2980" s="2" t="s">
        <v>424</v>
      </c>
      <c r="H2980" s="1" t="s">
        <v>999</v>
      </c>
      <c r="I2980" s="4" t="s">
        <v>88</v>
      </c>
      <c r="J2980" s="31">
        <v>45807</v>
      </c>
      <c r="K2980" s="31">
        <v>45807</v>
      </c>
      <c r="L2980" s="31"/>
      <c r="M2980" s="31"/>
      <c r="N2980" s="31"/>
      <c r="O2980" s="2" t="s">
        <v>425</v>
      </c>
    </row>
    <row r="2981" spans="1:15">
      <c r="A2981" s="3">
        <f t="shared" si="48"/>
        <v>2980</v>
      </c>
      <c r="B2981" s="65" t="s">
        <v>4582</v>
      </c>
      <c r="C2981" s="1">
        <v>8744069910</v>
      </c>
      <c r="D2981" s="6"/>
      <c r="E2981" s="17" t="s">
        <v>4539</v>
      </c>
      <c r="F2981" s="65" t="s">
        <v>569</v>
      </c>
      <c r="G2981" s="2" t="s">
        <v>424</v>
      </c>
      <c r="H2981" s="1" t="s">
        <v>999</v>
      </c>
      <c r="I2981" s="4" t="s">
        <v>88</v>
      </c>
      <c r="J2981" s="31">
        <v>45807</v>
      </c>
      <c r="K2981" s="31">
        <v>45807</v>
      </c>
      <c r="L2981" s="31"/>
      <c r="M2981" s="31"/>
      <c r="N2981" s="31"/>
      <c r="O2981" s="2" t="s">
        <v>425</v>
      </c>
    </row>
    <row r="2982" spans="1:15">
      <c r="A2982" s="3">
        <f t="shared" si="48"/>
        <v>2981</v>
      </c>
      <c r="B2982" s="65" t="s">
        <v>4583</v>
      </c>
      <c r="C2982" s="1">
        <v>9457416468</v>
      </c>
      <c r="D2982" s="6"/>
      <c r="E2982" s="17" t="s">
        <v>4539</v>
      </c>
      <c r="F2982" s="65" t="s">
        <v>1312</v>
      </c>
      <c r="G2982" s="2" t="s">
        <v>424</v>
      </c>
      <c r="H2982" s="1" t="s">
        <v>999</v>
      </c>
      <c r="I2982" s="4" t="s">
        <v>88</v>
      </c>
      <c r="J2982" s="31">
        <v>45807</v>
      </c>
      <c r="K2982" s="31">
        <v>45807</v>
      </c>
      <c r="L2982" s="31"/>
      <c r="M2982" s="31"/>
      <c r="N2982" s="31"/>
      <c r="O2982" s="2" t="s">
        <v>425</v>
      </c>
    </row>
    <row r="2983" spans="1:15">
      <c r="A2983" s="3">
        <f t="shared" si="48"/>
        <v>2982</v>
      </c>
      <c r="B2983" s="65" t="s">
        <v>4584</v>
      </c>
      <c r="C2983" s="1">
        <v>9346045999</v>
      </c>
      <c r="D2983" s="1">
        <v>9533618336</v>
      </c>
      <c r="E2983" s="17" t="s">
        <v>4505</v>
      </c>
      <c r="F2983" s="65" t="s">
        <v>4585</v>
      </c>
      <c r="G2983" s="2" t="s">
        <v>295</v>
      </c>
      <c r="H2983" s="1" t="s">
        <v>162</v>
      </c>
      <c r="I2983" s="4" t="s">
        <v>42</v>
      </c>
      <c r="J2983" s="31">
        <v>45807</v>
      </c>
      <c r="K2983" s="31">
        <v>45810</v>
      </c>
      <c r="L2983" s="31">
        <v>45889</v>
      </c>
      <c r="M2983" s="31">
        <v>45925</v>
      </c>
      <c r="N2983" s="31"/>
      <c r="O2983" s="2" t="s">
        <v>297</v>
      </c>
    </row>
    <row r="2984" spans="1:15">
      <c r="A2984" s="3">
        <f t="shared" si="48"/>
        <v>2983</v>
      </c>
      <c r="B2984" s="65" t="s">
        <v>4586</v>
      </c>
      <c r="C2984" s="1">
        <v>9640935693</v>
      </c>
      <c r="D2984" s="6"/>
      <c r="E2984" s="17" t="s">
        <v>4570</v>
      </c>
      <c r="F2984" s="65" t="s">
        <v>4585</v>
      </c>
      <c r="G2984" s="2" t="s">
        <v>764</v>
      </c>
      <c r="H2984" s="1" t="s">
        <v>785</v>
      </c>
      <c r="I2984" s="4" t="s">
        <v>42</v>
      </c>
      <c r="J2984" s="31">
        <v>45807</v>
      </c>
      <c r="K2984" s="31">
        <v>45829</v>
      </c>
      <c r="L2984" s="31"/>
      <c r="M2984" s="31"/>
      <c r="N2984" s="31"/>
      <c r="O2984" s="2" t="s">
        <v>425</v>
      </c>
    </row>
    <row r="2985" spans="1:15">
      <c r="A2985" s="3">
        <f t="shared" si="48"/>
        <v>2984</v>
      </c>
      <c r="B2985" s="65" t="s">
        <v>4587</v>
      </c>
      <c r="C2985" s="1">
        <v>7077024342</v>
      </c>
      <c r="D2985" s="6"/>
      <c r="E2985" s="17" t="s">
        <v>4539</v>
      </c>
      <c r="F2985" s="65" t="s">
        <v>2116</v>
      </c>
      <c r="G2985" s="2" t="s">
        <v>16</v>
      </c>
      <c r="H2985" s="1" t="s">
        <v>999</v>
      </c>
      <c r="I2985" s="4" t="s">
        <v>88</v>
      </c>
      <c r="J2985" s="31">
        <v>45803</v>
      </c>
      <c r="K2985" s="31">
        <v>45805</v>
      </c>
      <c r="L2985" s="31">
        <v>45806</v>
      </c>
      <c r="M2985" s="31">
        <v>45836</v>
      </c>
      <c r="N2985" s="31">
        <v>45836</v>
      </c>
      <c r="O2985" s="2" t="s">
        <v>297</v>
      </c>
    </row>
    <row r="2986" spans="1:15">
      <c r="A2986" s="3">
        <f t="shared" si="48"/>
        <v>2985</v>
      </c>
      <c r="B2986" s="65" t="s">
        <v>4588</v>
      </c>
      <c r="C2986" s="1">
        <v>9392776302</v>
      </c>
      <c r="D2986" s="6"/>
      <c r="E2986" s="17" t="s">
        <v>4589</v>
      </c>
      <c r="F2986" s="65" t="s">
        <v>4590</v>
      </c>
      <c r="G2986" s="2" t="s">
        <v>16</v>
      </c>
      <c r="H2986" s="1" t="s">
        <v>1186</v>
      </c>
      <c r="I2986" s="4" t="s">
        <v>88</v>
      </c>
      <c r="J2986" s="31">
        <v>45803</v>
      </c>
      <c r="K2986" s="31">
        <v>45805</v>
      </c>
      <c r="L2986" s="31">
        <v>45806</v>
      </c>
      <c r="M2986" s="31">
        <v>45836</v>
      </c>
      <c r="N2986" s="31">
        <v>45836</v>
      </c>
      <c r="O2986" s="2" t="s">
        <v>297</v>
      </c>
    </row>
    <row r="2987" spans="1:15">
      <c r="A2987" s="3">
        <f t="shared" si="48"/>
        <v>2986</v>
      </c>
      <c r="B2987" s="65" t="s">
        <v>4591</v>
      </c>
      <c r="C2987" s="1">
        <v>8007345187</v>
      </c>
      <c r="D2987" s="1">
        <v>9156529391</v>
      </c>
      <c r="E2987" s="17" t="s">
        <v>4467</v>
      </c>
      <c r="F2987" s="65" t="s">
        <v>4592</v>
      </c>
      <c r="G2987" s="2" t="s">
        <v>16</v>
      </c>
      <c r="H2987" s="1" t="s">
        <v>4201</v>
      </c>
      <c r="I2987" s="4" t="s">
        <v>88</v>
      </c>
      <c r="J2987" s="31">
        <v>45803</v>
      </c>
      <c r="K2987" s="31">
        <v>45805</v>
      </c>
      <c r="L2987" s="31">
        <v>45806</v>
      </c>
      <c r="M2987" s="31">
        <v>45850</v>
      </c>
      <c r="N2987" s="31">
        <v>45850</v>
      </c>
      <c r="O2987" s="2" t="s">
        <v>297</v>
      </c>
    </row>
    <row r="2988" spans="1:15">
      <c r="A2988" s="3">
        <f t="shared" si="48"/>
        <v>2987</v>
      </c>
      <c r="B2988" s="65" t="s">
        <v>4593</v>
      </c>
      <c r="C2988" s="1">
        <v>7908344298</v>
      </c>
      <c r="D2988" s="1">
        <v>8536961527</v>
      </c>
      <c r="E2988" s="17" t="s">
        <v>640</v>
      </c>
      <c r="F2988" s="65" t="s">
        <v>294</v>
      </c>
      <c r="G2988" s="2" t="s">
        <v>764</v>
      </c>
      <c r="H2988" s="1" t="s">
        <v>630</v>
      </c>
      <c r="I2988" s="4" t="s">
        <v>94</v>
      </c>
      <c r="J2988" s="31">
        <v>45807</v>
      </c>
      <c r="K2988" s="31">
        <v>45820</v>
      </c>
      <c r="L2988" s="31"/>
      <c r="M2988" s="31"/>
      <c r="N2988" s="31"/>
      <c r="O2988" s="2" t="s">
        <v>425</v>
      </c>
    </row>
    <row r="2989" spans="1:15">
      <c r="A2989" s="3">
        <f t="shared" si="48"/>
        <v>2988</v>
      </c>
      <c r="B2989" s="65" t="s">
        <v>4594</v>
      </c>
      <c r="C2989" s="1">
        <v>9852151577</v>
      </c>
      <c r="D2989" s="6"/>
      <c r="E2989" s="17" t="s">
        <v>640</v>
      </c>
      <c r="F2989" s="65" t="s">
        <v>294</v>
      </c>
      <c r="G2989" s="2" t="s">
        <v>764</v>
      </c>
      <c r="H2989" s="1" t="s">
        <v>630</v>
      </c>
      <c r="I2989" s="4" t="s">
        <v>94</v>
      </c>
      <c r="J2989" s="31">
        <v>45807</v>
      </c>
      <c r="K2989" s="31">
        <v>45820</v>
      </c>
      <c r="L2989" s="31"/>
      <c r="M2989" s="31"/>
      <c r="N2989" s="31"/>
      <c r="O2989" s="2" t="s">
        <v>425</v>
      </c>
    </row>
    <row r="2990" spans="1:15">
      <c r="A2990" s="3">
        <f t="shared" si="48"/>
        <v>2989</v>
      </c>
      <c r="B2990" s="65" t="s">
        <v>4595</v>
      </c>
      <c r="C2990" s="1">
        <v>9635820161</v>
      </c>
      <c r="D2990" s="6"/>
      <c r="E2990" s="17" t="s">
        <v>640</v>
      </c>
      <c r="F2990" s="65" t="s">
        <v>294</v>
      </c>
      <c r="G2990" s="2" t="s">
        <v>764</v>
      </c>
      <c r="H2990" s="1" t="s">
        <v>630</v>
      </c>
      <c r="I2990" s="4" t="s">
        <v>94</v>
      </c>
      <c r="J2990" s="31">
        <v>45807</v>
      </c>
      <c r="K2990" s="31">
        <v>45820</v>
      </c>
      <c r="L2990" s="31"/>
      <c r="M2990" s="31"/>
      <c r="N2990" s="31"/>
      <c r="O2990" s="2" t="s">
        <v>425</v>
      </c>
    </row>
    <row r="2991" spans="1:15">
      <c r="A2991" s="3">
        <f t="shared" si="48"/>
        <v>2990</v>
      </c>
      <c r="B2991" s="65" t="s">
        <v>4596</v>
      </c>
      <c r="C2991" s="1">
        <v>6263262130</v>
      </c>
      <c r="D2991" s="1">
        <v>8823016504</v>
      </c>
      <c r="E2991" s="17" t="s">
        <v>4597</v>
      </c>
      <c r="F2991" s="65" t="s">
        <v>294</v>
      </c>
      <c r="G2991" s="2" t="s">
        <v>295</v>
      </c>
      <c r="H2991" s="1" t="s">
        <v>630</v>
      </c>
      <c r="I2991" s="4" t="s">
        <v>94</v>
      </c>
      <c r="J2991" s="31">
        <v>45807</v>
      </c>
      <c r="K2991" s="31">
        <v>45820</v>
      </c>
      <c r="L2991" s="31">
        <v>45853</v>
      </c>
      <c r="M2991" s="31">
        <v>45884</v>
      </c>
      <c r="N2991" s="31"/>
      <c r="O2991" s="2" t="s">
        <v>297</v>
      </c>
    </row>
    <row r="2992" spans="1:15">
      <c r="A2992" s="3">
        <f t="shared" si="48"/>
        <v>2991</v>
      </c>
      <c r="B2992" s="65" t="s">
        <v>4598</v>
      </c>
      <c r="C2992" s="1">
        <v>6290509554</v>
      </c>
      <c r="D2992" s="1">
        <v>9748263435</v>
      </c>
      <c r="E2992" s="17" t="s">
        <v>1014</v>
      </c>
      <c r="F2992" s="65" t="s">
        <v>294</v>
      </c>
      <c r="G2992" s="2" t="s">
        <v>764</v>
      </c>
      <c r="H2992" s="1" t="s">
        <v>630</v>
      </c>
      <c r="I2992" s="4" t="s">
        <v>94</v>
      </c>
      <c r="J2992" s="31">
        <v>45807</v>
      </c>
      <c r="K2992" s="31">
        <v>45820</v>
      </c>
      <c r="L2992" s="31"/>
      <c r="M2992" s="31"/>
      <c r="N2992" s="31"/>
      <c r="O2992" s="2" t="s">
        <v>425</v>
      </c>
    </row>
    <row r="2993" spans="1:15">
      <c r="A2993" s="3">
        <f t="shared" si="48"/>
        <v>2992</v>
      </c>
      <c r="B2993" s="65" t="s">
        <v>4599</v>
      </c>
      <c r="C2993" s="1">
        <v>7307581723</v>
      </c>
      <c r="D2993" s="1">
        <v>7769900000</v>
      </c>
      <c r="E2993" s="17" t="s">
        <v>1014</v>
      </c>
      <c r="F2993" s="65" t="s">
        <v>294</v>
      </c>
      <c r="G2993" s="2" t="s">
        <v>764</v>
      </c>
      <c r="H2993" s="1" t="s">
        <v>630</v>
      </c>
      <c r="I2993" s="4" t="s">
        <v>94</v>
      </c>
      <c r="J2993" s="31">
        <v>45807</v>
      </c>
      <c r="K2993" s="31">
        <v>45820</v>
      </c>
      <c r="L2993" s="31"/>
      <c r="M2993" s="31"/>
      <c r="N2993" s="31"/>
      <c r="O2993" s="2" t="s">
        <v>425</v>
      </c>
    </row>
    <row r="2994" spans="1:15">
      <c r="A2994" s="3">
        <f t="shared" si="48"/>
        <v>2993</v>
      </c>
      <c r="B2994" s="65" t="s">
        <v>4600</v>
      </c>
      <c r="C2994" s="1">
        <v>9450717279</v>
      </c>
      <c r="D2994" s="6"/>
      <c r="E2994" s="17" t="s">
        <v>2904</v>
      </c>
      <c r="F2994" s="65" t="s">
        <v>2177</v>
      </c>
      <c r="G2994" s="2" t="s">
        <v>424</v>
      </c>
      <c r="H2994" s="1" t="s">
        <v>296</v>
      </c>
      <c r="I2994" s="4" t="s">
        <v>88</v>
      </c>
      <c r="J2994" s="31">
        <v>45807</v>
      </c>
      <c r="K2994" s="31">
        <v>45826</v>
      </c>
      <c r="L2994" s="31"/>
      <c r="M2994" s="31"/>
      <c r="N2994" s="31"/>
      <c r="O2994" s="2" t="s">
        <v>425</v>
      </c>
    </row>
    <row r="2995" spans="1:15">
      <c r="A2995" s="3">
        <f t="shared" si="48"/>
        <v>2994</v>
      </c>
      <c r="B2995" s="65" t="s">
        <v>4601</v>
      </c>
      <c r="C2995" s="1">
        <v>9398360961</v>
      </c>
      <c r="D2995" s="1">
        <v>9652474248</v>
      </c>
      <c r="E2995" s="17" t="s">
        <v>2904</v>
      </c>
      <c r="F2995" s="65" t="s">
        <v>2177</v>
      </c>
      <c r="G2995" s="2" t="s">
        <v>424</v>
      </c>
      <c r="H2995" s="1" t="s">
        <v>296</v>
      </c>
      <c r="I2995" s="4" t="s">
        <v>88</v>
      </c>
      <c r="J2995" s="31">
        <v>45807</v>
      </c>
      <c r="K2995" s="31">
        <v>45826</v>
      </c>
      <c r="L2995" s="31"/>
      <c r="M2995" s="31"/>
      <c r="N2995" s="31"/>
      <c r="O2995" s="2" t="s">
        <v>425</v>
      </c>
    </row>
    <row r="2996" spans="1:15">
      <c r="A2996" s="3">
        <f t="shared" si="48"/>
        <v>2995</v>
      </c>
      <c r="B2996" s="65" t="s">
        <v>4602</v>
      </c>
      <c r="C2996" s="1">
        <v>8219949846</v>
      </c>
      <c r="D2996" s="6"/>
      <c r="E2996" s="17" t="s">
        <v>2904</v>
      </c>
      <c r="F2996" s="65" t="s">
        <v>2177</v>
      </c>
      <c r="G2996" s="2" t="s">
        <v>424</v>
      </c>
      <c r="H2996" s="1" t="s">
        <v>296</v>
      </c>
      <c r="I2996" s="4" t="s">
        <v>88</v>
      </c>
      <c r="J2996" s="31">
        <v>45807</v>
      </c>
      <c r="K2996" s="31">
        <v>45826</v>
      </c>
      <c r="L2996" s="31"/>
      <c r="M2996" s="31"/>
      <c r="N2996" s="31"/>
      <c r="O2996" s="2" t="s">
        <v>425</v>
      </c>
    </row>
    <row r="2997" spans="1:15">
      <c r="A2997" s="3">
        <f t="shared" si="48"/>
        <v>2996</v>
      </c>
      <c r="B2997" s="65" t="s">
        <v>4603</v>
      </c>
      <c r="C2997" s="1">
        <v>9045768813</v>
      </c>
      <c r="D2997" s="1">
        <v>8077400000</v>
      </c>
      <c r="E2997" s="17" t="s">
        <v>2904</v>
      </c>
      <c r="F2997" s="65" t="s">
        <v>2177</v>
      </c>
      <c r="G2997" s="2" t="s">
        <v>424</v>
      </c>
      <c r="H2997" s="1" t="s">
        <v>296</v>
      </c>
      <c r="I2997" s="4" t="s">
        <v>88</v>
      </c>
      <c r="J2997" s="31">
        <v>45807</v>
      </c>
      <c r="K2997" s="31">
        <v>45835</v>
      </c>
      <c r="L2997" s="31"/>
      <c r="M2997" s="31"/>
      <c r="N2997" s="31"/>
      <c r="O2997" s="2" t="s">
        <v>749</v>
      </c>
    </row>
    <row r="2998" spans="1:15">
      <c r="A2998" s="3">
        <f t="shared" si="48"/>
        <v>2997</v>
      </c>
      <c r="B2998" s="65" t="s">
        <v>4604</v>
      </c>
      <c r="C2998" s="1">
        <v>7302166449</v>
      </c>
      <c r="D2998" s="6"/>
      <c r="E2998" s="17" t="s">
        <v>2904</v>
      </c>
      <c r="F2998" s="65" t="s">
        <v>2177</v>
      </c>
      <c r="G2998" s="2" t="s">
        <v>424</v>
      </c>
      <c r="H2998" s="1" t="s">
        <v>296</v>
      </c>
      <c r="I2998" s="4" t="s">
        <v>88</v>
      </c>
      <c r="J2998" s="31">
        <v>45807</v>
      </c>
      <c r="K2998" s="31">
        <v>45830</v>
      </c>
      <c r="L2998" s="31"/>
      <c r="M2998" s="31"/>
      <c r="N2998" s="31"/>
      <c r="O2998" s="2" t="s">
        <v>425</v>
      </c>
    </row>
    <row r="2999" spans="1:15">
      <c r="A2999" s="3">
        <f t="shared" si="48"/>
        <v>2998</v>
      </c>
      <c r="B2999" s="65" t="s">
        <v>4605</v>
      </c>
      <c r="C2999" s="1">
        <v>9668773786</v>
      </c>
      <c r="D2999" s="1">
        <v>9040200000</v>
      </c>
      <c r="E2999" s="17" t="s">
        <v>3869</v>
      </c>
      <c r="F2999" s="65" t="s">
        <v>4606</v>
      </c>
      <c r="G2999" s="2" t="s">
        <v>295</v>
      </c>
      <c r="H2999" s="1" t="s">
        <v>3854</v>
      </c>
      <c r="I2999" s="4" t="s">
        <v>88</v>
      </c>
      <c r="J2999" s="31">
        <v>45807</v>
      </c>
      <c r="K2999" s="31">
        <v>45811</v>
      </c>
      <c r="L2999" s="31">
        <v>45814</v>
      </c>
      <c r="M2999" s="31">
        <v>45845</v>
      </c>
      <c r="N2999" s="31"/>
      <c r="O2999" s="2" t="s">
        <v>297</v>
      </c>
    </row>
    <row r="3000" spans="1:15">
      <c r="A3000" s="3">
        <f t="shared" si="48"/>
        <v>2999</v>
      </c>
      <c r="B3000" s="65" t="s">
        <v>4607</v>
      </c>
      <c r="C3000" s="1">
        <v>9994260210</v>
      </c>
      <c r="D3000" s="6"/>
      <c r="E3000" s="17" t="s">
        <v>52</v>
      </c>
      <c r="F3000" s="65"/>
      <c r="G3000" s="2" t="s">
        <v>424</v>
      </c>
      <c r="H3000" s="1" t="s">
        <v>660</v>
      </c>
      <c r="I3000" s="4" t="s">
        <v>42</v>
      </c>
      <c r="J3000" s="31">
        <v>45807</v>
      </c>
      <c r="K3000" s="31">
        <v>45808</v>
      </c>
      <c r="L3000" s="31"/>
      <c r="M3000" s="31"/>
      <c r="N3000" s="31"/>
      <c r="O3000" s="2" t="s">
        <v>425</v>
      </c>
    </row>
    <row r="3001" spans="1:15">
      <c r="A3001" s="3">
        <f t="shared" si="48"/>
        <v>3000</v>
      </c>
      <c r="B3001" s="65" t="s">
        <v>4608</v>
      </c>
      <c r="C3001" s="1">
        <v>9440875099</v>
      </c>
      <c r="D3001" s="1">
        <v>7989637477</v>
      </c>
      <c r="E3001" s="1" t="s">
        <v>4609</v>
      </c>
      <c r="F3001" s="65"/>
      <c r="G3001" s="2" t="s">
        <v>16</v>
      </c>
      <c r="H3001" s="1" t="s">
        <v>660</v>
      </c>
      <c r="I3001" s="4" t="s">
        <v>42</v>
      </c>
      <c r="J3001" s="31">
        <v>45807</v>
      </c>
      <c r="K3001" s="31">
        <v>45808</v>
      </c>
      <c r="L3001" s="31">
        <v>45835</v>
      </c>
      <c r="M3001" s="31">
        <v>45887</v>
      </c>
      <c r="N3001" s="31">
        <v>45887</v>
      </c>
      <c r="O3001" s="2" t="s">
        <v>297</v>
      </c>
    </row>
    <row r="3002" spans="1:15">
      <c r="A3002" s="3">
        <f t="shared" si="48"/>
        <v>3001</v>
      </c>
      <c r="B3002" s="65" t="s">
        <v>4610</v>
      </c>
      <c r="C3002" s="1">
        <v>8897262626</v>
      </c>
      <c r="D3002" s="6"/>
      <c r="E3002" s="17" t="s">
        <v>52</v>
      </c>
      <c r="F3002" s="65"/>
      <c r="G3002" s="2" t="s">
        <v>424</v>
      </c>
      <c r="H3002" s="1" t="s">
        <v>660</v>
      </c>
      <c r="I3002" s="4" t="s">
        <v>42</v>
      </c>
      <c r="J3002" s="31">
        <v>45807</v>
      </c>
      <c r="K3002" s="31">
        <v>45808</v>
      </c>
      <c r="L3002" s="31"/>
      <c r="M3002" s="31"/>
      <c r="N3002" s="31"/>
      <c r="O3002" s="2" t="s">
        <v>425</v>
      </c>
    </row>
    <row r="3003" spans="1:15">
      <c r="A3003" s="3">
        <f t="shared" si="48"/>
        <v>3002</v>
      </c>
      <c r="B3003" s="65" t="s">
        <v>4611</v>
      </c>
      <c r="C3003" s="1">
        <v>8008400394</v>
      </c>
      <c r="D3003" s="1">
        <v>8310796268</v>
      </c>
      <c r="E3003" s="17" t="s">
        <v>52</v>
      </c>
      <c r="F3003" s="65"/>
      <c r="G3003" s="2" t="s">
        <v>424</v>
      </c>
      <c r="H3003" s="1" t="s">
        <v>660</v>
      </c>
      <c r="I3003" s="4" t="s">
        <v>42</v>
      </c>
      <c r="J3003" s="31">
        <v>45807</v>
      </c>
      <c r="K3003" s="31">
        <v>45808</v>
      </c>
      <c r="L3003" s="31"/>
      <c r="M3003" s="31"/>
      <c r="N3003" s="31"/>
      <c r="O3003" s="2" t="s">
        <v>425</v>
      </c>
    </row>
    <row r="3004" spans="1:15">
      <c r="A3004" s="3">
        <f t="shared" si="48"/>
        <v>3003</v>
      </c>
      <c r="B3004" s="65" t="s">
        <v>4612</v>
      </c>
      <c r="C3004" s="1">
        <v>9550600100</v>
      </c>
      <c r="D3004" s="6"/>
      <c r="E3004" s="17" t="s">
        <v>52</v>
      </c>
      <c r="F3004" s="65"/>
      <c r="G3004" s="2" t="s">
        <v>295</v>
      </c>
      <c r="H3004" s="1" t="s">
        <v>679</v>
      </c>
      <c r="I3004" s="4" t="s">
        <v>42</v>
      </c>
      <c r="J3004" s="31">
        <v>45807</v>
      </c>
      <c r="K3004" s="31">
        <v>45807</v>
      </c>
      <c r="L3004" s="31">
        <v>45814</v>
      </c>
      <c r="M3004" s="31">
        <v>45873</v>
      </c>
      <c r="N3004" s="31"/>
      <c r="O3004" s="2" t="s">
        <v>297</v>
      </c>
    </row>
    <row r="3005" spans="1:15">
      <c r="A3005" s="3">
        <f t="shared" si="48"/>
        <v>3004</v>
      </c>
      <c r="B3005" s="65" t="s">
        <v>4613</v>
      </c>
      <c r="C3005" s="1">
        <v>7781834381</v>
      </c>
      <c r="D3005" s="6"/>
      <c r="E3005" s="17" t="s">
        <v>4413</v>
      </c>
      <c r="F3005" s="65"/>
      <c r="G3005" s="2" t="s">
        <v>18</v>
      </c>
      <c r="H3005" s="1" t="s">
        <v>999</v>
      </c>
      <c r="I3005" s="4" t="s">
        <v>94</v>
      </c>
      <c r="J3005" s="31">
        <v>45800</v>
      </c>
      <c r="K3005" s="31">
        <v>45807</v>
      </c>
      <c r="L3005" s="31">
        <v>45807</v>
      </c>
      <c r="M3005" s="31">
        <v>45855</v>
      </c>
      <c r="N3005" s="31"/>
      <c r="O3005" s="2" t="s">
        <v>297</v>
      </c>
    </row>
    <row r="3006" spans="1:15">
      <c r="A3006" s="3">
        <f t="shared" si="48"/>
        <v>3005</v>
      </c>
      <c r="B3006" s="65" t="s">
        <v>4614</v>
      </c>
      <c r="C3006" s="1">
        <v>7477267831</v>
      </c>
      <c r="D3006" s="6"/>
      <c r="E3006" s="17" t="s">
        <v>3925</v>
      </c>
      <c r="F3006" s="65"/>
      <c r="G3006" s="2" t="s">
        <v>16</v>
      </c>
      <c r="H3006" s="1" t="s">
        <v>296</v>
      </c>
      <c r="I3006" s="4" t="s">
        <v>94</v>
      </c>
      <c r="J3006" s="31">
        <v>45800</v>
      </c>
      <c r="K3006" s="31">
        <v>45807</v>
      </c>
      <c r="L3006" s="31">
        <v>45807</v>
      </c>
      <c r="M3006" s="31">
        <v>45810</v>
      </c>
      <c r="N3006" s="31">
        <v>45811</v>
      </c>
      <c r="O3006" s="2" t="s">
        <v>297</v>
      </c>
    </row>
    <row r="3007" spans="1:15">
      <c r="A3007" s="3">
        <f t="shared" si="48"/>
        <v>3006</v>
      </c>
      <c r="B3007" s="65" t="s">
        <v>4615</v>
      </c>
      <c r="C3007" s="1">
        <v>8555960200</v>
      </c>
      <c r="D3007" s="6"/>
      <c r="E3007" s="17" t="s">
        <v>1023</v>
      </c>
      <c r="F3007" s="65"/>
      <c r="G3007" s="2" t="s">
        <v>16</v>
      </c>
      <c r="H3007" s="1" t="s">
        <v>999</v>
      </c>
      <c r="I3007" s="4" t="s">
        <v>42</v>
      </c>
      <c r="J3007" s="31">
        <v>45800</v>
      </c>
      <c r="K3007" s="31">
        <v>45807</v>
      </c>
      <c r="L3007" s="31">
        <v>45807</v>
      </c>
      <c r="M3007" s="31">
        <v>45814</v>
      </c>
      <c r="N3007" s="31">
        <v>45814</v>
      </c>
      <c r="O3007" s="2" t="s">
        <v>297</v>
      </c>
    </row>
    <row r="3008" spans="1:15">
      <c r="A3008" s="3">
        <f t="shared" si="48"/>
        <v>3007</v>
      </c>
      <c r="B3008" s="65" t="s">
        <v>4616</v>
      </c>
      <c r="C3008" s="1">
        <v>9149882065</v>
      </c>
      <c r="D3008" s="6"/>
      <c r="E3008" s="17" t="s">
        <v>3954</v>
      </c>
      <c r="F3008" s="65" t="s">
        <v>3837</v>
      </c>
      <c r="G3008" s="2" t="s">
        <v>416</v>
      </c>
      <c r="H3008" s="1" t="s">
        <v>3240</v>
      </c>
      <c r="I3008" s="4" t="s">
        <v>42</v>
      </c>
      <c r="J3008" s="31">
        <v>45807</v>
      </c>
      <c r="K3008" s="31">
        <v>45814</v>
      </c>
      <c r="L3008" s="31"/>
      <c r="M3008" s="31"/>
      <c r="N3008" s="31"/>
      <c r="O3008" s="2" t="s">
        <v>297</v>
      </c>
    </row>
    <row r="3009" spans="1:15">
      <c r="A3009" s="3">
        <f t="shared" si="48"/>
        <v>3008</v>
      </c>
      <c r="B3009" s="65" t="s">
        <v>4617</v>
      </c>
      <c r="C3009" s="1">
        <v>9170578781</v>
      </c>
      <c r="D3009" s="6"/>
      <c r="E3009" s="17" t="s">
        <v>124</v>
      </c>
      <c r="F3009" s="65" t="s">
        <v>471</v>
      </c>
      <c r="G3009" s="2" t="s">
        <v>424</v>
      </c>
      <c r="H3009" s="1" t="s">
        <v>3240</v>
      </c>
      <c r="I3009" s="4" t="s">
        <v>42</v>
      </c>
      <c r="J3009" s="31">
        <v>45807</v>
      </c>
      <c r="K3009" s="31">
        <v>45814</v>
      </c>
      <c r="L3009" s="31"/>
      <c r="M3009" s="31"/>
      <c r="N3009" s="31"/>
      <c r="O3009" s="2" t="s">
        <v>425</v>
      </c>
    </row>
    <row r="3010" spans="1:15">
      <c r="A3010" s="3">
        <f t="shared" si="48"/>
        <v>3009</v>
      </c>
      <c r="B3010" s="65" t="s">
        <v>4618</v>
      </c>
      <c r="C3010" s="1">
        <v>8919194407</v>
      </c>
      <c r="D3010" s="6"/>
      <c r="E3010" s="17" t="s">
        <v>124</v>
      </c>
      <c r="F3010" s="65" t="s">
        <v>471</v>
      </c>
      <c r="G3010" s="2" t="s">
        <v>16</v>
      </c>
      <c r="H3010" s="1" t="s">
        <v>3240</v>
      </c>
      <c r="I3010" s="4" t="s">
        <v>42</v>
      </c>
      <c r="J3010" s="31">
        <v>45807</v>
      </c>
      <c r="K3010" s="31">
        <v>45821</v>
      </c>
      <c r="L3010" s="31">
        <v>45821</v>
      </c>
      <c r="M3010" s="31">
        <v>45843</v>
      </c>
      <c r="N3010" s="31">
        <v>45843</v>
      </c>
      <c r="O3010" s="2" t="s">
        <v>297</v>
      </c>
    </row>
    <row r="3011" spans="1:15">
      <c r="A3011" s="3">
        <f t="shared" si="48"/>
        <v>3010</v>
      </c>
      <c r="B3011" s="65" t="s">
        <v>4619</v>
      </c>
      <c r="C3011" s="1">
        <v>9149225955</v>
      </c>
      <c r="D3011" s="6"/>
      <c r="E3011" s="17" t="s">
        <v>124</v>
      </c>
      <c r="F3011" s="65" t="s">
        <v>471</v>
      </c>
      <c r="G3011" s="2" t="s">
        <v>424</v>
      </c>
      <c r="H3011" s="1" t="s">
        <v>3240</v>
      </c>
      <c r="I3011" s="4" t="s">
        <v>42</v>
      </c>
      <c r="J3011" s="31">
        <v>45807</v>
      </c>
      <c r="K3011" s="31">
        <v>45814</v>
      </c>
      <c r="L3011" s="31"/>
      <c r="M3011" s="31"/>
      <c r="N3011" s="31"/>
      <c r="O3011" s="2" t="s">
        <v>749</v>
      </c>
    </row>
    <row r="3012" spans="1:15">
      <c r="A3012" s="3">
        <f t="shared" si="48"/>
        <v>3011</v>
      </c>
      <c r="B3012" s="65" t="s">
        <v>4620</v>
      </c>
      <c r="C3012" s="1">
        <v>7585057289</v>
      </c>
      <c r="D3012" s="6"/>
      <c r="E3012" s="17" t="s">
        <v>124</v>
      </c>
      <c r="F3012" s="65" t="s">
        <v>471</v>
      </c>
      <c r="G3012" s="2" t="s">
        <v>424</v>
      </c>
      <c r="H3012" s="1" t="s">
        <v>3240</v>
      </c>
      <c r="I3012" s="4" t="s">
        <v>42</v>
      </c>
      <c r="J3012" s="31">
        <v>45807</v>
      </c>
      <c r="K3012" s="31">
        <v>45814</v>
      </c>
      <c r="L3012" s="31"/>
      <c r="M3012" s="31"/>
      <c r="N3012" s="31"/>
      <c r="O3012" s="2" t="s">
        <v>749</v>
      </c>
    </row>
    <row r="3013" spans="1:15">
      <c r="A3013" s="3">
        <f t="shared" si="48"/>
        <v>3012</v>
      </c>
      <c r="B3013" s="65" t="s">
        <v>4621</v>
      </c>
      <c r="C3013" s="1">
        <v>8500606321</v>
      </c>
      <c r="D3013" s="6"/>
      <c r="E3013" s="17" t="s">
        <v>124</v>
      </c>
      <c r="F3013" s="65" t="s">
        <v>471</v>
      </c>
      <c r="G3013" s="2" t="s">
        <v>424</v>
      </c>
      <c r="H3013" s="1" t="s">
        <v>3240</v>
      </c>
      <c r="I3013" s="4" t="s">
        <v>42</v>
      </c>
      <c r="J3013" s="31">
        <v>45807</v>
      </c>
      <c r="K3013" s="31">
        <v>45814</v>
      </c>
      <c r="L3013" s="31"/>
      <c r="M3013" s="31"/>
      <c r="N3013" s="31"/>
      <c r="O3013" s="2" t="s">
        <v>425</v>
      </c>
    </row>
    <row r="3014" spans="1:15">
      <c r="A3014" s="3">
        <f t="shared" si="48"/>
        <v>3013</v>
      </c>
      <c r="B3014" s="65" t="s">
        <v>4622</v>
      </c>
      <c r="C3014" s="1">
        <v>8977737376</v>
      </c>
      <c r="D3014" s="6"/>
      <c r="E3014" s="17" t="s">
        <v>4570</v>
      </c>
      <c r="F3014" s="65" t="s">
        <v>4623</v>
      </c>
      <c r="G3014" s="2" t="s">
        <v>16</v>
      </c>
      <c r="H3014" s="1" t="s">
        <v>785</v>
      </c>
      <c r="I3014" s="4" t="s">
        <v>42</v>
      </c>
      <c r="J3014" s="31">
        <v>45803</v>
      </c>
      <c r="K3014" s="31">
        <v>45803</v>
      </c>
      <c r="L3014" s="31">
        <v>45806</v>
      </c>
      <c r="M3014" s="31">
        <v>45832</v>
      </c>
      <c r="N3014" s="31">
        <v>45820</v>
      </c>
      <c r="O3014" s="2" t="s">
        <v>297</v>
      </c>
    </row>
    <row r="3015" spans="1:15">
      <c r="A3015" s="3">
        <f t="shared" si="48"/>
        <v>3014</v>
      </c>
      <c r="B3015" s="65" t="s">
        <v>4624</v>
      </c>
      <c r="C3015" s="1">
        <v>8688875348</v>
      </c>
      <c r="D3015" s="1">
        <v>8331977137</v>
      </c>
      <c r="E3015" s="17" t="s">
        <v>52</v>
      </c>
      <c r="F3015" s="65" t="s">
        <v>972</v>
      </c>
      <c r="G3015" s="2" t="s">
        <v>424</v>
      </c>
      <c r="H3015" s="1" t="s">
        <v>660</v>
      </c>
      <c r="I3015" s="4" t="s">
        <v>42</v>
      </c>
      <c r="J3015" s="31">
        <v>45807</v>
      </c>
      <c r="K3015" s="31">
        <v>45808</v>
      </c>
      <c r="L3015" s="31"/>
      <c r="M3015" s="31"/>
      <c r="N3015" s="31"/>
      <c r="O3015" s="2" t="s">
        <v>425</v>
      </c>
    </row>
    <row r="3016" spans="1:15">
      <c r="A3016" s="3">
        <f t="shared" si="48"/>
        <v>3015</v>
      </c>
      <c r="B3016" s="65" t="s">
        <v>4625</v>
      </c>
      <c r="C3016" s="1">
        <v>8886502501</v>
      </c>
      <c r="D3016" s="6"/>
      <c r="E3016" s="17" t="s">
        <v>4626</v>
      </c>
      <c r="F3016" s="65"/>
      <c r="G3016" s="2" t="s">
        <v>330</v>
      </c>
      <c r="H3016" s="1" t="s">
        <v>999</v>
      </c>
      <c r="I3016" s="4" t="s">
        <v>94</v>
      </c>
      <c r="J3016" s="31">
        <v>45800</v>
      </c>
      <c r="K3016" s="31">
        <v>45807</v>
      </c>
      <c r="L3016" s="31">
        <v>45807</v>
      </c>
      <c r="M3016" s="31">
        <v>45810</v>
      </c>
      <c r="N3016" s="31">
        <v>45810</v>
      </c>
      <c r="O3016" s="2" t="s">
        <v>297</v>
      </c>
    </row>
    <row r="3017" spans="1:15">
      <c r="A3017" s="3">
        <f t="shared" si="48"/>
        <v>3016</v>
      </c>
      <c r="B3017" s="65" t="s">
        <v>4627</v>
      </c>
      <c r="C3017" s="1">
        <v>7206493859</v>
      </c>
      <c r="D3017" s="6"/>
      <c r="E3017" s="17" t="s">
        <v>2753</v>
      </c>
      <c r="F3017" s="65" t="s">
        <v>4628</v>
      </c>
      <c r="G3017" s="2" t="s">
        <v>295</v>
      </c>
      <c r="H3017" s="1" t="s">
        <v>913</v>
      </c>
      <c r="I3017" s="4" t="s">
        <v>94</v>
      </c>
      <c r="J3017" s="31">
        <v>45796</v>
      </c>
      <c r="K3017" s="31">
        <v>45796</v>
      </c>
      <c r="L3017" s="31">
        <v>45806</v>
      </c>
      <c r="M3017" s="31">
        <v>45848</v>
      </c>
      <c r="N3017" s="31"/>
      <c r="O3017" s="2" t="s">
        <v>297</v>
      </c>
    </row>
    <row r="3018" spans="1:15">
      <c r="A3018" s="3">
        <f t="shared" si="48"/>
        <v>3017</v>
      </c>
      <c r="B3018" s="65" t="s">
        <v>4629</v>
      </c>
      <c r="C3018" s="1">
        <v>9494259564</v>
      </c>
      <c r="D3018" s="6"/>
      <c r="E3018" s="17" t="s">
        <v>3309</v>
      </c>
      <c r="F3018" s="65" t="s">
        <v>4630</v>
      </c>
      <c r="G3018" s="2" t="s">
        <v>18</v>
      </c>
      <c r="H3018" s="1" t="s">
        <v>296</v>
      </c>
      <c r="I3018" s="4" t="s">
        <v>94</v>
      </c>
      <c r="J3018" s="31">
        <v>45803</v>
      </c>
      <c r="K3018" s="31">
        <v>45806</v>
      </c>
      <c r="L3018" s="31"/>
      <c r="M3018" s="31"/>
      <c r="N3018" s="31"/>
      <c r="O3018" s="2" t="s">
        <v>297</v>
      </c>
    </row>
    <row r="3019" spans="1:15">
      <c r="A3019" s="3">
        <f t="shared" si="48"/>
        <v>3018</v>
      </c>
      <c r="B3019" s="65" t="s">
        <v>1099</v>
      </c>
      <c r="C3019" s="1">
        <v>7228027341</v>
      </c>
      <c r="D3019" s="6"/>
      <c r="E3019" s="17" t="s">
        <v>3309</v>
      </c>
      <c r="F3019" s="65" t="s">
        <v>446</v>
      </c>
      <c r="G3019" s="2" t="s">
        <v>424</v>
      </c>
      <c r="H3019" s="1" t="s">
        <v>296</v>
      </c>
      <c r="I3019" s="4" t="s">
        <v>94</v>
      </c>
      <c r="J3019" s="31">
        <v>45803</v>
      </c>
      <c r="K3019" s="31">
        <v>45834</v>
      </c>
      <c r="L3019" s="31"/>
      <c r="M3019" s="31"/>
      <c r="N3019" s="31"/>
      <c r="O3019" s="2" t="s">
        <v>749</v>
      </c>
    </row>
    <row r="3020" spans="1:15">
      <c r="A3020" s="3">
        <f t="shared" si="48"/>
        <v>3019</v>
      </c>
      <c r="B3020" s="65" t="s">
        <v>4631</v>
      </c>
      <c r="C3020" s="1">
        <v>9966172024</v>
      </c>
      <c r="D3020" s="6"/>
      <c r="E3020" s="17" t="s">
        <v>3928</v>
      </c>
      <c r="F3020" s="65" t="s">
        <v>569</v>
      </c>
      <c r="G3020" s="2" t="s">
        <v>424</v>
      </c>
      <c r="H3020" s="1" t="s">
        <v>296</v>
      </c>
      <c r="I3020" s="4" t="s">
        <v>94</v>
      </c>
      <c r="J3020" s="31">
        <v>45803</v>
      </c>
      <c r="K3020" s="31">
        <v>45838</v>
      </c>
      <c r="L3020" s="31"/>
      <c r="M3020" s="31"/>
      <c r="N3020" s="31"/>
      <c r="O3020" s="2" t="s">
        <v>425</v>
      </c>
    </row>
    <row r="3021" spans="1:15">
      <c r="A3021" s="3">
        <f t="shared" si="48"/>
        <v>3020</v>
      </c>
      <c r="B3021" s="65" t="s">
        <v>4632</v>
      </c>
      <c r="C3021" s="1">
        <v>7569780386</v>
      </c>
      <c r="D3021" s="6"/>
      <c r="E3021" s="17" t="s">
        <v>52</v>
      </c>
      <c r="F3021" s="65"/>
      <c r="G3021" s="2" t="s">
        <v>424</v>
      </c>
      <c r="H3021" s="1" t="s">
        <v>679</v>
      </c>
      <c r="I3021" s="4" t="s">
        <v>42</v>
      </c>
      <c r="J3021" s="31">
        <v>45807</v>
      </c>
      <c r="K3021" s="31">
        <v>45824</v>
      </c>
      <c r="L3021" s="31"/>
      <c r="M3021" s="31"/>
      <c r="N3021" s="31"/>
      <c r="O3021" s="2" t="s">
        <v>425</v>
      </c>
    </row>
    <row r="3022" spans="1:15">
      <c r="A3022" s="3">
        <f t="shared" si="48"/>
        <v>3021</v>
      </c>
      <c r="B3022" s="65" t="s">
        <v>4633</v>
      </c>
      <c r="C3022" s="1">
        <v>9398181692</v>
      </c>
      <c r="D3022" s="6"/>
      <c r="E3022" s="17" t="s">
        <v>3767</v>
      </c>
      <c r="F3022" s="65"/>
      <c r="G3022" s="2" t="s">
        <v>16</v>
      </c>
      <c r="H3022" s="1" t="s">
        <v>42</v>
      </c>
      <c r="I3022" s="4" t="s">
        <v>42</v>
      </c>
      <c r="J3022" s="31">
        <v>45800</v>
      </c>
      <c r="K3022" s="31">
        <v>45807</v>
      </c>
      <c r="L3022" s="31">
        <v>45807</v>
      </c>
      <c r="M3022" s="31">
        <v>45832</v>
      </c>
      <c r="N3022" s="31">
        <v>45824</v>
      </c>
      <c r="O3022" s="2" t="s">
        <v>297</v>
      </c>
    </row>
    <row r="3023" spans="1:15">
      <c r="A3023" s="3">
        <f t="shared" si="48"/>
        <v>3022</v>
      </c>
      <c r="B3023" s="65" t="s">
        <v>4634</v>
      </c>
      <c r="C3023" s="1">
        <v>7601062196</v>
      </c>
      <c r="D3023" s="6"/>
      <c r="E3023" s="17" t="s">
        <v>2176</v>
      </c>
      <c r="F3023" s="65"/>
      <c r="G3023" s="2" t="s">
        <v>295</v>
      </c>
      <c r="H3023" s="1" t="s">
        <v>296</v>
      </c>
      <c r="I3023" s="4" t="s">
        <v>42</v>
      </c>
      <c r="J3023" s="31">
        <v>45800</v>
      </c>
      <c r="K3023" s="31">
        <v>45807</v>
      </c>
      <c r="L3023" s="31">
        <v>45798</v>
      </c>
      <c r="M3023" s="31">
        <v>45845</v>
      </c>
      <c r="N3023" s="31"/>
      <c r="O3023" s="2" t="s">
        <v>297</v>
      </c>
    </row>
    <row r="3024" spans="1:15">
      <c r="A3024" s="3">
        <f t="shared" si="48"/>
        <v>3023</v>
      </c>
      <c r="B3024" s="65" t="s">
        <v>4635</v>
      </c>
      <c r="C3024" s="1">
        <v>8012377958</v>
      </c>
      <c r="D3024" s="1">
        <v>8610499311</v>
      </c>
      <c r="E3024" s="17" t="s">
        <v>4539</v>
      </c>
      <c r="F3024" s="65" t="s">
        <v>2116</v>
      </c>
      <c r="G3024" s="2" t="s">
        <v>16</v>
      </c>
      <c r="H3024" s="1" t="s">
        <v>999</v>
      </c>
      <c r="I3024" s="4" t="s">
        <v>88</v>
      </c>
      <c r="J3024" s="31">
        <v>45810</v>
      </c>
      <c r="K3024" s="31">
        <v>45810</v>
      </c>
      <c r="L3024" s="31">
        <v>45810</v>
      </c>
      <c r="M3024" s="31">
        <v>45840</v>
      </c>
      <c r="N3024" s="31">
        <v>45840</v>
      </c>
      <c r="O3024" s="2" t="s">
        <v>297</v>
      </c>
    </row>
    <row r="3025" spans="1:15">
      <c r="A3025" s="3">
        <f t="shared" si="48"/>
        <v>3024</v>
      </c>
      <c r="B3025" s="65" t="s">
        <v>4636</v>
      </c>
      <c r="C3025" s="1">
        <v>9500725440</v>
      </c>
      <c r="D3025" s="6"/>
      <c r="E3025" s="17" t="s">
        <v>2084</v>
      </c>
      <c r="F3025" s="65" t="s">
        <v>4637</v>
      </c>
      <c r="G3025" s="2" t="s">
        <v>16</v>
      </c>
      <c r="H3025" s="1" t="s">
        <v>999</v>
      </c>
      <c r="I3025" s="4" t="s">
        <v>88</v>
      </c>
      <c r="J3025" s="31">
        <v>45810</v>
      </c>
      <c r="K3025" s="31">
        <v>45810</v>
      </c>
      <c r="L3025" s="31">
        <v>45810</v>
      </c>
      <c r="M3025" s="31">
        <v>45840</v>
      </c>
      <c r="N3025" s="31">
        <v>45840</v>
      </c>
      <c r="O3025" s="2" t="s">
        <v>297</v>
      </c>
    </row>
    <row r="3026" spans="1:15">
      <c r="A3026" s="3">
        <f t="shared" si="48"/>
        <v>3025</v>
      </c>
      <c r="B3026" s="65" t="s">
        <v>4638</v>
      </c>
      <c r="C3026" s="1">
        <v>9392181517</v>
      </c>
      <c r="D3026" s="6"/>
      <c r="E3026" s="17" t="s">
        <v>124</v>
      </c>
      <c r="F3026" s="65" t="s">
        <v>245</v>
      </c>
      <c r="G3026" s="2" t="s">
        <v>16</v>
      </c>
      <c r="H3026" s="1" t="s">
        <v>3240</v>
      </c>
      <c r="I3026" s="4" t="s">
        <v>42</v>
      </c>
      <c r="J3026" s="31">
        <v>45810</v>
      </c>
      <c r="K3026" s="31">
        <v>45814</v>
      </c>
      <c r="L3026" s="31">
        <v>45814</v>
      </c>
      <c r="M3026" s="31">
        <v>45845</v>
      </c>
      <c r="N3026" s="31">
        <v>45821</v>
      </c>
      <c r="O3026" s="2" t="s">
        <v>297</v>
      </c>
    </row>
    <row r="3027" spans="1:15">
      <c r="A3027" s="3">
        <f t="shared" si="48"/>
        <v>3026</v>
      </c>
      <c r="B3027" s="65" t="s">
        <v>4639</v>
      </c>
      <c r="C3027" s="1">
        <v>9000184641</v>
      </c>
      <c r="D3027" s="1">
        <v>9505646034</v>
      </c>
      <c r="E3027" s="17" t="s">
        <v>127</v>
      </c>
      <c r="F3027" s="65" t="s">
        <v>4640</v>
      </c>
      <c r="G3027" s="2" t="s">
        <v>424</v>
      </c>
      <c r="H3027" s="1" t="s">
        <v>3240</v>
      </c>
      <c r="I3027" s="4" t="s">
        <v>42</v>
      </c>
      <c r="J3027" s="31">
        <v>45810</v>
      </c>
      <c r="K3027" s="31">
        <v>45814</v>
      </c>
      <c r="L3027" s="31"/>
      <c r="M3027" s="31"/>
      <c r="N3027" s="31"/>
      <c r="O3027" s="2" t="s">
        <v>425</v>
      </c>
    </row>
    <row r="3028" spans="1:15">
      <c r="A3028" s="3">
        <f t="shared" si="48"/>
        <v>3027</v>
      </c>
      <c r="B3028" s="65" t="s">
        <v>4641</v>
      </c>
      <c r="C3028" s="1">
        <v>9553553710</v>
      </c>
      <c r="D3028" s="6"/>
      <c r="E3028" s="17" t="s">
        <v>127</v>
      </c>
      <c r="F3028" s="65" t="s">
        <v>4642</v>
      </c>
      <c r="G3028" s="2" t="s">
        <v>424</v>
      </c>
      <c r="H3028" s="1" t="s">
        <v>3240</v>
      </c>
      <c r="I3028" s="4" t="s">
        <v>42</v>
      </c>
      <c r="J3028" s="31">
        <v>45810</v>
      </c>
      <c r="K3028" s="31">
        <v>45821</v>
      </c>
      <c r="L3028" s="31"/>
      <c r="M3028" s="31"/>
      <c r="N3028" s="31"/>
      <c r="O3028" s="2" t="s">
        <v>749</v>
      </c>
    </row>
    <row r="3029" spans="1:15">
      <c r="A3029" s="3">
        <f t="shared" si="48"/>
        <v>3028</v>
      </c>
      <c r="B3029" s="65" t="s">
        <v>4643</v>
      </c>
      <c r="C3029" s="1">
        <v>9804043877</v>
      </c>
      <c r="D3029" s="6"/>
      <c r="E3029" s="17" t="s">
        <v>4223</v>
      </c>
      <c r="F3029" s="65" t="s">
        <v>4238</v>
      </c>
      <c r="G3029" s="2" t="s">
        <v>295</v>
      </c>
      <c r="H3029" s="1" t="s">
        <v>368</v>
      </c>
      <c r="I3029" s="4" t="s">
        <v>94</v>
      </c>
      <c r="J3029" s="31">
        <v>45796</v>
      </c>
      <c r="K3029" s="31">
        <v>45797</v>
      </c>
      <c r="L3029" s="31">
        <v>45810</v>
      </c>
      <c r="M3029" s="31">
        <v>45818</v>
      </c>
      <c r="N3029" s="31"/>
      <c r="O3029" s="2" t="s">
        <v>297</v>
      </c>
    </row>
    <row r="3030" spans="1:15">
      <c r="A3030" s="3">
        <f t="shared" si="48"/>
        <v>3029</v>
      </c>
      <c r="B3030" s="65" t="s">
        <v>4644</v>
      </c>
      <c r="C3030" s="1">
        <v>9670402075</v>
      </c>
      <c r="D3030" s="1">
        <v>8840378197</v>
      </c>
      <c r="E3030" s="17" t="s">
        <v>980</v>
      </c>
      <c r="F3030" s="65" t="s">
        <v>1935</v>
      </c>
      <c r="G3030" s="2" t="s">
        <v>16</v>
      </c>
      <c r="H3030" s="1" t="s">
        <v>352</v>
      </c>
      <c r="I3030" s="4" t="s">
        <v>94</v>
      </c>
      <c r="J3030" s="31">
        <v>45811</v>
      </c>
      <c r="K3030" s="31">
        <v>45812</v>
      </c>
      <c r="L3030" s="31">
        <v>45814</v>
      </c>
      <c r="M3030" s="31">
        <v>45831</v>
      </c>
      <c r="N3030" s="31">
        <v>45830</v>
      </c>
      <c r="O3030" s="2" t="s">
        <v>297</v>
      </c>
    </row>
    <row r="3031" spans="1:15">
      <c r="A3031" s="3">
        <f t="shared" si="48"/>
        <v>3030</v>
      </c>
      <c r="B3031" s="65" t="s">
        <v>4645</v>
      </c>
      <c r="C3031" s="1">
        <v>9140239595</v>
      </c>
      <c r="E3031" s="17" t="s">
        <v>980</v>
      </c>
      <c r="F3031" s="65" t="s">
        <v>1935</v>
      </c>
      <c r="G3031" s="2" t="s">
        <v>16</v>
      </c>
      <c r="H3031" s="1" t="s">
        <v>352</v>
      </c>
      <c r="I3031" s="4" t="s">
        <v>94</v>
      </c>
      <c r="J3031" s="31">
        <v>45811</v>
      </c>
      <c r="K3031" s="31">
        <v>45812</v>
      </c>
      <c r="L3031" s="31">
        <v>45814</v>
      </c>
      <c r="M3031" s="31">
        <v>45854</v>
      </c>
      <c r="N3031" s="31">
        <v>45854</v>
      </c>
      <c r="O3031" s="2" t="s">
        <v>297</v>
      </c>
    </row>
    <row r="3032" spans="1:15">
      <c r="A3032" s="3">
        <f t="shared" si="48"/>
        <v>3031</v>
      </c>
      <c r="B3032" s="65" t="s">
        <v>4646</v>
      </c>
      <c r="C3032" s="1">
        <v>7985355203</v>
      </c>
      <c r="D3032" s="6"/>
      <c r="E3032" s="17" t="s">
        <v>980</v>
      </c>
      <c r="F3032" s="65" t="s">
        <v>4647</v>
      </c>
      <c r="G3032" s="2" t="s">
        <v>16</v>
      </c>
      <c r="H3032" s="1" t="s">
        <v>352</v>
      </c>
      <c r="I3032" s="4" t="s">
        <v>94</v>
      </c>
      <c r="J3032" s="31">
        <v>45811</v>
      </c>
      <c r="K3032" s="31">
        <v>45812</v>
      </c>
      <c r="L3032" s="31">
        <v>45814</v>
      </c>
      <c r="M3032" s="31">
        <v>45844</v>
      </c>
      <c r="N3032" s="31">
        <v>45846</v>
      </c>
      <c r="O3032" s="2" t="s">
        <v>297</v>
      </c>
    </row>
    <row r="3033" spans="1:15">
      <c r="A3033" s="3">
        <f t="shared" si="48"/>
        <v>3032</v>
      </c>
      <c r="B3033" s="65" t="s">
        <v>4648</v>
      </c>
      <c r="C3033" s="1">
        <v>9713300491</v>
      </c>
      <c r="D3033" s="6"/>
      <c r="E3033" s="17" t="s">
        <v>350</v>
      </c>
      <c r="F3033" s="65" t="s">
        <v>1935</v>
      </c>
      <c r="G3033" s="2" t="s">
        <v>16</v>
      </c>
      <c r="H3033" s="1" t="s">
        <v>352</v>
      </c>
      <c r="I3033" s="4" t="s">
        <v>94</v>
      </c>
      <c r="J3033" s="31">
        <v>45811</v>
      </c>
      <c r="K3033" s="31">
        <v>45812</v>
      </c>
      <c r="L3033" s="31">
        <v>45814</v>
      </c>
      <c r="M3033" s="31">
        <v>45838</v>
      </c>
      <c r="N3033" s="31">
        <v>45836</v>
      </c>
      <c r="O3033" s="2" t="s">
        <v>297</v>
      </c>
    </row>
    <row r="3034" spans="1:15">
      <c r="A3034" s="3">
        <f t="shared" si="48"/>
        <v>3033</v>
      </c>
      <c r="B3034" s="65" t="s">
        <v>4649</v>
      </c>
      <c r="C3034" s="1">
        <v>6307412014</v>
      </c>
      <c r="D3034" s="6"/>
      <c r="E3034" s="17" t="s">
        <v>350</v>
      </c>
      <c r="F3034" s="65" t="s">
        <v>1935</v>
      </c>
      <c r="G3034" s="2" t="s">
        <v>16</v>
      </c>
      <c r="H3034" s="1" t="s">
        <v>352</v>
      </c>
      <c r="I3034" s="4" t="s">
        <v>94</v>
      </c>
      <c r="J3034" s="31">
        <v>45811</v>
      </c>
      <c r="K3034" s="31">
        <v>45812</v>
      </c>
      <c r="L3034" s="31">
        <v>45821</v>
      </c>
      <c r="M3034" s="31">
        <v>45838</v>
      </c>
      <c r="N3034" s="31">
        <v>45837</v>
      </c>
      <c r="O3034" s="2" t="s">
        <v>297</v>
      </c>
    </row>
    <row r="3035" spans="1:15">
      <c r="A3035" s="3">
        <f t="shared" si="48"/>
        <v>3034</v>
      </c>
      <c r="B3035" s="65" t="s">
        <v>4650</v>
      </c>
      <c r="C3035" s="1">
        <v>9720478394</v>
      </c>
      <c r="D3035" s="6"/>
      <c r="E3035" s="17" t="s">
        <v>350</v>
      </c>
      <c r="F3035" s="65" t="s">
        <v>1935</v>
      </c>
      <c r="G3035" s="2" t="s">
        <v>16</v>
      </c>
      <c r="H3035" s="1" t="s">
        <v>352</v>
      </c>
      <c r="I3035" s="4" t="s">
        <v>94</v>
      </c>
      <c r="J3035" s="31">
        <v>45811</v>
      </c>
      <c r="K3035" s="31">
        <v>45812</v>
      </c>
      <c r="L3035" s="31">
        <v>45814</v>
      </c>
      <c r="M3035" s="31">
        <v>45831</v>
      </c>
      <c r="N3035" s="31">
        <v>45831</v>
      </c>
      <c r="O3035" s="2" t="s">
        <v>297</v>
      </c>
    </row>
    <row r="3036" spans="1:15">
      <c r="A3036" s="3">
        <f t="shared" si="48"/>
        <v>3035</v>
      </c>
      <c r="B3036" s="65" t="s">
        <v>4651</v>
      </c>
      <c r="C3036" s="1">
        <v>9719635286</v>
      </c>
      <c r="D3036" s="6"/>
      <c r="E3036" s="17" t="s">
        <v>350</v>
      </c>
      <c r="F3036" s="65" t="s">
        <v>4652</v>
      </c>
      <c r="G3036" s="2" t="s">
        <v>16</v>
      </c>
      <c r="H3036" s="1" t="s">
        <v>352</v>
      </c>
      <c r="I3036" s="4" t="s">
        <v>94</v>
      </c>
      <c r="J3036" s="31">
        <v>45811</v>
      </c>
      <c r="K3036" s="31">
        <v>45812</v>
      </c>
      <c r="L3036" s="31">
        <v>45814</v>
      </c>
      <c r="M3036" s="31">
        <v>45861</v>
      </c>
      <c r="N3036" s="31">
        <v>45861</v>
      </c>
      <c r="O3036" s="2" t="s">
        <v>297</v>
      </c>
    </row>
    <row r="3037" spans="1:15">
      <c r="A3037" s="3">
        <f t="shared" si="48"/>
        <v>3036</v>
      </c>
      <c r="B3037" s="65" t="s">
        <v>4653</v>
      </c>
      <c r="C3037" s="1">
        <v>9491913020</v>
      </c>
      <c r="D3037" s="6"/>
      <c r="E3037" s="17" t="s">
        <v>4654</v>
      </c>
      <c r="F3037" s="65" t="s">
        <v>4655</v>
      </c>
      <c r="G3037" s="2" t="s">
        <v>416</v>
      </c>
      <c r="H3037" s="1" t="s">
        <v>162</v>
      </c>
      <c r="I3037" s="4" t="s">
        <v>88</v>
      </c>
      <c r="J3037" s="31">
        <v>45811</v>
      </c>
      <c r="K3037" s="31">
        <v>45832</v>
      </c>
      <c r="L3037" s="31"/>
      <c r="M3037" s="31"/>
      <c r="N3037" s="31"/>
      <c r="O3037" s="2" t="s">
        <v>297</v>
      </c>
    </row>
    <row r="3038" spans="1:15">
      <c r="A3038" s="3">
        <f t="shared" si="48"/>
        <v>3037</v>
      </c>
      <c r="B3038" s="65" t="s">
        <v>4656</v>
      </c>
      <c r="C3038" s="1">
        <v>8374835550</v>
      </c>
      <c r="D3038" s="6"/>
      <c r="E3038" s="17" t="s">
        <v>4054</v>
      </c>
      <c r="F3038" s="65" t="s">
        <v>4657</v>
      </c>
      <c r="G3038" s="2" t="s">
        <v>416</v>
      </c>
      <c r="H3038" s="1" t="s">
        <v>296</v>
      </c>
      <c r="I3038" s="4" t="s">
        <v>94</v>
      </c>
      <c r="J3038" s="31">
        <v>45811</v>
      </c>
      <c r="K3038" s="31">
        <v>45833</v>
      </c>
      <c r="L3038" s="31"/>
      <c r="M3038" s="31"/>
      <c r="N3038" s="31"/>
      <c r="O3038" s="2" t="s">
        <v>297</v>
      </c>
    </row>
    <row r="3039" spans="1:15">
      <c r="A3039" s="3">
        <f t="shared" si="48"/>
        <v>3038</v>
      </c>
      <c r="B3039" s="65" t="s">
        <v>4658</v>
      </c>
      <c r="C3039" s="1">
        <v>9721321918</v>
      </c>
      <c r="D3039" s="1">
        <v>7007741352</v>
      </c>
      <c r="E3039" s="17" t="s">
        <v>2904</v>
      </c>
      <c r="F3039" s="65" t="s">
        <v>2177</v>
      </c>
      <c r="G3039" s="2" t="s">
        <v>416</v>
      </c>
      <c r="H3039" s="1" t="s">
        <v>296</v>
      </c>
      <c r="I3039" s="4" t="s">
        <v>88</v>
      </c>
      <c r="J3039" s="31">
        <v>45811</v>
      </c>
      <c r="K3039" s="31">
        <v>45830</v>
      </c>
      <c r="L3039" s="31"/>
      <c r="M3039" s="31"/>
      <c r="N3039" s="31"/>
      <c r="O3039" s="2" t="s">
        <v>297</v>
      </c>
    </row>
    <row r="3040" spans="1:15">
      <c r="A3040" s="3">
        <f t="shared" ref="A3040:A3103" si="49">ROW()-1</f>
        <v>3039</v>
      </c>
      <c r="B3040" s="65" t="s">
        <v>4659</v>
      </c>
      <c r="C3040" s="1">
        <v>7018518089</v>
      </c>
      <c r="D3040" s="6"/>
      <c r="E3040" s="17" t="s">
        <v>4404</v>
      </c>
      <c r="F3040" s="65" t="s">
        <v>4405</v>
      </c>
      <c r="G3040" s="2" t="s">
        <v>424</v>
      </c>
      <c r="H3040" s="1" t="s">
        <v>296</v>
      </c>
      <c r="I3040" s="4" t="s">
        <v>88</v>
      </c>
      <c r="J3040" s="31">
        <v>45811</v>
      </c>
      <c r="K3040" s="31">
        <v>45830</v>
      </c>
      <c r="L3040" s="31"/>
      <c r="M3040" s="31"/>
      <c r="N3040" s="31"/>
      <c r="O3040" s="2" t="s">
        <v>425</v>
      </c>
    </row>
    <row r="3041" spans="1:15">
      <c r="A3041" s="3">
        <f t="shared" si="49"/>
        <v>3040</v>
      </c>
      <c r="B3041" s="65" t="s">
        <v>4660</v>
      </c>
      <c r="C3041" s="1">
        <v>8939300001</v>
      </c>
      <c r="D3041" s="6"/>
      <c r="E3041" s="17" t="s">
        <v>4404</v>
      </c>
      <c r="F3041" s="65" t="s">
        <v>4405</v>
      </c>
      <c r="G3041" s="2" t="s">
        <v>424</v>
      </c>
      <c r="H3041" s="1" t="s">
        <v>296</v>
      </c>
      <c r="I3041" s="4" t="s">
        <v>88</v>
      </c>
      <c r="J3041" s="31">
        <v>45811</v>
      </c>
      <c r="K3041" s="31">
        <v>45841</v>
      </c>
      <c r="L3041" s="31"/>
      <c r="M3041" s="31"/>
      <c r="N3041" s="31"/>
      <c r="O3041" s="2" t="s">
        <v>749</v>
      </c>
    </row>
    <row r="3042" spans="1:15">
      <c r="A3042" s="3">
        <f t="shared" si="49"/>
        <v>3041</v>
      </c>
      <c r="B3042" s="65" t="s">
        <v>4661</v>
      </c>
      <c r="C3042" s="1">
        <v>9542557029</v>
      </c>
      <c r="D3042" s="6"/>
      <c r="E3042" s="17" t="s">
        <v>3226</v>
      </c>
      <c r="F3042" s="65" t="s">
        <v>4662</v>
      </c>
      <c r="G3042" s="2" t="s">
        <v>424</v>
      </c>
      <c r="H3042" s="1" t="s">
        <v>2425</v>
      </c>
      <c r="I3042" s="4" t="s">
        <v>42</v>
      </c>
      <c r="J3042" s="31">
        <v>45811</v>
      </c>
      <c r="K3042" s="31">
        <v>45824</v>
      </c>
      <c r="L3042" s="31"/>
      <c r="M3042" s="31"/>
      <c r="N3042" s="31"/>
      <c r="O3042" s="2" t="s">
        <v>749</v>
      </c>
    </row>
    <row r="3043" spans="1:15">
      <c r="A3043" s="3">
        <f t="shared" si="49"/>
        <v>3042</v>
      </c>
      <c r="B3043" s="65" t="s">
        <v>4663</v>
      </c>
      <c r="C3043" s="1">
        <v>9553023397</v>
      </c>
      <c r="D3043" s="6"/>
      <c r="E3043" s="17" t="s">
        <v>3312</v>
      </c>
      <c r="F3043" s="65" t="s">
        <v>252</v>
      </c>
      <c r="G3043" s="2" t="s">
        <v>1175</v>
      </c>
      <c r="H3043" s="1" t="s">
        <v>785</v>
      </c>
      <c r="I3043" s="4" t="s">
        <v>42</v>
      </c>
      <c r="J3043" s="31">
        <v>45811</v>
      </c>
      <c r="K3043" s="31"/>
      <c r="L3043" s="31"/>
      <c r="M3043" s="31"/>
      <c r="N3043" s="31"/>
      <c r="O3043" s="2" t="s">
        <v>1004</v>
      </c>
    </row>
    <row r="3044" spans="1:15">
      <c r="A3044" s="3">
        <f t="shared" si="49"/>
        <v>3043</v>
      </c>
      <c r="B3044" s="65" t="s">
        <v>4664</v>
      </c>
      <c r="C3044" s="1">
        <v>9000295116</v>
      </c>
      <c r="D3044" s="6"/>
      <c r="E3044" s="17" t="s">
        <v>3312</v>
      </c>
      <c r="F3044" s="65" t="s">
        <v>252</v>
      </c>
      <c r="G3044" s="2" t="s">
        <v>424</v>
      </c>
      <c r="H3044" s="1" t="s">
        <v>785</v>
      </c>
      <c r="I3044" s="4" t="s">
        <v>42</v>
      </c>
      <c r="J3044" s="31">
        <v>45811</v>
      </c>
      <c r="K3044" s="31">
        <v>45841</v>
      </c>
      <c r="L3044" s="31"/>
      <c r="M3044" s="31"/>
      <c r="N3044" s="31"/>
      <c r="O3044" s="2" t="s">
        <v>425</v>
      </c>
    </row>
    <row r="3045" spans="1:15">
      <c r="A3045" s="3">
        <f t="shared" si="49"/>
        <v>3044</v>
      </c>
      <c r="B3045" s="65" t="s">
        <v>4665</v>
      </c>
      <c r="C3045" s="1">
        <v>9133621012</v>
      </c>
      <c r="D3045" s="6"/>
      <c r="E3045" s="17" t="s">
        <v>3312</v>
      </c>
      <c r="F3045" s="65" t="s">
        <v>252</v>
      </c>
      <c r="G3045" s="2" t="s">
        <v>424</v>
      </c>
      <c r="H3045" s="1" t="s">
        <v>785</v>
      </c>
      <c r="I3045" s="4" t="s">
        <v>42</v>
      </c>
      <c r="J3045" s="31">
        <v>45811</v>
      </c>
      <c r="K3045" s="31">
        <v>45841</v>
      </c>
      <c r="L3045" s="31"/>
      <c r="M3045" s="31"/>
      <c r="N3045" s="31"/>
      <c r="O3045" s="2" t="s">
        <v>425</v>
      </c>
    </row>
    <row r="3046" spans="1:15">
      <c r="A3046" s="3">
        <f t="shared" si="49"/>
        <v>3045</v>
      </c>
      <c r="B3046" s="65" t="s">
        <v>4666</v>
      </c>
      <c r="C3046" s="1">
        <v>9885824770</v>
      </c>
      <c r="D3046" s="6"/>
      <c r="E3046" s="17" t="s">
        <v>1771</v>
      </c>
      <c r="F3046" s="65" t="s">
        <v>4667</v>
      </c>
      <c r="G3046" s="2" t="s">
        <v>424</v>
      </c>
      <c r="H3046" s="1" t="s">
        <v>785</v>
      </c>
      <c r="I3046" s="4" t="s">
        <v>88</v>
      </c>
      <c r="J3046" s="31">
        <v>45811</v>
      </c>
      <c r="K3046" s="31">
        <v>45836</v>
      </c>
      <c r="L3046" s="31"/>
      <c r="M3046" s="31"/>
      <c r="N3046" s="31"/>
      <c r="O3046" s="2" t="s">
        <v>425</v>
      </c>
    </row>
    <row r="3047" spans="1:15">
      <c r="A3047" s="3">
        <f t="shared" si="49"/>
        <v>3046</v>
      </c>
      <c r="B3047" s="65" t="s">
        <v>4668</v>
      </c>
      <c r="C3047" s="1">
        <v>8096423234</v>
      </c>
      <c r="D3047" s="1">
        <v>8074000000</v>
      </c>
      <c r="E3047" s="17" t="s">
        <v>1771</v>
      </c>
      <c r="F3047" s="65" t="s">
        <v>4667</v>
      </c>
      <c r="G3047" s="2" t="s">
        <v>424</v>
      </c>
      <c r="H3047" s="1" t="s">
        <v>785</v>
      </c>
      <c r="I3047" s="4" t="s">
        <v>88</v>
      </c>
      <c r="J3047" s="31">
        <v>45811</v>
      </c>
      <c r="K3047" s="31">
        <v>45829</v>
      </c>
      <c r="L3047" s="31"/>
      <c r="M3047" s="31"/>
      <c r="N3047" s="31"/>
      <c r="O3047" s="2" t="s">
        <v>425</v>
      </c>
    </row>
    <row r="3048" spans="1:15">
      <c r="A3048" s="3">
        <f t="shared" si="49"/>
        <v>3047</v>
      </c>
      <c r="B3048" s="65" t="s">
        <v>4669</v>
      </c>
      <c r="C3048" s="1">
        <v>9635907301</v>
      </c>
      <c r="D3048" s="1">
        <v>6006116926</v>
      </c>
      <c r="E3048" s="17" t="s">
        <v>4570</v>
      </c>
      <c r="F3048" s="65" t="s">
        <v>4667</v>
      </c>
      <c r="G3048" s="2" t="s">
        <v>416</v>
      </c>
      <c r="H3048" s="1" t="s">
        <v>785</v>
      </c>
      <c r="I3048" s="4" t="s">
        <v>88</v>
      </c>
      <c r="J3048" s="31">
        <v>45811</v>
      </c>
      <c r="K3048" s="31">
        <v>45836</v>
      </c>
      <c r="L3048" s="31"/>
      <c r="M3048" s="31"/>
      <c r="N3048" s="31"/>
      <c r="O3048" s="2" t="s">
        <v>297</v>
      </c>
    </row>
    <row r="3049" spans="1:15">
      <c r="A3049" s="3">
        <f t="shared" si="49"/>
        <v>3048</v>
      </c>
      <c r="B3049" s="65" t="s">
        <v>4670</v>
      </c>
      <c r="C3049" s="1">
        <v>9000508840</v>
      </c>
      <c r="D3049" s="6"/>
      <c r="E3049" s="17" t="s">
        <v>1558</v>
      </c>
      <c r="F3049" s="65" t="s">
        <v>4671</v>
      </c>
      <c r="G3049" s="3" t="s">
        <v>1175</v>
      </c>
      <c r="H3049" s="1" t="s">
        <v>815</v>
      </c>
      <c r="I3049" s="4" t="s">
        <v>94</v>
      </c>
      <c r="J3049" s="31">
        <v>45812</v>
      </c>
      <c r="K3049" s="31"/>
      <c r="L3049" s="31"/>
      <c r="M3049" s="31"/>
      <c r="N3049" s="31"/>
      <c r="O3049" s="2" t="s">
        <v>1004</v>
      </c>
    </row>
    <row r="3050" spans="1:15">
      <c r="A3050" s="3">
        <f t="shared" si="49"/>
        <v>3049</v>
      </c>
      <c r="B3050" s="65" t="s">
        <v>4672</v>
      </c>
      <c r="C3050" s="1">
        <v>7389879923</v>
      </c>
      <c r="D3050" s="6"/>
      <c r="E3050" s="17" t="s">
        <v>1567</v>
      </c>
      <c r="F3050" s="65" t="s">
        <v>4671</v>
      </c>
      <c r="G3050" s="2" t="s">
        <v>16</v>
      </c>
      <c r="H3050" s="1" t="s">
        <v>815</v>
      </c>
      <c r="I3050" s="4" t="s">
        <v>94</v>
      </c>
      <c r="J3050" s="31">
        <v>45812</v>
      </c>
      <c r="K3050" s="31">
        <v>45817</v>
      </c>
      <c r="L3050" s="31">
        <v>45821</v>
      </c>
      <c r="M3050" s="31">
        <v>45852</v>
      </c>
      <c r="N3050" s="31">
        <v>45840</v>
      </c>
      <c r="O3050" s="2" t="s">
        <v>297</v>
      </c>
    </row>
    <row r="3051" spans="1:15">
      <c r="A3051" s="3">
        <f t="shared" si="49"/>
        <v>3050</v>
      </c>
      <c r="B3051" s="65" t="s">
        <v>4673</v>
      </c>
      <c r="C3051" s="1">
        <v>7549216444</v>
      </c>
      <c r="D3051" s="1">
        <v>6232030395</v>
      </c>
      <c r="E3051" s="17" t="s">
        <v>1558</v>
      </c>
      <c r="F3051" s="65" t="s">
        <v>4671</v>
      </c>
      <c r="G3051" s="2" t="s">
        <v>416</v>
      </c>
      <c r="H3051" s="1" t="s">
        <v>815</v>
      </c>
      <c r="I3051" s="4" t="s">
        <v>94</v>
      </c>
      <c r="J3051" s="31">
        <v>45812</v>
      </c>
      <c r="K3051" s="31">
        <v>45817</v>
      </c>
      <c r="L3051" s="31"/>
      <c r="M3051" s="31"/>
      <c r="N3051" s="31"/>
      <c r="O3051" s="2" t="s">
        <v>297</v>
      </c>
    </row>
    <row r="3052" spans="1:15">
      <c r="A3052" s="3">
        <f t="shared" si="49"/>
        <v>3051</v>
      </c>
      <c r="B3052" s="65" t="s">
        <v>4674</v>
      </c>
      <c r="C3052" s="1">
        <v>8757514653</v>
      </c>
      <c r="D3052" s="6"/>
      <c r="E3052" s="17" t="s">
        <v>1105</v>
      </c>
      <c r="F3052" s="65" t="s">
        <v>4671</v>
      </c>
      <c r="G3052" s="3" t="s">
        <v>1175</v>
      </c>
      <c r="H3052" s="1" t="s">
        <v>815</v>
      </c>
      <c r="I3052" s="4" t="s">
        <v>94</v>
      </c>
      <c r="J3052" s="31">
        <v>45812</v>
      </c>
      <c r="K3052" s="31"/>
      <c r="L3052" s="31"/>
      <c r="M3052" s="31"/>
      <c r="N3052" s="31"/>
      <c r="O3052" s="2" t="s">
        <v>1004</v>
      </c>
    </row>
    <row r="3053" spans="1:15">
      <c r="A3053" s="3">
        <f t="shared" si="49"/>
        <v>3052</v>
      </c>
      <c r="B3053" s="65" t="s">
        <v>4675</v>
      </c>
      <c r="C3053" s="1">
        <v>6372082531</v>
      </c>
      <c r="D3053" s="1">
        <v>9985350907</v>
      </c>
      <c r="E3053" s="17" t="s">
        <v>1105</v>
      </c>
      <c r="F3053" s="65" t="s">
        <v>4671</v>
      </c>
      <c r="G3053" s="3" t="s">
        <v>1175</v>
      </c>
      <c r="H3053" s="1" t="s">
        <v>815</v>
      </c>
      <c r="I3053" s="4" t="s">
        <v>94</v>
      </c>
      <c r="J3053" s="31">
        <v>45812</v>
      </c>
      <c r="K3053" s="31"/>
      <c r="L3053" s="31"/>
      <c r="M3053" s="31"/>
      <c r="N3053" s="31"/>
      <c r="O3053" s="2" t="s">
        <v>1004</v>
      </c>
    </row>
    <row r="3054" spans="1:15">
      <c r="A3054" s="3">
        <f t="shared" si="49"/>
        <v>3053</v>
      </c>
      <c r="B3054" s="65" t="s">
        <v>4676</v>
      </c>
      <c r="C3054" s="1">
        <v>6303778164</v>
      </c>
      <c r="D3054" s="6"/>
      <c r="E3054" s="17" t="s">
        <v>1108</v>
      </c>
      <c r="F3054" s="65" t="s">
        <v>1767</v>
      </c>
      <c r="G3054" s="3" t="s">
        <v>1175</v>
      </c>
      <c r="H3054" s="1" t="s">
        <v>815</v>
      </c>
      <c r="I3054" s="4" t="s">
        <v>94</v>
      </c>
      <c r="J3054" s="31">
        <v>45812</v>
      </c>
      <c r="K3054" s="31"/>
      <c r="L3054" s="31"/>
      <c r="M3054" s="31"/>
      <c r="N3054" s="31"/>
      <c r="O3054" s="2" t="s">
        <v>1004</v>
      </c>
    </row>
    <row r="3055" spans="1:15">
      <c r="A3055" s="3">
        <f t="shared" si="49"/>
        <v>3054</v>
      </c>
      <c r="B3055" s="65" t="s">
        <v>4677</v>
      </c>
      <c r="C3055" s="1">
        <v>9572069323</v>
      </c>
      <c r="D3055" s="1">
        <v>7485004543</v>
      </c>
      <c r="E3055" s="17" t="s">
        <v>1105</v>
      </c>
      <c r="F3055" s="65" t="s">
        <v>1767</v>
      </c>
      <c r="G3055" s="2" t="s">
        <v>295</v>
      </c>
      <c r="H3055" s="1" t="s">
        <v>815</v>
      </c>
      <c r="I3055" s="4" t="s">
        <v>94</v>
      </c>
      <c r="J3055" s="31">
        <v>45812</v>
      </c>
      <c r="K3055" s="31">
        <v>45817</v>
      </c>
      <c r="L3055" s="31">
        <v>45821</v>
      </c>
      <c r="M3055" s="31">
        <v>45868</v>
      </c>
      <c r="N3055" s="31"/>
      <c r="O3055" s="2" t="s">
        <v>297</v>
      </c>
    </row>
    <row r="3056" spans="1:15">
      <c r="A3056" s="3">
        <f t="shared" si="49"/>
        <v>3055</v>
      </c>
      <c r="B3056" s="65" t="s">
        <v>4678</v>
      </c>
      <c r="C3056" s="1">
        <v>8897002215</v>
      </c>
      <c r="D3056" s="6"/>
      <c r="E3056" s="17" t="s">
        <v>52</v>
      </c>
      <c r="F3056" s="65" t="s">
        <v>4679</v>
      </c>
      <c r="G3056" s="2" t="s">
        <v>416</v>
      </c>
      <c r="H3056" s="1" t="s">
        <v>679</v>
      </c>
      <c r="I3056" s="4" t="s">
        <v>42</v>
      </c>
      <c r="J3056" s="31">
        <v>45812</v>
      </c>
      <c r="K3056" s="31">
        <v>45814</v>
      </c>
      <c r="L3056" s="31"/>
      <c r="M3056" s="31"/>
      <c r="N3056" s="31"/>
      <c r="O3056" s="2" t="s">
        <v>297</v>
      </c>
    </row>
    <row r="3057" spans="1:15">
      <c r="A3057" s="3">
        <f t="shared" si="49"/>
        <v>3056</v>
      </c>
      <c r="B3057" s="65" t="s">
        <v>4680</v>
      </c>
      <c r="C3057" s="1">
        <v>9787954049</v>
      </c>
      <c r="D3057" s="6"/>
      <c r="E3057" s="17" t="s">
        <v>52</v>
      </c>
      <c r="F3057" s="65" t="s">
        <v>972</v>
      </c>
      <c r="G3057" s="2" t="s">
        <v>424</v>
      </c>
      <c r="H3057" s="1" t="s">
        <v>679</v>
      </c>
      <c r="I3057" s="4" t="s">
        <v>42</v>
      </c>
      <c r="J3057" s="31">
        <v>45812</v>
      </c>
      <c r="K3057" s="31">
        <v>45814</v>
      </c>
      <c r="L3057" s="31"/>
      <c r="M3057" s="31"/>
      <c r="N3057" s="31"/>
      <c r="O3057" s="2" t="s">
        <v>425</v>
      </c>
    </row>
    <row r="3058" spans="1:15">
      <c r="A3058" s="3">
        <f t="shared" si="49"/>
        <v>3057</v>
      </c>
      <c r="B3058" s="65" t="s">
        <v>4681</v>
      </c>
      <c r="C3058" s="1">
        <v>9581954118</v>
      </c>
      <c r="D3058" s="6"/>
      <c r="E3058" s="17" t="s">
        <v>3312</v>
      </c>
      <c r="F3058" s="65" t="s">
        <v>303</v>
      </c>
      <c r="G3058" s="2" t="s">
        <v>424</v>
      </c>
      <c r="H3058" s="1" t="s">
        <v>785</v>
      </c>
      <c r="I3058" s="4" t="s">
        <v>42</v>
      </c>
      <c r="J3058" s="31">
        <v>45812</v>
      </c>
      <c r="K3058" s="31">
        <v>45841</v>
      </c>
      <c r="L3058" s="31"/>
      <c r="M3058" s="31"/>
      <c r="N3058" s="31"/>
      <c r="O3058" s="2" t="s">
        <v>425</v>
      </c>
    </row>
    <row r="3059" spans="1:15">
      <c r="A3059" s="3">
        <f t="shared" si="49"/>
        <v>3058</v>
      </c>
      <c r="B3059" s="65" t="s">
        <v>4682</v>
      </c>
      <c r="C3059" s="1">
        <v>9492018194</v>
      </c>
      <c r="D3059" s="6"/>
      <c r="E3059" s="17" t="s">
        <v>3312</v>
      </c>
      <c r="F3059" s="65" t="s">
        <v>252</v>
      </c>
      <c r="G3059" s="2" t="s">
        <v>424</v>
      </c>
      <c r="H3059" s="1" t="s">
        <v>785</v>
      </c>
      <c r="I3059" s="4" t="s">
        <v>42</v>
      </c>
      <c r="J3059" s="31">
        <v>45812</v>
      </c>
      <c r="K3059" s="31">
        <v>45841</v>
      </c>
      <c r="L3059" s="31"/>
      <c r="M3059" s="31"/>
      <c r="N3059" s="31"/>
      <c r="O3059" s="2" t="s">
        <v>425</v>
      </c>
    </row>
    <row r="3060" spans="1:15">
      <c r="A3060" s="3">
        <f t="shared" si="49"/>
        <v>3059</v>
      </c>
      <c r="B3060" s="65" t="s">
        <v>4683</v>
      </c>
      <c r="C3060" s="1">
        <v>7873357504</v>
      </c>
      <c r="D3060" s="1">
        <v>7602583341</v>
      </c>
      <c r="E3060" s="17" t="s">
        <v>3852</v>
      </c>
      <c r="F3060" s="65" t="s">
        <v>4684</v>
      </c>
      <c r="G3060" s="2" t="s">
        <v>16</v>
      </c>
      <c r="H3060" s="1" t="s">
        <v>3967</v>
      </c>
      <c r="I3060" s="4" t="s">
        <v>88</v>
      </c>
      <c r="J3060" s="31">
        <v>45810</v>
      </c>
      <c r="K3060" s="31">
        <v>45812</v>
      </c>
      <c r="L3060" s="31">
        <v>45812</v>
      </c>
      <c r="M3060" s="31">
        <v>45840</v>
      </c>
      <c r="N3060" s="31">
        <v>45840</v>
      </c>
      <c r="O3060" s="2" t="s">
        <v>297</v>
      </c>
    </row>
    <row r="3061" spans="1:15">
      <c r="A3061" s="3">
        <f t="shared" si="49"/>
        <v>3060</v>
      </c>
      <c r="B3061" s="65" t="s">
        <v>4685</v>
      </c>
      <c r="C3061" s="1">
        <v>9985826249</v>
      </c>
      <c r="D3061" s="6"/>
      <c r="E3061" s="17" t="s">
        <v>3767</v>
      </c>
      <c r="F3061" s="65" t="s">
        <v>4686</v>
      </c>
      <c r="G3061" s="3" t="s">
        <v>295</v>
      </c>
      <c r="H3061" s="1" t="s">
        <v>42</v>
      </c>
      <c r="I3061" s="4" t="s">
        <v>42</v>
      </c>
      <c r="J3061" s="31">
        <v>45810</v>
      </c>
      <c r="K3061" s="31">
        <v>45811</v>
      </c>
      <c r="L3061" s="31">
        <v>45812</v>
      </c>
      <c r="M3061" s="31">
        <v>45824</v>
      </c>
      <c r="N3061" s="31"/>
      <c r="O3061" s="2" t="s">
        <v>297</v>
      </c>
    </row>
    <row r="3062" spans="1:15">
      <c r="A3062" s="3">
        <f t="shared" si="49"/>
        <v>3061</v>
      </c>
      <c r="B3062" s="65" t="s">
        <v>4687</v>
      </c>
      <c r="C3062" s="1">
        <v>9912017022</v>
      </c>
      <c r="D3062" s="6"/>
      <c r="E3062" s="17" t="s">
        <v>3767</v>
      </c>
      <c r="F3062" s="65" t="s">
        <v>4686</v>
      </c>
      <c r="G3062" s="2" t="s">
        <v>295</v>
      </c>
      <c r="H3062" s="1" t="s">
        <v>42</v>
      </c>
      <c r="I3062" s="4" t="s">
        <v>42</v>
      </c>
      <c r="J3062" s="31">
        <v>45810</v>
      </c>
      <c r="K3062" s="31">
        <v>45811</v>
      </c>
      <c r="L3062" s="31">
        <v>45812</v>
      </c>
      <c r="M3062" s="31">
        <v>45845</v>
      </c>
      <c r="N3062" s="31"/>
      <c r="O3062" s="2" t="s">
        <v>297</v>
      </c>
    </row>
    <row r="3063" spans="1:15">
      <c r="A3063" s="3">
        <f t="shared" si="49"/>
        <v>3062</v>
      </c>
      <c r="B3063" s="65" t="s">
        <v>4688</v>
      </c>
      <c r="C3063" s="1">
        <v>7066955590</v>
      </c>
      <c r="D3063" s="6"/>
      <c r="E3063" s="17" t="s">
        <v>332</v>
      </c>
      <c r="F3063" s="65" t="s">
        <v>4689</v>
      </c>
      <c r="G3063" s="2" t="s">
        <v>295</v>
      </c>
      <c r="H3063" s="1" t="s">
        <v>674</v>
      </c>
      <c r="I3063" s="4" t="s">
        <v>94</v>
      </c>
      <c r="J3063" s="31">
        <v>45810</v>
      </c>
      <c r="K3063" s="31">
        <v>45811</v>
      </c>
      <c r="L3063" s="31">
        <v>45812</v>
      </c>
      <c r="M3063" s="31">
        <v>45842</v>
      </c>
      <c r="N3063" s="31"/>
      <c r="O3063" s="2" t="s">
        <v>297</v>
      </c>
    </row>
    <row r="3064" spans="1:15">
      <c r="A3064" s="3">
        <f t="shared" si="49"/>
        <v>3063</v>
      </c>
      <c r="B3064" s="65" t="s">
        <v>4690</v>
      </c>
      <c r="C3064" s="1">
        <v>9491320408</v>
      </c>
      <c r="D3064" s="3"/>
      <c r="E3064" s="17" t="s">
        <v>4691</v>
      </c>
      <c r="F3064" s="65" t="s">
        <v>4692</v>
      </c>
      <c r="G3064" s="2" t="s">
        <v>424</v>
      </c>
      <c r="H3064" s="1" t="s">
        <v>4693</v>
      </c>
      <c r="I3064" s="4" t="s">
        <v>42</v>
      </c>
      <c r="J3064" s="31">
        <v>45813</v>
      </c>
      <c r="K3064" s="31">
        <v>45856</v>
      </c>
      <c r="L3064" s="31"/>
      <c r="M3064" s="31"/>
      <c r="N3064" s="31"/>
      <c r="O3064" s="2" t="s">
        <v>425</v>
      </c>
    </row>
    <row r="3065" spans="1:15">
      <c r="A3065" s="3">
        <f t="shared" si="49"/>
        <v>3064</v>
      </c>
      <c r="B3065" s="65" t="s">
        <v>4694</v>
      </c>
      <c r="C3065" s="1">
        <v>8492938783</v>
      </c>
      <c r="D3065" s="3"/>
      <c r="E3065" s="17" t="s">
        <v>4535</v>
      </c>
      <c r="F3065" s="65" t="s">
        <v>4536</v>
      </c>
      <c r="G3065" s="2" t="s">
        <v>16</v>
      </c>
      <c r="H3065" s="1" t="s">
        <v>368</v>
      </c>
      <c r="I3065" s="4" t="s">
        <v>88</v>
      </c>
      <c r="J3065" s="31">
        <v>45811</v>
      </c>
      <c r="K3065" s="31">
        <v>45813</v>
      </c>
      <c r="L3065" s="31">
        <v>45814</v>
      </c>
      <c r="M3065" s="31">
        <v>45889</v>
      </c>
      <c r="N3065" s="31">
        <v>45889</v>
      </c>
      <c r="O3065" s="2" t="s">
        <v>297</v>
      </c>
    </row>
    <row r="3066" spans="1:15">
      <c r="A3066" s="3">
        <f t="shared" si="49"/>
        <v>3065</v>
      </c>
      <c r="B3066" s="65" t="s">
        <v>4695</v>
      </c>
      <c r="C3066" s="1">
        <v>9553855501</v>
      </c>
      <c r="D3066" s="3"/>
      <c r="E3066" s="17" t="s">
        <v>4696</v>
      </c>
      <c r="F3066" s="65" t="s">
        <v>3061</v>
      </c>
      <c r="G3066" s="2" t="s">
        <v>16</v>
      </c>
      <c r="H3066" s="2" t="s">
        <v>487</v>
      </c>
      <c r="I3066" s="4" t="s">
        <v>88</v>
      </c>
      <c r="J3066" s="31">
        <v>45812</v>
      </c>
      <c r="K3066" s="31">
        <v>45813</v>
      </c>
      <c r="L3066" s="31">
        <v>45814</v>
      </c>
      <c r="M3066" s="31">
        <v>45845</v>
      </c>
      <c r="N3066" s="31">
        <v>45845</v>
      </c>
      <c r="O3066" s="2" t="s">
        <v>297</v>
      </c>
    </row>
    <row r="3067" spans="1:15">
      <c r="A3067" s="3">
        <f t="shared" si="49"/>
        <v>3066</v>
      </c>
      <c r="B3067" s="65" t="s">
        <v>4697</v>
      </c>
      <c r="C3067" s="1">
        <v>8870815025</v>
      </c>
      <c r="D3067" s="3"/>
      <c r="E3067" s="17" t="s">
        <v>2413</v>
      </c>
      <c r="F3067" s="65" t="s">
        <v>4698</v>
      </c>
      <c r="G3067" s="3" t="s">
        <v>295</v>
      </c>
      <c r="H3067" s="2" t="s">
        <v>1186</v>
      </c>
      <c r="I3067" s="4" t="s">
        <v>88</v>
      </c>
      <c r="J3067" s="31">
        <v>45792</v>
      </c>
      <c r="K3067" s="31">
        <v>45794</v>
      </c>
      <c r="L3067" s="31">
        <v>45814</v>
      </c>
      <c r="M3067" s="31">
        <v>45845</v>
      </c>
      <c r="N3067" s="31"/>
      <c r="O3067" s="2" t="s">
        <v>297</v>
      </c>
    </row>
    <row r="3068" spans="1:15">
      <c r="A3068" s="3">
        <f t="shared" si="49"/>
        <v>3067</v>
      </c>
      <c r="B3068" s="65" t="s">
        <v>4699</v>
      </c>
      <c r="C3068" s="1">
        <v>9701246163</v>
      </c>
      <c r="D3068" s="3"/>
      <c r="E3068" s="17" t="s">
        <v>4558</v>
      </c>
      <c r="F3068" s="65" t="s">
        <v>4700</v>
      </c>
      <c r="G3068" s="2" t="s">
        <v>295</v>
      </c>
      <c r="H3068" s="2" t="s">
        <v>2553</v>
      </c>
      <c r="I3068" s="4" t="s">
        <v>42</v>
      </c>
      <c r="J3068" s="31">
        <v>45814</v>
      </c>
      <c r="K3068" s="31">
        <v>45814</v>
      </c>
      <c r="L3068" s="31">
        <v>45814</v>
      </c>
      <c r="M3068" s="31">
        <v>45864</v>
      </c>
      <c r="N3068" s="31"/>
      <c r="O3068" s="2" t="s">
        <v>297</v>
      </c>
    </row>
    <row r="3069" spans="1:15">
      <c r="A3069" s="3">
        <f t="shared" si="49"/>
        <v>3068</v>
      </c>
      <c r="B3069" s="65" t="s">
        <v>4701</v>
      </c>
      <c r="C3069" s="1">
        <v>9182556825</v>
      </c>
      <c r="D3069" s="3">
        <v>9440225301</v>
      </c>
      <c r="E3069" s="17" t="s">
        <v>52</v>
      </c>
      <c r="F3069" s="65" t="s">
        <v>4702</v>
      </c>
      <c r="G3069" s="2" t="s">
        <v>424</v>
      </c>
      <c r="H3069" s="2" t="s">
        <v>679</v>
      </c>
      <c r="I3069" s="4" t="s">
        <v>42</v>
      </c>
      <c r="J3069" s="31">
        <v>45814</v>
      </c>
      <c r="K3069" s="31">
        <v>45822</v>
      </c>
      <c r="L3069" s="31"/>
      <c r="M3069" s="31"/>
      <c r="N3069" s="31"/>
      <c r="O3069" s="2" t="s">
        <v>425</v>
      </c>
    </row>
    <row r="3070" spans="1:15">
      <c r="A3070" s="3">
        <f t="shared" si="49"/>
        <v>3069</v>
      </c>
      <c r="B3070" s="65" t="s">
        <v>4703</v>
      </c>
      <c r="C3070" s="1">
        <v>8106138956</v>
      </c>
      <c r="D3070" s="3"/>
      <c r="E3070" s="17" t="s">
        <v>3312</v>
      </c>
      <c r="F3070" s="65" t="s">
        <v>252</v>
      </c>
      <c r="G3070" s="2" t="s">
        <v>18</v>
      </c>
      <c r="H3070" s="2" t="s">
        <v>4704</v>
      </c>
      <c r="I3070" s="4" t="s">
        <v>42</v>
      </c>
      <c r="J3070" s="31">
        <v>45814</v>
      </c>
      <c r="K3070" s="31">
        <v>45814</v>
      </c>
      <c r="L3070" s="31"/>
      <c r="M3070" s="31"/>
      <c r="N3070" s="31"/>
      <c r="O3070" s="2" t="s">
        <v>297</v>
      </c>
    </row>
    <row r="3071" spans="1:15">
      <c r="A3071" s="3">
        <f t="shared" si="49"/>
        <v>3070</v>
      </c>
      <c r="B3071" s="65" t="s">
        <v>4705</v>
      </c>
      <c r="C3071" s="1">
        <v>9505858627</v>
      </c>
      <c r="D3071" s="3"/>
      <c r="E3071" s="17" t="s">
        <v>3312</v>
      </c>
      <c r="F3071" s="65" t="s">
        <v>252</v>
      </c>
      <c r="G3071" s="2" t="s">
        <v>16</v>
      </c>
      <c r="H3071" s="2" t="s">
        <v>4704</v>
      </c>
      <c r="I3071" s="4" t="s">
        <v>42</v>
      </c>
      <c r="J3071" s="31">
        <v>45814</v>
      </c>
      <c r="K3071" s="31">
        <v>45814</v>
      </c>
      <c r="L3071" s="31">
        <v>45821</v>
      </c>
      <c r="M3071" s="31">
        <v>45828</v>
      </c>
      <c r="N3071" s="31">
        <v>45822</v>
      </c>
      <c r="O3071" s="2" t="s">
        <v>297</v>
      </c>
    </row>
    <row r="3072" spans="1:15">
      <c r="A3072" s="3">
        <f t="shared" si="49"/>
        <v>3071</v>
      </c>
      <c r="B3072" s="65" t="s">
        <v>4706</v>
      </c>
      <c r="C3072" s="1">
        <v>7416506026</v>
      </c>
      <c r="D3072" s="3"/>
      <c r="E3072" s="17" t="s">
        <v>3312</v>
      </c>
      <c r="F3072" s="65" t="s">
        <v>252</v>
      </c>
      <c r="G3072" s="2" t="s">
        <v>16</v>
      </c>
      <c r="H3072" s="2" t="s">
        <v>4704</v>
      </c>
      <c r="I3072" s="4" t="s">
        <v>42</v>
      </c>
      <c r="J3072" s="31">
        <v>45814</v>
      </c>
      <c r="K3072" s="31">
        <v>45814</v>
      </c>
      <c r="L3072" s="31">
        <v>45814</v>
      </c>
      <c r="M3072" s="31">
        <v>45819</v>
      </c>
      <c r="N3072" s="31">
        <v>45818</v>
      </c>
      <c r="O3072" s="2" t="s">
        <v>297</v>
      </c>
    </row>
    <row r="3073" spans="1:15">
      <c r="A3073" s="3">
        <f t="shared" si="49"/>
        <v>3072</v>
      </c>
      <c r="B3073" s="65" t="s">
        <v>4707</v>
      </c>
      <c r="C3073" s="1">
        <v>8658667789</v>
      </c>
      <c r="D3073" s="3"/>
      <c r="E3073" s="17" t="s">
        <v>4708</v>
      </c>
      <c r="F3073" s="65"/>
      <c r="G3073" s="2" t="s">
        <v>16</v>
      </c>
      <c r="H3073" s="94" t="s">
        <v>4709</v>
      </c>
      <c r="I3073" s="4" t="s">
        <v>94</v>
      </c>
      <c r="J3073" s="31">
        <v>45811</v>
      </c>
      <c r="K3073" s="31">
        <v>45813</v>
      </c>
      <c r="L3073" s="31">
        <v>45814</v>
      </c>
      <c r="M3073" s="31">
        <v>45814</v>
      </c>
      <c r="N3073" s="31">
        <v>45814</v>
      </c>
      <c r="O3073" s="2" t="s">
        <v>297</v>
      </c>
    </row>
    <row r="3074" spans="1:15">
      <c r="A3074" s="3">
        <f t="shared" si="49"/>
        <v>3073</v>
      </c>
      <c r="B3074" s="65" t="s">
        <v>4710</v>
      </c>
      <c r="C3074" s="1">
        <v>7671849377</v>
      </c>
      <c r="D3074" s="3"/>
      <c r="E3074" s="17" t="s">
        <v>124</v>
      </c>
      <c r="F3074" s="65" t="s">
        <v>4550</v>
      </c>
      <c r="G3074" s="2" t="s">
        <v>16</v>
      </c>
      <c r="H3074" s="2" t="s">
        <v>3240</v>
      </c>
      <c r="I3074" s="4" t="s">
        <v>42</v>
      </c>
      <c r="J3074" s="31">
        <v>45817</v>
      </c>
      <c r="K3074" s="31">
        <v>45821</v>
      </c>
      <c r="L3074" s="31">
        <v>45835</v>
      </c>
      <c r="M3074" s="31">
        <v>45866</v>
      </c>
      <c r="N3074" s="31">
        <v>45866</v>
      </c>
      <c r="O3074" s="2" t="s">
        <v>297</v>
      </c>
    </row>
    <row r="3075" spans="1:15">
      <c r="A3075" s="3">
        <f t="shared" si="49"/>
        <v>3074</v>
      </c>
      <c r="B3075" s="65" t="s">
        <v>4711</v>
      </c>
      <c r="C3075" s="1">
        <v>7032501661</v>
      </c>
      <c r="D3075" s="3"/>
      <c r="E3075" s="17" t="s">
        <v>124</v>
      </c>
      <c r="F3075" s="65" t="s">
        <v>4550</v>
      </c>
      <c r="G3075" s="2" t="s">
        <v>16</v>
      </c>
      <c r="H3075" s="2" t="s">
        <v>3240</v>
      </c>
      <c r="I3075" s="4" t="s">
        <v>42</v>
      </c>
      <c r="J3075" s="31">
        <v>45817</v>
      </c>
      <c r="K3075" s="31">
        <v>45821</v>
      </c>
      <c r="L3075" s="31">
        <v>45835</v>
      </c>
      <c r="M3075" s="31">
        <v>45861</v>
      </c>
      <c r="N3075" s="31">
        <v>45861</v>
      </c>
      <c r="O3075" s="2" t="s">
        <v>297</v>
      </c>
    </row>
    <row r="3076" spans="1:15">
      <c r="A3076" s="3">
        <f t="shared" si="49"/>
        <v>3075</v>
      </c>
      <c r="B3076" s="65" t="s">
        <v>4712</v>
      </c>
      <c r="C3076" s="1">
        <v>8919221258</v>
      </c>
      <c r="D3076" s="3"/>
      <c r="E3076" s="17" t="s">
        <v>127</v>
      </c>
      <c r="F3076" s="65" t="s">
        <v>4713</v>
      </c>
      <c r="G3076" s="2" t="s">
        <v>424</v>
      </c>
      <c r="H3076" s="2" t="s">
        <v>3240</v>
      </c>
      <c r="I3076" s="4" t="s">
        <v>42</v>
      </c>
      <c r="J3076" s="31">
        <v>45817</v>
      </c>
      <c r="K3076" s="31">
        <v>45835</v>
      </c>
      <c r="L3076" s="31"/>
      <c r="M3076" s="31"/>
      <c r="N3076" s="31"/>
      <c r="O3076" s="2" t="s">
        <v>425</v>
      </c>
    </row>
    <row r="3077" spans="1:15">
      <c r="A3077" s="3">
        <f t="shared" si="49"/>
        <v>3076</v>
      </c>
      <c r="B3077" s="65" t="s">
        <v>4714</v>
      </c>
      <c r="C3077" s="1">
        <v>8790685798</v>
      </c>
      <c r="D3077" s="3"/>
      <c r="E3077" s="17" t="s">
        <v>2753</v>
      </c>
      <c r="F3077" s="65" t="s">
        <v>4715</v>
      </c>
      <c r="G3077" s="2" t="s">
        <v>16</v>
      </c>
      <c r="H3077" s="2" t="s">
        <v>913</v>
      </c>
      <c r="I3077" s="4" t="s">
        <v>94</v>
      </c>
      <c r="J3077" s="31">
        <v>45793</v>
      </c>
      <c r="K3077" s="31">
        <v>45793</v>
      </c>
      <c r="L3077" s="31">
        <v>45799</v>
      </c>
      <c r="M3077" s="31">
        <v>45815</v>
      </c>
      <c r="N3077" s="31">
        <v>45815</v>
      </c>
      <c r="O3077" s="2" t="s">
        <v>297</v>
      </c>
    </row>
    <row r="3078" spans="1:15">
      <c r="A3078" s="3">
        <f t="shared" si="49"/>
        <v>3077</v>
      </c>
      <c r="B3078" s="65" t="s">
        <v>4716</v>
      </c>
      <c r="C3078" s="1">
        <v>9630884271</v>
      </c>
      <c r="D3078" s="3"/>
      <c r="E3078" s="17" t="s">
        <v>1771</v>
      </c>
      <c r="F3078" s="65" t="s">
        <v>4667</v>
      </c>
      <c r="G3078" s="2" t="s">
        <v>16</v>
      </c>
      <c r="H3078" s="2" t="s">
        <v>785</v>
      </c>
      <c r="I3078" s="4" t="s">
        <v>88</v>
      </c>
      <c r="J3078" s="31">
        <v>45818</v>
      </c>
      <c r="K3078" s="31">
        <v>45829</v>
      </c>
      <c r="L3078" s="31">
        <v>45835</v>
      </c>
      <c r="M3078" s="31">
        <v>45885</v>
      </c>
      <c r="N3078" s="31">
        <v>45885</v>
      </c>
      <c r="O3078" s="2" t="s">
        <v>297</v>
      </c>
    </row>
    <row r="3079" spans="1:15">
      <c r="A3079" s="3">
        <f t="shared" si="49"/>
        <v>3078</v>
      </c>
      <c r="B3079" s="65" t="s">
        <v>4717</v>
      </c>
      <c r="C3079" s="1">
        <v>9589886044</v>
      </c>
      <c r="D3079" s="3"/>
      <c r="E3079" s="17" t="s">
        <v>1771</v>
      </c>
      <c r="F3079" s="65" t="s">
        <v>4667</v>
      </c>
      <c r="G3079" s="2" t="s">
        <v>424</v>
      </c>
      <c r="H3079" s="2" t="s">
        <v>785</v>
      </c>
      <c r="I3079" s="4" t="s">
        <v>88</v>
      </c>
      <c r="J3079" s="31">
        <v>45818</v>
      </c>
      <c r="K3079" s="31">
        <v>45829</v>
      </c>
      <c r="L3079" s="31"/>
      <c r="M3079" s="31"/>
      <c r="N3079" s="31"/>
      <c r="O3079" s="2" t="s">
        <v>425</v>
      </c>
    </row>
    <row r="3080" spans="1:15">
      <c r="A3080" s="3">
        <f t="shared" si="49"/>
        <v>3079</v>
      </c>
      <c r="B3080" s="65" t="s">
        <v>4718</v>
      </c>
      <c r="C3080" s="1">
        <v>9637823508</v>
      </c>
      <c r="D3080" s="3">
        <v>7020263810</v>
      </c>
      <c r="E3080" s="17" t="s">
        <v>1771</v>
      </c>
      <c r="F3080" s="65" t="s">
        <v>4667</v>
      </c>
      <c r="G3080" s="2" t="s">
        <v>424</v>
      </c>
      <c r="H3080" s="2" t="s">
        <v>785</v>
      </c>
      <c r="I3080" s="4" t="s">
        <v>88</v>
      </c>
      <c r="J3080" s="31">
        <v>45818</v>
      </c>
      <c r="K3080" s="31">
        <v>45829</v>
      </c>
      <c r="L3080" s="31"/>
      <c r="M3080" s="31"/>
      <c r="N3080" s="31"/>
      <c r="O3080" s="2" t="s">
        <v>425</v>
      </c>
    </row>
    <row r="3081" spans="1:15">
      <c r="A3081" s="3">
        <f t="shared" si="49"/>
        <v>3080</v>
      </c>
      <c r="B3081" s="65" t="s">
        <v>4719</v>
      </c>
      <c r="C3081" s="1">
        <v>7095524764</v>
      </c>
      <c r="D3081" s="3"/>
      <c r="E3081" s="17" t="s">
        <v>3312</v>
      </c>
      <c r="F3081" s="65" t="s">
        <v>252</v>
      </c>
      <c r="G3081" s="2" t="s">
        <v>295</v>
      </c>
      <c r="H3081" s="2" t="s">
        <v>4704</v>
      </c>
      <c r="I3081" s="4" t="s">
        <v>42</v>
      </c>
      <c r="J3081" s="31">
        <v>45818</v>
      </c>
      <c r="K3081" s="31">
        <v>45841</v>
      </c>
      <c r="L3081" s="31">
        <v>45842</v>
      </c>
      <c r="M3081" s="31">
        <v>45879</v>
      </c>
      <c r="N3081" s="31"/>
      <c r="O3081" s="2" t="s">
        <v>297</v>
      </c>
    </row>
    <row r="3082" spans="1:15">
      <c r="A3082" s="3">
        <f t="shared" si="49"/>
        <v>3081</v>
      </c>
      <c r="B3082" s="65" t="s">
        <v>4720</v>
      </c>
      <c r="C3082" s="1">
        <v>8084300139</v>
      </c>
      <c r="D3082" s="3"/>
      <c r="E3082" s="17" t="s">
        <v>4691</v>
      </c>
      <c r="F3082" s="65" t="s">
        <v>4721</v>
      </c>
      <c r="G3082" s="2" t="s">
        <v>424</v>
      </c>
      <c r="H3082" s="1" t="s">
        <v>4693</v>
      </c>
      <c r="I3082" s="4" t="s">
        <v>42</v>
      </c>
      <c r="J3082" s="31">
        <v>45820</v>
      </c>
      <c r="K3082" s="31">
        <v>45856</v>
      </c>
      <c r="L3082" s="31"/>
      <c r="M3082" s="31"/>
      <c r="N3082" s="31"/>
      <c r="O3082" s="2" t="s">
        <v>425</v>
      </c>
    </row>
    <row r="3083" spans="1:15">
      <c r="A3083" s="3">
        <f t="shared" si="49"/>
        <v>3082</v>
      </c>
      <c r="B3083" s="65" t="s">
        <v>4722</v>
      </c>
      <c r="C3083" s="1">
        <v>7775892054</v>
      </c>
      <c r="D3083" s="3"/>
      <c r="E3083" s="17" t="s">
        <v>4691</v>
      </c>
      <c r="F3083" s="65" t="s">
        <v>4723</v>
      </c>
      <c r="G3083" s="2" t="s">
        <v>424</v>
      </c>
      <c r="H3083" s="1" t="s">
        <v>4693</v>
      </c>
      <c r="I3083" s="4" t="s">
        <v>42</v>
      </c>
      <c r="J3083" s="31">
        <v>45820</v>
      </c>
      <c r="K3083" s="31">
        <v>45869</v>
      </c>
      <c r="L3083" s="31"/>
      <c r="M3083" s="31"/>
      <c r="N3083" s="31"/>
      <c r="O3083" s="2" t="s">
        <v>749</v>
      </c>
    </row>
    <row r="3084" spans="1:15">
      <c r="A3084" s="3">
        <f t="shared" si="49"/>
        <v>3083</v>
      </c>
      <c r="B3084" s="65" t="s">
        <v>4724</v>
      </c>
      <c r="C3084" s="1">
        <v>7974628635</v>
      </c>
      <c r="D3084" s="3"/>
      <c r="E3084" s="17" t="s">
        <v>3869</v>
      </c>
      <c r="F3084" s="65" t="s">
        <v>4725</v>
      </c>
      <c r="G3084" s="2" t="s">
        <v>764</v>
      </c>
      <c r="H3084" s="1" t="s">
        <v>3854</v>
      </c>
      <c r="I3084" s="4" t="s">
        <v>88</v>
      </c>
      <c r="J3084" s="31">
        <v>45820</v>
      </c>
      <c r="K3084" s="31">
        <v>45839</v>
      </c>
      <c r="L3084" s="31"/>
      <c r="M3084" s="31"/>
      <c r="N3084" s="31"/>
      <c r="O3084" s="2" t="s">
        <v>425</v>
      </c>
    </row>
    <row r="3085" spans="1:15">
      <c r="A3085" s="3">
        <f t="shared" si="49"/>
        <v>3084</v>
      </c>
      <c r="B3085" s="65" t="s">
        <v>4726</v>
      </c>
      <c r="C3085" s="1">
        <v>8917688435</v>
      </c>
      <c r="D3085" s="3">
        <v>8763097576</v>
      </c>
      <c r="E3085" s="17" t="s">
        <v>3869</v>
      </c>
      <c r="F3085" s="65" t="s">
        <v>4727</v>
      </c>
      <c r="G3085" s="2" t="s">
        <v>764</v>
      </c>
      <c r="H3085" s="1" t="s">
        <v>3854</v>
      </c>
      <c r="I3085" s="4" t="s">
        <v>88</v>
      </c>
      <c r="J3085" s="31">
        <v>45820</v>
      </c>
      <c r="K3085" s="31">
        <v>45835</v>
      </c>
      <c r="L3085" s="31"/>
      <c r="M3085" s="31"/>
      <c r="N3085" s="31"/>
      <c r="O3085" s="2" t="s">
        <v>425</v>
      </c>
    </row>
    <row r="3086" spans="1:15">
      <c r="A3086" s="3">
        <f t="shared" si="49"/>
        <v>3085</v>
      </c>
      <c r="B3086" s="65" t="s">
        <v>4728</v>
      </c>
      <c r="C3086" s="1">
        <v>8888647334</v>
      </c>
      <c r="D3086" s="3"/>
      <c r="E3086" s="17" t="s">
        <v>3869</v>
      </c>
      <c r="F3086" s="65" t="s">
        <v>2482</v>
      </c>
      <c r="G3086" s="2" t="s">
        <v>764</v>
      </c>
      <c r="H3086" s="1" t="s">
        <v>3854</v>
      </c>
      <c r="I3086" s="4" t="s">
        <v>88</v>
      </c>
      <c r="J3086" s="31">
        <v>45820</v>
      </c>
      <c r="K3086" s="31">
        <v>45835</v>
      </c>
      <c r="L3086" s="31"/>
      <c r="M3086" s="31"/>
      <c r="N3086" s="31"/>
      <c r="O3086" s="2" t="s">
        <v>425</v>
      </c>
    </row>
    <row r="3087" spans="1:15">
      <c r="A3087" s="3">
        <f t="shared" si="49"/>
        <v>3086</v>
      </c>
      <c r="B3087" s="65" t="s">
        <v>4729</v>
      </c>
      <c r="C3087" s="1">
        <v>7001997207</v>
      </c>
      <c r="D3087" s="3">
        <v>9732777785</v>
      </c>
      <c r="E3087" s="17" t="s">
        <v>3869</v>
      </c>
      <c r="F3087" s="65" t="s">
        <v>4730</v>
      </c>
      <c r="G3087" s="2" t="s">
        <v>16</v>
      </c>
      <c r="H3087" s="1" t="s">
        <v>3854</v>
      </c>
      <c r="I3087" s="4" t="s">
        <v>88</v>
      </c>
      <c r="J3087" s="31">
        <v>45820</v>
      </c>
      <c r="K3087" s="31">
        <v>45832</v>
      </c>
      <c r="L3087" s="31">
        <v>45842</v>
      </c>
      <c r="M3087" s="31">
        <v>45873</v>
      </c>
      <c r="N3087" s="31">
        <v>45873</v>
      </c>
      <c r="O3087" s="2" t="s">
        <v>297</v>
      </c>
    </row>
    <row r="3088" spans="1:15">
      <c r="A3088" s="3">
        <f t="shared" si="49"/>
        <v>3087</v>
      </c>
      <c r="B3088" s="65" t="s">
        <v>4731</v>
      </c>
      <c r="C3088" s="1">
        <v>8871758949</v>
      </c>
      <c r="D3088" s="3"/>
      <c r="E3088" s="17" t="s">
        <v>3869</v>
      </c>
      <c r="F3088" s="65" t="s">
        <v>569</v>
      </c>
      <c r="G3088" s="2" t="s">
        <v>295</v>
      </c>
      <c r="H3088" s="1" t="s">
        <v>3854</v>
      </c>
      <c r="I3088" s="4" t="s">
        <v>88</v>
      </c>
      <c r="J3088" s="31">
        <v>45820</v>
      </c>
      <c r="K3088" s="31">
        <v>45832</v>
      </c>
      <c r="L3088" s="31">
        <v>45842</v>
      </c>
      <c r="M3088" s="31">
        <v>45873</v>
      </c>
      <c r="N3088" s="31"/>
      <c r="O3088" s="2" t="s">
        <v>297</v>
      </c>
    </row>
    <row r="3089" spans="1:15">
      <c r="A3089" s="3">
        <f t="shared" si="49"/>
        <v>3088</v>
      </c>
      <c r="B3089" s="65" t="s">
        <v>4732</v>
      </c>
      <c r="C3089" s="1">
        <v>7013613779</v>
      </c>
      <c r="D3089" s="3"/>
      <c r="E3089" s="17" t="s">
        <v>3767</v>
      </c>
      <c r="F3089" s="65"/>
      <c r="G3089" s="2" t="s">
        <v>16</v>
      </c>
      <c r="H3089" s="1" t="s">
        <v>42</v>
      </c>
      <c r="I3089" s="4" t="s">
        <v>42</v>
      </c>
      <c r="J3089" s="31">
        <v>45820</v>
      </c>
      <c r="K3089" s="31">
        <v>45821</v>
      </c>
      <c r="L3089" s="31">
        <v>45821</v>
      </c>
      <c r="M3089" s="31">
        <v>45824</v>
      </c>
      <c r="N3089" s="31">
        <v>45824</v>
      </c>
      <c r="O3089" s="2" t="s">
        <v>297</v>
      </c>
    </row>
    <row r="3090" spans="1:15">
      <c r="A3090" s="3">
        <f t="shared" si="49"/>
        <v>3089</v>
      </c>
      <c r="B3090" s="79" t="s">
        <v>4733</v>
      </c>
      <c r="C3090" s="45">
        <v>8181958787</v>
      </c>
      <c r="E3090" s="17" t="s">
        <v>4691</v>
      </c>
      <c r="F3090" s="45" t="s">
        <v>4734</v>
      </c>
      <c r="G3090" s="2" t="s">
        <v>424</v>
      </c>
      <c r="H3090" s="1" t="s">
        <v>4693</v>
      </c>
      <c r="I3090" s="4" t="s">
        <v>42</v>
      </c>
      <c r="J3090" s="31">
        <v>45820</v>
      </c>
      <c r="K3090" s="31">
        <v>45869</v>
      </c>
      <c r="O3090" s="2" t="s">
        <v>749</v>
      </c>
    </row>
    <row r="3091" spans="1:15">
      <c r="A3091" s="3">
        <f t="shared" si="49"/>
        <v>3090</v>
      </c>
      <c r="B3091" s="65" t="s">
        <v>4735</v>
      </c>
      <c r="C3091" s="1">
        <v>6264962596</v>
      </c>
      <c r="D3091" s="3"/>
      <c r="E3091" s="17" t="s">
        <v>4691</v>
      </c>
      <c r="F3091" s="65" t="s">
        <v>4736</v>
      </c>
      <c r="G3091" s="2" t="s">
        <v>424</v>
      </c>
      <c r="H3091" s="1" t="s">
        <v>4693</v>
      </c>
      <c r="I3091" s="4" t="s">
        <v>42</v>
      </c>
      <c r="J3091" s="31">
        <v>45820</v>
      </c>
      <c r="K3091" s="31">
        <v>45869</v>
      </c>
      <c r="L3091" s="31"/>
      <c r="M3091" s="31"/>
      <c r="N3091" s="31"/>
      <c r="O3091" s="2" t="s">
        <v>749</v>
      </c>
    </row>
    <row r="3092" spans="1:15">
      <c r="A3092" s="3">
        <f t="shared" si="49"/>
        <v>3091</v>
      </c>
      <c r="B3092" s="65" t="s">
        <v>4737</v>
      </c>
      <c r="C3092" s="1">
        <v>7985015091</v>
      </c>
      <c r="D3092" s="3">
        <v>8115588135</v>
      </c>
      <c r="E3092" s="17" t="s">
        <v>1131</v>
      </c>
      <c r="F3092" s="65" t="s">
        <v>395</v>
      </c>
      <c r="G3092" s="2" t="s">
        <v>16</v>
      </c>
      <c r="H3092" s="1" t="s">
        <v>357</v>
      </c>
      <c r="I3092" s="4" t="s">
        <v>94</v>
      </c>
      <c r="J3092" s="31">
        <v>45820</v>
      </c>
      <c r="K3092" s="31">
        <v>45820</v>
      </c>
      <c r="L3092" s="31">
        <v>45821</v>
      </c>
      <c r="M3092" s="31">
        <v>45852</v>
      </c>
      <c r="N3092" s="31">
        <v>45852</v>
      </c>
      <c r="O3092" s="2" t="s">
        <v>297</v>
      </c>
    </row>
    <row r="3093" spans="1:15">
      <c r="A3093" s="3">
        <f t="shared" si="49"/>
        <v>3092</v>
      </c>
      <c r="B3093" s="65" t="s">
        <v>4738</v>
      </c>
      <c r="C3093" s="1">
        <v>6238385739</v>
      </c>
      <c r="D3093" s="3"/>
      <c r="E3093" s="17" t="s">
        <v>1126</v>
      </c>
      <c r="F3093" s="65" t="s">
        <v>395</v>
      </c>
      <c r="G3093" s="2" t="s">
        <v>416</v>
      </c>
      <c r="H3093" s="1" t="s">
        <v>357</v>
      </c>
      <c r="I3093" s="4" t="s">
        <v>94</v>
      </c>
      <c r="J3093" s="31">
        <v>45820</v>
      </c>
      <c r="K3093" s="31">
        <v>45820</v>
      </c>
      <c r="L3093" s="31"/>
      <c r="M3093" s="31"/>
      <c r="N3093" s="31"/>
      <c r="O3093" s="2" t="s">
        <v>297</v>
      </c>
    </row>
    <row r="3094" spans="1:15">
      <c r="A3094" s="3">
        <f t="shared" si="49"/>
        <v>3093</v>
      </c>
      <c r="B3094" s="65" t="s">
        <v>4739</v>
      </c>
      <c r="C3094" s="1">
        <v>8905077638</v>
      </c>
      <c r="D3094" s="3"/>
      <c r="E3094" s="17" t="s">
        <v>1126</v>
      </c>
      <c r="F3094" s="65" t="s">
        <v>395</v>
      </c>
      <c r="G3094" s="2" t="s">
        <v>295</v>
      </c>
      <c r="H3094" s="1" t="s">
        <v>357</v>
      </c>
      <c r="I3094" s="4" t="s">
        <v>94</v>
      </c>
      <c r="J3094" s="31">
        <v>45820</v>
      </c>
      <c r="K3094" s="31">
        <v>45820</v>
      </c>
      <c r="L3094" s="31">
        <v>45821</v>
      </c>
      <c r="M3094" s="31">
        <v>45870</v>
      </c>
      <c r="N3094" s="31"/>
      <c r="O3094" s="2" t="s">
        <v>297</v>
      </c>
    </row>
    <row r="3095" spans="1:15">
      <c r="A3095" s="3">
        <f t="shared" si="49"/>
        <v>3094</v>
      </c>
      <c r="B3095" s="65" t="s">
        <v>4740</v>
      </c>
      <c r="C3095" s="1">
        <v>8390665223</v>
      </c>
      <c r="D3095" s="3"/>
      <c r="E3095" s="17" t="s">
        <v>1129</v>
      </c>
      <c r="F3095" s="65" t="s">
        <v>395</v>
      </c>
      <c r="G3095" s="2" t="s">
        <v>16</v>
      </c>
      <c r="H3095" s="1" t="s">
        <v>357</v>
      </c>
      <c r="I3095" s="4" t="s">
        <v>94</v>
      </c>
      <c r="J3095" s="31">
        <v>45820</v>
      </c>
      <c r="K3095" s="31">
        <v>45821</v>
      </c>
      <c r="L3095" s="31">
        <v>45821</v>
      </c>
      <c r="M3095" s="31">
        <v>45850</v>
      </c>
      <c r="N3095" s="31">
        <v>45849</v>
      </c>
      <c r="O3095" s="2" t="s">
        <v>297</v>
      </c>
    </row>
    <row r="3096" spans="1:15">
      <c r="A3096" s="3">
        <f t="shared" si="49"/>
        <v>3095</v>
      </c>
      <c r="B3096" s="65" t="s">
        <v>4741</v>
      </c>
      <c r="C3096" s="1">
        <v>9622281828</v>
      </c>
      <c r="D3096" s="3"/>
      <c r="E3096" s="17" t="s">
        <v>1120</v>
      </c>
      <c r="F3096" s="65" t="s">
        <v>1060</v>
      </c>
      <c r="G3096" s="2" t="s">
        <v>416</v>
      </c>
      <c r="H3096" s="1" t="s">
        <v>357</v>
      </c>
      <c r="I3096" s="4" t="s">
        <v>94</v>
      </c>
      <c r="J3096" s="31">
        <v>45820</v>
      </c>
      <c r="K3096" s="31">
        <v>45821</v>
      </c>
      <c r="L3096" s="31"/>
      <c r="M3096" s="31"/>
      <c r="N3096" s="31"/>
      <c r="O3096" s="2" t="s">
        <v>297</v>
      </c>
    </row>
    <row r="3097" spans="1:15">
      <c r="A3097" s="3">
        <f t="shared" si="49"/>
        <v>3096</v>
      </c>
      <c r="B3097" s="65" t="s">
        <v>4742</v>
      </c>
      <c r="C3097" s="1">
        <v>6386341924</v>
      </c>
      <c r="D3097" s="3"/>
      <c r="E3097" s="17" t="s">
        <v>1120</v>
      </c>
      <c r="F3097" s="65" t="s">
        <v>1060</v>
      </c>
      <c r="G3097" s="2" t="s">
        <v>16</v>
      </c>
      <c r="H3097" s="1" t="s">
        <v>357</v>
      </c>
      <c r="I3097" s="4" t="s">
        <v>94</v>
      </c>
      <c r="J3097" s="31">
        <v>45820</v>
      </c>
      <c r="K3097" s="31">
        <v>45821</v>
      </c>
      <c r="L3097" s="31">
        <v>45825</v>
      </c>
      <c r="M3097" s="31">
        <v>45846</v>
      </c>
      <c r="N3097" s="31">
        <v>45849</v>
      </c>
      <c r="O3097" s="2" t="s">
        <v>297</v>
      </c>
    </row>
    <row r="3098" spans="1:15">
      <c r="A3098" s="3">
        <f t="shared" si="49"/>
        <v>3097</v>
      </c>
      <c r="B3098" s="65" t="s">
        <v>4743</v>
      </c>
      <c r="C3098" s="1">
        <v>8435509950</v>
      </c>
      <c r="D3098" s="3">
        <v>7974332522</v>
      </c>
      <c r="E3098" s="17" t="s">
        <v>1233</v>
      </c>
      <c r="F3098" s="65" t="s">
        <v>1060</v>
      </c>
      <c r="G3098" s="2" t="s">
        <v>16</v>
      </c>
      <c r="H3098" s="1" t="s">
        <v>357</v>
      </c>
      <c r="I3098" s="4" t="s">
        <v>94</v>
      </c>
      <c r="J3098" s="31">
        <v>45820</v>
      </c>
      <c r="K3098" s="31">
        <v>45821</v>
      </c>
      <c r="L3098" s="31">
        <v>45821</v>
      </c>
      <c r="M3098" s="31">
        <v>45843</v>
      </c>
      <c r="N3098" s="31">
        <v>45834</v>
      </c>
      <c r="O3098" s="2" t="s">
        <v>297</v>
      </c>
    </row>
    <row r="3099" spans="1:15">
      <c r="A3099" s="3">
        <f t="shared" si="49"/>
        <v>3098</v>
      </c>
      <c r="B3099" s="65" t="s">
        <v>4744</v>
      </c>
      <c r="C3099" s="1">
        <v>7830050682</v>
      </c>
      <c r="D3099" s="3">
        <v>7919025921</v>
      </c>
      <c r="E3099" s="17" t="s">
        <v>1120</v>
      </c>
      <c r="F3099" s="65" t="s">
        <v>1060</v>
      </c>
      <c r="G3099" s="2" t="s">
        <v>416</v>
      </c>
      <c r="H3099" s="1" t="s">
        <v>357</v>
      </c>
      <c r="I3099" s="4" t="s">
        <v>94</v>
      </c>
      <c r="J3099" s="31">
        <v>45820</v>
      </c>
      <c r="K3099" s="31">
        <v>45821</v>
      </c>
      <c r="L3099" s="31"/>
      <c r="M3099" s="31"/>
      <c r="N3099" s="31"/>
      <c r="O3099" s="2" t="s">
        <v>297</v>
      </c>
    </row>
    <row r="3100" spans="1:15">
      <c r="A3100" s="3">
        <f t="shared" si="49"/>
        <v>3099</v>
      </c>
      <c r="B3100" s="65" t="s">
        <v>4745</v>
      </c>
      <c r="C3100" s="1">
        <v>8052652548</v>
      </c>
      <c r="D3100" s="3"/>
      <c r="E3100" s="17" t="s">
        <v>1136</v>
      </c>
      <c r="F3100" s="65" t="s">
        <v>1060</v>
      </c>
      <c r="G3100" s="2" t="s">
        <v>764</v>
      </c>
      <c r="H3100" s="1" t="s">
        <v>357</v>
      </c>
      <c r="I3100" s="4" t="s">
        <v>94</v>
      </c>
      <c r="J3100" s="31">
        <v>45820</v>
      </c>
      <c r="K3100" s="31">
        <v>45821</v>
      </c>
      <c r="L3100" s="31"/>
      <c r="M3100" s="31"/>
      <c r="N3100" s="31"/>
      <c r="O3100" s="2" t="s">
        <v>425</v>
      </c>
    </row>
    <row r="3101" spans="1:15">
      <c r="A3101" s="3">
        <f t="shared" si="49"/>
        <v>3100</v>
      </c>
      <c r="B3101" s="65" t="s">
        <v>4429</v>
      </c>
      <c r="C3101" s="1">
        <v>8789801122</v>
      </c>
      <c r="D3101" s="3"/>
      <c r="E3101" s="17" t="s">
        <v>1136</v>
      </c>
      <c r="F3101" s="65" t="s">
        <v>1060</v>
      </c>
      <c r="G3101" s="3" t="s">
        <v>416</v>
      </c>
      <c r="H3101" s="1" t="s">
        <v>357</v>
      </c>
      <c r="I3101" s="4" t="s">
        <v>94</v>
      </c>
      <c r="J3101" s="31">
        <v>45820</v>
      </c>
      <c r="K3101" s="31">
        <v>45821</v>
      </c>
      <c r="L3101" s="31"/>
      <c r="M3101" s="31"/>
      <c r="N3101" s="31"/>
      <c r="O3101" s="2" t="s">
        <v>297</v>
      </c>
    </row>
    <row r="3102" spans="1:15">
      <c r="A3102" s="3">
        <f t="shared" si="49"/>
        <v>3101</v>
      </c>
      <c r="B3102" s="65" t="s">
        <v>4746</v>
      </c>
      <c r="C3102" s="1">
        <v>8181007808</v>
      </c>
      <c r="D3102" s="3">
        <v>9305893149</v>
      </c>
      <c r="E3102" s="17" t="s">
        <v>1233</v>
      </c>
      <c r="F3102" s="65" t="s">
        <v>1060</v>
      </c>
      <c r="G3102" s="3" t="s">
        <v>416</v>
      </c>
      <c r="H3102" s="1" t="s">
        <v>357</v>
      </c>
      <c r="I3102" s="4" t="s">
        <v>94</v>
      </c>
      <c r="J3102" s="31">
        <v>45820</v>
      </c>
      <c r="K3102" s="31">
        <v>45826</v>
      </c>
      <c r="L3102" s="31"/>
      <c r="M3102" s="31"/>
      <c r="N3102" s="31"/>
      <c r="O3102" s="2" t="s">
        <v>297</v>
      </c>
    </row>
    <row r="3103" spans="1:15">
      <c r="A3103" s="3">
        <f t="shared" si="49"/>
        <v>3102</v>
      </c>
      <c r="B3103" s="65" t="s">
        <v>4747</v>
      </c>
      <c r="C3103" s="1">
        <v>9458285176</v>
      </c>
      <c r="D3103" s="3"/>
      <c r="E3103" s="17" t="s">
        <v>1142</v>
      </c>
      <c r="F3103" s="65" t="s">
        <v>1060</v>
      </c>
      <c r="G3103" s="2" t="s">
        <v>295</v>
      </c>
      <c r="H3103" s="1" t="s">
        <v>357</v>
      </c>
      <c r="I3103" s="4" t="s">
        <v>94</v>
      </c>
      <c r="J3103" s="31">
        <v>45820</v>
      </c>
      <c r="K3103" s="31">
        <v>45821</v>
      </c>
      <c r="L3103" s="31">
        <v>45825</v>
      </c>
      <c r="M3103" s="31">
        <v>45859</v>
      </c>
      <c r="N3103" s="31"/>
      <c r="O3103" s="2" t="s">
        <v>297</v>
      </c>
    </row>
    <row r="3104" spans="1:15">
      <c r="A3104" s="3">
        <f t="shared" ref="A3104:A3167" si="50">ROW()-1</f>
        <v>3103</v>
      </c>
      <c r="B3104" s="65" t="s">
        <v>4748</v>
      </c>
      <c r="C3104" s="1">
        <v>7396464232</v>
      </c>
      <c r="D3104" s="3">
        <v>8247741993</v>
      </c>
      <c r="E3104" s="17" t="s">
        <v>124</v>
      </c>
      <c r="F3104" s="65" t="s">
        <v>4749</v>
      </c>
      <c r="G3104" s="2" t="s">
        <v>424</v>
      </c>
      <c r="H3104" s="1" t="s">
        <v>3240</v>
      </c>
      <c r="I3104" s="4" t="s">
        <v>42</v>
      </c>
      <c r="J3104" s="31">
        <v>45820</v>
      </c>
      <c r="K3104" s="31">
        <v>45821</v>
      </c>
      <c r="L3104" s="31"/>
      <c r="M3104" s="31"/>
      <c r="N3104" s="31"/>
      <c r="O3104" s="2" t="s">
        <v>749</v>
      </c>
    </row>
    <row r="3105" spans="1:15">
      <c r="A3105" s="3">
        <f t="shared" si="50"/>
        <v>3104</v>
      </c>
      <c r="B3105" s="65" t="s">
        <v>4750</v>
      </c>
      <c r="C3105" s="1">
        <v>9550529825</v>
      </c>
      <c r="D3105" s="3"/>
      <c r="E3105" s="17" t="s">
        <v>127</v>
      </c>
      <c r="F3105" s="65" t="s">
        <v>4751</v>
      </c>
      <c r="G3105" s="2" t="s">
        <v>16</v>
      </c>
      <c r="H3105" s="1" t="s">
        <v>3240</v>
      </c>
      <c r="I3105" s="4" t="s">
        <v>42</v>
      </c>
      <c r="J3105" s="31">
        <v>45820</v>
      </c>
      <c r="K3105" s="31">
        <v>45821</v>
      </c>
      <c r="L3105" s="31">
        <v>45825</v>
      </c>
      <c r="M3105" s="31">
        <v>45854</v>
      </c>
      <c r="N3105" s="31">
        <v>45854</v>
      </c>
      <c r="O3105" s="2" t="s">
        <v>297</v>
      </c>
    </row>
    <row r="3106" spans="1:15">
      <c r="A3106" s="3">
        <f t="shared" si="50"/>
        <v>3105</v>
      </c>
      <c r="B3106" s="65" t="s">
        <v>4752</v>
      </c>
      <c r="C3106" s="1">
        <v>7989991399</v>
      </c>
      <c r="D3106" s="3"/>
      <c r="E3106" s="17" t="s">
        <v>127</v>
      </c>
      <c r="F3106" s="65" t="s">
        <v>3837</v>
      </c>
      <c r="G3106" s="2" t="s">
        <v>424</v>
      </c>
      <c r="H3106" s="1" t="s">
        <v>3240</v>
      </c>
      <c r="I3106" s="4" t="s">
        <v>42</v>
      </c>
      <c r="J3106" s="31">
        <v>45820</v>
      </c>
      <c r="K3106" s="31">
        <v>45835</v>
      </c>
      <c r="L3106" s="31"/>
      <c r="M3106" s="31"/>
      <c r="N3106" s="31"/>
      <c r="O3106" s="2" t="s">
        <v>425</v>
      </c>
    </row>
    <row r="3107" spans="1:15">
      <c r="A3107" s="3">
        <f t="shared" si="50"/>
        <v>3106</v>
      </c>
      <c r="B3107" s="65" t="s">
        <v>4753</v>
      </c>
      <c r="C3107" s="1">
        <v>9198084170</v>
      </c>
      <c r="D3107" s="3"/>
      <c r="E3107" s="17" t="s">
        <v>124</v>
      </c>
      <c r="F3107" s="65" t="s">
        <v>3837</v>
      </c>
      <c r="G3107" s="2" t="s">
        <v>424</v>
      </c>
      <c r="H3107" s="1" t="s">
        <v>3240</v>
      </c>
      <c r="I3107" s="4" t="s">
        <v>42</v>
      </c>
      <c r="J3107" s="31">
        <v>45820</v>
      </c>
      <c r="K3107" s="31">
        <v>45835</v>
      </c>
      <c r="L3107" s="31"/>
      <c r="M3107" s="31"/>
      <c r="N3107" s="31"/>
      <c r="O3107" s="2" t="s">
        <v>749</v>
      </c>
    </row>
    <row r="3108" spans="1:15">
      <c r="A3108" s="3">
        <f t="shared" si="50"/>
        <v>3107</v>
      </c>
      <c r="B3108" s="65" t="s">
        <v>4754</v>
      </c>
      <c r="C3108" s="1">
        <v>6261185772</v>
      </c>
      <c r="D3108" s="3"/>
      <c r="E3108" s="17" t="s">
        <v>124</v>
      </c>
      <c r="F3108" s="65" t="s">
        <v>471</v>
      </c>
      <c r="G3108" s="2" t="s">
        <v>424</v>
      </c>
      <c r="H3108" s="1" t="s">
        <v>3240</v>
      </c>
      <c r="I3108" s="4" t="s">
        <v>42</v>
      </c>
      <c r="J3108" s="31">
        <v>45820</v>
      </c>
      <c r="K3108" s="31">
        <v>45835</v>
      </c>
      <c r="L3108" s="31"/>
      <c r="M3108" s="31"/>
      <c r="N3108" s="31"/>
      <c r="O3108" s="2" t="s">
        <v>425</v>
      </c>
    </row>
    <row r="3109" spans="1:15">
      <c r="A3109" s="3">
        <f t="shared" si="50"/>
        <v>3108</v>
      </c>
      <c r="B3109" s="65" t="s">
        <v>4755</v>
      </c>
      <c r="C3109" s="1">
        <v>9036453252</v>
      </c>
      <c r="D3109" s="3"/>
      <c r="E3109" s="17" t="s">
        <v>4449</v>
      </c>
      <c r="F3109" s="65" t="s">
        <v>4756</v>
      </c>
      <c r="G3109" s="2" t="s">
        <v>424</v>
      </c>
      <c r="H3109" s="1" t="s">
        <v>361</v>
      </c>
      <c r="I3109" s="4" t="s">
        <v>42</v>
      </c>
      <c r="J3109" s="31">
        <v>45821</v>
      </c>
      <c r="K3109" s="31">
        <v>45841</v>
      </c>
      <c r="L3109" s="31"/>
      <c r="M3109" s="31"/>
      <c r="N3109" s="31"/>
      <c r="O3109" s="2" t="s">
        <v>425</v>
      </c>
    </row>
    <row r="3110" spans="1:15">
      <c r="A3110" s="3">
        <f t="shared" si="50"/>
        <v>3109</v>
      </c>
      <c r="B3110" s="65" t="s">
        <v>4757</v>
      </c>
      <c r="C3110" s="1">
        <v>9100024815</v>
      </c>
      <c r="D3110" s="3"/>
      <c r="E3110" s="17" t="s">
        <v>4758</v>
      </c>
      <c r="F3110" s="65" t="s">
        <v>329</v>
      </c>
      <c r="G3110" s="3" t="s">
        <v>16</v>
      </c>
      <c r="H3110" s="1" t="s">
        <v>1186</v>
      </c>
      <c r="I3110" s="4" t="s">
        <v>94</v>
      </c>
      <c r="J3110" s="31">
        <v>45821</v>
      </c>
      <c r="K3110" s="31">
        <v>45826</v>
      </c>
      <c r="L3110" s="31">
        <v>46066</v>
      </c>
      <c r="M3110" s="31">
        <v>46104</v>
      </c>
      <c r="N3110" s="31">
        <v>46104</v>
      </c>
      <c r="O3110" s="2" t="s">
        <v>297</v>
      </c>
    </row>
    <row r="3111" spans="1:15">
      <c r="A3111" s="3">
        <f t="shared" si="50"/>
        <v>3110</v>
      </c>
      <c r="B3111" s="65" t="s">
        <v>4759</v>
      </c>
      <c r="C3111" s="1">
        <v>9703291547</v>
      </c>
      <c r="D3111" s="3"/>
      <c r="E3111" s="17" t="s">
        <v>4626</v>
      </c>
      <c r="F3111" s="65" t="s">
        <v>308</v>
      </c>
      <c r="G3111" s="3" t="s">
        <v>1175</v>
      </c>
      <c r="H3111" s="1" t="s">
        <v>1186</v>
      </c>
      <c r="I3111" s="4" t="s">
        <v>94</v>
      </c>
      <c r="J3111" s="31">
        <v>45821</v>
      </c>
      <c r="K3111" s="31"/>
      <c r="L3111" s="31"/>
      <c r="M3111" s="31"/>
      <c r="N3111" s="31"/>
      <c r="O3111" s="2" t="s">
        <v>1004</v>
      </c>
    </row>
    <row r="3112" spans="1:15">
      <c r="A3112" s="3">
        <f t="shared" si="50"/>
        <v>3111</v>
      </c>
      <c r="B3112" s="65" t="s">
        <v>4760</v>
      </c>
      <c r="C3112" s="1">
        <v>7702687295</v>
      </c>
      <c r="D3112" s="3"/>
      <c r="E3112" s="17" t="s">
        <v>2411</v>
      </c>
      <c r="F3112" s="65" t="s">
        <v>569</v>
      </c>
      <c r="G3112" s="2" t="s">
        <v>18</v>
      </c>
      <c r="H3112" s="1" t="s">
        <v>1186</v>
      </c>
      <c r="I3112" s="4" t="s">
        <v>94</v>
      </c>
      <c r="J3112" s="31">
        <v>45821</v>
      </c>
      <c r="K3112" s="31">
        <v>45826</v>
      </c>
      <c r="L3112" s="31">
        <v>45835</v>
      </c>
      <c r="M3112" s="31">
        <v>45845</v>
      </c>
      <c r="N3112" s="31"/>
      <c r="O3112" s="2" t="s">
        <v>297</v>
      </c>
    </row>
    <row r="3113" spans="1:15">
      <c r="A3113" s="3">
        <f t="shared" si="50"/>
        <v>3112</v>
      </c>
      <c r="B3113" s="65" t="s">
        <v>4761</v>
      </c>
      <c r="C3113" s="1">
        <v>7013175923</v>
      </c>
      <c r="D3113" s="3"/>
      <c r="E3113" s="17" t="s">
        <v>2411</v>
      </c>
      <c r="F3113" s="65" t="s">
        <v>569</v>
      </c>
      <c r="G3113" s="3" t="s">
        <v>16</v>
      </c>
      <c r="H3113" s="1" t="s">
        <v>1186</v>
      </c>
      <c r="I3113" s="4" t="s">
        <v>94</v>
      </c>
      <c r="J3113" s="31">
        <v>45821</v>
      </c>
      <c r="K3113" s="31">
        <v>45826</v>
      </c>
      <c r="L3113" s="31">
        <v>45827</v>
      </c>
      <c r="M3113" s="31">
        <v>45849</v>
      </c>
      <c r="N3113" s="31">
        <v>45847</v>
      </c>
      <c r="O3113" s="2" t="s">
        <v>297</v>
      </c>
    </row>
    <row r="3114" spans="1:15">
      <c r="A3114" s="3">
        <f t="shared" si="50"/>
        <v>3113</v>
      </c>
      <c r="B3114" s="65" t="s">
        <v>4762</v>
      </c>
      <c r="C3114" s="1">
        <v>8923803244</v>
      </c>
      <c r="D3114" s="3"/>
      <c r="E3114" s="17" t="s">
        <v>3869</v>
      </c>
      <c r="F3114" s="65" t="s">
        <v>4763</v>
      </c>
      <c r="G3114" s="2" t="s">
        <v>764</v>
      </c>
      <c r="H3114" s="1" t="s">
        <v>3854</v>
      </c>
      <c r="I3114" s="4" t="s">
        <v>88</v>
      </c>
      <c r="J3114" s="31">
        <v>45821</v>
      </c>
      <c r="K3114" s="31">
        <v>45839</v>
      </c>
      <c r="L3114" s="31"/>
      <c r="M3114" s="31"/>
      <c r="N3114" s="31"/>
      <c r="O3114" s="2" t="s">
        <v>425</v>
      </c>
    </row>
    <row r="3115" spans="1:15">
      <c r="A3115" s="3">
        <f t="shared" si="50"/>
        <v>3114</v>
      </c>
      <c r="B3115" s="65" t="s">
        <v>4764</v>
      </c>
      <c r="C3115" s="1">
        <v>7275897182</v>
      </c>
      <c r="D3115" s="3"/>
      <c r="E3115" s="17" t="s">
        <v>3869</v>
      </c>
      <c r="F3115" s="65" t="s">
        <v>4765</v>
      </c>
      <c r="G3115" s="2" t="s">
        <v>764</v>
      </c>
      <c r="H3115" s="1" t="s">
        <v>3854</v>
      </c>
      <c r="I3115" s="4" t="s">
        <v>88</v>
      </c>
      <c r="J3115" s="31">
        <v>45821</v>
      </c>
      <c r="K3115" s="31">
        <v>45839</v>
      </c>
      <c r="L3115" s="31"/>
      <c r="M3115" s="31"/>
      <c r="N3115" s="31"/>
      <c r="O3115" s="2" t="s">
        <v>425</v>
      </c>
    </row>
    <row r="3116" spans="1:15">
      <c r="A3116" s="3">
        <f t="shared" si="50"/>
        <v>3115</v>
      </c>
      <c r="B3116" s="65" t="s">
        <v>4766</v>
      </c>
      <c r="C3116" s="1">
        <v>7905368693</v>
      </c>
      <c r="D3116" s="3"/>
      <c r="E3116" s="17" t="s">
        <v>3869</v>
      </c>
      <c r="F3116" s="65" t="s">
        <v>308</v>
      </c>
      <c r="G3116" s="2" t="s">
        <v>764</v>
      </c>
      <c r="H3116" s="1" t="s">
        <v>3854</v>
      </c>
      <c r="I3116" s="4" t="s">
        <v>88</v>
      </c>
      <c r="J3116" s="31">
        <v>45821</v>
      </c>
      <c r="K3116" s="31">
        <v>45839</v>
      </c>
      <c r="L3116" s="31"/>
      <c r="M3116" s="31"/>
      <c r="N3116" s="31"/>
      <c r="O3116" s="2" t="s">
        <v>425</v>
      </c>
    </row>
    <row r="3117" spans="1:15">
      <c r="A3117" s="3">
        <f t="shared" si="50"/>
        <v>3116</v>
      </c>
      <c r="B3117" s="65" t="s">
        <v>4767</v>
      </c>
      <c r="C3117" s="1">
        <v>9046648353</v>
      </c>
      <c r="D3117" s="3"/>
      <c r="E3117" s="17" t="s">
        <v>3869</v>
      </c>
      <c r="F3117" s="65" t="s">
        <v>4768</v>
      </c>
      <c r="G3117" s="2" t="s">
        <v>295</v>
      </c>
      <c r="H3117" s="1" t="s">
        <v>3854</v>
      </c>
      <c r="I3117" s="4" t="s">
        <v>88</v>
      </c>
      <c r="J3117" s="31">
        <v>45821</v>
      </c>
      <c r="K3117" s="31">
        <v>45839</v>
      </c>
      <c r="L3117" s="31">
        <v>45849</v>
      </c>
      <c r="M3117" s="31">
        <v>45991</v>
      </c>
      <c r="N3117" s="31"/>
      <c r="O3117" s="2" t="s">
        <v>297</v>
      </c>
    </row>
    <row r="3118" spans="1:15">
      <c r="A3118" s="3">
        <f t="shared" si="50"/>
        <v>3117</v>
      </c>
      <c r="B3118" s="65" t="s">
        <v>4769</v>
      </c>
      <c r="C3118" s="1">
        <v>9755595644</v>
      </c>
      <c r="D3118" s="3"/>
      <c r="E3118" s="17" t="s">
        <v>3869</v>
      </c>
      <c r="F3118" s="65" t="s">
        <v>308</v>
      </c>
      <c r="G3118" s="2" t="s">
        <v>424</v>
      </c>
      <c r="H3118" s="1" t="s">
        <v>3854</v>
      </c>
      <c r="I3118" s="4" t="s">
        <v>88</v>
      </c>
      <c r="J3118" s="31">
        <v>45821</v>
      </c>
      <c r="K3118" s="31">
        <v>45839</v>
      </c>
      <c r="L3118" s="31"/>
      <c r="M3118" s="31"/>
      <c r="N3118" s="31"/>
      <c r="O3118" s="2" t="s">
        <v>749</v>
      </c>
    </row>
    <row r="3119" spans="1:15">
      <c r="A3119" s="3">
        <f t="shared" si="50"/>
        <v>3118</v>
      </c>
      <c r="B3119" s="65" t="s">
        <v>4770</v>
      </c>
      <c r="C3119" s="1">
        <v>8878386651</v>
      </c>
      <c r="D3119" s="3"/>
      <c r="E3119" s="17" t="s">
        <v>3869</v>
      </c>
      <c r="F3119" s="65" t="s">
        <v>4768</v>
      </c>
      <c r="G3119" s="2" t="s">
        <v>764</v>
      </c>
      <c r="H3119" s="1" t="s">
        <v>3854</v>
      </c>
      <c r="I3119" s="4" t="s">
        <v>88</v>
      </c>
      <c r="J3119" s="31">
        <v>45821</v>
      </c>
      <c r="K3119" s="31">
        <v>45839</v>
      </c>
      <c r="L3119" s="31"/>
      <c r="M3119" s="31"/>
      <c r="N3119" s="31"/>
      <c r="O3119" s="2" t="s">
        <v>425</v>
      </c>
    </row>
    <row r="3120" spans="1:15">
      <c r="A3120" s="3">
        <f t="shared" si="50"/>
        <v>3119</v>
      </c>
      <c r="B3120" s="65" t="s">
        <v>4771</v>
      </c>
      <c r="C3120" s="1">
        <v>7987252856</v>
      </c>
      <c r="D3120" s="3">
        <v>9125197830</v>
      </c>
      <c r="E3120" s="17" t="s">
        <v>3869</v>
      </c>
      <c r="F3120" s="65" t="s">
        <v>4772</v>
      </c>
      <c r="G3120" s="2" t="s">
        <v>764</v>
      </c>
      <c r="H3120" s="1" t="s">
        <v>3854</v>
      </c>
      <c r="I3120" s="4" t="s">
        <v>88</v>
      </c>
      <c r="J3120" s="31">
        <v>45821</v>
      </c>
      <c r="K3120" s="31">
        <v>45839</v>
      </c>
      <c r="L3120" s="31"/>
      <c r="M3120" s="31"/>
      <c r="N3120" s="31"/>
      <c r="O3120" s="2" t="s">
        <v>425</v>
      </c>
    </row>
    <row r="3121" spans="1:15">
      <c r="A3121" s="3">
        <f t="shared" si="50"/>
        <v>3120</v>
      </c>
      <c r="B3121" s="65" t="s">
        <v>4773</v>
      </c>
      <c r="C3121" s="1">
        <v>7453915868</v>
      </c>
      <c r="D3121" s="3"/>
      <c r="E3121" s="17" t="s">
        <v>3869</v>
      </c>
      <c r="F3121" s="65" t="s">
        <v>4774</v>
      </c>
      <c r="G3121" s="2" t="s">
        <v>764</v>
      </c>
      <c r="H3121" s="1" t="s">
        <v>3854</v>
      </c>
      <c r="I3121" s="4" t="s">
        <v>88</v>
      </c>
      <c r="J3121" s="31">
        <v>45821</v>
      </c>
      <c r="K3121" s="31">
        <v>45839</v>
      </c>
      <c r="L3121" s="31"/>
      <c r="M3121" s="31"/>
      <c r="N3121" s="31"/>
      <c r="O3121" s="2" t="s">
        <v>425</v>
      </c>
    </row>
    <row r="3122" spans="1:15">
      <c r="A3122" s="3">
        <f t="shared" si="50"/>
        <v>3121</v>
      </c>
      <c r="B3122" s="65" t="s">
        <v>4775</v>
      </c>
      <c r="C3122" s="1">
        <v>9666553352</v>
      </c>
      <c r="D3122" s="3"/>
      <c r="E3122" s="17" t="s">
        <v>52</v>
      </c>
      <c r="F3122" s="65" t="s">
        <v>972</v>
      </c>
      <c r="G3122" s="2" t="s">
        <v>424</v>
      </c>
      <c r="H3122" s="1" t="s">
        <v>679</v>
      </c>
      <c r="I3122" s="4" t="s">
        <v>42</v>
      </c>
      <c r="J3122" s="31">
        <v>45821</v>
      </c>
      <c r="K3122" s="31">
        <v>45824</v>
      </c>
      <c r="L3122" s="31"/>
      <c r="M3122" s="31"/>
      <c r="N3122" s="31"/>
      <c r="O3122" s="2" t="s">
        <v>425</v>
      </c>
    </row>
    <row r="3123" spans="1:15">
      <c r="A3123" s="3">
        <f t="shared" si="50"/>
        <v>3122</v>
      </c>
      <c r="B3123" s="65" t="s">
        <v>4776</v>
      </c>
      <c r="C3123" s="1">
        <v>7978655328</v>
      </c>
      <c r="D3123" s="3">
        <v>8895663078</v>
      </c>
      <c r="E3123" s="17" t="s">
        <v>52</v>
      </c>
      <c r="F3123" s="65" t="s">
        <v>4777</v>
      </c>
      <c r="G3123" s="2" t="s">
        <v>424</v>
      </c>
      <c r="H3123" s="1" t="s">
        <v>679</v>
      </c>
      <c r="I3123" s="4" t="s">
        <v>42</v>
      </c>
      <c r="J3123" s="31">
        <v>45821</v>
      </c>
      <c r="K3123" s="31">
        <v>45824</v>
      </c>
      <c r="L3123" s="31"/>
      <c r="M3123" s="31"/>
      <c r="N3123" s="31"/>
      <c r="O3123" s="2" t="s">
        <v>425</v>
      </c>
    </row>
    <row r="3124" spans="1:15">
      <c r="A3124" s="3">
        <f t="shared" si="50"/>
        <v>3123</v>
      </c>
      <c r="B3124" s="65" t="s">
        <v>4778</v>
      </c>
      <c r="C3124" s="1">
        <v>8305945098</v>
      </c>
      <c r="D3124" s="3"/>
      <c r="E3124" s="17" t="s">
        <v>59</v>
      </c>
      <c r="F3124" s="65" t="s">
        <v>4779</v>
      </c>
      <c r="G3124" s="2" t="s">
        <v>424</v>
      </c>
      <c r="H3124" s="1" t="s">
        <v>679</v>
      </c>
      <c r="I3124" s="4" t="s">
        <v>42</v>
      </c>
      <c r="J3124" s="31">
        <v>45821</v>
      </c>
      <c r="K3124" s="31">
        <v>45826</v>
      </c>
      <c r="L3124" s="31"/>
      <c r="M3124" s="31"/>
      <c r="N3124" s="31"/>
      <c r="O3124" s="2" t="s">
        <v>749</v>
      </c>
    </row>
    <row r="3125" spans="1:15">
      <c r="A3125" s="3">
        <f t="shared" si="50"/>
        <v>3124</v>
      </c>
      <c r="B3125" s="65" t="s">
        <v>4780</v>
      </c>
      <c r="C3125" s="1">
        <v>9492312317</v>
      </c>
      <c r="D3125" s="3">
        <v>7032542699</v>
      </c>
      <c r="E3125" s="17" t="s">
        <v>59</v>
      </c>
      <c r="F3125" s="65" t="s">
        <v>4781</v>
      </c>
      <c r="G3125" s="2" t="s">
        <v>764</v>
      </c>
      <c r="H3125" s="1" t="s">
        <v>679</v>
      </c>
      <c r="I3125" s="4" t="s">
        <v>42</v>
      </c>
      <c r="J3125" s="31">
        <v>45821</v>
      </c>
      <c r="K3125" s="31">
        <v>45826</v>
      </c>
      <c r="L3125" s="31"/>
      <c r="M3125" s="31"/>
      <c r="N3125" s="31"/>
      <c r="O3125" s="2" t="s">
        <v>425</v>
      </c>
    </row>
    <row r="3126" spans="1:15">
      <c r="A3126" s="3">
        <f t="shared" si="50"/>
        <v>3125</v>
      </c>
      <c r="B3126" s="65" t="s">
        <v>4782</v>
      </c>
      <c r="C3126" s="1">
        <v>8886016543</v>
      </c>
      <c r="D3126" s="3"/>
      <c r="E3126" s="17" t="s">
        <v>4626</v>
      </c>
      <c r="F3126" s="65" t="s">
        <v>308</v>
      </c>
      <c r="G3126" s="3" t="s">
        <v>1175</v>
      </c>
      <c r="H3126" s="1" t="s">
        <v>1186</v>
      </c>
      <c r="I3126" s="4" t="s">
        <v>94</v>
      </c>
      <c r="J3126" s="31">
        <v>45821</v>
      </c>
      <c r="K3126" s="31"/>
      <c r="L3126" s="31"/>
      <c r="M3126" s="31"/>
      <c r="N3126" s="31"/>
      <c r="O3126" s="2" t="s">
        <v>1004</v>
      </c>
    </row>
    <row r="3127" spans="1:15">
      <c r="A3127" s="3">
        <f t="shared" si="50"/>
        <v>3126</v>
      </c>
      <c r="B3127" s="65" t="s">
        <v>4783</v>
      </c>
      <c r="C3127" s="1">
        <v>7981509297</v>
      </c>
      <c r="D3127" s="3"/>
      <c r="E3127" s="17" t="s">
        <v>2411</v>
      </c>
      <c r="F3127" s="65" t="s">
        <v>569</v>
      </c>
      <c r="G3127" s="3" t="s">
        <v>1175</v>
      </c>
      <c r="H3127" s="1" t="s">
        <v>1186</v>
      </c>
      <c r="I3127" s="4" t="s">
        <v>94</v>
      </c>
      <c r="J3127" s="31">
        <v>45821</v>
      </c>
      <c r="K3127" s="31"/>
      <c r="L3127" s="31"/>
      <c r="M3127" s="31"/>
      <c r="N3127" s="31"/>
      <c r="O3127" s="2" t="s">
        <v>1004</v>
      </c>
    </row>
    <row r="3128" spans="1:15">
      <c r="A3128" s="3">
        <f t="shared" si="50"/>
        <v>3127</v>
      </c>
      <c r="B3128" s="65" t="s">
        <v>4784</v>
      </c>
      <c r="C3128" s="1">
        <v>9494075613</v>
      </c>
      <c r="D3128" s="3"/>
      <c r="E3128" s="17" t="s">
        <v>2411</v>
      </c>
      <c r="F3128" s="65" t="s">
        <v>569</v>
      </c>
      <c r="G3128" s="3" t="s">
        <v>1175</v>
      </c>
      <c r="H3128" s="1" t="s">
        <v>1186</v>
      </c>
      <c r="I3128" s="4" t="s">
        <v>94</v>
      </c>
      <c r="J3128" s="31">
        <v>45821</v>
      </c>
      <c r="K3128" s="31"/>
      <c r="L3128" s="31"/>
      <c r="M3128" s="31"/>
      <c r="N3128" s="31"/>
      <c r="O3128" s="2" t="s">
        <v>1004</v>
      </c>
    </row>
    <row r="3129" spans="1:15">
      <c r="A3129" s="3">
        <f t="shared" si="50"/>
        <v>3128</v>
      </c>
      <c r="B3129" s="65" t="s">
        <v>4785</v>
      </c>
      <c r="C3129" s="1">
        <v>7067689391</v>
      </c>
      <c r="D3129" s="3"/>
      <c r="E3129" s="17" t="s">
        <v>1732</v>
      </c>
      <c r="F3129" s="65" t="s">
        <v>4786</v>
      </c>
      <c r="G3129" s="6" t="s">
        <v>1175</v>
      </c>
      <c r="H3129" s="1" t="s">
        <v>815</v>
      </c>
      <c r="I3129" s="4" t="s">
        <v>94</v>
      </c>
      <c r="J3129" s="31">
        <v>45821</v>
      </c>
      <c r="K3129" s="31"/>
      <c r="L3129" s="31"/>
      <c r="M3129" s="31"/>
      <c r="N3129" s="31"/>
      <c r="O3129" s="2" t="s">
        <v>1004</v>
      </c>
    </row>
    <row r="3130" spans="1:15">
      <c r="A3130" s="3">
        <f t="shared" si="50"/>
        <v>3129</v>
      </c>
      <c r="B3130" s="65" t="s">
        <v>4787</v>
      </c>
      <c r="C3130" s="1">
        <v>6302312572</v>
      </c>
      <c r="D3130" s="3"/>
      <c r="E3130" s="17" t="s">
        <v>1732</v>
      </c>
      <c r="F3130" s="65" t="s">
        <v>4786</v>
      </c>
      <c r="G3130" s="2" t="s">
        <v>18</v>
      </c>
      <c r="H3130" s="1" t="s">
        <v>815</v>
      </c>
      <c r="I3130" s="4" t="s">
        <v>94</v>
      </c>
      <c r="J3130" s="31">
        <v>45821</v>
      </c>
      <c r="K3130" s="31">
        <v>45824</v>
      </c>
      <c r="L3130" s="31"/>
      <c r="M3130" s="31"/>
      <c r="N3130" s="31"/>
      <c r="O3130" s="2" t="s">
        <v>297</v>
      </c>
    </row>
    <row r="3131" spans="1:15">
      <c r="A3131" s="3">
        <f t="shared" si="50"/>
        <v>3130</v>
      </c>
      <c r="B3131" s="65" t="s">
        <v>1327</v>
      </c>
      <c r="C3131" s="1">
        <v>9315473427</v>
      </c>
      <c r="D3131" s="3">
        <v>9650973427</v>
      </c>
      <c r="E3131" s="17" t="s">
        <v>2732</v>
      </c>
      <c r="F3131" s="65" t="s">
        <v>4786</v>
      </c>
      <c r="G3131" s="6" t="s">
        <v>1175</v>
      </c>
      <c r="H3131" s="1" t="s">
        <v>815</v>
      </c>
      <c r="I3131" s="4" t="s">
        <v>94</v>
      </c>
      <c r="J3131" s="31">
        <v>45821</v>
      </c>
      <c r="K3131" s="31"/>
      <c r="L3131" s="31"/>
      <c r="M3131" s="31"/>
      <c r="N3131" s="31"/>
      <c r="O3131" s="2" t="s">
        <v>1004</v>
      </c>
    </row>
    <row r="3132" spans="1:15">
      <c r="A3132" s="3">
        <f t="shared" si="50"/>
        <v>3131</v>
      </c>
      <c r="B3132" s="65" t="s">
        <v>4788</v>
      </c>
      <c r="C3132" s="1">
        <v>7847064084</v>
      </c>
      <c r="D3132" s="3"/>
      <c r="E3132" s="17" t="s">
        <v>52</v>
      </c>
      <c r="F3132" s="65" t="s">
        <v>4789</v>
      </c>
      <c r="G3132" s="2" t="s">
        <v>416</v>
      </c>
      <c r="H3132" s="1" t="s">
        <v>679</v>
      </c>
      <c r="I3132" s="4" t="s">
        <v>42</v>
      </c>
      <c r="J3132" s="31">
        <v>45821</v>
      </c>
      <c r="K3132" s="31">
        <v>45824</v>
      </c>
      <c r="L3132" s="31"/>
      <c r="M3132" s="31"/>
      <c r="N3132" s="31"/>
      <c r="O3132" s="2" t="s">
        <v>297</v>
      </c>
    </row>
    <row r="3133" spans="1:15">
      <c r="A3133" s="3">
        <f t="shared" si="50"/>
        <v>3132</v>
      </c>
      <c r="B3133" s="65" t="s">
        <v>4790</v>
      </c>
      <c r="C3133" s="1">
        <v>9701928789</v>
      </c>
      <c r="D3133" s="3"/>
      <c r="E3133" s="17" t="s">
        <v>59</v>
      </c>
      <c r="F3133" s="65" t="s">
        <v>4791</v>
      </c>
      <c r="G3133" s="2" t="s">
        <v>708</v>
      </c>
      <c r="H3133" s="1" t="s">
        <v>679</v>
      </c>
      <c r="I3133" s="4" t="s">
        <v>42</v>
      </c>
      <c r="J3133" s="31">
        <v>45821</v>
      </c>
      <c r="K3133" s="31">
        <v>45822</v>
      </c>
      <c r="L3133" s="31"/>
      <c r="M3133" s="31"/>
      <c r="N3133" s="31"/>
      <c r="O3133" s="2" t="s">
        <v>297</v>
      </c>
    </row>
    <row r="3134" spans="1:15">
      <c r="A3134" s="3">
        <f t="shared" si="50"/>
        <v>3133</v>
      </c>
      <c r="B3134" s="65" t="s">
        <v>4792</v>
      </c>
      <c r="C3134" s="1">
        <v>9642973225</v>
      </c>
      <c r="D3134" s="3">
        <v>8919641928</v>
      </c>
      <c r="E3134" s="17" t="s">
        <v>52</v>
      </c>
      <c r="F3134" s="65" t="s">
        <v>3605</v>
      </c>
      <c r="G3134" s="2" t="s">
        <v>424</v>
      </c>
      <c r="H3134" s="1" t="s">
        <v>679</v>
      </c>
      <c r="I3134" s="4" t="s">
        <v>42</v>
      </c>
      <c r="J3134" s="31">
        <v>45821</v>
      </c>
      <c r="K3134" s="31">
        <v>45822</v>
      </c>
      <c r="L3134" s="31"/>
      <c r="M3134" s="31"/>
      <c r="N3134" s="31"/>
      <c r="O3134" s="2" t="s">
        <v>425</v>
      </c>
    </row>
    <row r="3135" spans="1:15">
      <c r="A3135" s="3">
        <f t="shared" si="50"/>
        <v>3134</v>
      </c>
      <c r="B3135" s="65" t="s">
        <v>4793</v>
      </c>
      <c r="C3135" s="1">
        <v>8851987782</v>
      </c>
      <c r="D3135" s="3"/>
      <c r="E3135" s="17" t="s">
        <v>3767</v>
      </c>
      <c r="F3135" s="65" t="s">
        <v>2199</v>
      </c>
      <c r="G3135" s="3" t="s">
        <v>1175</v>
      </c>
      <c r="H3135" s="1" t="s">
        <v>42</v>
      </c>
      <c r="I3135" s="4" t="s">
        <v>94</v>
      </c>
      <c r="J3135" s="31">
        <v>45821</v>
      </c>
      <c r="K3135" s="31"/>
      <c r="L3135" s="31"/>
      <c r="M3135" s="31"/>
      <c r="N3135" s="31"/>
      <c r="O3135" s="2" t="s">
        <v>1004</v>
      </c>
    </row>
    <row r="3136" spans="1:15">
      <c r="A3136" s="3">
        <f t="shared" si="50"/>
        <v>3135</v>
      </c>
      <c r="B3136" s="65" t="s">
        <v>4794</v>
      </c>
      <c r="C3136" s="1">
        <v>7407283858</v>
      </c>
      <c r="D3136" s="3"/>
      <c r="E3136" s="17" t="s">
        <v>3767</v>
      </c>
      <c r="F3136" s="65" t="s">
        <v>4795</v>
      </c>
      <c r="G3136" s="3" t="s">
        <v>1175</v>
      </c>
      <c r="H3136" s="1" t="s">
        <v>42</v>
      </c>
      <c r="I3136" s="4" t="s">
        <v>94</v>
      </c>
      <c r="J3136" s="31">
        <v>45821</v>
      </c>
      <c r="K3136" s="31"/>
      <c r="L3136" s="31"/>
      <c r="M3136" s="31"/>
      <c r="N3136" s="31"/>
      <c r="O3136" s="2" t="s">
        <v>1004</v>
      </c>
    </row>
    <row r="3137" spans="1:15">
      <c r="A3137" s="3">
        <f t="shared" si="50"/>
        <v>3136</v>
      </c>
      <c r="B3137" s="65" t="s">
        <v>4796</v>
      </c>
      <c r="C3137" s="1">
        <v>9949886750</v>
      </c>
      <c r="D3137" s="3"/>
      <c r="E3137" s="17" t="s">
        <v>3767</v>
      </c>
      <c r="F3137" s="65" t="s">
        <v>4797</v>
      </c>
      <c r="G3137" s="3" t="s">
        <v>1175</v>
      </c>
      <c r="H3137" s="1" t="s">
        <v>42</v>
      </c>
      <c r="I3137" s="4" t="s">
        <v>94</v>
      </c>
      <c r="J3137" s="31">
        <v>45821</v>
      </c>
      <c r="K3137" s="31"/>
      <c r="L3137" s="31"/>
      <c r="M3137" s="31"/>
      <c r="N3137" s="31"/>
      <c r="O3137" s="2" t="s">
        <v>1004</v>
      </c>
    </row>
    <row r="3138" spans="1:15">
      <c r="A3138" s="3">
        <f t="shared" si="50"/>
        <v>3137</v>
      </c>
      <c r="B3138" s="65" t="s">
        <v>4798</v>
      </c>
      <c r="C3138" s="1">
        <v>9492923546</v>
      </c>
      <c r="D3138" s="3"/>
      <c r="E3138" s="17" t="s">
        <v>4799</v>
      </c>
      <c r="F3138" s="65"/>
      <c r="G3138" s="2" t="s">
        <v>16</v>
      </c>
      <c r="H3138" s="1" t="s">
        <v>1544</v>
      </c>
      <c r="I3138" s="4" t="s">
        <v>94</v>
      </c>
      <c r="J3138" s="31">
        <v>45788</v>
      </c>
      <c r="K3138" s="31">
        <v>45788</v>
      </c>
      <c r="L3138" s="31">
        <v>45821</v>
      </c>
      <c r="M3138" s="31">
        <v>45851</v>
      </c>
      <c r="N3138" s="31">
        <v>45831</v>
      </c>
      <c r="O3138" s="2" t="s">
        <v>297</v>
      </c>
    </row>
    <row r="3139" spans="1:15">
      <c r="A3139" s="3">
        <f t="shared" si="50"/>
        <v>3138</v>
      </c>
      <c r="B3139" s="65" t="s">
        <v>4800</v>
      </c>
      <c r="C3139" s="1">
        <v>7075087543</v>
      </c>
      <c r="E3139" s="3" t="s">
        <v>1771</v>
      </c>
      <c r="F3139" s="65" t="s">
        <v>569</v>
      </c>
      <c r="G3139" s="2" t="s">
        <v>416</v>
      </c>
      <c r="H3139" s="1" t="s">
        <v>4421</v>
      </c>
      <c r="I3139" s="4" t="s">
        <v>88</v>
      </c>
      <c r="J3139" s="31">
        <v>45821</v>
      </c>
      <c r="K3139" s="31">
        <v>45821</v>
      </c>
      <c r="L3139" s="31"/>
      <c r="M3139" s="31"/>
      <c r="N3139" s="31"/>
      <c r="O3139" s="2" t="s">
        <v>297</v>
      </c>
    </row>
    <row r="3140" spans="1:15">
      <c r="A3140" s="3">
        <f t="shared" si="50"/>
        <v>3139</v>
      </c>
      <c r="B3140" s="65" t="s">
        <v>4801</v>
      </c>
      <c r="C3140" s="1">
        <v>9291487073</v>
      </c>
      <c r="E3140" s="3" t="s">
        <v>1771</v>
      </c>
      <c r="F3140" s="65" t="s">
        <v>1772</v>
      </c>
      <c r="G3140" s="2" t="s">
        <v>16</v>
      </c>
      <c r="H3140" s="1" t="s">
        <v>4421</v>
      </c>
      <c r="I3140" s="4" t="s">
        <v>88</v>
      </c>
      <c r="J3140" s="31">
        <v>45821</v>
      </c>
      <c r="K3140" s="31">
        <v>46007</v>
      </c>
      <c r="L3140" s="31">
        <v>46007</v>
      </c>
      <c r="M3140" s="31">
        <v>46038</v>
      </c>
      <c r="N3140" s="31">
        <v>46017</v>
      </c>
      <c r="O3140" s="2" t="s">
        <v>297</v>
      </c>
    </row>
    <row r="3141" spans="1:15">
      <c r="A3141" s="3">
        <f t="shared" si="50"/>
        <v>3140</v>
      </c>
      <c r="B3141" s="65" t="s">
        <v>4802</v>
      </c>
      <c r="C3141" s="1">
        <v>8639089705</v>
      </c>
      <c r="E3141" s="3" t="s">
        <v>3999</v>
      </c>
      <c r="F3141" s="65" t="s">
        <v>4803</v>
      </c>
      <c r="G3141" s="2" t="s">
        <v>16</v>
      </c>
      <c r="H3141" s="1" t="s">
        <v>42</v>
      </c>
      <c r="I3141" s="4" t="s">
        <v>42</v>
      </c>
      <c r="J3141" s="31">
        <v>45821</v>
      </c>
      <c r="K3141" s="31">
        <v>45821</v>
      </c>
      <c r="L3141" s="31">
        <v>45821</v>
      </c>
      <c r="M3141" s="31">
        <v>45831</v>
      </c>
      <c r="N3141" s="31">
        <v>45831</v>
      </c>
      <c r="O3141" s="2" t="s">
        <v>297</v>
      </c>
    </row>
    <row r="3142" spans="1:15">
      <c r="A3142" s="3">
        <f t="shared" si="50"/>
        <v>3141</v>
      </c>
      <c r="B3142" s="65" t="s">
        <v>4804</v>
      </c>
      <c r="C3142" s="1">
        <v>9949006871</v>
      </c>
      <c r="E3142" s="3" t="s">
        <v>3999</v>
      </c>
      <c r="F3142" s="65" t="s">
        <v>1663</v>
      </c>
      <c r="G3142" s="2" t="s">
        <v>416</v>
      </c>
      <c r="H3142" s="1" t="s">
        <v>42</v>
      </c>
      <c r="I3142" s="4" t="s">
        <v>42</v>
      </c>
      <c r="J3142" s="31">
        <v>45821</v>
      </c>
      <c r="K3142" s="31">
        <v>45855</v>
      </c>
      <c r="L3142" s="31"/>
      <c r="M3142" s="31"/>
      <c r="N3142" s="31"/>
      <c r="O3142" s="2" t="s">
        <v>297</v>
      </c>
    </row>
    <row r="3143" spans="1:15">
      <c r="A3143" s="3">
        <f t="shared" si="50"/>
        <v>3142</v>
      </c>
      <c r="B3143" s="65" t="s">
        <v>4805</v>
      </c>
      <c r="C3143" s="1">
        <v>8770144253</v>
      </c>
      <c r="E3143" s="3" t="s">
        <v>3999</v>
      </c>
      <c r="F3143" s="65" t="s">
        <v>4806</v>
      </c>
      <c r="G3143" s="2" t="s">
        <v>424</v>
      </c>
      <c r="H3143" s="1" t="s">
        <v>42</v>
      </c>
      <c r="I3143" s="4" t="s">
        <v>42</v>
      </c>
      <c r="J3143" s="31">
        <v>45821</v>
      </c>
      <c r="K3143" s="31">
        <v>45846</v>
      </c>
      <c r="L3143" s="31"/>
      <c r="M3143" s="31"/>
      <c r="N3143" s="31"/>
      <c r="O3143" s="2" t="s">
        <v>749</v>
      </c>
    </row>
    <row r="3144" spans="1:15">
      <c r="A3144" s="3">
        <f t="shared" si="50"/>
        <v>3143</v>
      </c>
      <c r="B3144" s="65" t="s">
        <v>4807</v>
      </c>
      <c r="C3144" s="1">
        <v>8687429952</v>
      </c>
      <c r="D3144" s="1">
        <v>7905156110</v>
      </c>
      <c r="E3144" s="3" t="s">
        <v>3999</v>
      </c>
      <c r="F3144" s="65" t="s">
        <v>261</v>
      </c>
      <c r="G3144" s="2" t="s">
        <v>424</v>
      </c>
      <c r="H3144" s="1" t="s">
        <v>42</v>
      </c>
      <c r="I3144" s="4" t="s">
        <v>42</v>
      </c>
      <c r="J3144" s="31">
        <v>45821</v>
      </c>
      <c r="K3144" s="31">
        <v>45846</v>
      </c>
      <c r="L3144" s="31"/>
      <c r="M3144" s="31"/>
      <c r="N3144" s="31"/>
      <c r="O3144" s="2" t="s">
        <v>749</v>
      </c>
    </row>
    <row r="3145" spans="1:15">
      <c r="A3145" s="3">
        <f t="shared" si="50"/>
        <v>3144</v>
      </c>
      <c r="B3145" s="65" t="s">
        <v>4808</v>
      </c>
      <c r="C3145" s="1">
        <v>9177068864</v>
      </c>
      <c r="E3145" s="3" t="s">
        <v>3999</v>
      </c>
      <c r="F3145" s="65" t="s">
        <v>4809</v>
      </c>
      <c r="G3145" s="2" t="s">
        <v>424</v>
      </c>
      <c r="H3145" s="1" t="s">
        <v>42</v>
      </c>
      <c r="I3145" s="4" t="s">
        <v>42</v>
      </c>
      <c r="J3145" s="31">
        <v>45821</v>
      </c>
      <c r="K3145" s="31">
        <v>45846</v>
      </c>
      <c r="L3145" s="31"/>
      <c r="M3145" s="31"/>
      <c r="N3145" s="31"/>
      <c r="O3145" s="2" t="s">
        <v>749</v>
      </c>
    </row>
    <row r="3146" spans="1:15">
      <c r="A3146" s="3">
        <f t="shared" si="50"/>
        <v>3145</v>
      </c>
      <c r="B3146" s="65" t="s">
        <v>4810</v>
      </c>
      <c r="C3146" s="1">
        <v>9573507976</v>
      </c>
      <c r="E3146" s="17" t="s">
        <v>4413</v>
      </c>
      <c r="F3146" s="65"/>
      <c r="G3146" s="2" t="s">
        <v>16</v>
      </c>
      <c r="H3146" s="3" t="s">
        <v>999</v>
      </c>
      <c r="I3146" s="4" t="s">
        <v>94</v>
      </c>
      <c r="J3146" s="31">
        <v>45821</v>
      </c>
      <c r="K3146" s="31">
        <v>45821</v>
      </c>
      <c r="L3146" s="31">
        <v>45821</v>
      </c>
      <c r="M3146" s="31">
        <v>45824</v>
      </c>
      <c r="N3146" s="31">
        <v>45824</v>
      </c>
      <c r="O3146" s="2" t="s">
        <v>297</v>
      </c>
    </row>
    <row r="3147" spans="1:15">
      <c r="A3147" s="3">
        <f t="shared" si="50"/>
        <v>3146</v>
      </c>
      <c r="B3147" s="65" t="s">
        <v>4811</v>
      </c>
      <c r="E3147" s="17" t="s">
        <v>4812</v>
      </c>
      <c r="F3147" s="65"/>
      <c r="G3147" s="2" t="s">
        <v>16</v>
      </c>
      <c r="H3147" s="1" t="s">
        <v>162</v>
      </c>
      <c r="I3147" s="4" t="s">
        <v>42</v>
      </c>
      <c r="J3147" s="31">
        <v>45821</v>
      </c>
      <c r="K3147" s="31">
        <v>45821</v>
      </c>
      <c r="L3147" s="31">
        <v>45821</v>
      </c>
      <c r="M3147" s="31">
        <v>45852</v>
      </c>
      <c r="N3147" s="31">
        <v>45840</v>
      </c>
      <c r="O3147" s="2" t="s">
        <v>297</v>
      </c>
    </row>
    <row r="3148" spans="1:15">
      <c r="A3148" s="3">
        <f t="shared" si="50"/>
        <v>3147</v>
      </c>
      <c r="B3148" s="65" t="s">
        <v>4813</v>
      </c>
      <c r="C3148" s="1">
        <v>9425705881</v>
      </c>
      <c r="E3148" s="17" t="s">
        <v>52</v>
      </c>
      <c r="F3148" s="65" t="s">
        <v>972</v>
      </c>
      <c r="G3148" s="2" t="s">
        <v>424</v>
      </c>
      <c r="H3148" s="1" t="s">
        <v>679</v>
      </c>
      <c r="I3148" s="4" t="s">
        <v>42</v>
      </c>
      <c r="J3148" s="31">
        <v>45821</v>
      </c>
      <c r="K3148" s="31">
        <v>45822</v>
      </c>
      <c r="L3148" s="31"/>
      <c r="M3148" s="31"/>
      <c r="O3148" s="2" t="s">
        <v>425</v>
      </c>
    </row>
    <row r="3149" spans="1:15">
      <c r="A3149" s="3">
        <f t="shared" si="50"/>
        <v>3148</v>
      </c>
      <c r="B3149" s="65" t="s">
        <v>4814</v>
      </c>
      <c r="C3149" s="1">
        <v>8309460923</v>
      </c>
      <c r="E3149" s="17" t="s">
        <v>4054</v>
      </c>
      <c r="F3149" s="65"/>
      <c r="G3149" s="2" t="s">
        <v>424</v>
      </c>
      <c r="H3149" s="1" t="s">
        <v>296</v>
      </c>
      <c r="I3149" s="4" t="s">
        <v>94</v>
      </c>
      <c r="J3149" s="31">
        <v>45822</v>
      </c>
      <c r="K3149" s="31">
        <v>45826</v>
      </c>
      <c r="L3149" s="31"/>
      <c r="M3149" s="31"/>
      <c r="O3149" s="2" t="s">
        <v>425</v>
      </c>
    </row>
    <row r="3150" spans="1:15">
      <c r="A3150" s="3">
        <f t="shared" si="50"/>
        <v>3149</v>
      </c>
      <c r="B3150" s="65" t="s">
        <v>4815</v>
      </c>
      <c r="C3150" s="1">
        <v>9116644679</v>
      </c>
      <c r="D3150" s="1">
        <v>6302394679</v>
      </c>
      <c r="E3150" s="64" t="s">
        <v>52</v>
      </c>
      <c r="F3150" s="65"/>
      <c r="G3150" s="2" t="s">
        <v>424</v>
      </c>
      <c r="H3150" s="1" t="s">
        <v>679</v>
      </c>
      <c r="I3150" s="4" t="s">
        <v>42</v>
      </c>
      <c r="J3150" s="31">
        <v>45822</v>
      </c>
      <c r="K3150" s="31">
        <v>45822</v>
      </c>
      <c r="O3150" s="2" t="s">
        <v>425</v>
      </c>
    </row>
    <row r="3151" spans="1:15">
      <c r="A3151" s="3">
        <f t="shared" si="50"/>
        <v>3150</v>
      </c>
      <c r="B3151" s="65" t="s">
        <v>4816</v>
      </c>
      <c r="C3151" s="1">
        <v>8969740754</v>
      </c>
      <c r="E3151" s="64" t="s">
        <v>2034</v>
      </c>
      <c r="F3151" s="65"/>
      <c r="G3151" s="6" t="s">
        <v>295</v>
      </c>
      <c r="H3151" s="1" t="s">
        <v>788</v>
      </c>
      <c r="I3151" s="4" t="s">
        <v>88</v>
      </c>
      <c r="J3151" s="31">
        <v>45709</v>
      </c>
      <c r="K3151" s="31">
        <v>45709</v>
      </c>
      <c r="L3151" s="31">
        <v>45808</v>
      </c>
      <c r="M3151" s="31">
        <v>45869</v>
      </c>
      <c r="O3151" s="2" t="s">
        <v>297</v>
      </c>
    </row>
    <row r="3152" spans="1:15">
      <c r="A3152" s="3">
        <f t="shared" si="50"/>
        <v>3151</v>
      </c>
      <c r="B3152" s="65" t="s">
        <v>4817</v>
      </c>
      <c r="C3152" s="1">
        <v>7250444955</v>
      </c>
      <c r="E3152" s="64" t="s">
        <v>2034</v>
      </c>
      <c r="F3152" s="65"/>
      <c r="G3152" s="6" t="s">
        <v>295</v>
      </c>
      <c r="H3152" s="1" t="s">
        <v>788</v>
      </c>
      <c r="I3152" s="4" t="s">
        <v>88</v>
      </c>
      <c r="J3152" s="31">
        <v>45709</v>
      </c>
      <c r="K3152" s="31">
        <v>45709</v>
      </c>
      <c r="L3152" s="31">
        <v>45808</v>
      </c>
      <c r="M3152" s="31">
        <v>45869</v>
      </c>
      <c r="O3152" s="2" t="s">
        <v>297</v>
      </c>
    </row>
    <row r="3153" spans="1:15">
      <c r="A3153" s="3">
        <f t="shared" si="50"/>
        <v>3152</v>
      </c>
      <c r="B3153" s="65" t="s">
        <v>4818</v>
      </c>
      <c r="C3153" s="1">
        <v>7980694890</v>
      </c>
      <c r="E3153" s="64" t="s">
        <v>2041</v>
      </c>
      <c r="F3153" s="65"/>
      <c r="G3153" s="6" t="s">
        <v>295</v>
      </c>
      <c r="H3153" s="1" t="s">
        <v>788</v>
      </c>
      <c r="I3153" s="4" t="s">
        <v>88</v>
      </c>
      <c r="J3153" s="31">
        <v>45709</v>
      </c>
      <c r="K3153" s="31">
        <v>45709</v>
      </c>
      <c r="L3153" s="31">
        <v>45808</v>
      </c>
      <c r="M3153" s="31">
        <v>45869</v>
      </c>
      <c r="O3153" s="2" t="s">
        <v>297</v>
      </c>
    </row>
    <row r="3154" spans="1:15">
      <c r="A3154" s="3">
        <f t="shared" si="50"/>
        <v>3153</v>
      </c>
      <c r="B3154" s="65" t="s">
        <v>4819</v>
      </c>
      <c r="C3154" s="1">
        <v>9366354676</v>
      </c>
      <c r="E3154" s="64" t="s">
        <v>2041</v>
      </c>
      <c r="F3154" s="65"/>
      <c r="G3154" s="6" t="s">
        <v>295</v>
      </c>
      <c r="H3154" s="1" t="s">
        <v>788</v>
      </c>
      <c r="I3154" s="4" t="s">
        <v>88</v>
      </c>
      <c r="J3154" s="31">
        <v>45709</v>
      </c>
      <c r="K3154" s="31">
        <v>45709</v>
      </c>
      <c r="L3154" s="31">
        <v>45808</v>
      </c>
      <c r="M3154" s="31">
        <v>45869</v>
      </c>
      <c r="O3154" s="2" t="s">
        <v>297</v>
      </c>
    </row>
    <row r="3155" spans="1:15">
      <c r="A3155" s="3">
        <f t="shared" si="50"/>
        <v>3154</v>
      </c>
      <c r="B3155" s="65" t="s">
        <v>4820</v>
      </c>
      <c r="C3155" s="1">
        <v>8617313839</v>
      </c>
      <c r="E3155" s="64" t="s">
        <v>2041</v>
      </c>
      <c r="F3155" s="65"/>
      <c r="G3155" s="6" t="s">
        <v>295</v>
      </c>
      <c r="H3155" s="1" t="s">
        <v>788</v>
      </c>
      <c r="I3155" s="4" t="s">
        <v>88</v>
      </c>
      <c r="J3155" s="31">
        <v>45709</v>
      </c>
      <c r="K3155" s="31">
        <v>45709</v>
      </c>
      <c r="L3155" s="31">
        <v>45808</v>
      </c>
      <c r="M3155" s="31">
        <v>45869</v>
      </c>
      <c r="O3155" s="2" t="s">
        <v>297</v>
      </c>
    </row>
    <row r="3156" spans="1:15">
      <c r="A3156" s="3">
        <f t="shared" si="50"/>
        <v>3155</v>
      </c>
      <c r="B3156" s="65" t="s">
        <v>4821</v>
      </c>
      <c r="C3156" s="1">
        <v>8309381084</v>
      </c>
      <c r="E3156" s="64" t="s">
        <v>124</v>
      </c>
      <c r="F3156" s="65" t="s">
        <v>4822</v>
      </c>
      <c r="G3156" s="2" t="s">
        <v>416</v>
      </c>
      <c r="H3156" s="1" t="s">
        <v>3240</v>
      </c>
      <c r="I3156" s="4" t="s">
        <v>42</v>
      </c>
      <c r="J3156" s="31">
        <v>45824</v>
      </c>
      <c r="K3156" s="31">
        <v>45825</v>
      </c>
      <c r="O3156" s="2" t="s">
        <v>297</v>
      </c>
    </row>
    <row r="3157" spans="1:15">
      <c r="A3157" s="3">
        <f t="shared" si="50"/>
        <v>3156</v>
      </c>
      <c r="B3157" s="65" t="s">
        <v>375</v>
      </c>
      <c r="C3157" s="1">
        <v>9129585223</v>
      </c>
      <c r="E3157" s="64" t="s">
        <v>512</v>
      </c>
      <c r="F3157" s="65" t="s">
        <v>360</v>
      </c>
      <c r="G3157" s="2" t="s">
        <v>416</v>
      </c>
      <c r="H3157" s="1" t="s">
        <v>361</v>
      </c>
      <c r="I3157" s="4" t="s">
        <v>94</v>
      </c>
      <c r="J3157" s="31">
        <v>45824</v>
      </c>
      <c r="K3157" s="31">
        <v>45842</v>
      </c>
      <c r="O3157" s="2" t="s">
        <v>297</v>
      </c>
    </row>
    <row r="3158" spans="1:15">
      <c r="A3158" s="3">
        <f t="shared" si="50"/>
        <v>3157</v>
      </c>
      <c r="B3158" s="65" t="s">
        <v>4823</v>
      </c>
      <c r="E3158" s="17" t="s">
        <v>4449</v>
      </c>
      <c r="F3158" s="65" t="s">
        <v>1044</v>
      </c>
      <c r="G3158" s="2" t="s">
        <v>16</v>
      </c>
      <c r="K3158" s="31"/>
      <c r="O3158" s="2" t="s">
        <v>297</v>
      </c>
    </row>
    <row r="3159" spans="1:15">
      <c r="A3159" s="3">
        <f t="shared" si="50"/>
        <v>3158</v>
      </c>
      <c r="B3159" s="65" t="s">
        <v>4824</v>
      </c>
      <c r="C3159" s="1">
        <v>7007325742</v>
      </c>
      <c r="D3159" s="22">
        <v>9451824256</v>
      </c>
      <c r="E3159" s="17" t="s">
        <v>550</v>
      </c>
      <c r="F3159" s="65" t="s">
        <v>308</v>
      </c>
      <c r="G3159" s="2" t="s">
        <v>424</v>
      </c>
      <c r="H3159" s="1" t="s">
        <v>674</v>
      </c>
      <c r="I3159" s="4" t="s">
        <v>94</v>
      </c>
      <c r="J3159" s="31">
        <v>45824</v>
      </c>
      <c r="K3159" s="31">
        <v>45860</v>
      </c>
      <c r="O3159" s="2" t="s">
        <v>425</v>
      </c>
    </row>
    <row r="3160" spans="1:15">
      <c r="A3160" s="3">
        <f t="shared" si="50"/>
        <v>3159</v>
      </c>
      <c r="B3160" s="65" t="s">
        <v>4825</v>
      </c>
      <c r="C3160" s="1">
        <v>8795646575</v>
      </c>
      <c r="D3160" s="22">
        <v>7905509037</v>
      </c>
      <c r="E3160" s="17" t="s">
        <v>550</v>
      </c>
      <c r="F3160" s="65" t="s">
        <v>308</v>
      </c>
      <c r="G3160" s="2" t="s">
        <v>424</v>
      </c>
      <c r="H3160" s="1" t="s">
        <v>674</v>
      </c>
      <c r="I3160" s="4" t="s">
        <v>94</v>
      </c>
      <c r="J3160" s="31">
        <v>45824</v>
      </c>
      <c r="K3160" s="31">
        <v>45860</v>
      </c>
      <c r="O3160" s="2" t="s">
        <v>425</v>
      </c>
    </row>
    <row r="3161" spans="1:15">
      <c r="A3161" s="3">
        <f t="shared" si="50"/>
        <v>3160</v>
      </c>
      <c r="B3161" s="65" t="s">
        <v>4826</v>
      </c>
      <c r="C3161" s="1">
        <v>8318198617</v>
      </c>
      <c r="E3161" s="17" t="s">
        <v>1318</v>
      </c>
      <c r="F3161" s="65" t="s">
        <v>4827</v>
      </c>
      <c r="G3161" s="2" t="s">
        <v>764</v>
      </c>
      <c r="H3161" s="1" t="s">
        <v>674</v>
      </c>
      <c r="I3161" s="4" t="s">
        <v>94</v>
      </c>
      <c r="J3161" s="31">
        <v>45824</v>
      </c>
      <c r="K3161" s="31">
        <v>45860</v>
      </c>
      <c r="O3161" s="2" t="s">
        <v>425</v>
      </c>
    </row>
    <row r="3162" spans="1:15">
      <c r="A3162" s="3">
        <f t="shared" si="50"/>
        <v>3161</v>
      </c>
      <c r="B3162" s="65" t="s">
        <v>4828</v>
      </c>
      <c r="C3162" s="1">
        <v>9695790401</v>
      </c>
      <c r="D3162" s="22">
        <v>6386032886</v>
      </c>
      <c r="E3162" s="17" t="s">
        <v>328</v>
      </c>
      <c r="F3162" s="65" t="s">
        <v>569</v>
      </c>
      <c r="G3162" s="2" t="s">
        <v>764</v>
      </c>
      <c r="H3162" s="1" t="s">
        <v>674</v>
      </c>
      <c r="I3162" s="4" t="s">
        <v>94</v>
      </c>
      <c r="J3162" s="31">
        <v>45824</v>
      </c>
      <c r="K3162" s="31">
        <v>45860</v>
      </c>
      <c r="O3162" s="2" t="s">
        <v>425</v>
      </c>
    </row>
    <row r="3163" spans="1:15">
      <c r="A3163" s="3">
        <f t="shared" si="50"/>
        <v>3162</v>
      </c>
      <c r="B3163" s="65" t="s">
        <v>4829</v>
      </c>
      <c r="C3163" s="1">
        <v>7908658356</v>
      </c>
      <c r="E3163" s="17" t="s">
        <v>1318</v>
      </c>
      <c r="F3163" s="65" t="s">
        <v>329</v>
      </c>
      <c r="G3163" s="2" t="s">
        <v>764</v>
      </c>
      <c r="H3163" s="1" t="s">
        <v>674</v>
      </c>
      <c r="I3163" s="4" t="s">
        <v>94</v>
      </c>
      <c r="J3163" s="31">
        <v>45824</v>
      </c>
      <c r="K3163" s="31">
        <v>45860</v>
      </c>
      <c r="O3163" s="2" t="s">
        <v>425</v>
      </c>
    </row>
    <row r="3164" spans="1:15">
      <c r="A3164" s="3">
        <f t="shared" si="50"/>
        <v>3163</v>
      </c>
      <c r="B3164" s="65" t="s">
        <v>3001</v>
      </c>
      <c r="C3164" s="1">
        <v>9616176408</v>
      </c>
      <c r="E3164" s="17" t="s">
        <v>52</v>
      </c>
      <c r="F3164" s="65" t="s">
        <v>1666</v>
      </c>
      <c r="G3164" s="2" t="s">
        <v>424</v>
      </c>
      <c r="H3164" s="1" t="s">
        <v>679</v>
      </c>
      <c r="I3164" s="4" t="s">
        <v>42</v>
      </c>
      <c r="J3164" s="31">
        <v>45824</v>
      </c>
      <c r="K3164" s="31">
        <v>45826</v>
      </c>
      <c r="O3164" s="2" t="s">
        <v>425</v>
      </c>
    </row>
    <row r="3165" spans="1:15">
      <c r="A3165" s="3">
        <f t="shared" si="50"/>
        <v>3164</v>
      </c>
      <c r="B3165" s="65" t="s">
        <v>4830</v>
      </c>
      <c r="C3165" s="1">
        <v>7013745110</v>
      </c>
      <c r="D3165" s="1">
        <v>9948842319</v>
      </c>
      <c r="E3165" s="17" t="s">
        <v>118</v>
      </c>
      <c r="F3165" s="65" t="s">
        <v>4831</v>
      </c>
      <c r="G3165" s="2" t="s">
        <v>424</v>
      </c>
      <c r="H3165" s="1" t="s">
        <v>679</v>
      </c>
      <c r="I3165" s="4" t="s">
        <v>42</v>
      </c>
      <c r="J3165" s="31">
        <v>45824</v>
      </c>
      <c r="K3165" s="31">
        <v>45842</v>
      </c>
      <c r="O3165" s="2" t="s">
        <v>749</v>
      </c>
    </row>
    <row r="3166" spans="1:15">
      <c r="A3166" s="3">
        <f t="shared" si="50"/>
        <v>3165</v>
      </c>
      <c r="B3166" s="65" t="s">
        <v>4832</v>
      </c>
      <c r="C3166" s="1">
        <v>9441733784</v>
      </c>
      <c r="E3166" s="17" t="s">
        <v>3309</v>
      </c>
      <c r="F3166" s="65" t="s">
        <v>4833</v>
      </c>
      <c r="G3166" s="2" t="s">
        <v>424</v>
      </c>
      <c r="H3166" s="1" t="s">
        <v>296</v>
      </c>
      <c r="I3166" s="4" t="s">
        <v>94</v>
      </c>
      <c r="J3166" s="31">
        <v>45783</v>
      </c>
      <c r="K3166" s="31">
        <v>45794</v>
      </c>
      <c r="O3166" s="2" t="s">
        <v>425</v>
      </c>
    </row>
    <row r="3167" spans="1:15">
      <c r="A3167" s="3">
        <f t="shared" si="50"/>
        <v>3166</v>
      </c>
      <c r="B3167" s="65" t="s">
        <v>4834</v>
      </c>
      <c r="C3167" s="1">
        <v>9652181706</v>
      </c>
      <c r="D3167" s="1">
        <v>8096147761</v>
      </c>
      <c r="E3167" s="17" t="s">
        <v>3309</v>
      </c>
      <c r="F3167" s="65" t="s">
        <v>4833</v>
      </c>
      <c r="G3167" s="2" t="s">
        <v>424</v>
      </c>
      <c r="H3167" s="1" t="s">
        <v>296</v>
      </c>
      <c r="I3167" s="4" t="s">
        <v>94</v>
      </c>
      <c r="J3167" s="31">
        <v>45800</v>
      </c>
      <c r="K3167" s="31">
        <v>45801</v>
      </c>
      <c r="O3167" s="2" t="s">
        <v>425</v>
      </c>
    </row>
    <row r="3168" spans="1:15">
      <c r="A3168" s="3">
        <f t="shared" ref="A3168:A3231" si="51">ROW()-1</f>
        <v>3167</v>
      </c>
      <c r="B3168" s="65" t="s">
        <v>4835</v>
      </c>
      <c r="C3168" s="1">
        <v>8978323295</v>
      </c>
      <c r="D3168" s="1">
        <v>7359186345</v>
      </c>
      <c r="E3168" s="17" t="s">
        <v>3309</v>
      </c>
      <c r="F3168" s="65" t="s">
        <v>4833</v>
      </c>
      <c r="G3168" s="3" t="s">
        <v>416</v>
      </c>
      <c r="H3168" s="1" t="s">
        <v>296</v>
      </c>
      <c r="I3168" s="4" t="s">
        <v>94</v>
      </c>
      <c r="J3168" s="31">
        <v>45800</v>
      </c>
      <c r="K3168" s="31">
        <v>45803</v>
      </c>
      <c r="O3168" s="2" t="s">
        <v>297</v>
      </c>
    </row>
    <row r="3169" spans="1:15">
      <c r="A3169" s="3">
        <f t="shared" si="51"/>
        <v>3168</v>
      </c>
      <c r="B3169" s="65" t="s">
        <v>4836</v>
      </c>
      <c r="C3169" s="1">
        <v>9618700251</v>
      </c>
      <c r="E3169" s="17" t="s">
        <v>52</v>
      </c>
      <c r="F3169" s="65" t="s">
        <v>4837</v>
      </c>
      <c r="G3169" s="2" t="s">
        <v>424</v>
      </c>
      <c r="H3169" s="1" t="s">
        <v>679</v>
      </c>
      <c r="I3169" s="4" t="s">
        <v>42</v>
      </c>
      <c r="J3169" s="31">
        <v>45825</v>
      </c>
      <c r="K3169" s="31">
        <v>45826</v>
      </c>
      <c r="O3169" s="2" t="s">
        <v>425</v>
      </c>
    </row>
    <row r="3170" spans="1:15">
      <c r="A3170" s="3">
        <f t="shared" si="51"/>
        <v>3169</v>
      </c>
      <c r="B3170" s="65" t="s">
        <v>4838</v>
      </c>
      <c r="C3170" s="1">
        <v>8885597007</v>
      </c>
      <c r="D3170" s="1">
        <v>9100020034</v>
      </c>
      <c r="E3170" s="17" t="s">
        <v>52</v>
      </c>
      <c r="F3170" s="65" t="s">
        <v>4781</v>
      </c>
      <c r="G3170" s="2" t="s">
        <v>424</v>
      </c>
      <c r="H3170" s="1" t="s">
        <v>679</v>
      </c>
      <c r="I3170" s="4" t="s">
        <v>42</v>
      </c>
      <c r="J3170" s="31">
        <v>45825</v>
      </c>
      <c r="K3170" s="31">
        <v>45826</v>
      </c>
      <c r="O3170" s="2" t="s">
        <v>425</v>
      </c>
    </row>
    <row r="3171" spans="1:15">
      <c r="A3171" s="3">
        <f t="shared" si="51"/>
        <v>3170</v>
      </c>
      <c r="B3171" s="65" t="s">
        <v>4839</v>
      </c>
      <c r="C3171" s="1">
        <v>9390008046</v>
      </c>
      <c r="E3171" s="4" t="s">
        <v>151</v>
      </c>
      <c r="F3171" s="65"/>
      <c r="G3171" s="2" t="s">
        <v>16</v>
      </c>
      <c r="H3171" s="1" t="s">
        <v>42</v>
      </c>
      <c r="I3171" s="4" t="s">
        <v>42</v>
      </c>
      <c r="J3171" s="31">
        <v>45824</v>
      </c>
      <c r="K3171" s="31">
        <v>45825</v>
      </c>
      <c r="L3171" s="31">
        <v>45825</v>
      </c>
      <c r="M3171" s="31">
        <v>45828</v>
      </c>
      <c r="N3171" s="31">
        <v>45828</v>
      </c>
      <c r="O3171" s="2" t="s">
        <v>297</v>
      </c>
    </row>
    <row r="3172" spans="1:15">
      <c r="A3172" s="3">
        <f t="shared" si="51"/>
        <v>3171</v>
      </c>
      <c r="B3172" s="65" t="s">
        <v>4840</v>
      </c>
      <c r="C3172" s="1">
        <v>9014667166</v>
      </c>
      <c r="D3172" s="1">
        <v>7095998997</v>
      </c>
      <c r="E3172" s="17" t="s">
        <v>4841</v>
      </c>
      <c r="F3172" s="65"/>
      <c r="G3172" s="2" t="s">
        <v>16</v>
      </c>
      <c r="H3172" s="1" t="s">
        <v>4842</v>
      </c>
      <c r="I3172" s="4" t="s">
        <v>42</v>
      </c>
      <c r="J3172" s="31">
        <v>45824</v>
      </c>
      <c r="K3172" s="31">
        <v>45824</v>
      </c>
      <c r="L3172" s="31">
        <v>45825</v>
      </c>
      <c r="M3172" s="31">
        <v>45825</v>
      </c>
      <c r="N3172" s="31">
        <v>45825</v>
      </c>
      <c r="O3172" s="2" t="s">
        <v>297</v>
      </c>
    </row>
    <row r="3173" spans="1:15">
      <c r="A3173" s="3">
        <f t="shared" si="51"/>
        <v>3172</v>
      </c>
      <c r="B3173" s="65" t="s">
        <v>4843</v>
      </c>
      <c r="C3173" s="1">
        <v>9392308916</v>
      </c>
      <c r="E3173" s="17" t="s">
        <v>2471</v>
      </c>
      <c r="F3173" s="65"/>
      <c r="G3173" s="2" t="s">
        <v>424</v>
      </c>
      <c r="H3173" s="1" t="s">
        <v>162</v>
      </c>
      <c r="I3173" s="4" t="s">
        <v>94</v>
      </c>
      <c r="J3173" s="31">
        <v>45825</v>
      </c>
      <c r="K3173" s="31">
        <v>45831</v>
      </c>
      <c r="O3173" s="2" t="s">
        <v>425</v>
      </c>
    </row>
    <row r="3174" spans="1:15">
      <c r="A3174" s="3">
        <f t="shared" si="51"/>
        <v>3173</v>
      </c>
      <c r="B3174" s="65" t="s">
        <v>4844</v>
      </c>
      <c r="C3174" s="1">
        <v>9182166330</v>
      </c>
      <c r="E3174" s="17" t="s">
        <v>4845</v>
      </c>
      <c r="F3174" s="64" t="s">
        <v>4846</v>
      </c>
      <c r="G3174" s="2" t="s">
        <v>16</v>
      </c>
      <c r="H3174" s="1" t="s">
        <v>42</v>
      </c>
      <c r="I3174" s="4" t="s">
        <v>42</v>
      </c>
      <c r="J3174" s="31">
        <v>45825</v>
      </c>
      <c r="K3174" s="31">
        <v>45825</v>
      </c>
      <c r="L3174" s="31">
        <v>45831</v>
      </c>
      <c r="M3174" s="31">
        <v>45873</v>
      </c>
      <c r="N3174" s="31">
        <v>45873</v>
      </c>
      <c r="O3174" s="2" t="s">
        <v>297</v>
      </c>
    </row>
    <row r="3175" spans="1:15">
      <c r="A3175" s="3">
        <f t="shared" si="51"/>
        <v>3174</v>
      </c>
      <c r="B3175" s="65" t="s">
        <v>4847</v>
      </c>
      <c r="C3175" s="1">
        <v>9963191374</v>
      </c>
      <c r="E3175" s="17" t="s">
        <v>3312</v>
      </c>
      <c r="F3175" s="65" t="s">
        <v>4848</v>
      </c>
      <c r="G3175" s="2" t="s">
        <v>295</v>
      </c>
      <c r="H3175" s="1" t="s">
        <v>4704</v>
      </c>
      <c r="I3175" s="4" t="s">
        <v>42</v>
      </c>
      <c r="J3175" s="31">
        <v>45825</v>
      </c>
      <c r="K3175" s="31">
        <v>45828</v>
      </c>
      <c r="L3175" s="31">
        <v>45832</v>
      </c>
      <c r="M3175" s="31">
        <v>45852</v>
      </c>
      <c r="O3175" s="2" t="s">
        <v>297</v>
      </c>
    </row>
    <row r="3176" spans="1:15">
      <c r="A3176" s="3">
        <f t="shared" si="51"/>
        <v>3175</v>
      </c>
      <c r="B3176" s="65" t="s">
        <v>4849</v>
      </c>
      <c r="C3176" s="1">
        <v>8639475578</v>
      </c>
      <c r="E3176" s="17" t="s">
        <v>3312</v>
      </c>
      <c r="F3176" s="65" t="s">
        <v>252</v>
      </c>
      <c r="G3176" s="2" t="s">
        <v>424</v>
      </c>
      <c r="H3176" s="1" t="s">
        <v>4704</v>
      </c>
      <c r="I3176" s="4" t="s">
        <v>42</v>
      </c>
      <c r="J3176" s="31">
        <v>45825</v>
      </c>
      <c r="K3176" s="31">
        <v>45828</v>
      </c>
      <c r="O3176" s="2" t="s">
        <v>425</v>
      </c>
    </row>
    <row r="3177" spans="1:15">
      <c r="A3177" s="3">
        <f t="shared" si="51"/>
        <v>3176</v>
      </c>
      <c r="B3177" s="65" t="s">
        <v>4850</v>
      </c>
      <c r="C3177" s="1">
        <v>7755004439</v>
      </c>
      <c r="E3177" s="17" t="s">
        <v>3312</v>
      </c>
      <c r="F3177" s="65" t="s">
        <v>252</v>
      </c>
      <c r="G3177" s="2" t="s">
        <v>18</v>
      </c>
      <c r="H3177" s="1" t="s">
        <v>4704</v>
      </c>
      <c r="I3177" s="4" t="s">
        <v>42</v>
      </c>
      <c r="J3177" s="31">
        <v>45825</v>
      </c>
      <c r="K3177" s="31">
        <v>45828</v>
      </c>
      <c r="O3177" s="2" t="s">
        <v>297</v>
      </c>
    </row>
    <row r="3178" spans="1:15">
      <c r="A3178" s="3">
        <f t="shared" si="51"/>
        <v>3177</v>
      </c>
      <c r="B3178" s="65" t="s">
        <v>4851</v>
      </c>
      <c r="C3178" s="1">
        <v>9704751332</v>
      </c>
      <c r="E3178" s="17" t="s">
        <v>3312</v>
      </c>
      <c r="F3178" s="65" t="s">
        <v>252</v>
      </c>
      <c r="G3178" s="2" t="s">
        <v>424</v>
      </c>
      <c r="H3178" s="1" t="s">
        <v>4704</v>
      </c>
      <c r="I3178" s="4" t="s">
        <v>42</v>
      </c>
      <c r="J3178" s="31">
        <v>45825</v>
      </c>
      <c r="K3178" s="31">
        <v>45828</v>
      </c>
      <c r="O3178" s="2" t="s">
        <v>425</v>
      </c>
    </row>
    <row r="3179" spans="1:15">
      <c r="A3179" s="3">
        <f t="shared" si="51"/>
        <v>3178</v>
      </c>
      <c r="B3179" s="65" t="s">
        <v>4852</v>
      </c>
      <c r="C3179" s="1">
        <v>9143336663</v>
      </c>
      <c r="E3179" s="17" t="s">
        <v>3312</v>
      </c>
      <c r="F3179" s="65" t="s">
        <v>252</v>
      </c>
      <c r="G3179" s="2" t="s">
        <v>424</v>
      </c>
      <c r="H3179" s="1" t="s">
        <v>4704</v>
      </c>
      <c r="I3179" s="4" t="s">
        <v>42</v>
      </c>
      <c r="J3179" s="31">
        <v>45825</v>
      </c>
      <c r="K3179" s="31">
        <v>45828</v>
      </c>
      <c r="O3179" s="2" t="s">
        <v>425</v>
      </c>
    </row>
    <row r="3180" spans="1:15">
      <c r="A3180" s="3">
        <f t="shared" si="51"/>
        <v>3179</v>
      </c>
      <c r="B3180" s="65" t="s">
        <v>4853</v>
      </c>
      <c r="C3180" s="1">
        <v>9966022667</v>
      </c>
      <c r="E3180" s="17" t="s">
        <v>3312</v>
      </c>
      <c r="F3180" s="65" t="s">
        <v>4854</v>
      </c>
      <c r="G3180" s="2" t="s">
        <v>424</v>
      </c>
      <c r="H3180" s="1" t="s">
        <v>4704</v>
      </c>
      <c r="I3180" s="4" t="s">
        <v>42</v>
      </c>
      <c r="J3180" s="31">
        <v>45825</v>
      </c>
      <c r="K3180" s="31">
        <v>45841</v>
      </c>
      <c r="O3180" s="2" t="s">
        <v>425</v>
      </c>
    </row>
    <row r="3181" spans="1:15">
      <c r="A3181" s="3">
        <f t="shared" si="51"/>
        <v>3180</v>
      </c>
      <c r="B3181" s="116" t="s">
        <v>4855</v>
      </c>
      <c r="C3181" s="1">
        <v>7545973095</v>
      </c>
      <c r="E3181" s="17" t="s">
        <v>573</v>
      </c>
      <c r="F3181" s="65" t="s">
        <v>364</v>
      </c>
      <c r="G3181" s="2" t="s">
        <v>16</v>
      </c>
      <c r="H3181" s="1" t="s">
        <v>2535</v>
      </c>
      <c r="I3181" s="4" t="s">
        <v>94</v>
      </c>
      <c r="J3181" s="31">
        <v>45826</v>
      </c>
      <c r="K3181" s="31">
        <v>45828</v>
      </c>
      <c r="L3181" s="31">
        <v>45828</v>
      </c>
      <c r="M3181" s="31">
        <v>45859</v>
      </c>
      <c r="N3181" s="31">
        <v>45861</v>
      </c>
      <c r="O3181" s="2" t="s">
        <v>297</v>
      </c>
    </row>
    <row r="3182" spans="1:15">
      <c r="A3182" s="3">
        <f t="shared" si="51"/>
        <v>3181</v>
      </c>
      <c r="B3182" s="65" t="s">
        <v>4856</v>
      </c>
      <c r="C3182" s="1">
        <v>9956936800</v>
      </c>
      <c r="E3182" s="17" t="s">
        <v>302</v>
      </c>
      <c r="F3182" s="65" t="s">
        <v>364</v>
      </c>
      <c r="G3182" s="2" t="s">
        <v>16</v>
      </c>
      <c r="H3182" s="1" t="s">
        <v>2535</v>
      </c>
      <c r="I3182" s="4" t="s">
        <v>94</v>
      </c>
      <c r="J3182" s="31">
        <v>45826</v>
      </c>
      <c r="K3182" s="31">
        <v>45828</v>
      </c>
      <c r="L3182" s="31">
        <v>45853</v>
      </c>
      <c r="M3182" s="31">
        <v>45863</v>
      </c>
      <c r="N3182" s="31">
        <v>45870</v>
      </c>
      <c r="O3182" s="2" t="s">
        <v>297</v>
      </c>
    </row>
    <row r="3183" spans="1:15">
      <c r="A3183" s="3">
        <f t="shared" si="51"/>
        <v>3182</v>
      </c>
      <c r="B3183" s="65" t="s">
        <v>1875</v>
      </c>
      <c r="C3183" s="1">
        <v>9889496518</v>
      </c>
      <c r="E3183" s="17" t="s">
        <v>4857</v>
      </c>
      <c r="F3183" s="65" t="s">
        <v>461</v>
      </c>
      <c r="G3183" s="2" t="s">
        <v>16</v>
      </c>
      <c r="H3183" s="1" t="s">
        <v>361</v>
      </c>
      <c r="I3183" s="4" t="s">
        <v>94</v>
      </c>
      <c r="J3183" s="31">
        <v>45826</v>
      </c>
      <c r="K3183" s="31">
        <v>45842</v>
      </c>
      <c r="L3183" s="31">
        <v>45849</v>
      </c>
      <c r="M3183" s="31">
        <v>45880</v>
      </c>
      <c r="N3183" s="31">
        <v>45880</v>
      </c>
      <c r="O3183" s="2" t="s">
        <v>297</v>
      </c>
    </row>
    <row r="3184" spans="1:15">
      <c r="A3184" s="3">
        <f t="shared" si="51"/>
        <v>3183</v>
      </c>
      <c r="B3184" s="65" t="s">
        <v>4858</v>
      </c>
      <c r="C3184" s="1">
        <v>9549379011</v>
      </c>
      <c r="E3184" s="17" t="s">
        <v>522</v>
      </c>
      <c r="F3184" s="65" t="s">
        <v>461</v>
      </c>
      <c r="G3184" s="2" t="s">
        <v>16</v>
      </c>
      <c r="H3184" s="1" t="s">
        <v>361</v>
      </c>
      <c r="I3184" s="4" t="s">
        <v>94</v>
      </c>
      <c r="J3184" s="31">
        <v>45826</v>
      </c>
      <c r="K3184" s="31">
        <v>45842</v>
      </c>
      <c r="L3184" s="31">
        <v>45853</v>
      </c>
      <c r="M3184" s="31">
        <v>45866</v>
      </c>
      <c r="N3184" s="31">
        <v>45865</v>
      </c>
      <c r="O3184" s="2" t="s">
        <v>297</v>
      </c>
    </row>
    <row r="3185" spans="1:15">
      <c r="A3185" s="3">
        <f t="shared" si="51"/>
        <v>3184</v>
      </c>
      <c r="B3185" s="65" t="s">
        <v>4859</v>
      </c>
      <c r="C3185" s="1">
        <v>8797579090</v>
      </c>
      <c r="E3185" s="17" t="s">
        <v>1131</v>
      </c>
      <c r="F3185" s="65" t="s">
        <v>1060</v>
      </c>
      <c r="G3185" s="2" t="s">
        <v>764</v>
      </c>
      <c r="H3185" s="1" t="s">
        <v>357</v>
      </c>
      <c r="I3185" s="4" t="s">
        <v>94</v>
      </c>
      <c r="J3185" s="31">
        <v>45826</v>
      </c>
      <c r="K3185" s="31">
        <v>45826</v>
      </c>
      <c r="O3185" s="2" t="s">
        <v>425</v>
      </c>
    </row>
    <row r="3186" spans="1:15">
      <c r="A3186" s="3">
        <f t="shared" si="51"/>
        <v>3185</v>
      </c>
      <c r="B3186" s="65" t="s">
        <v>4860</v>
      </c>
      <c r="C3186" s="1">
        <v>7404780230</v>
      </c>
      <c r="E3186" s="17" t="s">
        <v>1136</v>
      </c>
      <c r="F3186" s="65" t="s">
        <v>1060</v>
      </c>
      <c r="G3186" s="2" t="s">
        <v>295</v>
      </c>
      <c r="H3186" s="1" t="s">
        <v>357</v>
      </c>
      <c r="I3186" s="4" t="s">
        <v>94</v>
      </c>
      <c r="J3186" s="31">
        <v>45826</v>
      </c>
      <c r="K3186" s="31">
        <v>45829</v>
      </c>
      <c r="L3186" s="31">
        <v>45846</v>
      </c>
      <c r="M3186" s="31">
        <v>45920</v>
      </c>
      <c r="O3186" s="2" t="s">
        <v>297</v>
      </c>
    </row>
    <row r="3187" spans="1:15">
      <c r="A3187" s="3">
        <f t="shared" si="51"/>
        <v>3186</v>
      </c>
      <c r="B3187" s="65" t="s">
        <v>4861</v>
      </c>
      <c r="C3187" s="1">
        <v>7460881374</v>
      </c>
      <c r="E3187" s="17" t="s">
        <v>1136</v>
      </c>
      <c r="F3187" s="65" t="s">
        <v>1060</v>
      </c>
      <c r="G3187" s="2" t="s">
        <v>16</v>
      </c>
      <c r="H3187" s="1" t="s">
        <v>357</v>
      </c>
      <c r="I3187" s="4" t="s">
        <v>94</v>
      </c>
      <c r="J3187" s="31">
        <v>45826</v>
      </c>
      <c r="K3187" s="31">
        <v>45826</v>
      </c>
      <c r="L3187" s="31">
        <v>45828</v>
      </c>
      <c r="M3187" s="31">
        <v>45870</v>
      </c>
      <c r="N3187" s="31">
        <v>45870</v>
      </c>
      <c r="O3187" s="2" t="s">
        <v>297</v>
      </c>
    </row>
    <row r="3188" spans="1:15">
      <c r="A3188" s="3">
        <f t="shared" si="51"/>
        <v>3187</v>
      </c>
      <c r="B3188" s="65" t="s">
        <v>4862</v>
      </c>
      <c r="C3188" s="1">
        <v>7987365474</v>
      </c>
      <c r="E3188" s="17" t="s">
        <v>851</v>
      </c>
      <c r="F3188" s="65" t="s">
        <v>1109</v>
      </c>
      <c r="G3188" s="6" t="s">
        <v>1175</v>
      </c>
      <c r="H3188" s="1" t="s">
        <v>815</v>
      </c>
      <c r="I3188" s="4" t="s">
        <v>94</v>
      </c>
      <c r="J3188" s="31">
        <v>45826</v>
      </c>
      <c r="K3188" s="31"/>
      <c r="O3188" s="2" t="s">
        <v>1004</v>
      </c>
    </row>
    <row r="3189" spans="1:15">
      <c r="A3189" s="3">
        <f t="shared" si="51"/>
        <v>3188</v>
      </c>
      <c r="B3189" s="65" t="s">
        <v>4863</v>
      </c>
      <c r="C3189" s="1">
        <v>9934084251</v>
      </c>
      <c r="D3189" s="1">
        <v>7798254295</v>
      </c>
      <c r="E3189" s="17" t="s">
        <v>851</v>
      </c>
      <c r="F3189" s="65" t="s">
        <v>1109</v>
      </c>
      <c r="G3189" s="6" t="s">
        <v>1175</v>
      </c>
      <c r="H3189" s="1" t="s">
        <v>815</v>
      </c>
      <c r="I3189" s="4" t="s">
        <v>94</v>
      </c>
      <c r="J3189" s="31">
        <v>45826</v>
      </c>
      <c r="K3189" s="31"/>
      <c r="O3189" s="2" t="s">
        <v>1004</v>
      </c>
    </row>
    <row r="3190" spans="1:15">
      <c r="A3190" s="3">
        <f t="shared" si="51"/>
        <v>3189</v>
      </c>
      <c r="B3190" s="65" t="s">
        <v>4864</v>
      </c>
      <c r="C3190" s="1">
        <v>9000573666</v>
      </c>
      <c r="E3190" s="17" t="s">
        <v>381</v>
      </c>
      <c r="F3190" s="65" t="s">
        <v>364</v>
      </c>
      <c r="G3190" s="2" t="s">
        <v>16</v>
      </c>
      <c r="H3190" s="1" t="s">
        <v>1096</v>
      </c>
      <c r="I3190" s="4" t="s">
        <v>94</v>
      </c>
      <c r="J3190" s="31">
        <v>45826</v>
      </c>
      <c r="K3190" s="31">
        <v>45828</v>
      </c>
      <c r="L3190" s="31">
        <v>45828</v>
      </c>
      <c r="M3190" s="31">
        <v>45843</v>
      </c>
      <c r="N3190" s="31">
        <v>45843</v>
      </c>
      <c r="O3190" s="2" t="s">
        <v>297</v>
      </c>
    </row>
    <row r="3191" spans="1:15">
      <c r="A3191" s="3">
        <f t="shared" si="51"/>
        <v>3190</v>
      </c>
      <c r="B3191" s="65" t="s">
        <v>4865</v>
      </c>
      <c r="C3191" s="1">
        <v>8660120427</v>
      </c>
      <c r="E3191" s="17" t="s">
        <v>640</v>
      </c>
      <c r="F3191" s="65" t="s">
        <v>3002</v>
      </c>
      <c r="G3191" s="2" t="s">
        <v>764</v>
      </c>
      <c r="H3191" s="1" t="s">
        <v>630</v>
      </c>
      <c r="I3191" s="4" t="s">
        <v>94</v>
      </c>
      <c r="J3191" s="31">
        <v>45826</v>
      </c>
      <c r="K3191" s="31">
        <v>45827</v>
      </c>
      <c r="O3191" s="2" t="s">
        <v>425</v>
      </c>
    </row>
    <row r="3192" spans="1:15">
      <c r="A3192" s="3">
        <f t="shared" si="51"/>
        <v>3191</v>
      </c>
      <c r="B3192" s="65" t="s">
        <v>4866</v>
      </c>
      <c r="C3192" s="1">
        <v>6296172567</v>
      </c>
      <c r="E3192" s="17" t="s">
        <v>640</v>
      </c>
      <c r="F3192" s="65" t="s">
        <v>4867</v>
      </c>
      <c r="G3192" s="2" t="s">
        <v>416</v>
      </c>
      <c r="H3192" s="1" t="s">
        <v>630</v>
      </c>
      <c r="I3192" s="4" t="s">
        <v>94</v>
      </c>
      <c r="J3192" s="31">
        <v>45826</v>
      </c>
      <c r="K3192" s="31">
        <v>45827</v>
      </c>
      <c r="O3192" s="2" t="s">
        <v>297</v>
      </c>
    </row>
    <row r="3193" spans="1:15">
      <c r="A3193" s="3">
        <f t="shared" si="51"/>
        <v>3192</v>
      </c>
      <c r="B3193" s="65" t="s">
        <v>4868</v>
      </c>
      <c r="C3193" s="1">
        <v>8898372288</v>
      </c>
      <c r="E3193" s="17" t="s">
        <v>640</v>
      </c>
      <c r="F3193" s="65" t="s">
        <v>3002</v>
      </c>
      <c r="G3193" s="2" t="s">
        <v>764</v>
      </c>
      <c r="H3193" s="1" t="s">
        <v>630</v>
      </c>
      <c r="I3193" s="4" t="s">
        <v>94</v>
      </c>
      <c r="J3193" s="31">
        <v>45826</v>
      </c>
      <c r="K3193" s="31">
        <v>45827</v>
      </c>
      <c r="O3193" s="2" t="s">
        <v>425</v>
      </c>
    </row>
    <row r="3194" spans="1:15">
      <c r="A3194" s="3">
        <f t="shared" si="51"/>
        <v>3193</v>
      </c>
      <c r="B3194" s="65" t="s">
        <v>4869</v>
      </c>
      <c r="C3194" s="1">
        <v>9647116787</v>
      </c>
      <c r="E3194" s="3" t="s">
        <v>635</v>
      </c>
      <c r="F3194" s="65"/>
      <c r="G3194" s="2" t="s">
        <v>295</v>
      </c>
      <c r="H3194" s="1" t="s">
        <v>630</v>
      </c>
      <c r="I3194" s="4" t="s">
        <v>94</v>
      </c>
      <c r="J3194" s="31">
        <v>45826</v>
      </c>
      <c r="K3194" s="31">
        <v>45827</v>
      </c>
      <c r="L3194" s="31">
        <v>45828</v>
      </c>
      <c r="M3194" s="31">
        <v>45879</v>
      </c>
      <c r="O3194" s="2" t="s">
        <v>297</v>
      </c>
    </row>
    <row r="3195" spans="1:15">
      <c r="A3195" s="3">
        <f t="shared" si="51"/>
        <v>3194</v>
      </c>
      <c r="B3195" s="65" t="s">
        <v>3064</v>
      </c>
      <c r="C3195" s="1">
        <v>8736016820</v>
      </c>
      <c r="E3195" s="17" t="s">
        <v>1014</v>
      </c>
      <c r="F3195" s="65" t="s">
        <v>4870</v>
      </c>
      <c r="G3195" s="2" t="s">
        <v>764</v>
      </c>
      <c r="H3195" s="1" t="s">
        <v>630</v>
      </c>
      <c r="I3195" s="4" t="s">
        <v>94</v>
      </c>
      <c r="J3195" s="31">
        <v>45826</v>
      </c>
      <c r="K3195" s="31">
        <v>45828</v>
      </c>
      <c r="O3195" s="2" t="s">
        <v>425</v>
      </c>
    </row>
    <row r="3196" spans="1:15">
      <c r="A3196" s="3">
        <f t="shared" si="51"/>
        <v>3195</v>
      </c>
      <c r="B3196" s="65" t="s">
        <v>4871</v>
      </c>
      <c r="C3196" s="1">
        <v>8951494801</v>
      </c>
      <c r="E3196" s="17" t="s">
        <v>1014</v>
      </c>
      <c r="F3196" s="65" t="s">
        <v>4872</v>
      </c>
      <c r="G3196" s="2" t="s">
        <v>764</v>
      </c>
      <c r="H3196" s="1" t="s">
        <v>630</v>
      </c>
      <c r="I3196" s="4" t="s">
        <v>94</v>
      </c>
      <c r="J3196" s="31">
        <v>45826</v>
      </c>
      <c r="K3196" s="31">
        <v>45828</v>
      </c>
      <c r="O3196" s="2" t="s">
        <v>425</v>
      </c>
    </row>
    <row r="3197" spans="1:15">
      <c r="A3197" s="3">
        <f t="shared" si="51"/>
        <v>3196</v>
      </c>
      <c r="B3197" s="65" t="s">
        <v>4873</v>
      </c>
      <c r="C3197" s="1">
        <v>9989420386</v>
      </c>
      <c r="E3197" s="17" t="s">
        <v>52</v>
      </c>
      <c r="F3197" s="65" t="s">
        <v>4874</v>
      </c>
      <c r="G3197" s="2" t="s">
        <v>424</v>
      </c>
      <c r="H3197" s="1" t="s">
        <v>679</v>
      </c>
      <c r="I3197" s="4" t="s">
        <v>42</v>
      </c>
      <c r="J3197" s="31">
        <v>45826</v>
      </c>
      <c r="K3197" s="31">
        <v>45827</v>
      </c>
      <c r="O3197" s="2" t="s">
        <v>749</v>
      </c>
    </row>
    <row r="3198" spans="1:15">
      <c r="A3198" s="3">
        <f t="shared" si="51"/>
        <v>3197</v>
      </c>
      <c r="B3198" s="65" t="s">
        <v>4875</v>
      </c>
      <c r="C3198" s="1">
        <v>7063588866</v>
      </c>
      <c r="E3198" s="17" t="s">
        <v>52</v>
      </c>
      <c r="F3198" s="65" t="s">
        <v>4876</v>
      </c>
      <c r="G3198" s="2" t="s">
        <v>424</v>
      </c>
      <c r="H3198" s="1" t="s">
        <v>679</v>
      </c>
      <c r="I3198" s="4" t="s">
        <v>42</v>
      </c>
      <c r="J3198" s="31">
        <v>45826</v>
      </c>
      <c r="K3198" s="31">
        <v>45827</v>
      </c>
      <c r="O3198" s="2" t="s">
        <v>749</v>
      </c>
    </row>
    <row r="3199" spans="1:15">
      <c r="A3199" s="3">
        <f t="shared" si="51"/>
        <v>3198</v>
      </c>
      <c r="B3199" s="65" t="s">
        <v>4877</v>
      </c>
      <c r="C3199" s="1">
        <v>7569971711</v>
      </c>
      <c r="E3199" s="17" t="s">
        <v>3312</v>
      </c>
      <c r="F3199" s="65" t="s">
        <v>252</v>
      </c>
      <c r="G3199" s="2" t="s">
        <v>18</v>
      </c>
      <c r="H3199" s="1" t="s">
        <v>4704</v>
      </c>
      <c r="I3199" s="4" t="s">
        <v>42</v>
      </c>
      <c r="J3199" s="31">
        <v>45827</v>
      </c>
      <c r="K3199" s="31">
        <v>45842</v>
      </c>
      <c r="O3199" s="2" t="s">
        <v>297</v>
      </c>
    </row>
    <row r="3200" spans="1:15">
      <c r="A3200" s="3">
        <f t="shared" si="51"/>
        <v>3199</v>
      </c>
      <c r="B3200" s="65" t="s">
        <v>4878</v>
      </c>
      <c r="C3200" s="1">
        <v>7036913270</v>
      </c>
      <c r="E3200" s="17" t="s">
        <v>3312</v>
      </c>
      <c r="F3200" s="65" t="s">
        <v>252</v>
      </c>
      <c r="G3200" s="2" t="s">
        <v>18</v>
      </c>
      <c r="H3200" s="1" t="s">
        <v>4704</v>
      </c>
      <c r="I3200" s="4" t="s">
        <v>42</v>
      </c>
      <c r="J3200" s="31">
        <v>45827</v>
      </c>
      <c r="K3200" s="31">
        <v>45828</v>
      </c>
      <c r="O3200" s="2" t="s">
        <v>297</v>
      </c>
    </row>
    <row r="3201" spans="1:15">
      <c r="A3201" s="3">
        <f t="shared" si="51"/>
        <v>3200</v>
      </c>
      <c r="B3201" s="65" t="s">
        <v>1639</v>
      </c>
      <c r="C3201" s="1">
        <v>9162479135</v>
      </c>
      <c r="E3201" s="17" t="s">
        <v>3312</v>
      </c>
      <c r="F3201" s="65" t="s">
        <v>252</v>
      </c>
      <c r="G3201" s="2" t="s">
        <v>18</v>
      </c>
      <c r="H3201" s="1" t="s">
        <v>4704</v>
      </c>
      <c r="I3201" s="4" t="s">
        <v>42</v>
      </c>
      <c r="J3201" s="31">
        <v>45827</v>
      </c>
      <c r="K3201" s="31">
        <v>45828</v>
      </c>
      <c r="O3201" s="2" t="s">
        <v>297</v>
      </c>
    </row>
    <row r="3202" spans="1:15">
      <c r="A3202" s="3">
        <f t="shared" si="51"/>
        <v>3201</v>
      </c>
      <c r="B3202" s="65" t="s">
        <v>4879</v>
      </c>
      <c r="C3202" s="1">
        <v>6281734794</v>
      </c>
      <c r="E3202" s="17" t="s">
        <v>3312</v>
      </c>
      <c r="F3202" s="65" t="s">
        <v>252</v>
      </c>
      <c r="G3202" s="2" t="s">
        <v>424</v>
      </c>
      <c r="H3202" s="1" t="s">
        <v>4704</v>
      </c>
      <c r="I3202" s="4" t="s">
        <v>42</v>
      </c>
      <c r="J3202" s="31">
        <v>45827</v>
      </c>
      <c r="K3202" s="31">
        <v>45842</v>
      </c>
      <c r="O3202" s="2" t="s">
        <v>425</v>
      </c>
    </row>
    <row r="3203" spans="1:15">
      <c r="A3203" s="3">
        <f t="shared" si="51"/>
        <v>3202</v>
      </c>
      <c r="B3203" s="65" t="s">
        <v>4880</v>
      </c>
      <c r="C3203" s="1">
        <v>7066277699</v>
      </c>
      <c r="E3203" s="17" t="s">
        <v>912</v>
      </c>
      <c r="F3203" s="65"/>
      <c r="G3203" s="2" t="s">
        <v>16</v>
      </c>
      <c r="H3203" s="1" t="s">
        <v>999</v>
      </c>
      <c r="I3203" s="4" t="s">
        <v>94</v>
      </c>
      <c r="J3203" s="31">
        <v>45796</v>
      </c>
      <c r="K3203" s="31">
        <v>45796</v>
      </c>
      <c r="L3203" s="31">
        <v>45825</v>
      </c>
      <c r="M3203" s="31">
        <v>45866</v>
      </c>
      <c r="N3203" s="31">
        <v>45834</v>
      </c>
      <c r="O3203" s="2" t="s">
        <v>297</v>
      </c>
    </row>
    <row r="3204" spans="1:15">
      <c r="A3204" s="3">
        <f t="shared" si="51"/>
        <v>3203</v>
      </c>
      <c r="B3204" s="65" t="s">
        <v>4881</v>
      </c>
      <c r="C3204" s="1">
        <v>9550998954</v>
      </c>
      <c r="E3204" s="17" t="s">
        <v>2375</v>
      </c>
      <c r="F3204" s="65"/>
      <c r="G3204" s="2" t="s">
        <v>16</v>
      </c>
      <c r="H3204" s="1" t="s">
        <v>913</v>
      </c>
      <c r="I3204" s="4" t="s">
        <v>94</v>
      </c>
      <c r="J3204" s="31">
        <v>45796</v>
      </c>
      <c r="K3204" s="31">
        <v>45796</v>
      </c>
      <c r="L3204" s="31">
        <v>45825</v>
      </c>
      <c r="M3204" s="31">
        <v>45835</v>
      </c>
      <c r="N3204" s="31">
        <v>45841</v>
      </c>
      <c r="O3204" s="2" t="s">
        <v>297</v>
      </c>
    </row>
    <row r="3205" spans="1:15">
      <c r="A3205" s="3">
        <f t="shared" si="51"/>
        <v>3204</v>
      </c>
      <c r="B3205" s="65" t="s">
        <v>4429</v>
      </c>
      <c r="C3205" s="1">
        <v>7006829937</v>
      </c>
      <c r="E3205" s="17" t="s">
        <v>4882</v>
      </c>
      <c r="F3205" s="65" t="s">
        <v>4883</v>
      </c>
      <c r="G3205" s="2" t="s">
        <v>16</v>
      </c>
      <c r="H3205" s="1" t="s">
        <v>487</v>
      </c>
      <c r="I3205" s="4" t="s">
        <v>88</v>
      </c>
      <c r="J3205" s="31">
        <v>45827</v>
      </c>
      <c r="K3205" s="31">
        <v>45828</v>
      </c>
      <c r="L3205" s="31">
        <v>45828</v>
      </c>
      <c r="M3205" s="31">
        <v>45859</v>
      </c>
      <c r="N3205" s="31">
        <v>45859</v>
      </c>
      <c r="O3205" s="2" t="s">
        <v>297</v>
      </c>
    </row>
    <row r="3206" spans="1:15">
      <c r="A3206" s="3">
        <f t="shared" si="51"/>
        <v>3205</v>
      </c>
      <c r="B3206" s="65" t="s">
        <v>4884</v>
      </c>
      <c r="C3206" s="1">
        <v>8235215747</v>
      </c>
      <c r="E3206" s="17" t="s">
        <v>4882</v>
      </c>
      <c r="F3206" s="65" t="s">
        <v>4883</v>
      </c>
      <c r="G3206" s="2" t="s">
        <v>16</v>
      </c>
      <c r="H3206" s="1" t="s">
        <v>487</v>
      </c>
      <c r="I3206" s="4" t="s">
        <v>88</v>
      </c>
      <c r="J3206" s="31">
        <v>45827</v>
      </c>
      <c r="K3206" s="31">
        <v>45828</v>
      </c>
      <c r="L3206" s="31">
        <v>45828</v>
      </c>
      <c r="M3206" s="31">
        <v>45859</v>
      </c>
      <c r="N3206" s="31">
        <v>45859</v>
      </c>
      <c r="O3206" s="2" t="s">
        <v>297</v>
      </c>
    </row>
    <row r="3207" spans="1:15">
      <c r="A3207" s="3">
        <f t="shared" si="51"/>
        <v>3206</v>
      </c>
      <c r="B3207" s="65" t="s">
        <v>4885</v>
      </c>
      <c r="C3207" s="1">
        <v>9381556324</v>
      </c>
      <c r="E3207" s="17" t="s">
        <v>151</v>
      </c>
      <c r="F3207" s="65"/>
      <c r="G3207" s="2" t="s">
        <v>16</v>
      </c>
      <c r="H3207" s="4" t="s">
        <v>1432</v>
      </c>
      <c r="I3207" s="4" t="s">
        <v>88</v>
      </c>
      <c r="J3207" s="31">
        <v>45825</v>
      </c>
      <c r="K3207" s="31">
        <v>45826</v>
      </c>
      <c r="L3207" s="31">
        <v>45826</v>
      </c>
      <c r="M3207" s="31">
        <v>45856</v>
      </c>
      <c r="N3207" s="31">
        <v>45829</v>
      </c>
      <c r="O3207" s="2" t="s">
        <v>297</v>
      </c>
    </row>
    <row r="3208" spans="1:15">
      <c r="A3208" s="3">
        <f t="shared" si="51"/>
        <v>3207</v>
      </c>
      <c r="B3208" s="65" t="s">
        <v>4886</v>
      </c>
      <c r="C3208" s="1">
        <v>7247038320</v>
      </c>
      <c r="E3208" s="17" t="s">
        <v>4887</v>
      </c>
      <c r="F3208" s="65" t="s">
        <v>4888</v>
      </c>
      <c r="G3208" s="2" t="s">
        <v>416</v>
      </c>
      <c r="H3208" s="4" t="s">
        <v>361</v>
      </c>
      <c r="I3208" s="4" t="s">
        <v>88</v>
      </c>
      <c r="J3208" s="31">
        <v>45827</v>
      </c>
      <c r="K3208" s="31">
        <v>45842</v>
      </c>
      <c r="L3208" s="31"/>
      <c r="M3208" s="31"/>
      <c r="O3208" s="2" t="s">
        <v>297</v>
      </c>
    </row>
    <row r="3209" spans="1:15">
      <c r="A3209" s="3">
        <f t="shared" si="51"/>
        <v>3208</v>
      </c>
      <c r="B3209" s="65" t="s">
        <v>4889</v>
      </c>
      <c r="C3209" s="1">
        <v>8433165716</v>
      </c>
      <c r="E3209" s="17" t="s">
        <v>4887</v>
      </c>
      <c r="F3209" s="65" t="s">
        <v>4888</v>
      </c>
      <c r="G3209" s="2" t="s">
        <v>295</v>
      </c>
      <c r="H3209" s="4" t="s">
        <v>361</v>
      </c>
      <c r="I3209" s="4" t="s">
        <v>88</v>
      </c>
      <c r="J3209" s="31">
        <v>45827</v>
      </c>
      <c r="K3209" s="31">
        <v>45842</v>
      </c>
      <c r="L3209" s="31">
        <v>45848</v>
      </c>
      <c r="M3209" s="31">
        <v>45880</v>
      </c>
      <c r="O3209" s="2" t="s">
        <v>297</v>
      </c>
    </row>
    <row r="3210" spans="1:15">
      <c r="A3210" s="3">
        <f t="shared" si="51"/>
        <v>3209</v>
      </c>
      <c r="B3210" s="65" t="s">
        <v>4890</v>
      </c>
      <c r="C3210" s="1">
        <v>9335537245</v>
      </c>
      <c r="D3210" s="1">
        <v>7379400000</v>
      </c>
      <c r="E3210" s="17" t="s">
        <v>4887</v>
      </c>
      <c r="F3210" s="65" t="s">
        <v>4888</v>
      </c>
      <c r="G3210" s="2" t="s">
        <v>424</v>
      </c>
      <c r="H3210" s="4" t="s">
        <v>361</v>
      </c>
      <c r="I3210" s="4" t="s">
        <v>88</v>
      </c>
      <c r="J3210" s="31">
        <v>45827</v>
      </c>
      <c r="K3210" s="31">
        <v>45842</v>
      </c>
      <c r="L3210" s="31"/>
      <c r="M3210" s="31"/>
      <c r="O3210" s="2" t="s">
        <v>425</v>
      </c>
    </row>
    <row r="3211" spans="1:15">
      <c r="A3211" s="3">
        <f t="shared" si="51"/>
        <v>3210</v>
      </c>
      <c r="B3211" s="65" t="s">
        <v>4891</v>
      </c>
      <c r="C3211" s="1">
        <v>7351575044</v>
      </c>
      <c r="E3211" s="17" t="s">
        <v>4887</v>
      </c>
      <c r="F3211" s="65" t="s">
        <v>4888</v>
      </c>
      <c r="G3211" s="2" t="s">
        <v>16</v>
      </c>
      <c r="H3211" s="4" t="s">
        <v>361</v>
      </c>
      <c r="I3211" s="4" t="s">
        <v>88</v>
      </c>
      <c r="J3211" s="31">
        <v>45827</v>
      </c>
      <c r="K3211" s="31">
        <v>45848</v>
      </c>
      <c r="L3211" s="31">
        <v>45856</v>
      </c>
      <c r="M3211" s="31">
        <v>45887</v>
      </c>
      <c r="N3211" s="31">
        <v>45887</v>
      </c>
      <c r="O3211" s="2" t="s">
        <v>297</v>
      </c>
    </row>
    <row r="3212" spans="1:15">
      <c r="A3212" s="3">
        <f t="shared" si="51"/>
        <v>3211</v>
      </c>
      <c r="B3212" s="65" t="s">
        <v>4892</v>
      </c>
      <c r="C3212" s="1">
        <v>9340964016</v>
      </c>
      <c r="E3212" s="17" t="s">
        <v>4887</v>
      </c>
      <c r="F3212" s="65" t="s">
        <v>4888</v>
      </c>
      <c r="G3212" s="2" t="s">
        <v>424</v>
      </c>
      <c r="H3212" s="4" t="s">
        <v>361</v>
      </c>
      <c r="I3212" s="4" t="s">
        <v>88</v>
      </c>
      <c r="J3212" s="31">
        <v>45827</v>
      </c>
      <c r="K3212" s="31">
        <v>45848</v>
      </c>
      <c r="L3212" s="31"/>
      <c r="M3212" s="31"/>
      <c r="O3212" s="2" t="s">
        <v>425</v>
      </c>
    </row>
    <row r="3213" spans="1:15">
      <c r="A3213" s="3">
        <f t="shared" si="51"/>
        <v>3212</v>
      </c>
      <c r="B3213" s="65" t="s">
        <v>4893</v>
      </c>
      <c r="C3213" s="1">
        <v>8858674855</v>
      </c>
      <c r="E3213" s="17" t="s">
        <v>4887</v>
      </c>
      <c r="F3213" s="65" t="s">
        <v>4888</v>
      </c>
      <c r="G3213" s="2" t="s">
        <v>424</v>
      </c>
      <c r="H3213" s="4" t="s">
        <v>361</v>
      </c>
      <c r="I3213" s="4" t="s">
        <v>88</v>
      </c>
      <c r="J3213" s="31">
        <v>45827</v>
      </c>
      <c r="K3213" s="31">
        <v>45848</v>
      </c>
      <c r="L3213" s="31"/>
      <c r="M3213" s="31"/>
      <c r="O3213" s="2" t="s">
        <v>749</v>
      </c>
    </row>
    <row r="3214" spans="1:15">
      <c r="A3214" s="3">
        <f t="shared" si="51"/>
        <v>3213</v>
      </c>
      <c r="B3214" s="65" t="s">
        <v>4894</v>
      </c>
      <c r="C3214" s="1">
        <v>8768181212</v>
      </c>
      <c r="E3214" s="17" t="s">
        <v>640</v>
      </c>
      <c r="F3214" s="65"/>
      <c r="G3214" s="2" t="s">
        <v>764</v>
      </c>
      <c r="H3214" s="1" t="s">
        <v>630</v>
      </c>
      <c r="I3214" s="4" t="s">
        <v>94</v>
      </c>
      <c r="J3214" s="31">
        <v>45827</v>
      </c>
      <c r="K3214" s="31">
        <v>45828</v>
      </c>
      <c r="O3214" s="2" t="s">
        <v>425</v>
      </c>
    </row>
    <row r="3215" spans="1:15">
      <c r="A3215" s="3">
        <f t="shared" si="51"/>
        <v>3214</v>
      </c>
      <c r="B3215" s="65" t="s">
        <v>2604</v>
      </c>
      <c r="C3215" s="1">
        <v>9666715756</v>
      </c>
      <c r="E3215" s="17" t="s">
        <v>4895</v>
      </c>
      <c r="F3215" s="65"/>
      <c r="G3215" s="2" t="s">
        <v>16</v>
      </c>
      <c r="H3215" s="1" t="s">
        <v>999</v>
      </c>
      <c r="I3215" s="4" t="s">
        <v>94</v>
      </c>
      <c r="J3215" s="31">
        <v>45824</v>
      </c>
      <c r="K3215" s="31">
        <v>45825</v>
      </c>
      <c r="L3215" s="31">
        <v>45919</v>
      </c>
      <c r="M3215" s="31">
        <v>45951</v>
      </c>
      <c r="N3215" s="31">
        <v>45957</v>
      </c>
      <c r="O3215" s="2" t="s">
        <v>297</v>
      </c>
    </row>
    <row r="3216" spans="1:15">
      <c r="A3216" s="3">
        <f t="shared" si="51"/>
        <v>3215</v>
      </c>
      <c r="B3216" s="65" t="s">
        <v>4896</v>
      </c>
      <c r="C3216" s="1">
        <v>8555994251</v>
      </c>
      <c r="E3216" s="17" t="s">
        <v>2411</v>
      </c>
      <c r="F3216" s="65"/>
      <c r="G3216" s="2" t="s">
        <v>16</v>
      </c>
      <c r="H3216" s="1" t="s">
        <v>4842</v>
      </c>
      <c r="I3216" s="4" t="s">
        <v>94</v>
      </c>
      <c r="J3216" s="31">
        <v>45824</v>
      </c>
      <c r="K3216" s="31">
        <v>45825</v>
      </c>
      <c r="L3216" s="31">
        <v>45827</v>
      </c>
      <c r="M3216" s="31">
        <v>45829</v>
      </c>
      <c r="N3216" s="31">
        <v>45829</v>
      </c>
      <c r="O3216" s="2" t="s">
        <v>297</v>
      </c>
    </row>
    <row r="3217" spans="1:15">
      <c r="A3217" s="3">
        <f t="shared" si="51"/>
        <v>3216</v>
      </c>
      <c r="B3217" s="65" t="s">
        <v>4897</v>
      </c>
      <c r="C3217" s="1">
        <v>8959519341</v>
      </c>
      <c r="E3217" s="17" t="s">
        <v>932</v>
      </c>
      <c r="F3217" s="65"/>
      <c r="G3217" s="2" t="s">
        <v>16</v>
      </c>
      <c r="H3217" s="1" t="s">
        <v>999</v>
      </c>
      <c r="I3217" s="4" t="s">
        <v>94</v>
      </c>
      <c r="J3217" s="31">
        <v>45824</v>
      </c>
      <c r="K3217" s="31">
        <v>45825</v>
      </c>
      <c r="L3217" s="31">
        <v>45827</v>
      </c>
      <c r="M3217" s="31">
        <v>45859</v>
      </c>
      <c r="N3217" s="31">
        <v>45859</v>
      </c>
      <c r="O3217" s="2" t="s">
        <v>297</v>
      </c>
    </row>
    <row r="3218" spans="1:15">
      <c r="A3218" s="3">
        <f t="shared" si="51"/>
        <v>3217</v>
      </c>
      <c r="B3218" s="65" t="s">
        <v>950</v>
      </c>
      <c r="C3218" s="1">
        <v>9676769664</v>
      </c>
      <c r="E3218" s="17" t="s">
        <v>4505</v>
      </c>
      <c r="F3218" s="65" t="s">
        <v>333</v>
      </c>
      <c r="G3218" s="2" t="s">
        <v>424</v>
      </c>
      <c r="H3218" s="1" t="s">
        <v>162</v>
      </c>
      <c r="I3218" s="4" t="s">
        <v>42</v>
      </c>
      <c r="J3218" s="31">
        <v>45827</v>
      </c>
      <c r="K3218" s="31">
        <v>45832</v>
      </c>
      <c r="L3218" s="31"/>
      <c r="M3218" s="31"/>
      <c r="O3218" s="2" t="s">
        <v>425</v>
      </c>
    </row>
    <row r="3219" spans="1:15">
      <c r="A3219" s="3">
        <f t="shared" si="51"/>
        <v>3218</v>
      </c>
      <c r="B3219" s="65" t="s">
        <v>4898</v>
      </c>
      <c r="C3219" s="1">
        <v>9502717824</v>
      </c>
      <c r="E3219" s="17" t="s">
        <v>4483</v>
      </c>
      <c r="F3219" s="65" t="s">
        <v>543</v>
      </c>
      <c r="G3219" s="2" t="s">
        <v>295</v>
      </c>
      <c r="H3219" s="1" t="s">
        <v>162</v>
      </c>
      <c r="I3219" s="4" t="s">
        <v>42</v>
      </c>
      <c r="J3219" s="31">
        <v>45827</v>
      </c>
      <c r="K3219" s="31">
        <v>45835</v>
      </c>
      <c r="L3219" s="31">
        <v>45842</v>
      </c>
      <c r="M3219" s="31">
        <v>45874</v>
      </c>
      <c r="O3219" s="2" t="s">
        <v>297</v>
      </c>
    </row>
    <row r="3220" spans="1:15">
      <c r="A3220" s="3">
        <f t="shared" si="51"/>
        <v>3219</v>
      </c>
      <c r="B3220" s="65" t="s">
        <v>4899</v>
      </c>
      <c r="C3220" s="1">
        <v>9110578424</v>
      </c>
      <c r="E3220" s="17" t="s">
        <v>4483</v>
      </c>
      <c r="F3220" s="65" t="s">
        <v>543</v>
      </c>
      <c r="G3220" s="2" t="s">
        <v>424</v>
      </c>
      <c r="H3220" s="1" t="s">
        <v>162</v>
      </c>
      <c r="I3220" s="4" t="s">
        <v>42</v>
      </c>
      <c r="J3220" s="31">
        <v>45827</v>
      </c>
      <c r="K3220" s="31">
        <v>45835</v>
      </c>
      <c r="L3220" s="31"/>
      <c r="M3220" s="31"/>
      <c r="O3220" s="2" t="s">
        <v>425</v>
      </c>
    </row>
    <row r="3221" spans="1:15">
      <c r="A3221" s="3">
        <f t="shared" si="51"/>
        <v>3220</v>
      </c>
      <c r="B3221" s="65" t="s">
        <v>4900</v>
      </c>
      <c r="C3221" s="1">
        <v>9603102451</v>
      </c>
      <c r="E3221" s="17" t="s">
        <v>4901</v>
      </c>
      <c r="F3221" s="65" t="s">
        <v>2116</v>
      </c>
      <c r="G3221" s="2" t="s">
        <v>16</v>
      </c>
      <c r="H3221" s="1" t="s">
        <v>999</v>
      </c>
      <c r="I3221" s="4" t="s">
        <v>88</v>
      </c>
      <c r="J3221" s="31">
        <v>45827</v>
      </c>
      <c r="K3221" s="31">
        <v>45827</v>
      </c>
      <c r="L3221" s="31">
        <v>45828</v>
      </c>
      <c r="M3221" s="31">
        <v>45859</v>
      </c>
      <c r="N3221" s="31">
        <v>45859</v>
      </c>
      <c r="O3221" s="2" t="s">
        <v>297</v>
      </c>
    </row>
    <row r="3222" spans="1:15">
      <c r="A3222" s="3">
        <f t="shared" si="51"/>
        <v>3221</v>
      </c>
      <c r="B3222" s="65" t="s">
        <v>4902</v>
      </c>
      <c r="C3222" s="1">
        <v>8309166798</v>
      </c>
      <c r="E3222" s="17" t="s">
        <v>4901</v>
      </c>
      <c r="F3222" s="65" t="s">
        <v>2116</v>
      </c>
      <c r="G3222" s="2" t="s">
        <v>16</v>
      </c>
      <c r="H3222" s="1" t="s">
        <v>999</v>
      </c>
      <c r="I3222" s="4" t="s">
        <v>88</v>
      </c>
      <c r="J3222" s="31">
        <v>45827</v>
      </c>
      <c r="K3222" s="31">
        <v>45827</v>
      </c>
      <c r="L3222" s="31">
        <v>45828</v>
      </c>
      <c r="M3222" s="31">
        <v>45859</v>
      </c>
      <c r="N3222" s="31">
        <v>45859</v>
      </c>
      <c r="O3222" s="2" t="s">
        <v>297</v>
      </c>
    </row>
    <row r="3223" spans="1:15">
      <c r="A3223" s="3">
        <f t="shared" si="51"/>
        <v>3222</v>
      </c>
      <c r="B3223" s="65" t="s">
        <v>4903</v>
      </c>
      <c r="C3223" s="1">
        <v>8617831558</v>
      </c>
      <c r="E3223" s="17" t="s">
        <v>4901</v>
      </c>
      <c r="F3223" s="65" t="s">
        <v>2116</v>
      </c>
      <c r="G3223" s="2" t="s">
        <v>295</v>
      </c>
      <c r="H3223" s="1" t="s">
        <v>999</v>
      </c>
      <c r="I3223" s="4" t="s">
        <v>88</v>
      </c>
      <c r="J3223" s="31">
        <v>45827</v>
      </c>
      <c r="K3223" s="31">
        <v>45827</v>
      </c>
      <c r="L3223" s="31">
        <v>45828</v>
      </c>
      <c r="M3223" s="31">
        <v>45859</v>
      </c>
      <c r="O3223" s="2" t="s">
        <v>297</v>
      </c>
    </row>
    <row r="3224" spans="1:15">
      <c r="A3224" s="3">
        <f t="shared" si="51"/>
        <v>3223</v>
      </c>
      <c r="B3224" s="65" t="s">
        <v>4904</v>
      </c>
      <c r="C3224" s="1">
        <v>7892841509</v>
      </c>
      <c r="D3224" s="1">
        <v>8904599519</v>
      </c>
      <c r="E3224" s="17" t="s">
        <v>52</v>
      </c>
      <c r="F3224" s="65" t="s">
        <v>1663</v>
      </c>
      <c r="G3224" s="2" t="s">
        <v>295</v>
      </c>
      <c r="H3224" s="1" t="s">
        <v>679</v>
      </c>
      <c r="I3224" s="4" t="s">
        <v>42</v>
      </c>
      <c r="J3224" s="31">
        <v>45828</v>
      </c>
      <c r="K3224" s="31">
        <v>45828</v>
      </c>
      <c r="L3224" s="31">
        <v>45835</v>
      </c>
      <c r="M3224" s="31">
        <v>45869</v>
      </c>
      <c r="O3224" s="2" t="s">
        <v>297</v>
      </c>
    </row>
    <row r="3225" spans="1:15">
      <c r="A3225" s="3">
        <f t="shared" si="51"/>
        <v>3224</v>
      </c>
      <c r="B3225" s="65" t="s">
        <v>4905</v>
      </c>
      <c r="C3225" s="1">
        <v>9035849607</v>
      </c>
      <c r="E3225" s="17" t="s">
        <v>110</v>
      </c>
      <c r="F3225" s="65" t="s">
        <v>2340</v>
      </c>
      <c r="G3225" s="2" t="s">
        <v>16</v>
      </c>
      <c r="H3225" s="1" t="s">
        <v>102</v>
      </c>
      <c r="I3225" s="4" t="s">
        <v>42</v>
      </c>
      <c r="J3225" s="31">
        <v>45828</v>
      </c>
      <c r="K3225" s="31">
        <v>45831</v>
      </c>
      <c r="L3225" s="31">
        <v>45835</v>
      </c>
      <c r="M3225" s="31">
        <v>45867</v>
      </c>
      <c r="N3225" s="31">
        <v>45867</v>
      </c>
      <c r="O3225" s="2" t="s">
        <v>297</v>
      </c>
    </row>
    <row r="3226" spans="1:15">
      <c r="A3226" s="3">
        <f t="shared" si="51"/>
        <v>3225</v>
      </c>
      <c r="B3226" s="65" t="s">
        <v>4906</v>
      </c>
      <c r="C3226" s="1">
        <v>9553637345</v>
      </c>
      <c r="E3226" s="17" t="s">
        <v>107</v>
      </c>
      <c r="F3226" s="65" t="s">
        <v>3160</v>
      </c>
      <c r="G3226" s="2" t="s">
        <v>416</v>
      </c>
      <c r="H3226" s="1" t="s">
        <v>102</v>
      </c>
      <c r="I3226" s="4" t="s">
        <v>42</v>
      </c>
      <c r="J3226" s="31">
        <v>45828</v>
      </c>
      <c r="K3226" s="31">
        <v>45833</v>
      </c>
      <c r="L3226" s="31"/>
      <c r="M3226" s="31"/>
      <c r="O3226" s="2" t="s">
        <v>297</v>
      </c>
    </row>
    <row r="3227" spans="1:15">
      <c r="A3227" s="3">
        <f t="shared" si="51"/>
        <v>3226</v>
      </c>
      <c r="B3227" s="65" t="s">
        <v>4907</v>
      </c>
      <c r="C3227" s="1">
        <v>8328392964</v>
      </c>
      <c r="E3227" s="17" t="s">
        <v>107</v>
      </c>
      <c r="F3227" s="65" t="s">
        <v>2340</v>
      </c>
      <c r="G3227" s="2" t="s">
        <v>16</v>
      </c>
      <c r="H3227" s="1" t="s">
        <v>102</v>
      </c>
      <c r="I3227" s="4" t="s">
        <v>42</v>
      </c>
      <c r="J3227" s="31">
        <v>45828</v>
      </c>
      <c r="K3227" s="31">
        <v>45829</v>
      </c>
      <c r="L3227" s="31">
        <v>45835</v>
      </c>
      <c r="M3227" s="31">
        <v>45845</v>
      </c>
      <c r="N3227" s="31">
        <v>45847</v>
      </c>
      <c r="O3227" s="2" t="s">
        <v>297</v>
      </c>
    </row>
    <row r="3228" spans="1:15">
      <c r="A3228" s="3">
        <f t="shared" si="51"/>
        <v>3227</v>
      </c>
      <c r="B3228" s="65" t="s">
        <v>4908</v>
      </c>
      <c r="C3228" s="1">
        <v>6006138921</v>
      </c>
      <c r="E3228" s="17" t="s">
        <v>1354</v>
      </c>
      <c r="F3228" s="65" t="s">
        <v>364</v>
      </c>
      <c r="G3228" s="3" t="s">
        <v>416</v>
      </c>
      <c r="H3228" s="1" t="s">
        <v>604</v>
      </c>
      <c r="I3228" s="4" t="s">
        <v>94</v>
      </c>
      <c r="J3228" s="31">
        <v>45828</v>
      </c>
      <c r="K3228" s="31">
        <v>45831</v>
      </c>
      <c r="L3228" s="31"/>
      <c r="M3228" s="31"/>
      <c r="O3228" s="2" t="s">
        <v>297</v>
      </c>
    </row>
    <row r="3229" spans="1:15">
      <c r="A3229" s="3">
        <f t="shared" si="51"/>
        <v>3228</v>
      </c>
      <c r="B3229" s="65" t="s">
        <v>983</v>
      </c>
      <c r="C3229" s="1">
        <v>8708652597</v>
      </c>
      <c r="E3229" s="17" t="s">
        <v>1354</v>
      </c>
      <c r="F3229" s="65" t="s">
        <v>364</v>
      </c>
      <c r="G3229" s="2" t="s">
        <v>16</v>
      </c>
      <c r="H3229" s="1" t="s">
        <v>604</v>
      </c>
      <c r="I3229" s="4" t="s">
        <v>94</v>
      </c>
      <c r="J3229" s="31">
        <v>45828</v>
      </c>
      <c r="K3229" s="31">
        <v>45831</v>
      </c>
      <c r="L3229" s="31">
        <v>45835</v>
      </c>
      <c r="M3229" s="31">
        <v>45866</v>
      </c>
      <c r="N3229" s="31">
        <v>45866</v>
      </c>
      <c r="O3229" s="2" t="s">
        <v>297</v>
      </c>
    </row>
    <row r="3230" spans="1:15">
      <c r="A3230" s="3">
        <f t="shared" si="51"/>
        <v>3229</v>
      </c>
      <c r="B3230" s="65" t="s">
        <v>4909</v>
      </c>
      <c r="C3230" s="1">
        <v>9333851098</v>
      </c>
      <c r="E3230" s="17" t="s">
        <v>828</v>
      </c>
      <c r="F3230" s="65" t="s">
        <v>308</v>
      </c>
      <c r="G3230" s="2" t="s">
        <v>424</v>
      </c>
      <c r="H3230" s="1" t="s">
        <v>162</v>
      </c>
      <c r="I3230" s="4" t="s">
        <v>94</v>
      </c>
      <c r="J3230" s="31">
        <v>45828</v>
      </c>
      <c r="K3230" s="31">
        <v>45832</v>
      </c>
      <c r="L3230" s="31"/>
      <c r="M3230" s="31"/>
      <c r="O3230" s="2" t="s">
        <v>425</v>
      </c>
    </row>
    <row r="3231" spans="1:15">
      <c r="A3231" s="3">
        <f t="shared" si="51"/>
        <v>3230</v>
      </c>
      <c r="B3231" s="65" t="s">
        <v>4910</v>
      </c>
      <c r="C3231" s="1">
        <v>6392336625</v>
      </c>
      <c r="D3231" s="1">
        <v>9554600000</v>
      </c>
      <c r="E3231" s="17" t="s">
        <v>828</v>
      </c>
      <c r="F3231" s="65" t="s">
        <v>329</v>
      </c>
      <c r="G3231" s="2" t="s">
        <v>424</v>
      </c>
      <c r="H3231" s="1" t="s">
        <v>162</v>
      </c>
      <c r="I3231" s="4" t="s">
        <v>94</v>
      </c>
      <c r="J3231" s="31">
        <v>45828</v>
      </c>
      <c r="K3231" s="31">
        <v>45832</v>
      </c>
      <c r="L3231" s="31"/>
      <c r="M3231" s="31"/>
      <c r="O3231" s="2" t="s">
        <v>425</v>
      </c>
    </row>
    <row r="3232" spans="1:15">
      <c r="A3232" s="3">
        <f t="shared" ref="A3232:A3295" si="52">ROW()-1</f>
        <v>3231</v>
      </c>
      <c r="B3232" s="65" t="s">
        <v>4911</v>
      </c>
      <c r="C3232" s="1">
        <v>7766863374</v>
      </c>
      <c r="D3232" s="1">
        <v>7004764969</v>
      </c>
      <c r="E3232" s="17" t="s">
        <v>52</v>
      </c>
      <c r="F3232" s="65" t="s">
        <v>4912</v>
      </c>
      <c r="G3232" s="2" t="s">
        <v>424</v>
      </c>
      <c r="H3232" s="1" t="s">
        <v>679</v>
      </c>
      <c r="I3232" s="4" t="s">
        <v>42</v>
      </c>
      <c r="J3232" s="31">
        <v>45828</v>
      </c>
      <c r="K3232" s="31">
        <v>45828</v>
      </c>
      <c r="L3232" s="31"/>
      <c r="M3232" s="31"/>
      <c r="O3232" s="2" t="s">
        <v>425</v>
      </c>
    </row>
    <row r="3233" spans="1:15">
      <c r="A3233" s="3">
        <f t="shared" si="52"/>
        <v>3232</v>
      </c>
      <c r="B3233" s="65" t="s">
        <v>4913</v>
      </c>
      <c r="C3233" s="1">
        <v>8688270191</v>
      </c>
      <c r="D3233" s="1">
        <v>9177680487</v>
      </c>
      <c r="E3233" s="17" t="s">
        <v>52</v>
      </c>
      <c r="F3233" s="65" t="s">
        <v>972</v>
      </c>
      <c r="G3233" s="2" t="s">
        <v>424</v>
      </c>
      <c r="H3233" s="1" t="s">
        <v>679</v>
      </c>
      <c r="I3233" s="4" t="s">
        <v>42</v>
      </c>
      <c r="J3233" s="31">
        <v>45828</v>
      </c>
      <c r="K3233" s="31">
        <v>45828</v>
      </c>
      <c r="L3233" s="31"/>
      <c r="M3233" s="31"/>
      <c r="O3233" s="2" t="s">
        <v>425</v>
      </c>
    </row>
    <row r="3234" spans="1:15">
      <c r="A3234" s="3">
        <f t="shared" si="52"/>
        <v>3233</v>
      </c>
      <c r="B3234" s="65" t="s">
        <v>4914</v>
      </c>
      <c r="C3234" s="1">
        <v>7085446953</v>
      </c>
      <c r="D3234" s="1">
        <v>7983707887</v>
      </c>
      <c r="E3234" s="17" t="s">
        <v>52</v>
      </c>
      <c r="F3234" s="65" t="s">
        <v>972</v>
      </c>
      <c r="G3234" s="2" t="s">
        <v>424</v>
      </c>
      <c r="H3234" s="1" t="s">
        <v>679</v>
      </c>
      <c r="I3234" s="4" t="s">
        <v>42</v>
      </c>
      <c r="J3234" s="31">
        <v>45828</v>
      </c>
      <c r="K3234" s="31">
        <v>45828</v>
      </c>
      <c r="L3234" s="31"/>
      <c r="M3234" s="31"/>
      <c r="O3234" s="2" t="s">
        <v>425</v>
      </c>
    </row>
    <row r="3235" spans="1:15">
      <c r="A3235" s="3">
        <f t="shared" si="52"/>
        <v>3234</v>
      </c>
      <c r="B3235" s="65" t="s">
        <v>4915</v>
      </c>
      <c r="C3235" s="1">
        <v>9030005595</v>
      </c>
      <c r="E3235" s="17" t="s">
        <v>52</v>
      </c>
      <c r="F3235" s="65" t="s">
        <v>4916</v>
      </c>
      <c r="G3235" s="2" t="s">
        <v>424</v>
      </c>
      <c r="H3235" s="1" t="s">
        <v>679</v>
      </c>
      <c r="I3235" s="4" t="s">
        <v>42</v>
      </c>
      <c r="J3235" s="31">
        <v>45828</v>
      </c>
      <c r="K3235" s="31">
        <v>45828</v>
      </c>
      <c r="L3235" s="31"/>
      <c r="M3235" s="31"/>
      <c r="O3235" s="2" t="s">
        <v>425</v>
      </c>
    </row>
    <row r="3236" spans="1:15">
      <c r="A3236" s="3">
        <f t="shared" si="52"/>
        <v>3235</v>
      </c>
      <c r="B3236" s="65" t="s">
        <v>4917</v>
      </c>
      <c r="C3236" s="1">
        <v>8130336844</v>
      </c>
      <c r="E3236" s="17" t="s">
        <v>3309</v>
      </c>
      <c r="F3236" s="65" t="s">
        <v>446</v>
      </c>
      <c r="G3236" s="2" t="s">
        <v>424</v>
      </c>
      <c r="H3236" s="1" t="s">
        <v>296</v>
      </c>
      <c r="I3236" s="4" t="s">
        <v>94</v>
      </c>
      <c r="J3236" s="31">
        <v>45828</v>
      </c>
      <c r="K3236" s="31">
        <v>45841</v>
      </c>
      <c r="L3236" s="31"/>
      <c r="M3236" s="31"/>
      <c r="O3236" s="2" t="s">
        <v>749</v>
      </c>
    </row>
    <row r="3237" spans="1:15">
      <c r="A3237" s="3">
        <f t="shared" si="52"/>
        <v>3236</v>
      </c>
      <c r="B3237" s="65" t="s">
        <v>4918</v>
      </c>
      <c r="C3237" s="1">
        <v>7828498485</v>
      </c>
      <c r="E3237" s="17" t="s">
        <v>3309</v>
      </c>
      <c r="F3237" s="65" t="s">
        <v>4919</v>
      </c>
      <c r="G3237" s="2" t="s">
        <v>424</v>
      </c>
      <c r="H3237" s="1" t="s">
        <v>296</v>
      </c>
      <c r="I3237" s="4" t="s">
        <v>94</v>
      </c>
      <c r="J3237" s="31">
        <v>45828</v>
      </c>
      <c r="K3237" s="31">
        <v>45839</v>
      </c>
      <c r="L3237" s="31"/>
      <c r="M3237" s="31"/>
      <c r="O3237" s="2" t="s">
        <v>749</v>
      </c>
    </row>
    <row r="3238" spans="1:15">
      <c r="A3238" s="3">
        <f t="shared" si="52"/>
        <v>3237</v>
      </c>
      <c r="B3238" s="65" t="s">
        <v>4920</v>
      </c>
      <c r="C3238" s="1">
        <v>6305839035</v>
      </c>
      <c r="E3238" s="17" t="s">
        <v>4558</v>
      </c>
      <c r="F3238" s="65" t="s">
        <v>4921</v>
      </c>
      <c r="G3238" s="2" t="s">
        <v>16</v>
      </c>
      <c r="H3238" s="1" t="s">
        <v>42</v>
      </c>
      <c r="I3238" s="4" t="s">
        <v>42</v>
      </c>
      <c r="J3238" s="31">
        <v>45828</v>
      </c>
      <c r="K3238" s="31">
        <v>45828</v>
      </c>
      <c r="L3238" s="31">
        <v>45832</v>
      </c>
      <c r="M3238" s="31">
        <v>45839</v>
      </c>
      <c r="N3238" s="31">
        <v>45835</v>
      </c>
      <c r="O3238" s="2" t="s">
        <v>297</v>
      </c>
    </row>
    <row r="3239" spans="1:15">
      <c r="A3239" s="3">
        <f t="shared" si="52"/>
        <v>3238</v>
      </c>
      <c r="B3239" s="65" t="s">
        <v>4922</v>
      </c>
      <c r="C3239" s="1">
        <v>9900039062</v>
      </c>
      <c r="E3239" s="17" t="s">
        <v>118</v>
      </c>
      <c r="F3239" s="65"/>
      <c r="G3239" s="2" t="s">
        <v>416</v>
      </c>
      <c r="H3239" s="1" t="s">
        <v>679</v>
      </c>
      <c r="I3239" s="4" t="s">
        <v>42</v>
      </c>
      <c r="J3239" s="31">
        <v>45828</v>
      </c>
      <c r="K3239" s="31">
        <v>45828</v>
      </c>
      <c r="L3239" s="31"/>
      <c r="M3239" s="31"/>
      <c r="O3239" s="2" t="s">
        <v>297</v>
      </c>
    </row>
    <row r="3240" spans="1:15">
      <c r="A3240" s="3">
        <f t="shared" si="52"/>
        <v>3239</v>
      </c>
      <c r="B3240" s="65" t="s">
        <v>4923</v>
      </c>
      <c r="C3240" s="1">
        <v>8074347759</v>
      </c>
      <c r="E3240" s="17" t="s">
        <v>4558</v>
      </c>
      <c r="F3240" s="65" t="s">
        <v>4700</v>
      </c>
      <c r="G3240" s="2" t="s">
        <v>16</v>
      </c>
      <c r="H3240" s="1" t="s">
        <v>42</v>
      </c>
      <c r="I3240" s="4" t="s">
        <v>42</v>
      </c>
      <c r="J3240" s="31">
        <v>45828</v>
      </c>
      <c r="K3240" s="31">
        <v>45828</v>
      </c>
      <c r="L3240" s="31">
        <v>45832</v>
      </c>
      <c r="M3240" s="31">
        <v>45839</v>
      </c>
      <c r="N3240" s="31">
        <v>45835</v>
      </c>
      <c r="O3240" s="2" t="s">
        <v>297</v>
      </c>
    </row>
    <row r="3241" spans="1:15">
      <c r="A3241" s="3">
        <f t="shared" si="52"/>
        <v>3240</v>
      </c>
      <c r="B3241" s="65" t="s">
        <v>4924</v>
      </c>
      <c r="C3241" s="1">
        <v>7670858576</v>
      </c>
      <c r="E3241" s="17" t="s">
        <v>151</v>
      </c>
      <c r="F3241" s="65" t="s">
        <v>4925</v>
      </c>
      <c r="G3241" s="6" t="s">
        <v>330</v>
      </c>
      <c r="H3241" s="1" t="s">
        <v>679</v>
      </c>
      <c r="I3241" s="4" t="s">
        <v>42</v>
      </c>
      <c r="J3241" s="31">
        <v>45828</v>
      </c>
      <c r="K3241" s="31">
        <v>45828</v>
      </c>
      <c r="L3241" s="31">
        <v>45832</v>
      </c>
      <c r="M3241" s="31">
        <v>45839</v>
      </c>
      <c r="N3241" s="31">
        <v>45839</v>
      </c>
      <c r="O3241" s="2" t="s">
        <v>297</v>
      </c>
    </row>
    <row r="3242" spans="1:15">
      <c r="A3242" s="3">
        <f t="shared" si="52"/>
        <v>3241</v>
      </c>
      <c r="B3242" s="65" t="s">
        <v>4926</v>
      </c>
      <c r="C3242" s="1">
        <v>7903604297</v>
      </c>
      <c r="E3242" s="17" t="s">
        <v>4927</v>
      </c>
      <c r="F3242" s="65"/>
      <c r="G3242" s="2" t="s">
        <v>16</v>
      </c>
      <c r="H3242" s="1" t="s">
        <v>3967</v>
      </c>
      <c r="I3242" s="4" t="s">
        <v>88</v>
      </c>
      <c r="J3242" s="31">
        <v>45824</v>
      </c>
      <c r="K3242" s="31">
        <v>45824</v>
      </c>
      <c r="L3242" s="31">
        <v>45828</v>
      </c>
      <c r="M3242" s="31">
        <v>45859</v>
      </c>
      <c r="N3242" s="31">
        <v>45859</v>
      </c>
      <c r="O3242" s="2" t="s">
        <v>297</v>
      </c>
    </row>
    <row r="3243" spans="1:15">
      <c r="A3243" s="3">
        <f t="shared" si="52"/>
        <v>3242</v>
      </c>
      <c r="B3243" s="65" t="s">
        <v>4928</v>
      </c>
      <c r="C3243" s="1">
        <v>9550454132</v>
      </c>
      <c r="E3243" s="17" t="s">
        <v>52</v>
      </c>
      <c r="F3243" s="65" t="s">
        <v>4929</v>
      </c>
      <c r="G3243" s="2" t="s">
        <v>424</v>
      </c>
      <c r="H3243" s="1" t="s">
        <v>679</v>
      </c>
      <c r="I3243" s="4" t="s">
        <v>42</v>
      </c>
      <c r="J3243" s="31">
        <v>45828</v>
      </c>
      <c r="K3243" s="31">
        <v>45829</v>
      </c>
      <c r="L3243" s="31"/>
      <c r="M3243" s="31"/>
      <c r="O3243" s="2" t="s">
        <v>425</v>
      </c>
    </row>
    <row r="3244" spans="1:15">
      <c r="A3244" s="3">
        <f t="shared" si="52"/>
        <v>3243</v>
      </c>
      <c r="B3244" s="65" t="s">
        <v>4930</v>
      </c>
      <c r="C3244" s="1">
        <v>9550994494</v>
      </c>
      <c r="E3244" s="17" t="s">
        <v>52</v>
      </c>
      <c r="F3244" s="65" t="s">
        <v>4931</v>
      </c>
      <c r="G3244" s="2" t="s">
        <v>424</v>
      </c>
      <c r="H3244" s="1" t="s">
        <v>679</v>
      </c>
      <c r="I3244" s="4" t="s">
        <v>42</v>
      </c>
      <c r="J3244" s="31">
        <v>45828</v>
      </c>
      <c r="K3244" s="31">
        <v>45829</v>
      </c>
      <c r="L3244" s="31"/>
      <c r="M3244" s="31"/>
      <c r="O3244" s="2" t="s">
        <v>425</v>
      </c>
    </row>
    <row r="3245" spans="1:15">
      <c r="A3245" s="3">
        <f t="shared" si="52"/>
        <v>3244</v>
      </c>
      <c r="B3245" s="65" t="s">
        <v>4932</v>
      </c>
      <c r="C3245" s="1">
        <v>9550740294</v>
      </c>
      <c r="E3245" s="17" t="s">
        <v>52</v>
      </c>
      <c r="F3245" s="65" t="s">
        <v>3653</v>
      </c>
      <c r="G3245" s="2" t="s">
        <v>424</v>
      </c>
      <c r="H3245" s="1" t="s">
        <v>679</v>
      </c>
      <c r="I3245" s="4" t="s">
        <v>42</v>
      </c>
      <c r="J3245" s="31">
        <v>45828</v>
      </c>
      <c r="K3245" s="31">
        <v>45829</v>
      </c>
      <c r="L3245" s="31"/>
      <c r="M3245" s="31"/>
      <c r="O3245" s="2" t="s">
        <v>425</v>
      </c>
    </row>
    <row r="3246" spans="1:15">
      <c r="A3246" s="3">
        <f t="shared" si="52"/>
        <v>3245</v>
      </c>
      <c r="B3246" s="65" t="s">
        <v>4933</v>
      </c>
      <c r="C3246" s="1">
        <v>7981340689</v>
      </c>
      <c r="E3246" s="1" t="s">
        <v>4609</v>
      </c>
      <c r="F3246" s="65" t="s">
        <v>4837</v>
      </c>
      <c r="G3246" s="2" t="s">
        <v>295</v>
      </c>
      <c r="H3246" s="1" t="s">
        <v>679</v>
      </c>
      <c r="I3246" s="4" t="s">
        <v>42</v>
      </c>
      <c r="J3246" s="31">
        <v>45831</v>
      </c>
      <c r="K3246" s="31">
        <v>45831</v>
      </c>
      <c r="L3246" s="31">
        <v>45835</v>
      </c>
      <c r="M3246" s="31">
        <v>45884</v>
      </c>
      <c r="O3246" s="2" t="s">
        <v>297</v>
      </c>
    </row>
    <row r="3247" spans="1:15">
      <c r="A3247" s="3">
        <f t="shared" si="52"/>
        <v>3246</v>
      </c>
      <c r="B3247" s="65" t="s">
        <v>4934</v>
      </c>
      <c r="C3247" s="1">
        <v>9542901854</v>
      </c>
      <c r="E3247" s="17" t="s">
        <v>52</v>
      </c>
      <c r="F3247" s="65" t="s">
        <v>972</v>
      </c>
      <c r="G3247" s="2" t="s">
        <v>16</v>
      </c>
      <c r="H3247" s="1" t="s">
        <v>679</v>
      </c>
      <c r="I3247" s="4" t="s">
        <v>42</v>
      </c>
      <c r="J3247" s="31">
        <v>45831</v>
      </c>
      <c r="K3247" s="31">
        <v>45831</v>
      </c>
      <c r="L3247" s="31">
        <v>45835</v>
      </c>
      <c r="M3247" s="31">
        <v>45850</v>
      </c>
      <c r="N3247" s="31">
        <v>45848</v>
      </c>
      <c r="O3247" s="2" t="s">
        <v>297</v>
      </c>
    </row>
    <row r="3248" spans="1:15">
      <c r="A3248" s="3">
        <f t="shared" si="52"/>
        <v>3247</v>
      </c>
      <c r="B3248" s="65" t="s">
        <v>4935</v>
      </c>
      <c r="C3248" s="1">
        <v>9492792525</v>
      </c>
      <c r="D3248" s="1">
        <v>9492752525</v>
      </c>
      <c r="E3248" s="17" t="s">
        <v>52</v>
      </c>
      <c r="F3248" s="65" t="s">
        <v>972</v>
      </c>
      <c r="G3248" s="2" t="s">
        <v>764</v>
      </c>
      <c r="H3248" s="1" t="s">
        <v>679</v>
      </c>
      <c r="I3248" s="4" t="s">
        <v>42</v>
      </c>
      <c r="J3248" s="31">
        <v>45831</v>
      </c>
      <c r="K3248" s="31">
        <v>45838</v>
      </c>
      <c r="L3248" s="31"/>
      <c r="M3248" s="31"/>
      <c r="O3248" s="2" t="s">
        <v>425</v>
      </c>
    </row>
    <row r="3249" spans="1:15">
      <c r="A3249" s="3">
        <f t="shared" si="52"/>
        <v>3248</v>
      </c>
      <c r="B3249" s="65" t="s">
        <v>4936</v>
      </c>
      <c r="C3249" s="1">
        <v>9985243292</v>
      </c>
      <c r="E3249" s="17" t="s">
        <v>151</v>
      </c>
      <c r="F3249" s="65"/>
      <c r="G3249" s="2" t="s">
        <v>330</v>
      </c>
      <c r="H3249" s="1" t="s">
        <v>42</v>
      </c>
      <c r="I3249" s="4" t="s">
        <v>42</v>
      </c>
      <c r="J3249" s="31">
        <v>45824</v>
      </c>
      <c r="K3249" s="31">
        <v>45809</v>
      </c>
      <c r="L3249" s="31">
        <v>45811</v>
      </c>
      <c r="M3249" s="31">
        <v>45841</v>
      </c>
      <c r="N3249" s="31">
        <v>45813</v>
      </c>
      <c r="O3249" s="2" t="s">
        <v>297</v>
      </c>
    </row>
    <row r="3250" spans="1:15">
      <c r="A3250" s="3">
        <f t="shared" si="52"/>
        <v>3249</v>
      </c>
      <c r="B3250" s="65" t="s">
        <v>4937</v>
      </c>
      <c r="C3250" s="1">
        <v>8572938521</v>
      </c>
      <c r="E3250" s="17" t="s">
        <v>1010</v>
      </c>
      <c r="F3250" s="65" t="s">
        <v>4938</v>
      </c>
      <c r="G3250" s="2" t="s">
        <v>16</v>
      </c>
      <c r="H3250" s="1" t="s">
        <v>1096</v>
      </c>
      <c r="I3250" s="4" t="s">
        <v>94</v>
      </c>
      <c r="J3250" s="31">
        <v>45826</v>
      </c>
      <c r="K3250" s="31">
        <v>45831</v>
      </c>
      <c r="L3250" s="31">
        <v>45835</v>
      </c>
      <c r="M3250" s="31">
        <v>45866</v>
      </c>
      <c r="N3250" s="31">
        <v>45846</v>
      </c>
      <c r="O3250" s="2" t="s">
        <v>297</v>
      </c>
    </row>
    <row r="3251" spans="1:15">
      <c r="A3251" s="3">
        <f t="shared" si="52"/>
        <v>3250</v>
      </c>
      <c r="B3251" s="65" t="s">
        <v>4939</v>
      </c>
      <c r="C3251" s="1">
        <v>9831699438</v>
      </c>
      <c r="E3251" s="17" t="s">
        <v>2471</v>
      </c>
      <c r="F3251" s="65" t="s">
        <v>4940</v>
      </c>
      <c r="G3251" s="2" t="s">
        <v>18</v>
      </c>
      <c r="H3251" s="1" t="s">
        <v>162</v>
      </c>
      <c r="I3251" s="4" t="s">
        <v>94</v>
      </c>
      <c r="J3251" s="31">
        <v>45832</v>
      </c>
      <c r="K3251" s="31"/>
      <c r="L3251" s="31"/>
      <c r="M3251" s="31"/>
      <c r="O3251" s="2" t="s">
        <v>1004</v>
      </c>
    </row>
    <row r="3252" spans="1:15">
      <c r="A3252" s="3">
        <f t="shared" si="52"/>
        <v>3251</v>
      </c>
      <c r="B3252" s="65" t="s">
        <v>4941</v>
      </c>
      <c r="C3252" s="1">
        <v>8900599504</v>
      </c>
      <c r="E3252" s="17" t="s">
        <v>2471</v>
      </c>
      <c r="F3252" s="65" t="s">
        <v>4940</v>
      </c>
      <c r="G3252" s="2" t="s">
        <v>18</v>
      </c>
      <c r="H3252" s="1" t="s">
        <v>162</v>
      </c>
      <c r="I3252" s="4" t="s">
        <v>94</v>
      </c>
      <c r="J3252" s="31">
        <v>45832</v>
      </c>
      <c r="K3252" s="31"/>
      <c r="L3252" s="31"/>
      <c r="M3252" s="31"/>
      <c r="O3252" s="2" t="s">
        <v>1004</v>
      </c>
    </row>
    <row r="3253" spans="1:15">
      <c r="A3253" s="3">
        <f t="shared" si="52"/>
        <v>3252</v>
      </c>
      <c r="B3253" s="65" t="s">
        <v>4942</v>
      </c>
      <c r="C3253" s="1">
        <v>7673905704</v>
      </c>
      <c r="E3253" s="17" t="s">
        <v>52</v>
      </c>
      <c r="F3253" s="65" t="s">
        <v>4011</v>
      </c>
      <c r="G3253" s="2" t="s">
        <v>424</v>
      </c>
      <c r="H3253" s="1" t="s">
        <v>679</v>
      </c>
      <c r="I3253" s="4" t="s">
        <v>42</v>
      </c>
      <c r="J3253" s="31">
        <v>45832</v>
      </c>
      <c r="K3253" s="31">
        <v>45838</v>
      </c>
      <c r="L3253" s="31"/>
      <c r="M3253" s="31"/>
      <c r="O3253" s="2" t="s">
        <v>425</v>
      </c>
    </row>
    <row r="3254" spans="1:15">
      <c r="A3254" s="3">
        <f t="shared" si="52"/>
        <v>3253</v>
      </c>
      <c r="B3254" s="65" t="s">
        <v>4943</v>
      </c>
      <c r="C3254" s="1">
        <v>9676541818</v>
      </c>
      <c r="E3254" s="17" t="s">
        <v>52</v>
      </c>
      <c r="F3254" s="65" t="s">
        <v>4944</v>
      </c>
      <c r="G3254" s="2" t="s">
        <v>424</v>
      </c>
      <c r="H3254" s="1" t="s">
        <v>679</v>
      </c>
      <c r="I3254" s="4" t="s">
        <v>42</v>
      </c>
      <c r="J3254" s="31">
        <v>45832</v>
      </c>
      <c r="K3254" s="31">
        <v>45838</v>
      </c>
      <c r="L3254" s="31"/>
      <c r="M3254" s="31"/>
      <c r="O3254" s="2" t="s">
        <v>749</v>
      </c>
    </row>
    <row r="3255" spans="1:15">
      <c r="A3255" s="3">
        <f t="shared" si="52"/>
        <v>3254</v>
      </c>
      <c r="B3255" s="65" t="s">
        <v>4945</v>
      </c>
      <c r="C3255" s="1">
        <v>7730990773</v>
      </c>
      <c r="E3255" s="1" t="s">
        <v>4946</v>
      </c>
      <c r="F3255" s="65" t="s">
        <v>333</v>
      </c>
      <c r="G3255" s="2" t="s">
        <v>330</v>
      </c>
      <c r="H3255" s="1" t="s">
        <v>3240</v>
      </c>
      <c r="I3255" s="4" t="s">
        <v>42</v>
      </c>
      <c r="J3255" s="31">
        <v>45832</v>
      </c>
      <c r="K3255" s="31">
        <v>45835</v>
      </c>
      <c r="L3255" s="31">
        <v>45835</v>
      </c>
      <c r="M3255" s="31">
        <v>45880</v>
      </c>
      <c r="N3255" s="31">
        <v>45880</v>
      </c>
      <c r="O3255" s="2" t="s">
        <v>297</v>
      </c>
    </row>
    <row r="3256" spans="1:15">
      <c r="A3256" s="3">
        <f t="shared" si="52"/>
        <v>3255</v>
      </c>
      <c r="B3256" s="65" t="s">
        <v>4947</v>
      </c>
      <c r="C3256" s="1">
        <v>8519955006</v>
      </c>
      <c r="E3256" s="17" t="s">
        <v>127</v>
      </c>
      <c r="F3256" s="65" t="s">
        <v>3834</v>
      </c>
      <c r="G3256" s="2" t="s">
        <v>424</v>
      </c>
      <c r="H3256" s="1" t="s">
        <v>3240</v>
      </c>
      <c r="I3256" s="4" t="s">
        <v>42</v>
      </c>
      <c r="J3256" s="31">
        <v>45832</v>
      </c>
      <c r="K3256" s="31">
        <v>45835</v>
      </c>
      <c r="L3256" s="31"/>
      <c r="M3256" s="31"/>
      <c r="O3256" s="2" t="s">
        <v>425</v>
      </c>
    </row>
    <row r="3257" spans="1:15">
      <c r="A3257" s="3">
        <f t="shared" si="52"/>
        <v>3256</v>
      </c>
      <c r="B3257" s="65" t="s">
        <v>4948</v>
      </c>
      <c r="C3257" s="1">
        <v>9538075845</v>
      </c>
      <c r="E3257" s="17" t="s">
        <v>127</v>
      </c>
      <c r="F3257" s="65" t="s">
        <v>471</v>
      </c>
      <c r="G3257" s="2" t="s">
        <v>18</v>
      </c>
      <c r="H3257" s="1" t="s">
        <v>3240</v>
      </c>
      <c r="I3257" s="4" t="s">
        <v>42</v>
      </c>
      <c r="J3257" s="31">
        <v>45832</v>
      </c>
      <c r="K3257" s="31">
        <v>45835</v>
      </c>
      <c r="L3257" s="31"/>
      <c r="M3257" s="31"/>
      <c r="O3257" s="2" t="s">
        <v>297</v>
      </c>
    </row>
    <row r="3258" spans="1:15">
      <c r="A3258" s="3">
        <f t="shared" si="52"/>
        <v>3257</v>
      </c>
      <c r="B3258" s="65" t="s">
        <v>4949</v>
      </c>
      <c r="C3258" s="1">
        <v>7074868710</v>
      </c>
      <c r="E3258" s="17" t="s">
        <v>2908</v>
      </c>
      <c r="F3258" s="65" t="s">
        <v>294</v>
      </c>
      <c r="G3258" s="2" t="s">
        <v>424</v>
      </c>
      <c r="H3258" s="1" t="s">
        <v>296</v>
      </c>
      <c r="I3258" s="4" t="s">
        <v>94</v>
      </c>
      <c r="J3258" s="31">
        <v>45832</v>
      </c>
      <c r="K3258" s="31">
        <v>45834</v>
      </c>
      <c r="L3258" s="31"/>
      <c r="M3258" s="31"/>
      <c r="O3258" s="2" t="s">
        <v>425</v>
      </c>
    </row>
    <row r="3259" spans="1:15">
      <c r="A3259" s="3">
        <f t="shared" si="52"/>
        <v>3258</v>
      </c>
      <c r="B3259" s="65" t="s">
        <v>4950</v>
      </c>
      <c r="C3259" s="1">
        <v>9093450300</v>
      </c>
      <c r="E3259" s="17" t="s">
        <v>2908</v>
      </c>
      <c r="F3259" s="65" t="s">
        <v>3002</v>
      </c>
      <c r="G3259" s="2" t="s">
        <v>424</v>
      </c>
      <c r="H3259" s="1" t="s">
        <v>296</v>
      </c>
      <c r="I3259" s="4" t="s">
        <v>94</v>
      </c>
      <c r="J3259" s="31">
        <v>45832</v>
      </c>
      <c r="K3259" s="31">
        <v>45835</v>
      </c>
      <c r="L3259" s="31"/>
      <c r="M3259" s="31"/>
      <c r="O3259" s="2" t="s">
        <v>749</v>
      </c>
    </row>
    <row r="3260" spans="1:15">
      <c r="A3260" s="3">
        <f t="shared" si="52"/>
        <v>3259</v>
      </c>
      <c r="B3260" s="65" t="s">
        <v>4951</v>
      </c>
      <c r="C3260" s="1">
        <v>8104834164</v>
      </c>
      <c r="E3260" s="17" t="s">
        <v>1563</v>
      </c>
      <c r="F3260" s="65" t="s">
        <v>4952</v>
      </c>
      <c r="G3260" s="6" t="s">
        <v>1175</v>
      </c>
      <c r="H3260" s="1" t="s">
        <v>815</v>
      </c>
      <c r="I3260" s="4" t="s">
        <v>94</v>
      </c>
      <c r="J3260" s="31">
        <v>45832</v>
      </c>
      <c r="K3260" s="31"/>
      <c r="L3260" s="31"/>
      <c r="M3260" s="31"/>
      <c r="O3260" s="2" t="s">
        <v>1004</v>
      </c>
    </row>
    <row r="3261" spans="1:15">
      <c r="A3261" s="3">
        <f t="shared" si="52"/>
        <v>3260</v>
      </c>
      <c r="B3261" s="65" t="s">
        <v>4953</v>
      </c>
      <c r="C3261" s="1">
        <v>7991504689</v>
      </c>
      <c r="E3261" s="17" t="s">
        <v>1563</v>
      </c>
      <c r="F3261" s="65" t="s">
        <v>4952</v>
      </c>
      <c r="G3261" s="6" t="s">
        <v>1175</v>
      </c>
      <c r="H3261" s="1" t="s">
        <v>815</v>
      </c>
      <c r="I3261" s="4" t="s">
        <v>94</v>
      </c>
      <c r="J3261" s="31">
        <v>45832</v>
      </c>
      <c r="K3261" s="31"/>
      <c r="L3261" s="31"/>
      <c r="M3261" s="31"/>
      <c r="O3261" s="2" t="s">
        <v>1004</v>
      </c>
    </row>
    <row r="3262" spans="1:15">
      <c r="A3262" s="3">
        <f t="shared" si="52"/>
        <v>3261</v>
      </c>
      <c r="B3262" s="65" t="s">
        <v>4954</v>
      </c>
      <c r="C3262" s="1">
        <v>6370850628</v>
      </c>
      <c r="E3262" s="17" t="s">
        <v>1732</v>
      </c>
      <c r="F3262" s="65" t="s">
        <v>4786</v>
      </c>
      <c r="G3262" s="6" t="s">
        <v>1175</v>
      </c>
      <c r="H3262" s="1" t="s">
        <v>815</v>
      </c>
      <c r="I3262" s="4" t="s">
        <v>94</v>
      </c>
      <c r="J3262" s="31">
        <v>45832</v>
      </c>
      <c r="K3262" s="31"/>
      <c r="L3262" s="31"/>
      <c r="M3262" s="31"/>
      <c r="O3262" s="2" t="s">
        <v>1004</v>
      </c>
    </row>
    <row r="3263" spans="1:15">
      <c r="A3263" s="3">
        <f t="shared" si="52"/>
        <v>3262</v>
      </c>
      <c r="B3263" s="65" t="s">
        <v>1130</v>
      </c>
      <c r="C3263" s="1">
        <v>7281084997</v>
      </c>
      <c r="E3263" s="17" t="s">
        <v>2732</v>
      </c>
      <c r="F3263" s="65" t="s">
        <v>4786</v>
      </c>
      <c r="G3263" s="6" t="s">
        <v>1175</v>
      </c>
      <c r="H3263" s="1" t="s">
        <v>815</v>
      </c>
      <c r="I3263" s="4" t="s">
        <v>94</v>
      </c>
      <c r="J3263" s="31">
        <v>45832</v>
      </c>
      <c r="K3263" s="31"/>
      <c r="L3263" s="31"/>
      <c r="M3263" s="31"/>
      <c r="O3263" s="2" t="s">
        <v>1004</v>
      </c>
    </row>
    <row r="3264" spans="1:15">
      <c r="A3264" s="3">
        <f t="shared" si="52"/>
        <v>3263</v>
      </c>
      <c r="B3264" s="65" t="s">
        <v>4955</v>
      </c>
      <c r="C3264" s="1">
        <v>8341876678</v>
      </c>
      <c r="E3264" s="17" t="s">
        <v>127</v>
      </c>
      <c r="F3264" s="65" t="s">
        <v>3832</v>
      </c>
      <c r="G3264" s="2" t="s">
        <v>295</v>
      </c>
      <c r="H3264" s="1" t="s">
        <v>3240</v>
      </c>
      <c r="I3264" s="4" t="s">
        <v>42</v>
      </c>
      <c r="J3264" s="31">
        <v>45832</v>
      </c>
      <c r="K3264" s="31">
        <v>45835</v>
      </c>
      <c r="L3264" s="31">
        <v>45842</v>
      </c>
      <c r="M3264" s="31">
        <v>45897</v>
      </c>
      <c r="O3264" s="2" t="s">
        <v>297</v>
      </c>
    </row>
    <row r="3265" spans="1:15">
      <c r="A3265" s="3">
        <f t="shared" si="52"/>
        <v>3264</v>
      </c>
      <c r="B3265" s="65" t="s">
        <v>4956</v>
      </c>
      <c r="C3265" s="1">
        <v>8502864519</v>
      </c>
      <c r="E3265" s="17" t="s">
        <v>640</v>
      </c>
      <c r="F3265" s="65" t="s">
        <v>294</v>
      </c>
      <c r="G3265" s="2" t="s">
        <v>764</v>
      </c>
      <c r="H3265" s="1" t="s">
        <v>630</v>
      </c>
      <c r="I3265" s="4" t="s">
        <v>94</v>
      </c>
      <c r="J3265" s="31">
        <v>45832</v>
      </c>
      <c r="K3265" s="31">
        <v>45833</v>
      </c>
      <c r="L3265" s="31"/>
      <c r="M3265" s="31"/>
      <c r="O3265" s="2" t="s">
        <v>425</v>
      </c>
    </row>
    <row r="3266" spans="1:15">
      <c r="A3266" s="3">
        <f t="shared" si="52"/>
        <v>3265</v>
      </c>
      <c r="B3266" s="65" t="s">
        <v>4957</v>
      </c>
      <c r="C3266" s="1">
        <v>8543830858</v>
      </c>
      <c r="E3266" s="17" t="s">
        <v>640</v>
      </c>
      <c r="F3266" s="65" t="s">
        <v>294</v>
      </c>
      <c r="G3266" s="2" t="s">
        <v>764</v>
      </c>
      <c r="H3266" s="1" t="s">
        <v>630</v>
      </c>
      <c r="I3266" s="4" t="s">
        <v>94</v>
      </c>
      <c r="J3266" s="31">
        <v>45832</v>
      </c>
      <c r="K3266" s="31">
        <v>45833</v>
      </c>
      <c r="L3266" s="31"/>
      <c r="M3266" s="31"/>
      <c r="O3266" s="2" t="s">
        <v>425</v>
      </c>
    </row>
    <row r="3267" spans="1:15">
      <c r="A3267" s="3">
        <f t="shared" si="52"/>
        <v>3266</v>
      </c>
      <c r="B3267" s="65" t="s">
        <v>4958</v>
      </c>
      <c r="C3267" s="1">
        <v>7585861135</v>
      </c>
      <c r="E3267" s="17" t="s">
        <v>640</v>
      </c>
      <c r="F3267" s="65" t="s">
        <v>294</v>
      </c>
      <c r="G3267" s="2" t="s">
        <v>764</v>
      </c>
      <c r="H3267" s="1" t="s">
        <v>630</v>
      </c>
      <c r="I3267" s="4" t="s">
        <v>94</v>
      </c>
      <c r="J3267" s="31">
        <v>45832</v>
      </c>
      <c r="K3267" s="31">
        <v>45833</v>
      </c>
      <c r="L3267" s="31"/>
      <c r="M3267" s="31"/>
      <c r="O3267" s="2" t="s">
        <v>425</v>
      </c>
    </row>
    <row r="3268" spans="1:15">
      <c r="A3268" s="3">
        <f t="shared" si="52"/>
        <v>3267</v>
      </c>
      <c r="B3268" s="65" t="s">
        <v>4959</v>
      </c>
      <c r="C3268" s="1">
        <v>8500949233</v>
      </c>
      <c r="E3268" s="17" t="s">
        <v>3767</v>
      </c>
      <c r="F3268" s="65" t="s">
        <v>4960</v>
      </c>
      <c r="G3268" s="2" t="s">
        <v>16</v>
      </c>
      <c r="H3268" s="1" t="s">
        <v>42</v>
      </c>
      <c r="I3268" s="4" t="s">
        <v>42</v>
      </c>
      <c r="J3268" s="31">
        <v>45833</v>
      </c>
      <c r="K3268" s="31">
        <v>45835</v>
      </c>
      <c r="L3268" s="31">
        <v>45835</v>
      </c>
      <c r="M3268" s="31">
        <v>45845</v>
      </c>
      <c r="N3268" s="31">
        <v>45840</v>
      </c>
      <c r="O3268" s="2" t="s">
        <v>297</v>
      </c>
    </row>
    <row r="3269" spans="1:15">
      <c r="A3269" s="3">
        <f t="shared" si="52"/>
        <v>3268</v>
      </c>
      <c r="B3269" s="65" t="s">
        <v>4961</v>
      </c>
      <c r="C3269" s="1">
        <v>9652780960</v>
      </c>
      <c r="E3269" s="17" t="s">
        <v>52</v>
      </c>
      <c r="F3269" s="65" t="s">
        <v>972</v>
      </c>
      <c r="G3269" s="2" t="s">
        <v>424</v>
      </c>
      <c r="H3269" s="2" t="s">
        <v>41</v>
      </c>
      <c r="I3269" s="4" t="s">
        <v>88</v>
      </c>
      <c r="J3269" s="31">
        <v>45833</v>
      </c>
      <c r="K3269" s="31">
        <v>45833</v>
      </c>
      <c r="O3269" s="2" t="s">
        <v>425</v>
      </c>
    </row>
    <row r="3270" spans="1:15">
      <c r="A3270" s="3">
        <f t="shared" si="52"/>
        <v>3269</v>
      </c>
      <c r="B3270" s="65" t="s">
        <v>4962</v>
      </c>
      <c r="C3270" s="1">
        <v>9966766766</v>
      </c>
      <c r="E3270" s="17" t="s">
        <v>4963</v>
      </c>
      <c r="F3270" s="65" t="s">
        <v>4964</v>
      </c>
      <c r="G3270" s="2" t="s">
        <v>416</v>
      </c>
      <c r="H3270" s="2" t="s">
        <v>296</v>
      </c>
      <c r="I3270" s="4" t="s">
        <v>42</v>
      </c>
      <c r="J3270" s="31">
        <v>45834</v>
      </c>
      <c r="K3270" s="31">
        <v>45838</v>
      </c>
      <c r="O3270" s="2" t="s">
        <v>297</v>
      </c>
    </row>
    <row r="3271" spans="1:15">
      <c r="A3271" s="3">
        <f t="shared" si="52"/>
        <v>3270</v>
      </c>
      <c r="B3271" s="65" t="s">
        <v>4965</v>
      </c>
      <c r="C3271" s="1">
        <v>7981134762</v>
      </c>
      <c r="E3271" s="17" t="s">
        <v>4963</v>
      </c>
      <c r="F3271" s="65" t="s">
        <v>4966</v>
      </c>
      <c r="G3271" s="2" t="s">
        <v>424</v>
      </c>
      <c r="H3271" s="2" t="s">
        <v>296</v>
      </c>
      <c r="I3271" s="4" t="s">
        <v>42</v>
      </c>
      <c r="J3271" s="31">
        <v>45834</v>
      </c>
      <c r="K3271" s="31">
        <v>45838</v>
      </c>
      <c r="O3271" s="2" t="s">
        <v>425</v>
      </c>
    </row>
    <row r="3272" spans="1:15">
      <c r="A3272" s="3">
        <f t="shared" si="52"/>
        <v>3271</v>
      </c>
      <c r="B3272" s="65" t="s">
        <v>4967</v>
      </c>
      <c r="C3272" s="1">
        <v>9704966544</v>
      </c>
      <c r="D3272" s="1">
        <v>7288949427</v>
      </c>
      <c r="E3272" s="17" t="s">
        <v>4968</v>
      </c>
      <c r="F3272" s="65"/>
      <c r="G3272" s="6" t="s">
        <v>295</v>
      </c>
      <c r="H3272" s="2" t="s">
        <v>162</v>
      </c>
      <c r="I3272" s="4" t="s">
        <v>42</v>
      </c>
      <c r="J3272" s="31">
        <v>45831</v>
      </c>
      <c r="K3272" s="31">
        <v>45831</v>
      </c>
      <c r="L3272" s="31">
        <v>45833</v>
      </c>
      <c r="M3272" s="31">
        <v>45863</v>
      </c>
      <c r="O3272" s="2" t="s">
        <v>297</v>
      </c>
    </row>
    <row r="3273" spans="1:15">
      <c r="A3273" s="3">
        <f t="shared" si="52"/>
        <v>3272</v>
      </c>
      <c r="B3273" s="65" t="s">
        <v>4969</v>
      </c>
      <c r="C3273" s="1">
        <v>8179175553</v>
      </c>
      <c r="D3273" s="1">
        <v>8977508887</v>
      </c>
      <c r="E3273" s="17" t="s">
        <v>4970</v>
      </c>
      <c r="F3273" s="65"/>
      <c r="G3273" s="2" t="s">
        <v>16</v>
      </c>
      <c r="H3273" s="2" t="s">
        <v>2425</v>
      </c>
      <c r="I3273" s="4" t="s">
        <v>42</v>
      </c>
      <c r="J3273" s="31">
        <v>45831</v>
      </c>
      <c r="K3273" s="31">
        <v>45831</v>
      </c>
      <c r="L3273" s="31">
        <v>45833</v>
      </c>
      <c r="M3273" s="31">
        <v>46023</v>
      </c>
      <c r="N3273" s="31">
        <v>45999</v>
      </c>
      <c r="O3273" s="2" t="s">
        <v>297</v>
      </c>
    </row>
    <row r="3274" spans="1:15">
      <c r="A3274" s="3">
        <f t="shared" si="52"/>
        <v>3273</v>
      </c>
      <c r="B3274" s="65" t="s">
        <v>4971</v>
      </c>
      <c r="C3274" s="1">
        <v>9160885701</v>
      </c>
      <c r="E3274" s="17" t="s">
        <v>4812</v>
      </c>
      <c r="F3274" s="65"/>
      <c r="G3274" s="2" t="s">
        <v>16</v>
      </c>
      <c r="H3274" s="2" t="s">
        <v>162</v>
      </c>
      <c r="I3274" s="4" t="s">
        <v>42</v>
      </c>
      <c r="J3274" s="31">
        <v>45831</v>
      </c>
      <c r="K3274" s="31">
        <v>45831</v>
      </c>
      <c r="L3274" s="31">
        <v>45833</v>
      </c>
      <c r="M3274" s="31">
        <v>45855</v>
      </c>
      <c r="N3274" s="31">
        <v>45855</v>
      </c>
      <c r="O3274" s="2" t="s">
        <v>297</v>
      </c>
    </row>
    <row r="3275" spans="1:15">
      <c r="A3275" s="3">
        <f t="shared" si="52"/>
        <v>3274</v>
      </c>
      <c r="B3275" s="65" t="s">
        <v>4972</v>
      </c>
      <c r="C3275" s="1">
        <v>9989650919</v>
      </c>
      <c r="E3275" s="17" t="s">
        <v>3309</v>
      </c>
      <c r="F3275" s="65"/>
      <c r="G3275" s="2" t="s">
        <v>16</v>
      </c>
      <c r="H3275" s="2" t="s">
        <v>296</v>
      </c>
      <c r="I3275" s="4" t="s">
        <v>94</v>
      </c>
      <c r="J3275" s="31">
        <v>45832</v>
      </c>
      <c r="K3275" s="31">
        <v>45832</v>
      </c>
      <c r="L3275" s="31">
        <v>45833</v>
      </c>
      <c r="M3275" s="31">
        <v>45861</v>
      </c>
      <c r="N3275" s="31">
        <v>45861</v>
      </c>
      <c r="O3275" s="2" t="s">
        <v>297</v>
      </c>
    </row>
    <row r="3276" spans="1:15">
      <c r="A3276" s="3">
        <f t="shared" si="52"/>
        <v>3275</v>
      </c>
      <c r="B3276" s="65" t="s">
        <v>4973</v>
      </c>
      <c r="C3276" s="1">
        <v>6302650509</v>
      </c>
      <c r="E3276" s="17" t="s">
        <v>3312</v>
      </c>
      <c r="F3276" s="65" t="s">
        <v>252</v>
      </c>
      <c r="G3276" s="2" t="s">
        <v>295</v>
      </c>
      <c r="H3276" s="2" t="s">
        <v>4704</v>
      </c>
      <c r="I3276" s="4" t="s">
        <v>42</v>
      </c>
      <c r="J3276" s="31">
        <v>45834</v>
      </c>
      <c r="K3276" s="31">
        <v>45835</v>
      </c>
      <c r="L3276" s="31">
        <v>45835</v>
      </c>
      <c r="M3276" s="31">
        <v>45870</v>
      </c>
      <c r="O3276" s="2" t="s">
        <v>297</v>
      </c>
    </row>
    <row r="3277" spans="1:15">
      <c r="A3277" s="3">
        <f t="shared" si="52"/>
        <v>3276</v>
      </c>
      <c r="B3277" s="65" t="s">
        <v>4974</v>
      </c>
      <c r="C3277" s="1">
        <v>7013009842</v>
      </c>
      <c r="E3277" s="17" t="s">
        <v>3312</v>
      </c>
      <c r="F3277" s="65" t="s">
        <v>252</v>
      </c>
      <c r="G3277" s="2" t="s">
        <v>16</v>
      </c>
      <c r="H3277" s="2" t="s">
        <v>4704</v>
      </c>
      <c r="I3277" s="4" t="s">
        <v>42</v>
      </c>
      <c r="J3277" s="31">
        <v>45834</v>
      </c>
      <c r="K3277" s="31">
        <v>45835</v>
      </c>
      <c r="L3277" s="31">
        <v>45835</v>
      </c>
      <c r="M3277" s="31">
        <v>45855</v>
      </c>
      <c r="N3277" s="31">
        <v>45847</v>
      </c>
      <c r="O3277" s="2" t="s">
        <v>297</v>
      </c>
    </row>
    <row r="3278" spans="1:15">
      <c r="A3278" s="3">
        <f t="shared" si="52"/>
        <v>3277</v>
      </c>
      <c r="B3278" s="65" t="s">
        <v>4975</v>
      </c>
      <c r="C3278" s="1">
        <v>9642169141</v>
      </c>
      <c r="E3278" s="17" t="s">
        <v>3312</v>
      </c>
      <c r="F3278" s="65" t="s">
        <v>252</v>
      </c>
      <c r="G3278" s="2" t="s">
        <v>416</v>
      </c>
      <c r="H3278" s="2" t="s">
        <v>4704</v>
      </c>
      <c r="I3278" s="4" t="s">
        <v>42</v>
      </c>
      <c r="J3278" s="31">
        <v>45834</v>
      </c>
      <c r="K3278" s="31">
        <v>45841</v>
      </c>
      <c r="O3278" s="2" t="s">
        <v>297</v>
      </c>
    </row>
    <row r="3279" spans="1:15">
      <c r="A3279" s="3">
        <f t="shared" si="52"/>
        <v>3278</v>
      </c>
      <c r="B3279" s="65" t="s">
        <v>4976</v>
      </c>
      <c r="C3279" s="1">
        <v>9959364939</v>
      </c>
      <c r="E3279" s="17" t="s">
        <v>3312</v>
      </c>
      <c r="F3279" s="65" t="s">
        <v>252</v>
      </c>
      <c r="G3279" s="2" t="s">
        <v>424</v>
      </c>
      <c r="H3279" s="2" t="s">
        <v>4704</v>
      </c>
      <c r="I3279" s="4" t="s">
        <v>42</v>
      </c>
      <c r="J3279" s="31">
        <v>45834</v>
      </c>
      <c r="K3279" s="31">
        <v>45841</v>
      </c>
      <c r="O3279" s="2" t="s">
        <v>425</v>
      </c>
    </row>
    <row r="3280" spans="1:15">
      <c r="A3280" s="3">
        <f t="shared" si="52"/>
        <v>3279</v>
      </c>
      <c r="B3280" s="65" t="s">
        <v>4977</v>
      </c>
      <c r="C3280" s="1">
        <v>8099038327</v>
      </c>
      <c r="E3280" s="17" t="s">
        <v>148</v>
      </c>
      <c r="F3280" s="65" t="s">
        <v>4978</v>
      </c>
      <c r="G3280" s="2" t="s">
        <v>708</v>
      </c>
      <c r="H3280" s="2" t="s">
        <v>42</v>
      </c>
      <c r="I3280" s="4" t="s">
        <v>42</v>
      </c>
      <c r="J3280" s="31">
        <v>45834</v>
      </c>
      <c r="K3280" s="31">
        <v>45838</v>
      </c>
      <c r="O3280" s="2" t="s">
        <v>297</v>
      </c>
    </row>
    <row r="3281" spans="1:15">
      <c r="A3281" s="3">
        <f t="shared" si="52"/>
        <v>3280</v>
      </c>
      <c r="B3281" s="65" t="s">
        <v>4979</v>
      </c>
      <c r="C3281" s="1">
        <v>9959455743</v>
      </c>
      <c r="E3281" s="17" t="s">
        <v>148</v>
      </c>
      <c r="F3281" s="65" t="s">
        <v>4980</v>
      </c>
      <c r="G3281" s="2" t="s">
        <v>16</v>
      </c>
      <c r="H3281" s="2" t="s">
        <v>42</v>
      </c>
      <c r="I3281" s="4" t="s">
        <v>42</v>
      </c>
      <c r="J3281" s="31">
        <v>45834</v>
      </c>
      <c r="K3281" s="31">
        <v>45906</v>
      </c>
      <c r="L3281" s="31">
        <v>45909</v>
      </c>
      <c r="M3281" s="31">
        <v>45939</v>
      </c>
      <c r="N3281" s="31">
        <v>45912</v>
      </c>
      <c r="O3281" s="2" t="s">
        <v>297</v>
      </c>
    </row>
    <row r="3282" spans="1:15">
      <c r="A3282" s="3">
        <f t="shared" si="52"/>
        <v>3281</v>
      </c>
      <c r="B3282" s="65" t="s">
        <v>4981</v>
      </c>
      <c r="C3282" s="1">
        <v>7498760854</v>
      </c>
      <c r="E3282" s="17" t="s">
        <v>2370</v>
      </c>
      <c r="F3282" s="65" t="s">
        <v>364</v>
      </c>
      <c r="G3282" s="2" t="s">
        <v>16</v>
      </c>
      <c r="H3282" s="2" t="s">
        <v>1096</v>
      </c>
      <c r="I3282" s="4" t="s">
        <v>94</v>
      </c>
      <c r="J3282" s="31">
        <v>45835</v>
      </c>
      <c r="K3282" s="31">
        <v>45835</v>
      </c>
      <c r="L3282" s="31">
        <v>45842</v>
      </c>
      <c r="M3282" s="31">
        <v>45860</v>
      </c>
      <c r="N3282" s="31">
        <v>45860</v>
      </c>
      <c r="O3282" s="2" t="s">
        <v>297</v>
      </c>
    </row>
    <row r="3283" spans="1:15">
      <c r="A3283" s="3">
        <f t="shared" si="52"/>
        <v>3282</v>
      </c>
      <c r="B3283" s="65" t="s">
        <v>4982</v>
      </c>
      <c r="C3283" s="1">
        <v>6301819927</v>
      </c>
      <c r="E3283" s="17" t="s">
        <v>378</v>
      </c>
      <c r="F3283" s="65" t="s">
        <v>364</v>
      </c>
      <c r="G3283" s="2" t="s">
        <v>18</v>
      </c>
      <c r="H3283" s="2" t="s">
        <v>1096</v>
      </c>
      <c r="I3283" s="4" t="s">
        <v>94</v>
      </c>
      <c r="J3283" s="31">
        <v>45835</v>
      </c>
      <c r="K3283" s="31">
        <v>45835</v>
      </c>
      <c r="O3283" s="2" t="s">
        <v>297</v>
      </c>
    </row>
    <row r="3284" spans="1:15">
      <c r="A3284" s="3">
        <f t="shared" si="52"/>
        <v>3283</v>
      </c>
      <c r="B3284" s="65" t="s">
        <v>4983</v>
      </c>
      <c r="C3284" s="1">
        <v>6386980104</v>
      </c>
      <c r="D3284" s="1">
        <v>8853600000</v>
      </c>
      <c r="E3284" s="17" t="s">
        <v>4984</v>
      </c>
      <c r="F3284" s="65" t="s">
        <v>364</v>
      </c>
      <c r="G3284" s="2" t="s">
        <v>16</v>
      </c>
      <c r="H3284" s="2" t="s">
        <v>1096</v>
      </c>
      <c r="I3284" s="4" t="s">
        <v>94</v>
      </c>
      <c r="J3284" s="31">
        <v>45835</v>
      </c>
      <c r="K3284" s="31">
        <v>45835</v>
      </c>
      <c r="L3284" s="31">
        <v>45842</v>
      </c>
      <c r="M3284" s="31">
        <v>45913</v>
      </c>
      <c r="N3284" s="31">
        <v>45913</v>
      </c>
      <c r="O3284" s="2" t="s">
        <v>297</v>
      </c>
    </row>
    <row r="3285" spans="1:15">
      <c r="A3285" s="3">
        <f t="shared" si="52"/>
        <v>3284</v>
      </c>
      <c r="B3285" s="65" t="s">
        <v>4985</v>
      </c>
      <c r="C3285" s="1">
        <v>7024257970</v>
      </c>
      <c r="D3285" s="1">
        <v>8874460037</v>
      </c>
      <c r="E3285" s="17" t="s">
        <v>1354</v>
      </c>
      <c r="F3285" s="65" t="s">
        <v>4938</v>
      </c>
      <c r="G3285" s="2" t="s">
        <v>424</v>
      </c>
      <c r="H3285" s="2" t="s">
        <v>604</v>
      </c>
      <c r="I3285" s="4" t="s">
        <v>94</v>
      </c>
      <c r="J3285" s="31">
        <v>45835</v>
      </c>
      <c r="K3285" s="31">
        <v>45842</v>
      </c>
      <c r="O3285" s="2" t="s">
        <v>425</v>
      </c>
    </row>
    <row r="3286" spans="1:15">
      <c r="A3286" s="3">
        <f t="shared" si="52"/>
        <v>3285</v>
      </c>
      <c r="B3286" s="65" t="s">
        <v>4986</v>
      </c>
      <c r="C3286" s="1">
        <v>9113897720</v>
      </c>
      <c r="D3286" s="1">
        <v>9937204566</v>
      </c>
      <c r="E3286" s="17" t="s">
        <v>1354</v>
      </c>
      <c r="F3286" s="65" t="s">
        <v>4938</v>
      </c>
      <c r="G3286" s="2" t="s">
        <v>424</v>
      </c>
      <c r="H3286" s="2" t="s">
        <v>604</v>
      </c>
      <c r="I3286" s="4" t="s">
        <v>94</v>
      </c>
      <c r="J3286" s="31">
        <v>45835</v>
      </c>
      <c r="K3286" s="31">
        <v>45842</v>
      </c>
      <c r="O3286" s="2" t="s">
        <v>425</v>
      </c>
    </row>
    <row r="3287" spans="1:15">
      <c r="A3287" s="3">
        <f t="shared" si="52"/>
        <v>3286</v>
      </c>
      <c r="B3287" s="65" t="s">
        <v>4987</v>
      </c>
      <c r="C3287" s="1">
        <v>8906387415</v>
      </c>
      <c r="D3287" s="1">
        <v>9233689471</v>
      </c>
      <c r="E3287" s="17" t="s">
        <v>1354</v>
      </c>
      <c r="F3287" s="65" t="s">
        <v>364</v>
      </c>
      <c r="G3287" s="2" t="s">
        <v>16</v>
      </c>
      <c r="H3287" s="2" t="s">
        <v>604</v>
      </c>
      <c r="I3287" s="4" t="s">
        <v>94</v>
      </c>
      <c r="J3287" s="31">
        <v>45835</v>
      </c>
      <c r="K3287" s="31">
        <v>45842</v>
      </c>
      <c r="L3287" s="31">
        <v>45846</v>
      </c>
      <c r="M3287" s="31">
        <v>45877</v>
      </c>
      <c r="N3287" s="31">
        <v>45873</v>
      </c>
      <c r="O3287" s="2" t="s">
        <v>297</v>
      </c>
    </row>
    <row r="3288" spans="1:15">
      <c r="A3288" s="3">
        <f t="shared" si="52"/>
        <v>3287</v>
      </c>
      <c r="B3288" s="65" t="s">
        <v>4988</v>
      </c>
      <c r="C3288" s="1">
        <v>9509917531</v>
      </c>
      <c r="E3288" s="17" t="s">
        <v>915</v>
      </c>
      <c r="F3288" s="65"/>
      <c r="G3288" s="2" t="s">
        <v>295</v>
      </c>
      <c r="H3288" s="2" t="s">
        <v>999</v>
      </c>
      <c r="I3288" s="4" t="s">
        <v>94</v>
      </c>
      <c r="J3288" s="31">
        <v>45831</v>
      </c>
      <c r="K3288" s="31">
        <v>45832</v>
      </c>
      <c r="L3288" s="31">
        <v>45835</v>
      </c>
      <c r="M3288" s="31">
        <v>45866</v>
      </c>
      <c r="O3288" s="2" t="s">
        <v>297</v>
      </c>
    </row>
    <row r="3289" spans="1:15">
      <c r="A3289" s="3">
        <f t="shared" si="52"/>
        <v>3288</v>
      </c>
      <c r="B3289" s="65" t="s">
        <v>4989</v>
      </c>
      <c r="C3289" s="1">
        <v>9989428248</v>
      </c>
      <c r="E3289" s="17" t="s">
        <v>4449</v>
      </c>
      <c r="F3289" s="65"/>
      <c r="G3289" s="2" t="s">
        <v>16</v>
      </c>
      <c r="H3289" s="2" t="s">
        <v>361</v>
      </c>
      <c r="I3289" s="4" t="s">
        <v>42</v>
      </c>
      <c r="J3289" s="31">
        <v>45832</v>
      </c>
      <c r="K3289" s="31">
        <v>45834</v>
      </c>
      <c r="L3289" s="31">
        <v>45835</v>
      </c>
      <c r="M3289" s="31">
        <v>45866</v>
      </c>
      <c r="N3289" s="31">
        <v>45847</v>
      </c>
      <c r="O3289" s="2" t="s">
        <v>297</v>
      </c>
    </row>
    <row r="3290" spans="1:15">
      <c r="A3290" s="3">
        <f t="shared" si="52"/>
        <v>3289</v>
      </c>
      <c r="B3290" s="65" t="s">
        <v>4990</v>
      </c>
      <c r="C3290" s="1">
        <v>6305172282</v>
      </c>
      <c r="E3290" s="17" t="s">
        <v>2471</v>
      </c>
      <c r="F3290" s="65"/>
      <c r="G3290" s="2" t="s">
        <v>16</v>
      </c>
      <c r="H3290" s="2" t="s">
        <v>162</v>
      </c>
      <c r="I3290" s="4" t="s">
        <v>94</v>
      </c>
      <c r="J3290" s="31">
        <v>45834</v>
      </c>
      <c r="K3290" s="31">
        <v>45834</v>
      </c>
      <c r="L3290" s="31">
        <v>45835</v>
      </c>
      <c r="M3290" s="31">
        <v>45846</v>
      </c>
      <c r="N3290" s="31">
        <v>45848</v>
      </c>
      <c r="O3290" s="2" t="s">
        <v>297</v>
      </c>
    </row>
    <row r="3291" spans="1:15">
      <c r="A3291" s="3">
        <f t="shared" si="52"/>
        <v>3290</v>
      </c>
      <c r="B3291" s="65" t="s">
        <v>4991</v>
      </c>
      <c r="C3291" s="1">
        <v>9182904452</v>
      </c>
      <c r="E3291" s="17" t="s">
        <v>3226</v>
      </c>
      <c r="F3291" s="65"/>
      <c r="G3291" s="2" t="s">
        <v>295</v>
      </c>
      <c r="H3291" s="2" t="s">
        <v>2425</v>
      </c>
      <c r="I3291" s="4" t="s">
        <v>42</v>
      </c>
      <c r="J3291" s="31">
        <v>45834</v>
      </c>
      <c r="K3291" s="31">
        <v>45834</v>
      </c>
      <c r="L3291" s="31">
        <v>45835</v>
      </c>
      <c r="M3291" s="31">
        <v>45846</v>
      </c>
      <c r="O3291" s="2" t="s">
        <v>297</v>
      </c>
    </row>
    <row r="3292" spans="1:15">
      <c r="A3292" s="3">
        <f t="shared" si="52"/>
        <v>3291</v>
      </c>
      <c r="B3292" s="65" t="s">
        <v>4992</v>
      </c>
      <c r="C3292" s="1">
        <v>8465066409</v>
      </c>
      <c r="E3292" s="17" t="s">
        <v>124</v>
      </c>
      <c r="F3292" s="65" t="s">
        <v>471</v>
      </c>
      <c r="G3292" s="2" t="s">
        <v>416</v>
      </c>
      <c r="H3292" s="2" t="s">
        <v>3240</v>
      </c>
      <c r="I3292" s="4" t="s">
        <v>42</v>
      </c>
      <c r="J3292" s="31">
        <v>45835</v>
      </c>
      <c r="K3292" s="31">
        <v>45842</v>
      </c>
      <c r="L3292" s="31"/>
      <c r="M3292" s="31"/>
      <c r="O3292" s="2" t="s">
        <v>297</v>
      </c>
    </row>
    <row r="3293" spans="1:15">
      <c r="A3293" s="3">
        <f t="shared" si="52"/>
        <v>3292</v>
      </c>
      <c r="B3293" s="65" t="s">
        <v>4993</v>
      </c>
      <c r="C3293" s="1">
        <v>9705166277</v>
      </c>
      <c r="E3293" s="17" t="s">
        <v>440</v>
      </c>
      <c r="F3293" s="65" t="s">
        <v>471</v>
      </c>
      <c r="G3293" s="2" t="s">
        <v>16</v>
      </c>
      <c r="H3293" s="2" t="s">
        <v>3240</v>
      </c>
      <c r="I3293" s="37" t="s">
        <v>94</v>
      </c>
      <c r="J3293" s="31">
        <v>45835</v>
      </c>
      <c r="K3293" s="31">
        <v>45840</v>
      </c>
      <c r="L3293" s="31">
        <v>45846</v>
      </c>
      <c r="M3293" s="31">
        <v>45877</v>
      </c>
      <c r="N3293" s="31">
        <v>45883</v>
      </c>
      <c r="O3293" s="2" t="s">
        <v>297</v>
      </c>
    </row>
    <row r="3294" spans="1:15">
      <c r="A3294" s="3">
        <f t="shared" si="52"/>
        <v>3293</v>
      </c>
      <c r="B3294" s="65" t="s">
        <v>4994</v>
      </c>
      <c r="C3294" s="1">
        <v>9622126754</v>
      </c>
      <c r="E3294" s="17" t="s">
        <v>4882</v>
      </c>
      <c r="F3294" s="65" t="s">
        <v>4995</v>
      </c>
      <c r="G3294" s="2" t="s">
        <v>295</v>
      </c>
      <c r="H3294" s="2" t="s">
        <v>487</v>
      </c>
      <c r="I3294" s="4" t="s">
        <v>88</v>
      </c>
      <c r="J3294" s="31">
        <v>45827</v>
      </c>
      <c r="K3294" s="31">
        <v>45828</v>
      </c>
      <c r="L3294" s="31">
        <v>45835</v>
      </c>
      <c r="M3294" s="31">
        <v>45866</v>
      </c>
      <c r="O3294" s="2" t="s">
        <v>297</v>
      </c>
    </row>
    <row r="3295" spans="1:15">
      <c r="A3295" s="3">
        <f t="shared" si="52"/>
        <v>3294</v>
      </c>
      <c r="B3295" s="65" t="s">
        <v>4996</v>
      </c>
      <c r="C3295" s="1">
        <v>9000646844</v>
      </c>
      <c r="E3295" s="17" t="s">
        <v>4927</v>
      </c>
      <c r="F3295" s="65" t="s">
        <v>4997</v>
      </c>
      <c r="G3295" s="2" t="s">
        <v>16</v>
      </c>
      <c r="H3295" s="2" t="s">
        <v>3967</v>
      </c>
      <c r="I3295" s="4" t="s">
        <v>88</v>
      </c>
      <c r="J3295" s="31">
        <v>45834</v>
      </c>
      <c r="K3295" s="31">
        <v>45834</v>
      </c>
      <c r="L3295" s="31">
        <v>45835</v>
      </c>
      <c r="M3295" s="31">
        <v>45866</v>
      </c>
      <c r="N3295" s="31">
        <v>45866</v>
      </c>
      <c r="O3295" s="2" t="s">
        <v>297</v>
      </c>
    </row>
    <row r="3296" spans="1:15">
      <c r="A3296" s="3">
        <f t="shared" ref="A3296:A3359" si="53">ROW()-1</f>
        <v>3295</v>
      </c>
      <c r="B3296" s="65" t="s">
        <v>4998</v>
      </c>
      <c r="C3296" s="1">
        <v>9963007807</v>
      </c>
      <c r="E3296" s="17" t="s">
        <v>3767</v>
      </c>
      <c r="F3296" s="65" t="s">
        <v>4999</v>
      </c>
      <c r="G3296" s="2" t="s">
        <v>424</v>
      </c>
      <c r="H3296" s="2" t="s">
        <v>42</v>
      </c>
      <c r="I3296" s="4" t="s">
        <v>42</v>
      </c>
      <c r="J3296" s="31">
        <v>45835</v>
      </c>
      <c r="K3296" s="31">
        <v>45856</v>
      </c>
      <c r="L3296" s="31"/>
      <c r="M3296" s="31"/>
      <c r="O3296" s="2" t="s">
        <v>749</v>
      </c>
    </row>
    <row r="3297" spans="1:15">
      <c r="A3297" s="3">
        <f t="shared" si="53"/>
        <v>3296</v>
      </c>
      <c r="B3297" s="65" t="s">
        <v>5000</v>
      </c>
      <c r="C3297" s="1">
        <v>9704659214</v>
      </c>
      <c r="E3297" s="17" t="s">
        <v>3767</v>
      </c>
      <c r="F3297" s="65" t="s">
        <v>5001</v>
      </c>
      <c r="G3297" s="2" t="s">
        <v>424</v>
      </c>
      <c r="H3297" s="2" t="s">
        <v>42</v>
      </c>
      <c r="I3297" s="4" t="s">
        <v>42</v>
      </c>
      <c r="J3297" s="31">
        <v>45835</v>
      </c>
      <c r="K3297" s="31">
        <v>45856</v>
      </c>
      <c r="L3297" s="31"/>
      <c r="M3297" s="31"/>
      <c r="O3297" s="2" t="s">
        <v>749</v>
      </c>
    </row>
    <row r="3298" spans="1:15">
      <c r="A3298" s="3">
        <f t="shared" si="53"/>
        <v>3297</v>
      </c>
      <c r="B3298" s="65" t="s">
        <v>5002</v>
      </c>
      <c r="C3298" s="1">
        <v>7013815523</v>
      </c>
      <c r="D3298" s="1">
        <v>8275345523</v>
      </c>
      <c r="E3298" s="1" t="s">
        <v>4609</v>
      </c>
      <c r="F3298" s="65" t="s">
        <v>5003</v>
      </c>
      <c r="G3298" s="2" t="s">
        <v>16</v>
      </c>
      <c r="H3298" s="2" t="s">
        <v>679</v>
      </c>
      <c r="I3298" s="4" t="s">
        <v>42</v>
      </c>
      <c r="J3298" s="31">
        <v>45835</v>
      </c>
      <c r="K3298" s="31">
        <v>45842</v>
      </c>
      <c r="L3298" s="31">
        <v>45849</v>
      </c>
      <c r="M3298" s="31">
        <v>45880</v>
      </c>
      <c r="N3298" s="31">
        <v>45880</v>
      </c>
      <c r="O3298" s="2" t="s">
        <v>297</v>
      </c>
    </row>
    <row r="3299" spans="1:15">
      <c r="A3299" s="3">
        <f t="shared" si="53"/>
        <v>3298</v>
      </c>
      <c r="B3299" s="65" t="s">
        <v>5004</v>
      </c>
      <c r="C3299" s="1">
        <v>9985099169</v>
      </c>
      <c r="D3299" s="1">
        <v>7569758548</v>
      </c>
      <c r="E3299" s="17" t="s">
        <v>4570</v>
      </c>
      <c r="F3299" s="65" t="s">
        <v>5005</v>
      </c>
      <c r="G3299" s="2" t="s">
        <v>16</v>
      </c>
      <c r="H3299" s="2" t="s">
        <v>785</v>
      </c>
      <c r="I3299" s="4" t="s">
        <v>42</v>
      </c>
      <c r="J3299" s="31">
        <v>45838</v>
      </c>
      <c r="K3299" s="31">
        <v>45839</v>
      </c>
      <c r="L3299" s="31">
        <v>45842</v>
      </c>
      <c r="M3299" s="31">
        <v>45864</v>
      </c>
      <c r="N3299" s="31">
        <v>45864</v>
      </c>
      <c r="O3299" s="2" t="s">
        <v>297</v>
      </c>
    </row>
    <row r="3300" spans="1:15">
      <c r="A3300" s="3">
        <f t="shared" si="53"/>
        <v>3299</v>
      </c>
      <c r="B3300" s="65" t="s">
        <v>5006</v>
      </c>
      <c r="C3300" s="1">
        <v>6303702647</v>
      </c>
      <c r="E3300" s="17" t="s">
        <v>2423</v>
      </c>
      <c r="F3300" s="65" t="s">
        <v>5007</v>
      </c>
      <c r="G3300" s="2" t="s">
        <v>424</v>
      </c>
      <c r="H3300" s="2" t="s">
        <v>785</v>
      </c>
      <c r="I3300" s="4" t="s">
        <v>42</v>
      </c>
      <c r="J3300" s="31">
        <v>45839</v>
      </c>
      <c r="K3300" s="31">
        <v>45840</v>
      </c>
      <c r="L3300" s="31"/>
      <c r="M3300" s="31"/>
      <c r="O3300" s="2" t="s">
        <v>425</v>
      </c>
    </row>
    <row r="3301" spans="1:15">
      <c r="A3301" s="3">
        <f t="shared" si="53"/>
        <v>3300</v>
      </c>
      <c r="B3301" s="65" t="s">
        <v>5008</v>
      </c>
      <c r="C3301" s="1">
        <v>9177902057</v>
      </c>
      <c r="E3301" s="17" t="s">
        <v>2423</v>
      </c>
      <c r="F3301" s="65" t="s">
        <v>5009</v>
      </c>
      <c r="G3301" s="2" t="s">
        <v>424</v>
      </c>
      <c r="H3301" s="2" t="s">
        <v>785</v>
      </c>
      <c r="I3301" s="4" t="s">
        <v>42</v>
      </c>
      <c r="J3301" s="31">
        <v>45839</v>
      </c>
      <c r="K3301" s="31">
        <v>45842</v>
      </c>
      <c r="L3301" s="31"/>
      <c r="M3301" s="31"/>
      <c r="O3301" s="2" t="s">
        <v>425</v>
      </c>
    </row>
    <row r="3302" spans="1:15">
      <c r="A3302" s="3">
        <f t="shared" si="53"/>
        <v>3301</v>
      </c>
      <c r="B3302" s="65" t="s">
        <v>5010</v>
      </c>
      <c r="C3302" s="1">
        <v>9701233328</v>
      </c>
      <c r="E3302" s="17" t="s">
        <v>2176</v>
      </c>
      <c r="F3302" s="65" t="s">
        <v>5011</v>
      </c>
      <c r="G3302" s="2" t="s">
        <v>424</v>
      </c>
      <c r="H3302" s="2" t="s">
        <v>296</v>
      </c>
      <c r="I3302" s="4" t="s">
        <v>42</v>
      </c>
      <c r="J3302" s="31">
        <v>45839</v>
      </c>
      <c r="K3302" s="31">
        <v>45852</v>
      </c>
      <c r="L3302" s="31"/>
      <c r="M3302" s="31"/>
      <c r="O3302" s="2" t="s">
        <v>425</v>
      </c>
    </row>
    <row r="3303" spans="1:15">
      <c r="A3303" s="3">
        <f t="shared" si="53"/>
        <v>3302</v>
      </c>
      <c r="B3303" s="65" t="s">
        <v>5012</v>
      </c>
      <c r="C3303" s="1">
        <v>7702391924</v>
      </c>
      <c r="E3303" s="17" t="s">
        <v>2176</v>
      </c>
      <c r="F3303" s="65" t="s">
        <v>5011</v>
      </c>
      <c r="G3303" s="2" t="s">
        <v>16</v>
      </c>
      <c r="H3303" s="2" t="s">
        <v>296</v>
      </c>
      <c r="I3303" s="4" t="s">
        <v>42</v>
      </c>
      <c r="J3303" s="31">
        <v>45839</v>
      </c>
      <c r="K3303" s="31">
        <v>45841</v>
      </c>
      <c r="L3303" s="31">
        <v>45870</v>
      </c>
      <c r="M3303" s="31">
        <v>45938</v>
      </c>
      <c r="N3303" s="31">
        <v>45938</v>
      </c>
      <c r="O3303" s="2" t="s">
        <v>297</v>
      </c>
    </row>
    <row r="3304" spans="1:15">
      <c r="A3304" s="3">
        <f t="shared" si="53"/>
        <v>3303</v>
      </c>
      <c r="B3304" s="65" t="s">
        <v>5013</v>
      </c>
      <c r="C3304" s="1">
        <v>9505368039</v>
      </c>
      <c r="E3304" s="17" t="s">
        <v>52</v>
      </c>
      <c r="F3304" s="65" t="s">
        <v>5014</v>
      </c>
      <c r="G3304" s="2" t="s">
        <v>424</v>
      </c>
      <c r="H3304" s="2" t="s">
        <v>679</v>
      </c>
      <c r="I3304" s="4" t="s">
        <v>42</v>
      </c>
      <c r="J3304" s="31">
        <v>45840</v>
      </c>
      <c r="K3304" s="31">
        <v>45842</v>
      </c>
      <c r="L3304" s="31"/>
      <c r="M3304" s="31"/>
      <c r="O3304" s="2" t="s">
        <v>425</v>
      </c>
    </row>
    <row r="3305" spans="1:15">
      <c r="A3305" s="3">
        <f t="shared" si="53"/>
        <v>3304</v>
      </c>
      <c r="B3305" s="65" t="s">
        <v>5015</v>
      </c>
      <c r="C3305" s="1">
        <v>7989302364</v>
      </c>
      <c r="E3305" s="17" t="s">
        <v>52</v>
      </c>
      <c r="F3305" s="65" t="s">
        <v>972</v>
      </c>
      <c r="G3305" s="2" t="s">
        <v>424</v>
      </c>
      <c r="H3305" s="2" t="s">
        <v>679</v>
      </c>
      <c r="I3305" s="4" t="s">
        <v>42</v>
      </c>
      <c r="J3305" s="31">
        <v>45840</v>
      </c>
      <c r="K3305" s="31">
        <v>45848</v>
      </c>
      <c r="L3305" s="31"/>
      <c r="M3305" s="31"/>
      <c r="O3305" s="2" t="s">
        <v>425</v>
      </c>
    </row>
    <row r="3306" spans="1:15">
      <c r="A3306" s="3">
        <f t="shared" si="53"/>
        <v>3305</v>
      </c>
      <c r="B3306" s="65" t="s">
        <v>5016</v>
      </c>
      <c r="C3306" s="1">
        <v>9500877700</v>
      </c>
      <c r="D3306" s="1">
        <v>9182538278</v>
      </c>
      <c r="E3306" s="17" t="s">
        <v>52</v>
      </c>
      <c r="F3306" s="65" t="s">
        <v>972</v>
      </c>
      <c r="G3306" s="2" t="s">
        <v>16</v>
      </c>
      <c r="H3306" s="2" t="s">
        <v>679</v>
      </c>
      <c r="I3306" s="4" t="s">
        <v>42</v>
      </c>
      <c r="J3306" s="31">
        <v>45840</v>
      </c>
      <c r="K3306" s="31">
        <v>45847</v>
      </c>
      <c r="L3306" s="31">
        <v>45848</v>
      </c>
      <c r="M3306" s="31">
        <v>45863</v>
      </c>
      <c r="N3306" s="31">
        <v>45863</v>
      </c>
      <c r="O3306" s="2" t="s">
        <v>297</v>
      </c>
    </row>
    <row r="3307" spans="1:15">
      <c r="A3307" s="3">
        <f t="shared" si="53"/>
        <v>3306</v>
      </c>
      <c r="B3307" s="65" t="s">
        <v>5017</v>
      </c>
      <c r="C3307" s="1">
        <v>9705126448</v>
      </c>
      <c r="E3307" s="63" t="s">
        <v>5018</v>
      </c>
      <c r="F3307" s="65" t="s">
        <v>5019</v>
      </c>
      <c r="G3307" s="2" t="s">
        <v>16</v>
      </c>
      <c r="H3307" s="2" t="s">
        <v>679</v>
      </c>
      <c r="I3307" s="4" t="s">
        <v>42</v>
      </c>
      <c r="J3307" s="31">
        <v>45840</v>
      </c>
      <c r="K3307" s="31">
        <v>45853</v>
      </c>
      <c r="L3307" s="31">
        <v>45856</v>
      </c>
      <c r="M3307" s="31">
        <v>45887</v>
      </c>
      <c r="N3307" s="31">
        <v>45880</v>
      </c>
      <c r="O3307" s="2" t="s">
        <v>297</v>
      </c>
    </row>
    <row r="3308" spans="1:15">
      <c r="A3308" s="3">
        <f t="shared" si="53"/>
        <v>3307</v>
      </c>
      <c r="B3308" s="65" t="s">
        <v>3511</v>
      </c>
      <c r="C3308" s="1">
        <v>8919030679</v>
      </c>
      <c r="D3308" s="1">
        <v>8333938845</v>
      </c>
      <c r="E3308" s="17" t="s">
        <v>5020</v>
      </c>
      <c r="F3308" s="65" t="s">
        <v>5021</v>
      </c>
      <c r="G3308" s="2" t="s">
        <v>295</v>
      </c>
      <c r="H3308" s="2" t="s">
        <v>679</v>
      </c>
      <c r="I3308" s="4" t="s">
        <v>42</v>
      </c>
      <c r="J3308" s="31">
        <v>45840</v>
      </c>
      <c r="K3308" s="31">
        <v>45852</v>
      </c>
      <c r="L3308" s="31">
        <v>45854</v>
      </c>
      <c r="M3308" s="31">
        <v>45887</v>
      </c>
      <c r="O3308" s="2" t="s">
        <v>297</v>
      </c>
    </row>
    <row r="3309" spans="1:15">
      <c r="A3309" s="3">
        <f t="shared" si="53"/>
        <v>3308</v>
      </c>
      <c r="B3309" s="65" t="s">
        <v>5022</v>
      </c>
      <c r="C3309" s="1">
        <v>8985002126</v>
      </c>
      <c r="E3309" s="17" t="s">
        <v>5023</v>
      </c>
      <c r="F3309" s="65" t="s">
        <v>5024</v>
      </c>
      <c r="G3309" s="2" t="s">
        <v>16</v>
      </c>
      <c r="H3309" s="2" t="s">
        <v>679</v>
      </c>
      <c r="I3309" s="4" t="s">
        <v>42</v>
      </c>
      <c r="J3309" s="31">
        <v>45840</v>
      </c>
      <c r="K3309" s="31">
        <v>45847</v>
      </c>
      <c r="L3309" s="31">
        <v>45848</v>
      </c>
      <c r="M3309" s="31">
        <v>45880</v>
      </c>
      <c r="N3309" s="31">
        <v>45853</v>
      </c>
      <c r="O3309" s="2" t="s">
        <v>297</v>
      </c>
    </row>
    <row r="3310" spans="1:15">
      <c r="A3310" s="3">
        <f t="shared" si="53"/>
        <v>3309</v>
      </c>
      <c r="B3310" s="65" t="s">
        <v>5025</v>
      </c>
      <c r="C3310" s="1">
        <v>9347229979</v>
      </c>
      <c r="E3310" s="17" t="s">
        <v>127</v>
      </c>
      <c r="F3310" s="65" t="s">
        <v>471</v>
      </c>
      <c r="G3310" s="2" t="s">
        <v>16</v>
      </c>
      <c r="H3310" s="2" t="s">
        <v>679</v>
      </c>
      <c r="I3310" s="4" t="s">
        <v>42</v>
      </c>
      <c r="J3310" s="31">
        <v>45840</v>
      </c>
      <c r="K3310" s="31">
        <v>45842</v>
      </c>
      <c r="L3310" s="31">
        <v>45846</v>
      </c>
      <c r="M3310" s="31">
        <v>45866</v>
      </c>
      <c r="N3310" s="31">
        <v>45871</v>
      </c>
      <c r="O3310" s="2" t="s">
        <v>297</v>
      </c>
    </row>
    <row r="3311" spans="1:15">
      <c r="A3311" s="3">
        <f t="shared" si="53"/>
        <v>3310</v>
      </c>
      <c r="B3311" s="65" t="s">
        <v>5026</v>
      </c>
      <c r="C3311" s="1">
        <v>7991804701</v>
      </c>
      <c r="E3311" s="17" t="s">
        <v>127</v>
      </c>
      <c r="F3311" s="65" t="s">
        <v>3832</v>
      </c>
      <c r="G3311" s="2" t="s">
        <v>424</v>
      </c>
      <c r="H3311" s="2" t="s">
        <v>679</v>
      </c>
      <c r="I3311" s="4" t="s">
        <v>42</v>
      </c>
      <c r="J3311" s="31">
        <v>45840</v>
      </c>
      <c r="K3311" s="31">
        <v>45856</v>
      </c>
      <c r="L3311" s="31"/>
      <c r="M3311" s="31"/>
      <c r="O3311" s="2" t="s">
        <v>425</v>
      </c>
    </row>
    <row r="3312" spans="1:15">
      <c r="A3312" s="3">
        <f t="shared" si="53"/>
        <v>3311</v>
      </c>
      <c r="B3312" s="65" t="s">
        <v>5027</v>
      </c>
      <c r="C3312" s="1">
        <v>9666370980</v>
      </c>
      <c r="E3312" s="17" t="s">
        <v>124</v>
      </c>
      <c r="F3312" s="95" t="s">
        <v>3837</v>
      </c>
      <c r="G3312" s="2" t="s">
        <v>295</v>
      </c>
      <c r="H3312" s="2" t="s">
        <v>296</v>
      </c>
      <c r="I3312" s="4" t="s">
        <v>42</v>
      </c>
      <c r="J3312" s="31">
        <v>45840</v>
      </c>
      <c r="K3312" s="31">
        <v>45840</v>
      </c>
      <c r="L3312" s="31">
        <v>45842</v>
      </c>
      <c r="M3312" s="31">
        <v>45874</v>
      </c>
      <c r="O3312" s="2" t="s">
        <v>297</v>
      </c>
    </row>
    <row r="3313" spans="1:15">
      <c r="A3313" s="3">
        <f t="shared" si="53"/>
        <v>3312</v>
      </c>
      <c r="B3313" s="65" t="s">
        <v>5028</v>
      </c>
      <c r="C3313" s="1">
        <v>8333001194</v>
      </c>
      <c r="E3313" s="17" t="s">
        <v>124</v>
      </c>
      <c r="F3313" s="95" t="s">
        <v>3837</v>
      </c>
      <c r="G3313" s="2" t="s">
        <v>416</v>
      </c>
      <c r="H3313" s="2" t="s">
        <v>296</v>
      </c>
      <c r="I3313" s="4" t="s">
        <v>42</v>
      </c>
      <c r="J3313" s="31">
        <v>45840</v>
      </c>
      <c r="K3313" s="31">
        <v>45840</v>
      </c>
      <c r="L3313" s="31"/>
      <c r="M3313" s="31"/>
      <c r="O3313" s="2" t="s">
        <v>297</v>
      </c>
    </row>
    <row r="3314" spans="1:15">
      <c r="A3314" s="3">
        <f t="shared" si="53"/>
        <v>3313</v>
      </c>
      <c r="B3314" s="65" t="s">
        <v>5029</v>
      </c>
      <c r="C3314" s="1">
        <v>6369890598</v>
      </c>
      <c r="E3314" s="17" t="s">
        <v>2413</v>
      </c>
      <c r="F3314" s="95"/>
      <c r="G3314" s="2" t="s">
        <v>16</v>
      </c>
      <c r="H3314" s="2" t="s">
        <v>1186</v>
      </c>
      <c r="I3314" s="4" t="s">
        <v>88</v>
      </c>
      <c r="J3314" s="31">
        <v>45838</v>
      </c>
      <c r="K3314" s="31">
        <v>45840</v>
      </c>
      <c r="L3314" s="31">
        <v>45840</v>
      </c>
      <c r="M3314" s="31">
        <v>45882</v>
      </c>
      <c r="N3314" s="31">
        <v>45882</v>
      </c>
      <c r="O3314" s="2" t="s">
        <v>297</v>
      </c>
    </row>
    <row r="3315" spans="1:15">
      <c r="A3315" s="3">
        <f t="shared" si="53"/>
        <v>3314</v>
      </c>
      <c r="B3315" s="65" t="s">
        <v>5030</v>
      </c>
      <c r="C3315" s="1">
        <v>8106758363</v>
      </c>
      <c r="E3315" s="17" t="s">
        <v>5031</v>
      </c>
      <c r="F3315" s="95"/>
      <c r="G3315" s="2" t="s">
        <v>295</v>
      </c>
      <c r="H3315" s="2" t="s">
        <v>1186</v>
      </c>
      <c r="I3315" s="4" t="s">
        <v>88</v>
      </c>
      <c r="J3315" s="31">
        <v>45838</v>
      </c>
      <c r="K3315" s="31">
        <v>45840</v>
      </c>
      <c r="L3315" s="31">
        <v>45840</v>
      </c>
      <c r="M3315" s="31">
        <v>45915</v>
      </c>
      <c r="O3315" s="2" t="s">
        <v>297</v>
      </c>
    </row>
    <row r="3316" spans="1:15">
      <c r="A3316" s="3">
        <f t="shared" si="53"/>
        <v>3315</v>
      </c>
      <c r="B3316" s="65" t="s">
        <v>5032</v>
      </c>
      <c r="C3316" s="1">
        <v>6001358342</v>
      </c>
      <c r="E3316" s="17" t="s">
        <v>2084</v>
      </c>
      <c r="F3316" s="95"/>
      <c r="G3316" s="2" t="s">
        <v>16</v>
      </c>
      <c r="H3316" s="2" t="s">
        <v>590</v>
      </c>
      <c r="I3316" s="4" t="s">
        <v>88</v>
      </c>
      <c r="J3316" s="31">
        <v>45838</v>
      </c>
      <c r="K3316" s="31">
        <v>45839</v>
      </c>
      <c r="L3316" s="31">
        <v>45840</v>
      </c>
      <c r="M3316" s="31">
        <v>45871</v>
      </c>
      <c r="N3316" s="31">
        <v>45870</v>
      </c>
      <c r="O3316" s="2" t="s">
        <v>297</v>
      </c>
    </row>
    <row r="3317" spans="1:15">
      <c r="A3317" s="3">
        <f t="shared" si="53"/>
        <v>3316</v>
      </c>
      <c r="B3317" s="65" t="s">
        <v>5033</v>
      </c>
      <c r="C3317" s="1">
        <v>9550609109</v>
      </c>
      <c r="E3317" s="17" t="s">
        <v>5034</v>
      </c>
      <c r="F3317" s="95" t="s">
        <v>5035</v>
      </c>
      <c r="G3317" s="2" t="s">
        <v>295</v>
      </c>
      <c r="H3317" s="2" t="s">
        <v>361</v>
      </c>
      <c r="I3317" s="4" t="s">
        <v>42</v>
      </c>
      <c r="J3317" s="31">
        <v>45846</v>
      </c>
      <c r="K3317" s="31">
        <v>45852</v>
      </c>
      <c r="L3317" s="31">
        <v>45854</v>
      </c>
      <c r="M3317" s="31">
        <v>45899</v>
      </c>
      <c r="O3317" s="2" t="s">
        <v>297</v>
      </c>
    </row>
    <row r="3318" spans="1:15">
      <c r="A3318" s="3">
        <f t="shared" si="53"/>
        <v>3317</v>
      </c>
      <c r="B3318" s="65" t="s">
        <v>5036</v>
      </c>
      <c r="C3318" s="1">
        <v>9502110564</v>
      </c>
      <c r="E3318" s="17" t="s">
        <v>5034</v>
      </c>
      <c r="F3318" s="95" t="s">
        <v>5037</v>
      </c>
      <c r="G3318" s="2" t="s">
        <v>416</v>
      </c>
      <c r="H3318" s="2" t="s">
        <v>361</v>
      </c>
      <c r="I3318" s="4" t="s">
        <v>42</v>
      </c>
      <c r="J3318" s="31">
        <v>45846</v>
      </c>
      <c r="K3318" s="31">
        <v>45852</v>
      </c>
      <c r="L3318" s="31"/>
      <c r="M3318" s="31"/>
      <c r="O3318" s="2" t="s">
        <v>297</v>
      </c>
    </row>
    <row r="3319" spans="1:15">
      <c r="A3319" s="3">
        <f t="shared" si="53"/>
        <v>3318</v>
      </c>
      <c r="B3319" s="65" t="s">
        <v>5038</v>
      </c>
      <c r="C3319" s="1">
        <v>9000071083</v>
      </c>
      <c r="E3319" s="17" t="s">
        <v>2176</v>
      </c>
      <c r="F3319" s="95" t="s">
        <v>5039</v>
      </c>
      <c r="G3319" s="2" t="s">
        <v>424</v>
      </c>
      <c r="H3319" s="2" t="s">
        <v>296</v>
      </c>
      <c r="I3319" s="4" t="s">
        <v>42</v>
      </c>
      <c r="J3319" s="31">
        <v>45842</v>
      </c>
      <c r="K3319" s="31">
        <v>45854</v>
      </c>
      <c r="L3319" s="31"/>
      <c r="M3319" s="31"/>
      <c r="O3319" s="2" t="s">
        <v>425</v>
      </c>
    </row>
    <row r="3320" spans="1:15">
      <c r="A3320" s="3">
        <f t="shared" si="53"/>
        <v>3319</v>
      </c>
      <c r="B3320" s="65" t="s">
        <v>5040</v>
      </c>
      <c r="C3320" s="1">
        <v>6303671250</v>
      </c>
      <c r="E3320" s="17" t="s">
        <v>2084</v>
      </c>
      <c r="F3320" s="95" t="s">
        <v>4637</v>
      </c>
      <c r="G3320" s="2" t="s">
        <v>16</v>
      </c>
      <c r="H3320" s="2" t="s">
        <v>590</v>
      </c>
      <c r="I3320" s="4" t="s">
        <v>88</v>
      </c>
      <c r="J3320" s="31">
        <v>45839</v>
      </c>
      <c r="K3320" s="31">
        <v>45841</v>
      </c>
      <c r="L3320" s="31">
        <v>45842</v>
      </c>
      <c r="M3320" s="31">
        <v>45884</v>
      </c>
      <c r="N3320" s="31">
        <v>45884</v>
      </c>
      <c r="O3320" s="2" t="s">
        <v>297</v>
      </c>
    </row>
    <row r="3321" spans="1:15">
      <c r="A3321" s="3">
        <f t="shared" si="53"/>
        <v>3320</v>
      </c>
      <c r="B3321" s="65" t="s">
        <v>5041</v>
      </c>
      <c r="C3321" s="1">
        <v>7207948974</v>
      </c>
      <c r="E3321" s="17" t="s">
        <v>2081</v>
      </c>
      <c r="F3321" s="95" t="s">
        <v>5042</v>
      </c>
      <c r="G3321" s="2" t="s">
        <v>16</v>
      </c>
      <c r="H3321" s="2" t="s">
        <v>590</v>
      </c>
      <c r="I3321" s="4" t="s">
        <v>88</v>
      </c>
      <c r="J3321" s="31">
        <v>45839</v>
      </c>
      <c r="K3321" s="31">
        <v>45841</v>
      </c>
      <c r="L3321" s="31">
        <v>45842</v>
      </c>
      <c r="M3321" s="31">
        <v>45884</v>
      </c>
      <c r="N3321" s="31">
        <v>45884</v>
      </c>
      <c r="O3321" s="2" t="s">
        <v>297</v>
      </c>
    </row>
    <row r="3322" spans="1:15">
      <c r="A3322" s="3">
        <f t="shared" si="53"/>
        <v>3321</v>
      </c>
      <c r="B3322" s="65" t="s">
        <v>5043</v>
      </c>
      <c r="C3322" s="1">
        <v>8144391823</v>
      </c>
      <c r="E3322" s="17" t="s">
        <v>2060</v>
      </c>
      <c r="F3322" s="95" t="s">
        <v>5044</v>
      </c>
      <c r="G3322" s="2" t="s">
        <v>295</v>
      </c>
      <c r="H3322" s="2" t="s">
        <v>1186</v>
      </c>
      <c r="I3322" s="4" t="s">
        <v>88</v>
      </c>
      <c r="J3322" s="31">
        <v>45840</v>
      </c>
      <c r="K3322" s="31">
        <v>45842</v>
      </c>
      <c r="L3322" s="31">
        <v>45842</v>
      </c>
      <c r="M3322" s="31">
        <v>45884</v>
      </c>
      <c r="O3322" s="2" t="s">
        <v>297</v>
      </c>
    </row>
    <row r="3323" spans="1:15">
      <c r="A3323" s="3">
        <f t="shared" si="53"/>
        <v>3322</v>
      </c>
      <c r="B3323" s="65" t="s">
        <v>5045</v>
      </c>
      <c r="C3323" s="1">
        <v>8331885709</v>
      </c>
      <c r="E3323" s="17" t="s">
        <v>110</v>
      </c>
      <c r="F3323" s="95" t="s">
        <v>2116</v>
      </c>
      <c r="G3323" s="2" t="s">
        <v>295</v>
      </c>
      <c r="H3323" s="2" t="s">
        <v>999</v>
      </c>
      <c r="I3323" s="4" t="s">
        <v>88</v>
      </c>
      <c r="J3323" s="31">
        <v>45840</v>
      </c>
      <c r="K3323" s="31">
        <v>45842</v>
      </c>
      <c r="L3323" s="31">
        <v>45842</v>
      </c>
      <c r="M3323" s="31">
        <v>45890</v>
      </c>
      <c r="O3323" s="2" t="s">
        <v>297</v>
      </c>
    </row>
    <row r="3324" spans="1:15">
      <c r="A3324" s="3">
        <f t="shared" si="53"/>
        <v>3323</v>
      </c>
      <c r="B3324" s="65" t="s">
        <v>1639</v>
      </c>
      <c r="C3324" s="1">
        <v>9348303538</v>
      </c>
      <c r="D3324" s="1">
        <v>7226096018</v>
      </c>
      <c r="E3324" s="17" t="s">
        <v>915</v>
      </c>
      <c r="F3324" s="95" t="s">
        <v>5046</v>
      </c>
      <c r="G3324" s="2" t="s">
        <v>295</v>
      </c>
      <c r="H3324" s="2" t="s">
        <v>999</v>
      </c>
      <c r="I3324" s="4" t="s">
        <v>94</v>
      </c>
      <c r="J3324" s="31">
        <v>45840</v>
      </c>
      <c r="K3324" s="31">
        <v>45842</v>
      </c>
      <c r="L3324" s="31">
        <v>45842</v>
      </c>
      <c r="M3324" s="31">
        <v>45919</v>
      </c>
      <c r="O3324" s="2" t="s">
        <v>297</v>
      </c>
    </row>
    <row r="3325" spans="1:15">
      <c r="A3325" s="3">
        <f t="shared" si="53"/>
        <v>3324</v>
      </c>
      <c r="B3325" s="65" t="s">
        <v>5047</v>
      </c>
      <c r="C3325" s="1">
        <v>7697934219</v>
      </c>
      <c r="D3325" s="1">
        <v>9669312292</v>
      </c>
      <c r="E3325" s="17" t="s">
        <v>1092</v>
      </c>
      <c r="F3325" s="95" t="s">
        <v>569</v>
      </c>
      <c r="G3325" s="2" t="s">
        <v>424</v>
      </c>
      <c r="H3325" s="2" t="s">
        <v>1096</v>
      </c>
      <c r="I3325" s="4" t="s">
        <v>94</v>
      </c>
      <c r="J3325" s="31">
        <v>45842</v>
      </c>
      <c r="K3325" s="31">
        <v>45845</v>
      </c>
      <c r="L3325" s="31"/>
      <c r="M3325" s="31"/>
      <c r="O3325" s="2" t="s">
        <v>425</v>
      </c>
    </row>
    <row r="3326" spans="1:15">
      <c r="A3326" s="3">
        <f t="shared" si="53"/>
        <v>3325</v>
      </c>
      <c r="B3326" s="65" t="s">
        <v>5048</v>
      </c>
      <c r="C3326" s="1">
        <v>7870182711</v>
      </c>
      <c r="E3326" s="17" t="s">
        <v>1092</v>
      </c>
      <c r="F3326" s="95" t="s">
        <v>308</v>
      </c>
      <c r="G3326" s="2" t="s">
        <v>16</v>
      </c>
      <c r="H3326" s="2" t="s">
        <v>1096</v>
      </c>
      <c r="I3326" s="4" t="s">
        <v>94</v>
      </c>
      <c r="J3326" s="31">
        <v>45842</v>
      </c>
      <c r="K3326" s="31">
        <v>45845</v>
      </c>
      <c r="L3326" s="31">
        <v>45849</v>
      </c>
      <c r="M3326" s="31">
        <v>45880</v>
      </c>
      <c r="N3326" s="31">
        <v>45882</v>
      </c>
      <c r="O3326" s="2" t="s">
        <v>297</v>
      </c>
    </row>
    <row r="3327" spans="1:15">
      <c r="A3327" s="3">
        <f t="shared" si="53"/>
        <v>3326</v>
      </c>
      <c r="B3327" s="65" t="s">
        <v>5049</v>
      </c>
      <c r="C3327" s="1">
        <v>7974872013</v>
      </c>
      <c r="E3327" s="17" t="s">
        <v>1092</v>
      </c>
      <c r="F3327" s="95" t="s">
        <v>308</v>
      </c>
      <c r="G3327" s="2" t="s">
        <v>16</v>
      </c>
      <c r="H3327" s="2" t="s">
        <v>1096</v>
      </c>
      <c r="I3327" s="4" t="s">
        <v>94</v>
      </c>
      <c r="J3327" s="31">
        <v>45842</v>
      </c>
      <c r="K3327" s="31">
        <v>45845</v>
      </c>
      <c r="L3327" s="31">
        <v>45853</v>
      </c>
      <c r="M3327" s="31">
        <v>45887</v>
      </c>
      <c r="N3327" s="31">
        <v>45883</v>
      </c>
      <c r="O3327" s="2" t="s">
        <v>297</v>
      </c>
    </row>
    <row r="3328" spans="1:15">
      <c r="A3328" s="3">
        <f t="shared" si="53"/>
        <v>3327</v>
      </c>
      <c r="B3328" s="65" t="s">
        <v>5050</v>
      </c>
      <c r="C3328" s="1">
        <v>9770331122</v>
      </c>
      <c r="E3328" s="17" t="s">
        <v>359</v>
      </c>
      <c r="F3328" s="95" t="s">
        <v>360</v>
      </c>
      <c r="G3328" s="2" t="s">
        <v>295</v>
      </c>
      <c r="H3328" s="2" t="s">
        <v>361</v>
      </c>
      <c r="I3328" s="4" t="s">
        <v>94</v>
      </c>
      <c r="J3328" s="31">
        <v>45842</v>
      </c>
      <c r="K3328" s="31">
        <v>45852</v>
      </c>
      <c r="L3328" s="31">
        <v>45856</v>
      </c>
      <c r="M3328" s="31">
        <v>45877</v>
      </c>
      <c r="O3328" s="2" t="s">
        <v>297</v>
      </c>
    </row>
    <row r="3329" spans="1:15">
      <c r="A3329" s="3">
        <f t="shared" si="53"/>
        <v>3328</v>
      </c>
      <c r="B3329" s="65" t="s">
        <v>5051</v>
      </c>
      <c r="C3329" s="1">
        <v>9661964798</v>
      </c>
      <c r="E3329" s="17" t="s">
        <v>2562</v>
      </c>
      <c r="F3329" s="95" t="s">
        <v>461</v>
      </c>
      <c r="G3329" s="2" t="s">
        <v>16</v>
      </c>
      <c r="H3329" s="2" t="s">
        <v>361</v>
      </c>
      <c r="I3329" s="4" t="s">
        <v>94</v>
      </c>
      <c r="J3329" s="31">
        <v>45842</v>
      </c>
      <c r="K3329" s="31">
        <v>45854</v>
      </c>
      <c r="L3329" s="31">
        <v>45867</v>
      </c>
      <c r="M3329" s="31">
        <v>45898</v>
      </c>
      <c r="N3329" s="31">
        <v>45889</v>
      </c>
      <c r="O3329" s="2" t="s">
        <v>297</v>
      </c>
    </row>
    <row r="3330" spans="1:15">
      <c r="A3330" s="3">
        <f t="shared" si="53"/>
        <v>3329</v>
      </c>
      <c r="B3330" s="65" t="s">
        <v>5052</v>
      </c>
      <c r="C3330" s="1">
        <v>8885814758</v>
      </c>
      <c r="E3330" s="1" t="s">
        <v>4449</v>
      </c>
      <c r="F3330" s="95" t="s">
        <v>269</v>
      </c>
      <c r="G3330" s="2" t="s">
        <v>16</v>
      </c>
      <c r="H3330" s="2" t="s">
        <v>361</v>
      </c>
      <c r="I3330" s="4" t="s">
        <v>42</v>
      </c>
      <c r="J3330" s="31">
        <v>45840</v>
      </c>
      <c r="K3330" s="31">
        <v>45842</v>
      </c>
      <c r="L3330" s="31">
        <v>45842</v>
      </c>
      <c r="M3330" s="31">
        <v>45874</v>
      </c>
      <c r="N3330" s="31">
        <v>45874</v>
      </c>
      <c r="O3330" s="2" t="s">
        <v>297</v>
      </c>
    </row>
    <row r="3331" spans="1:15">
      <c r="A3331" s="3">
        <f t="shared" si="53"/>
        <v>3330</v>
      </c>
      <c r="B3331" s="65" t="s">
        <v>5053</v>
      </c>
      <c r="C3331" s="1">
        <v>7001982365</v>
      </c>
      <c r="D3331" s="1">
        <v>9126291877</v>
      </c>
      <c r="E3331" s="17" t="s">
        <v>828</v>
      </c>
      <c r="F3331" s="33" t="s">
        <v>329</v>
      </c>
      <c r="G3331" s="2" t="s">
        <v>424</v>
      </c>
      <c r="H3331" s="2" t="s">
        <v>162</v>
      </c>
      <c r="I3331" s="4" t="s">
        <v>94</v>
      </c>
      <c r="J3331" s="31">
        <v>45842</v>
      </c>
      <c r="K3331" s="31">
        <v>45860</v>
      </c>
      <c r="L3331" s="31"/>
      <c r="M3331" s="31"/>
      <c r="O3331" s="2" t="s">
        <v>425</v>
      </c>
    </row>
    <row r="3332" spans="1:15">
      <c r="A3332" s="3">
        <f t="shared" si="53"/>
        <v>3331</v>
      </c>
      <c r="B3332" s="65" t="s">
        <v>5054</v>
      </c>
      <c r="C3332" s="1">
        <v>9761371760</v>
      </c>
      <c r="E3332" s="17" t="s">
        <v>828</v>
      </c>
      <c r="F3332" s="33" t="s">
        <v>308</v>
      </c>
      <c r="G3332" s="2" t="s">
        <v>424</v>
      </c>
      <c r="H3332" s="2" t="s">
        <v>162</v>
      </c>
      <c r="I3332" s="4" t="s">
        <v>94</v>
      </c>
      <c r="J3332" s="31">
        <v>45842</v>
      </c>
      <c r="K3332" s="31">
        <v>45860</v>
      </c>
      <c r="L3332" s="31"/>
      <c r="M3332" s="31"/>
      <c r="O3332" s="2" t="s">
        <v>425</v>
      </c>
    </row>
    <row r="3333" spans="1:15">
      <c r="A3333" s="3">
        <f t="shared" si="53"/>
        <v>3332</v>
      </c>
      <c r="B3333" s="65" t="s">
        <v>5055</v>
      </c>
      <c r="C3333" s="1">
        <v>9102841730</v>
      </c>
      <c r="E3333" s="17" t="s">
        <v>828</v>
      </c>
      <c r="F3333" s="33" t="s">
        <v>308</v>
      </c>
      <c r="G3333" s="2" t="s">
        <v>424</v>
      </c>
      <c r="H3333" s="2" t="s">
        <v>162</v>
      </c>
      <c r="I3333" s="4" t="s">
        <v>94</v>
      </c>
      <c r="J3333" s="31">
        <v>45842</v>
      </c>
      <c r="K3333" s="31">
        <v>45860</v>
      </c>
      <c r="L3333" s="31"/>
      <c r="M3333" s="31"/>
      <c r="O3333" s="2" t="s">
        <v>425</v>
      </c>
    </row>
    <row r="3334" spans="1:15">
      <c r="A3334" s="3">
        <f t="shared" si="53"/>
        <v>3333</v>
      </c>
      <c r="B3334" s="65" t="s">
        <v>5056</v>
      </c>
      <c r="C3334" s="1">
        <v>9966213435</v>
      </c>
      <c r="D3334" s="1">
        <v>9492239291</v>
      </c>
      <c r="E3334" s="17" t="s">
        <v>124</v>
      </c>
      <c r="F3334" s="33" t="s">
        <v>443</v>
      </c>
      <c r="G3334" s="2" t="s">
        <v>416</v>
      </c>
      <c r="H3334" s="2" t="s">
        <v>3240</v>
      </c>
      <c r="I3334" s="4" t="s">
        <v>42</v>
      </c>
      <c r="J3334" s="31">
        <v>45784</v>
      </c>
      <c r="K3334" s="31">
        <v>45842</v>
      </c>
      <c r="L3334" s="31"/>
      <c r="M3334" s="31"/>
      <c r="O3334" s="2" t="s">
        <v>297</v>
      </c>
    </row>
    <row r="3335" spans="1:15">
      <c r="A3335" s="3">
        <f t="shared" si="53"/>
        <v>3334</v>
      </c>
      <c r="B3335" s="65" t="s">
        <v>5057</v>
      </c>
      <c r="C3335" s="1">
        <v>9885164739</v>
      </c>
      <c r="E3335" s="17" t="s">
        <v>121</v>
      </c>
      <c r="F3335" s="33" t="s">
        <v>4391</v>
      </c>
      <c r="G3335" s="2" t="s">
        <v>295</v>
      </c>
      <c r="H3335" s="2" t="s">
        <v>679</v>
      </c>
      <c r="I3335" s="4" t="s">
        <v>42</v>
      </c>
      <c r="J3335" s="31">
        <v>45842</v>
      </c>
      <c r="K3335" s="31">
        <v>45887</v>
      </c>
      <c r="L3335" s="31">
        <v>45897</v>
      </c>
      <c r="M3335" s="31">
        <v>45929</v>
      </c>
      <c r="O3335" s="2" t="s">
        <v>297</v>
      </c>
    </row>
    <row r="3336" spans="1:15">
      <c r="A3336" s="3">
        <f t="shared" si="53"/>
        <v>3335</v>
      </c>
      <c r="B3336" s="65" t="s">
        <v>5058</v>
      </c>
      <c r="C3336" s="1">
        <v>9885706354</v>
      </c>
      <c r="E3336" s="17" t="s">
        <v>5059</v>
      </c>
      <c r="F3336" s="33" t="s">
        <v>5060</v>
      </c>
      <c r="G3336" s="2" t="s">
        <v>1175</v>
      </c>
      <c r="H3336" s="2" t="s">
        <v>42</v>
      </c>
      <c r="I3336" s="4" t="s">
        <v>42</v>
      </c>
      <c r="J3336" s="31">
        <v>45845</v>
      </c>
      <c r="K3336" s="31"/>
      <c r="L3336" s="31"/>
      <c r="M3336" s="31"/>
      <c r="O3336" s="2" t="s">
        <v>1004</v>
      </c>
    </row>
    <row r="3337" spans="1:15">
      <c r="A3337" s="3">
        <f t="shared" si="53"/>
        <v>3336</v>
      </c>
      <c r="B3337" s="65" t="s">
        <v>5061</v>
      </c>
      <c r="C3337" s="1">
        <v>9711110386</v>
      </c>
      <c r="E3337" s="17" t="s">
        <v>5059</v>
      </c>
      <c r="F3337" s="33" t="s">
        <v>846</v>
      </c>
      <c r="G3337" s="2" t="s">
        <v>1175</v>
      </c>
      <c r="H3337" s="2" t="s">
        <v>42</v>
      </c>
      <c r="I3337" s="4" t="s">
        <v>42</v>
      </c>
      <c r="J3337" s="31">
        <v>45845</v>
      </c>
      <c r="K3337" s="31"/>
      <c r="L3337" s="31"/>
      <c r="M3337" s="31"/>
      <c r="O3337" s="2" t="s">
        <v>1004</v>
      </c>
    </row>
    <row r="3338" spans="1:15">
      <c r="A3338" s="3">
        <f t="shared" si="53"/>
        <v>3337</v>
      </c>
      <c r="B3338" s="65" t="s">
        <v>5062</v>
      </c>
      <c r="C3338" s="1">
        <v>8927853495</v>
      </c>
      <c r="E3338" s="17" t="s">
        <v>5059</v>
      </c>
      <c r="F3338" s="33" t="s">
        <v>1257</v>
      </c>
      <c r="G3338" s="2" t="s">
        <v>1175</v>
      </c>
      <c r="H3338" s="2" t="s">
        <v>42</v>
      </c>
      <c r="I3338" s="4" t="s">
        <v>42</v>
      </c>
      <c r="J3338" s="31">
        <v>45845</v>
      </c>
      <c r="K3338" s="31"/>
      <c r="L3338" s="31"/>
      <c r="M3338" s="31"/>
      <c r="O3338" s="2" t="s">
        <v>1004</v>
      </c>
    </row>
    <row r="3339" spans="1:15">
      <c r="A3339" s="3">
        <f t="shared" si="53"/>
        <v>3338</v>
      </c>
      <c r="B3339" s="65" t="s">
        <v>5063</v>
      </c>
      <c r="C3339" s="1">
        <v>9492566772</v>
      </c>
      <c r="E3339" s="17" t="s">
        <v>2176</v>
      </c>
      <c r="F3339" s="33" t="s">
        <v>5064</v>
      </c>
      <c r="G3339" s="2" t="s">
        <v>424</v>
      </c>
      <c r="H3339" s="2" t="s">
        <v>296</v>
      </c>
      <c r="I3339" s="4" t="s">
        <v>42</v>
      </c>
      <c r="J3339" s="31">
        <v>45845</v>
      </c>
      <c r="K3339" s="31">
        <v>45855</v>
      </c>
      <c r="L3339" s="31"/>
      <c r="M3339" s="31"/>
      <c r="O3339" s="2" t="s">
        <v>425</v>
      </c>
    </row>
    <row r="3340" spans="1:15">
      <c r="A3340" s="3">
        <f t="shared" si="53"/>
        <v>3339</v>
      </c>
      <c r="B3340" s="65" t="s">
        <v>5065</v>
      </c>
      <c r="C3340" s="1">
        <v>9494152063</v>
      </c>
      <c r="E3340" s="17" t="s">
        <v>2176</v>
      </c>
      <c r="F3340" s="33" t="s">
        <v>3837</v>
      </c>
      <c r="G3340" s="2" t="s">
        <v>424</v>
      </c>
      <c r="H3340" s="2" t="s">
        <v>296</v>
      </c>
      <c r="I3340" s="4" t="s">
        <v>42</v>
      </c>
      <c r="J3340" s="31">
        <v>45845</v>
      </c>
      <c r="K3340" s="31">
        <v>45860</v>
      </c>
      <c r="L3340" s="31"/>
      <c r="M3340" s="31"/>
      <c r="O3340" s="2" t="s">
        <v>425</v>
      </c>
    </row>
    <row r="3341" spans="1:15">
      <c r="A3341" s="3">
        <f t="shared" si="53"/>
        <v>3340</v>
      </c>
      <c r="B3341" s="65" t="s">
        <v>5066</v>
      </c>
      <c r="C3341" s="1">
        <v>9437928832</v>
      </c>
      <c r="E3341" s="17" t="s">
        <v>4558</v>
      </c>
      <c r="F3341" s="33" t="s">
        <v>5067</v>
      </c>
      <c r="G3341" s="2" t="s">
        <v>16</v>
      </c>
      <c r="H3341" s="2" t="s">
        <v>42</v>
      </c>
      <c r="I3341" s="4" t="s">
        <v>88</v>
      </c>
      <c r="J3341" s="31">
        <v>45845</v>
      </c>
      <c r="K3341" s="31">
        <v>45860</v>
      </c>
      <c r="L3341" s="31">
        <v>45861</v>
      </c>
      <c r="M3341" s="31">
        <v>45901</v>
      </c>
      <c r="N3341" s="31">
        <v>45901</v>
      </c>
      <c r="O3341" s="2" t="s">
        <v>297</v>
      </c>
    </row>
    <row r="3342" spans="1:15">
      <c r="A3342" s="3">
        <f t="shared" si="53"/>
        <v>3341</v>
      </c>
      <c r="B3342" s="65" t="s">
        <v>5068</v>
      </c>
      <c r="C3342" s="1">
        <v>9392703282</v>
      </c>
      <c r="E3342" s="17" t="s">
        <v>4570</v>
      </c>
      <c r="F3342" s="33" t="s">
        <v>5069</v>
      </c>
      <c r="G3342" s="2" t="s">
        <v>16</v>
      </c>
      <c r="H3342" s="2" t="s">
        <v>785</v>
      </c>
      <c r="I3342" s="4" t="s">
        <v>42</v>
      </c>
      <c r="J3342" s="31">
        <v>45845</v>
      </c>
      <c r="K3342" s="31">
        <v>45911</v>
      </c>
      <c r="L3342" s="31">
        <v>45923</v>
      </c>
      <c r="M3342" s="31">
        <v>45972</v>
      </c>
      <c r="N3342" s="31">
        <v>45964</v>
      </c>
      <c r="O3342" s="2" t="s">
        <v>297</v>
      </c>
    </row>
    <row r="3343" spans="1:15">
      <c r="A3343" s="3">
        <f t="shared" si="53"/>
        <v>3342</v>
      </c>
      <c r="B3343" s="65" t="s">
        <v>5070</v>
      </c>
      <c r="C3343" s="1">
        <v>8309177412</v>
      </c>
      <c r="E3343" s="17" t="s">
        <v>4963</v>
      </c>
      <c r="F3343" s="33" t="s">
        <v>5071</v>
      </c>
      <c r="G3343" s="2" t="s">
        <v>764</v>
      </c>
      <c r="H3343" s="6" t="s">
        <v>3240</v>
      </c>
      <c r="I3343" s="4" t="s">
        <v>42</v>
      </c>
      <c r="J3343" s="31">
        <v>45845</v>
      </c>
      <c r="K3343" s="31">
        <v>45856</v>
      </c>
      <c r="L3343" s="31"/>
      <c r="M3343" s="31"/>
      <c r="O3343" s="2" t="s">
        <v>425</v>
      </c>
    </row>
    <row r="3344" spans="1:15">
      <c r="A3344" s="3">
        <f t="shared" si="53"/>
        <v>3343</v>
      </c>
      <c r="B3344" s="65" t="s">
        <v>5072</v>
      </c>
      <c r="C3344" s="1">
        <v>8978272593</v>
      </c>
      <c r="E3344" s="17" t="s">
        <v>3226</v>
      </c>
      <c r="F3344" s="33" t="s">
        <v>2144</v>
      </c>
      <c r="G3344" s="2" t="s">
        <v>424</v>
      </c>
      <c r="H3344" s="2" t="s">
        <v>2425</v>
      </c>
      <c r="I3344" s="4" t="s">
        <v>42</v>
      </c>
      <c r="J3344" s="31">
        <v>45845</v>
      </c>
      <c r="K3344" s="31">
        <v>45863</v>
      </c>
      <c r="L3344" s="31"/>
      <c r="M3344" s="31"/>
      <c r="O3344" s="2" t="s">
        <v>425</v>
      </c>
    </row>
    <row r="3345" spans="1:15">
      <c r="A3345" s="3">
        <f t="shared" si="53"/>
        <v>3344</v>
      </c>
      <c r="B3345" s="65" t="s">
        <v>5073</v>
      </c>
      <c r="C3345" s="1">
        <v>6302244243</v>
      </c>
      <c r="E3345" s="17" t="s">
        <v>3767</v>
      </c>
      <c r="F3345" s="33" t="s">
        <v>5074</v>
      </c>
      <c r="G3345" s="2" t="s">
        <v>16</v>
      </c>
      <c r="H3345" s="2" t="s">
        <v>42</v>
      </c>
      <c r="I3345" s="4" t="s">
        <v>42</v>
      </c>
      <c r="J3345" s="31">
        <v>45846</v>
      </c>
      <c r="K3345" s="31">
        <v>45856</v>
      </c>
      <c r="L3345" s="31">
        <v>45856</v>
      </c>
      <c r="M3345" s="31">
        <v>45879</v>
      </c>
      <c r="N3345" s="31">
        <v>45878</v>
      </c>
      <c r="O3345" s="2" t="s">
        <v>297</v>
      </c>
    </row>
    <row r="3346" spans="1:15">
      <c r="A3346" s="3">
        <f t="shared" si="53"/>
        <v>3345</v>
      </c>
      <c r="B3346" s="65" t="s">
        <v>5075</v>
      </c>
      <c r="C3346" s="1">
        <v>9533895688</v>
      </c>
      <c r="E3346" s="17" t="s">
        <v>4968</v>
      </c>
      <c r="F3346" s="33" t="s">
        <v>5076</v>
      </c>
      <c r="G3346" s="2" t="s">
        <v>424</v>
      </c>
      <c r="H3346" s="2" t="s">
        <v>162</v>
      </c>
      <c r="I3346" s="4" t="s">
        <v>42</v>
      </c>
      <c r="J3346" s="31">
        <v>45846</v>
      </c>
      <c r="K3346" s="31">
        <v>45860</v>
      </c>
      <c r="L3346" s="31"/>
      <c r="M3346" s="31"/>
      <c r="O3346" s="2" t="s">
        <v>425</v>
      </c>
    </row>
    <row r="3347" spans="1:15">
      <c r="A3347" s="3">
        <f t="shared" si="53"/>
        <v>3346</v>
      </c>
      <c r="B3347" s="65" t="s">
        <v>5077</v>
      </c>
      <c r="C3347" s="1">
        <v>9491114007</v>
      </c>
      <c r="D3347" s="1">
        <v>9000396007</v>
      </c>
      <c r="E3347" s="17" t="s">
        <v>52</v>
      </c>
      <c r="F3347" s="33" t="s">
        <v>683</v>
      </c>
      <c r="G3347" s="2" t="s">
        <v>424</v>
      </c>
      <c r="H3347" s="2" t="s">
        <v>679</v>
      </c>
      <c r="I3347" s="4" t="s">
        <v>42</v>
      </c>
      <c r="J3347" s="31">
        <v>45846</v>
      </c>
      <c r="K3347" s="31">
        <v>45848</v>
      </c>
      <c r="L3347" s="31"/>
      <c r="M3347" s="31"/>
      <c r="O3347" s="2" t="s">
        <v>425</v>
      </c>
    </row>
    <row r="3348" spans="1:15">
      <c r="A3348" s="3">
        <f t="shared" si="53"/>
        <v>3347</v>
      </c>
      <c r="B3348" s="65" t="s">
        <v>5078</v>
      </c>
      <c r="C3348" s="1">
        <v>9959143585</v>
      </c>
      <c r="E3348" s="17" t="s">
        <v>118</v>
      </c>
      <c r="F3348" s="33" t="s">
        <v>5079</v>
      </c>
      <c r="G3348" s="2" t="s">
        <v>708</v>
      </c>
      <c r="H3348" s="2" t="s">
        <v>679</v>
      </c>
      <c r="I3348" s="4" t="s">
        <v>42</v>
      </c>
      <c r="J3348" s="31">
        <v>45846</v>
      </c>
      <c r="K3348" s="31">
        <v>45849</v>
      </c>
      <c r="L3348" s="31"/>
      <c r="M3348" s="31"/>
      <c r="O3348" s="2" t="s">
        <v>297</v>
      </c>
    </row>
    <row r="3349" spans="1:15">
      <c r="A3349" s="3">
        <f t="shared" si="53"/>
        <v>3348</v>
      </c>
      <c r="B3349" s="65" t="s">
        <v>5080</v>
      </c>
      <c r="C3349" s="1">
        <v>9493693019</v>
      </c>
      <c r="D3349" s="1">
        <v>8341135799</v>
      </c>
      <c r="E3349" s="17" t="s">
        <v>118</v>
      </c>
      <c r="F3349" s="33" t="s">
        <v>5079</v>
      </c>
      <c r="G3349" s="2" t="s">
        <v>424</v>
      </c>
      <c r="H3349" s="2" t="s">
        <v>679</v>
      </c>
      <c r="I3349" s="4" t="s">
        <v>42</v>
      </c>
      <c r="J3349" s="31">
        <v>45846</v>
      </c>
      <c r="K3349" s="31">
        <v>45849</v>
      </c>
      <c r="L3349" s="31"/>
      <c r="M3349" s="31"/>
      <c r="O3349" s="2" t="s">
        <v>425</v>
      </c>
    </row>
    <row r="3350" spans="1:15">
      <c r="A3350" s="3">
        <f t="shared" si="53"/>
        <v>3349</v>
      </c>
      <c r="B3350" s="65" t="s">
        <v>5081</v>
      </c>
      <c r="C3350" s="1">
        <v>9848723481</v>
      </c>
      <c r="E3350" s="17" t="s">
        <v>121</v>
      </c>
      <c r="F3350" s="33" t="s">
        <v>5079</v>
      </c>
      <c r="G3350" s="2" t="s">
        <v>424</v>
      </c>
      <c r="H3350" s="2" t="s">
        <v>679</v>
      </c>
      <c r="I3350" s="4" t="s">
        <v>42</v>
      </c>
      <c r="J3350" s="31">
        <v>45846</v>
      </c>
      <c r="K3350" s="31">
        <v>45856</v>
      </c>
      <c r="L3350" s="31"/>
      <c r="M3350" s="31"/>
      <c r="O3350" s="2" t="s">
        <v>425</v>
      </c>
    </row>
    <row r="3351" spans="1:15">
      <c r="A3351" s="3">
        <f t="shared" si="53"/>
        <v>3350</v>
      </c>
      <c r="B3351" s="65" t="s">
        <v>5082</v>
      </c>
      <c r="C3351" s="1">
        <v>9493217215</v>
      </c>
      <c r="E3351" s="17" t="s">
        <v>4505</v>
      </c>
      <c r="F3351" s="33" t="s">
        <v>5083</v>
      </c>
      <c r="G3351" s="2" t="s">
        <v>424</v>
      </c>
      <c r="H3351" s="2" t="s">
        <v>162</v>
      </c>
      <c r="I3351" s="4" t="s">
        <v>42</v>
      </c>
      <c r="J3351" s="31">
        <v>45846</v>
      </c>
      <c r="K3351" s="31">
        <v>45887</v>
      </c>
      <c r="L3351" s="31"/>
      <c r="M3351" s="31"/>
      <c r="O3351" s="2" t="s">
        <v>425</v>
      </c>
    </row>
    <row r="3352" spans="1:15">
      <c r="A3352" s="3">
        <f t="shared" si="53"/>
        <v>3351</v>
      </c>
      <c r="B3352" s="65" t="s">
        <v>5084</v>
      </c>
      <c r="C3352" s="1">
        <v>8341168321</v>
      </c>
      <c r="E3352" s="17" t="s">
        <v>4505</v>
      </c>
      <c r="F3352" s="33" t="s">
        <v>5083</v>
      </c>
      <c r="G3352" s="2" t="s">
        <v>424</v>
      </c>
      <c r="H3352" s="2" t="s">
        <v>162</v>
      </c>
      <c r="I3352" s="4" t="s">
        <v>42</v>
      </c>
      <c r="J3352" s="31">
        <v>45846</v>
      </c>
      <c r="K3352" s="31">
        <v>45869</v>
      </c>
      <c r="L3352" s="31"/>
      <c r="M3352" s="31"/>
      <c r="O3352" s="2" t="s">
        <v>425</v>
      </c>
    </row>
    <row r="3353" spans="1:15">
      <c r="A3353" s="3">
        <f t="shared" si="53"/>
        <v>3352</v>
      </c>
      <c r="B3353" s="65" t="s">
        <v>5085</v>
      </c>
      <c r="C3353" s="1">
        <v>9666674963</v>
      </c>
      <c r="E3353" s="17" t="s">
        <v>4505</v>
      </c>
      <c r="F3353" s="33" t="s">
        <v>5083</v>
      </c>
      <c r="G3353" s="2" t="s">
        <v>424</v>
      </c>
      <c r="H3353" s="2" t="s">
        <v>162</v>
      </c>
      <c r="I3353" s="4" t="s">
        <v>42</v>
      </c>
      <c r="J3353" s="31">
        <v>45846</v>
      </c>
      <c r="K3353" s="31">
        <v>45869</v>
      </c>
      <c r="L3353" s="31"/>
      <c r="M3353" s="31"/>
      <c r="O3353" s="2" t="s">
        <v>425</v>
      </c>
    </row>
    <row r="3354" spans="1:15">
      <c r="A3354" s="3">
        <f t="shared" si="53"/>
        <v>3353</v>
      </c>
      <c r="B3354" s="65" t="s">
        <v>5086</v>
      </c>
      <c r="C3354" s="1">
        <v>9425371531</v>
      </c>
      <c r="D3354" s="1">
        <v>9926920393</v>
      </c>
      <c r="E3354" s="17" t="s">
        <v>5087</v>
      </c>
      <c r="F3354" s="33" t="s">
        <v>4473</v>
      </c>
      <c r="G3354" s="2" t="s">
        <v>295</v>
      </c>
      <c r="H3354" s="2" t="s">
        <v>4201</v>
      </c>
      <c r="I3354" s="4" t="s">
        <v>88</v>
      </c>
      <c r="J3354" s="31">
        <v>45847</v>
      </c>
      <c r="K3354" s="31">
        <v>45848</v>
      </c>
      <c r="L3354" s="31">
        <v>45849</v>
      </c>
      <c r="M3354" s="31">
        <v>45881</v>
      </c>
      <c r="O3354" s="2" t="s">
        <v>297</v>
      </c>
    </row>
    <row r="3355" spans="1:15">
      <c r="A3355" s="3">
        <f t="shared" si="53"/>
        <v>3354</v>
      </c>
      <c r="B3355" s="65" t="s">
        <v>5088</v>
      </c>
      <c r="C3355" s="1">
        <v>9775319736</v>
      </c>
      <c r="E3355" s="17" t="s">
        <v>4558</v>
      </c>
      <c r="F3355" s="33" t="s">
        <v>5089</v>
      </c>
      <c r="G3355" s="2" t="s">
        <v>295</v>
      </c>
      <c r="H3355" s="2" t="s">
        <v>42</v>
      </c>
      <c r="I3355" s="4" t="s">
        <v>42</v>
      </c>
      <c r="J3355" s="31">
        <v>45845</v>
      </c>
      <c r="K3355" s="31">
        <v>45846</v>
      </c>
      <c r="L3355" s="31">
        <v>45846</v>
      </c>
      <c r="M3355" s="31">
        <v>45903</v>
      </c>
      <c r="O3355" s="2" t="s">
        <v>297</v>
      </c>
    </row>
    <row r="3356" spans="1:15">
      <c r="A3356" s="3">
        <f t="shared" si="53"/>
        <v>3355</v>
      </c>
      <c r="B3356" s="65" t="s">
        <v>5090</v>
      </c>
      <c r="C3356" s="1">
        <v>9418985633</v>
      </c>
      <c r="D3356" s="1">
        <v>6230151868</v>
      </c>
      <c r="E3356" s="17" t="s">
        <v>2904</v>
      </c>
      <c r="F3356" s="33" t="s">
        <v>5091</v>
      </c>
      <c r="G3356" s="2" t="s">
        <v>16</v>
      </c>
      <c r="H3356" s="2"/>
      <c r="I3356" s="4"/>
      <c r="J3356" s="31"/>
      <c r="K3356" s="31"/>
      <c r="L3356" s="31"/>
      <c r="M3356" s="31"/>
      <c r="O3356" s="2" t="s">
        <v>297</v>
      </c>
    </row>
    <row r="3357" spans="1:15">
      <c r="A3357" s="3">
        <f t="shared" si="53"/>
        <v>3356</v>
      </c>
      <c r="B3357" s="65" t="s">
        <v>5092</v>
      </c>
      <c r="C3357" s="1">
        <v>9585322500</v>
      </c>
      <c r="E3357" s="17" t="s">
        <v>3999</v>
      </c>
      <c r="F3357" s="33" t="s">
        <v>5093</v>
      </c>
      <c r="G3357" s="2" t="s">
        <v>295</v>
      </c>
      <c r="H3357" s="2" t="s">
        <v>42</v>
      </c>
      <c r="I3357" s="4" t="s">
        <v>42</v>
      </c>
      <c r="J3357" s="31">
        <v>45846</v>
      </c>
      <c r="K3357" s="31">
        <v>45846</v>
      </c>
      <c r="L3357" s="31">
        <v>45846</v>
      </c>
      <c r="M3357" s="31">
        <v>45861</v>
      </c>
      <c r="O3357" s="2" t="s">
        <v>297</v>
      </c>
    </row>
    <row r="3358" spans="1:15">
      <c r="A3358" s="3">
        <f t="shared" si="53"/>
        <v>3357</v>
      </c>
      <c r="B3358" s="65" t="s">
        <v>5094</v>
      </c>
      <c r="C3358" s="1">
        <v>9177790229</v>
      </c>
      <c r="E3358" s="17" t="s">
        <v>5095</v>
      </c>
      <c r="F3358" s="33" t="s">
        <v>5096</v>
      </c>
      <c r="G3358" s="2" t="s">
        <v>16</v>
      </c>
      <c r="H3358" s="2" t="s">
        <v>3240</v>
      </c>
      <c r="I3358" s="4" t="s">
        <v>88</v>
      </c>
      <c r="J3358" s="31">
        <v>45846</v>
      </c>
      <c r="K3358" s="31">
        <v>45847</v>
      </c>
      <c r="L3358" s="31">
        <v>45848</v>
      </c>
      <c r="M3358" s="31">
        <v>45850</v>
      </c>
      <c r="N3358" s="31">
        <v>45850</v>
      </c>
      <c r="O3358" s="2" t="s">
        <v>297</v>
      </c>
    </row>
    <row r="3359" spans="1:15">
      <c r="A3359" s="3">
        <f t="shared" si="53"/>
        <v>3358</v>
      </c>
      <c r="B3359" s="65" t="s">
        <v>5097</v>
      </c>
      <c r="C3359" s="1">
        <v>7275785322</v>
      </c>
      <c r="E3359" s="17" t="s">
        <v>3339</v>
      </c>
      <c r="F3359" s="33" t="s">
        <v>2116</v>
      </c>
      <c r="G3359" s="2" t="s">
        <v>330</v>
      </c>
      <c r="H3359" s="2" t="s">
        <v>999</v>
      </c>
      <c r="I3359" s="4" t="s">
        <v>88</v>
      </c>
      <c r="J3359" s="31">
        <v>45846</v>
      </c>
      <c r="K3359" s="31">
        <v>45847</v>
      </c>
      <c r="L3359" s="31">
        <v>45848</v>
      </c>
      <c r="M3359" s="31">
        <v>45929</v>
      </c>
      <c r="O3359" s="2" t="s">
        <v>297</v>
      </c>
    </row>
    <row r="3360" spans="1:15">
      <c r="A3360" s="3">
        <f t="shared" ref="A3360:A3423" si="54">ROW()-1</f>
        <v>3359</v>
      </c>
      <c r="B3360" s="65" t="s">
        <v>5098</v>
      </c>
      <c r="C3360" s="1">
        <v>7337539950</v>
      </c>
      <c r="E3360" s="17" t="s">
        <v>3339</v>
      </c>
      <c r="F3360" s="33" t="s">
        <v>2116</v>
      </c>
      <c r="G3360" s="2" t="s">
        <v>16</v>
      </c>
      <c r="H3360" s="2" t="s">
        <v>999</v>
      </c>
      <c r="I3360" s="4" t="s">
        <v>88</v>
      </c>
      <c r="J3360" s="31">
        <v>45846</v>
      </c>
      <c r="K3360" s="31">
        <v>45847</v>
      </c>
      <c r="L3360" s="31">
        <v>45848</v>
      </c>
      <c r="M3360" s="31">
        <v>45880</v>
      </c>
      <c r="N3360" s="31">
        <v>45880</v>
      </c>
      <c r="O3360" s="2" t="s">
        <v>297</v>
      </c>
    </row>
    <row r="3361" spans="1:15">
      <c r="A3361" s="3">
        <f t="shared" si="54"/>
        <v>3360</v>
      </c>
      <c r="B3361" s="65" t="s">
        <v>5099</v>
      </c>
      <c r="C3361" s="1">
        <v>9875639059</v>
      </c>
      <c r="D3361" s="1">
        <v>8942000000</v>
      </c>
      <c r="E3361" s="17" t="s">
        <v>3339</v>
      </c>
      <c r="F3361" s="33" t="s">
        <v>2116</v>
      </c>
      <c r="G3361" s="2" t="s">
        <v>295</v>
      </c>
      <c r="H3361" s="2" t="s">
        <v>999</v>
      </c>
      <c r="I3361" s="4" t="s">
        <v>88</v>
      </c>
      <c r="J3361" s="31">
        <v>45846</v>
      </c>
      <c r="K3361" s="31">
        <v>45847</v>
      </c>
      <c r="L3361" s="31">
        <v>45848</v>
      </c>
      <c r="M3361" s="31">
        <v>45880</v>
      </c>
      <c r="O3361" s="2" t="s">
        <v>297</v>
      </c>
    </row>
    <row r="3362" spans="1:15">
      <c r="A3362" s="3">
        <f t="shared" si="54"/>
        <v>3361</v>
      </c>
      <c r="B3362" s="65" t="s">
        <v>5100</v>
      </c>
      <c r="C3362" s="1">
        <v>9618390581</v>
      </c>
      <c r="E3362" s="17" t="s">
        <v>2854</v>
      </c>
      <c r="F3362" s="33" t="s">
        <v>5101</v>
      </c>
      <c r="G3362" s="2" t="s">
        <v>416</v>
      </c>
      <c r="H3362" s="2" t="s">
        <v>815</v>
      </c>
      <c r="I3362" s="4" t="s">
        <v>42</v>
      </c>
      <c r="J3362" s="31">
        <v>45849</v>
      </c>
      <c r="K3362" s="31">
        <v>45856</v>
      </c>
      <c r="L3362" s="31"/>
      <c r="M3362" s="31"/>
      <c r="O3362" s="2" t="s">
        <v>297</v>
      </c>
    </row>
    <row r="3363" spans="1:15">
      <c r="A3363" s="3">
        <f t="shared" si="54"/>
        <v>3362</v>
      </c>
      <c r="B3363" s="65" t="s">
        <v>5102</v>
      </c>
      <c r="C3363" s="1">
        <v>9908437644</v>
      </c>
      <c r="E3363" s="17" t="s">
        <v>2854</v>
      </c>
      <c r="F3363" s="33" t="s">
        <v>1767</v>
      </c>
      <c r="G3363" s="2" t="s">
        <v>416</v>
      </c>
      <c r="H3363" s="2" t="s">
        <v>815</v>
      </c>
      <c r="I3363" s="4" t="s">
        <v>42</v>
      </c>
      <c r="J3363" s="31">
        <v>45849</v>
      </c>
      <c r="K3363" s="31">
        <v>45863</v>
      </c>
      <c r="L3363" s="31"/>
      <c r="M3363" s="31"/>
      <c r="O3363" s="2" t="s">
        <v>297</v>
      </c>
    </row>
    <row r="3364" spans="1:15">
      <c r="A3364" s="3">
        <f t="shared" si="54"/>
        <v>3363</v>
      </c>
      <c r="B3364" s="65" t="s">
        <v>5103</v>
      </c>
      <c r="C3364" s="1">
        <v>7032822469</v>
      </c>
      <c r="E3364" s="17" t="s">
        <v>141</v>
      </c>
      <c r="F3364" s="33" t="s">
        <v>1827</v>
      </c>
      <c r="G3364" s="2" t="s">
        <v>16</v>
      </c>
      <c r="H3364" s="2" t="s">
        <v>815</v>
      </c>
      <c r="I3364" s="4" t="s">
        <v>42</v>
      </c>
      <c r="J3364" s="31">
        <v>45849</v>
      </c>
      <c r="K3364" s="31">
        <v>45863</v>
      </c>
      <c r="L3364" s="31">
        <v>45868</v>
      </c>
      <c r="M3364" s="31">
        <v>45883</v>
      </c>
      <c r="N3364" s="31">
        <v>45887</v>
      </c>
      <c r="O3364" s="2" t="s">
        <v>297</v>
      </c>
    </row>
    <row r="3365" spans="1:15">
      <c r="A3365" s="3">
        <f t="shared" si="54"/>
        <v>3364</v>
      </c>
      <c r="B3365" s="65" t="s">
        <v>5104</v>
      </c>
      <c r="C3365" s="1">
        <v>9110585841</v>
      </c>
      <c r="E3365" s="17" t="s">
        <v>542</v>
      </c>
      <c r="F3365" s="33" t="s">
        <v>5105</v>
      </c>
      <c r="G3365" s="2" t="s">
        <v>16</v>
      </c>
      <c r="H3365" s="2" t="s">
        <v>41</v>
      </c>
      <c r="I3365" s="4" t="s">
        <v>42</v>
      </c>
      <c r="J3365" s="31">
        <v>45532</v>
      </c>
      <c r="K3365" s="31">
        <v>45533</v>
      </c>
      <c r="L3365" s="31">
        <v>45535</v>
      </c>
      <c r="M3365" s="31">
        <v>45627</v>
      </c>
      <c r="N3365" s="31">
        <v>45627</v>
      </c>
      <c r="O3365" s="2" t="s">
        <v>297</v>
      </c>
    </row>
    <row r="3366" spans="1:15">
      <c r="A3366" s="3">
        <f t="shared" si="54"/>
        <v>3365</v>
      </c>
      <c r="B3366" s="65" t="s">
        <v>5106</v>
      </c>
      <c r="C3366" s="1">
        <v>9133230999</v>
      </c>
      <c r="E3366" s="17" t="s">
        <v>4449</v>
      </c>
      <c r="F3366" s="33" t="s">
        <v>5107</v>
      </c>
      <c r="G3366" s="2" t="s">
        <v>16</v>
      </c>
      <c r="H3366" s="2" t="s">
        <v>361</v>
      </c>
      <c r="I3366" s="4" t="s">
        <v>42</v>
      </c>
      <c r="J3366" s="31">
        <v>45845</v>
      </c>
      <c r="K3366" s="31">
        <v>45847</v>
      </c>
      <c r="L3366" s="31">
        <v>45849</v>
      </c>
      <c r="M3366" s="31">
        <v>45887</v>
      </c>
      <c r="N3366" s="31">
        <v>45887</v>
      </c>
      <c r="O3366" s="2" t="s">
        <v>297</v>
      </c>
    </row>
    <row r="3367" spans="1:15">
      <c r="A3367" s="3">
        <f t="shared" si="54"/>
        <v>3366</v>
      </c>
      <c r="B3367" s="65" t="s">
        <v>5108</v>
      </c>
      <c r="C3367" s="1">
        <v>7013286191</v>
      </c>
      <c r="E3367" s="17" t="s">
        <v>5109</v>
      </c>
      <c r="F3367" s="33" t="s">
        <v>5110</v>
      </c>
      <c r="G3367" s="2" t="s">
        <v>16</v>
      </c>
      <c r="H3367" s="2" t="s">
        <v>815</v>
      </c>
      <c r="I3367" s="4" t="s">
        <v>94</v>
      </c>
      <c r="J3367" s="31">
        <v>45852</v>
      </c>
      <c r="K3367" s="31">
        <v>45854</v>
      </c>
      <c r="L3367" s="31">
        <v>45861</v>
      </c>
      <c r="M3367" s="31">
        <v>45887</v>
      </c>
      <c r="N3367" s="31">
        <v>45867</v>
      </c>
      <c r="O3367" s="2" t="s">
        <v>297</v>
      </c>
    </row>
    <row r="3368" spans="1:15">
      <c r="A3368" s="3">
        <f t="shared" si="54"/>
        <v>3367</v>
      </c>
      <c r="B3368" s="65" t="s">
        <v>2299</v>
      </c>
      <c r="C3368" s="1">
        <v>6300360131</v>
      </c>
      <c r="E3368" s="17" t="s">
        <v>141</v>
      </c>
      <c r="F3368" s="33" t="s">
        <v>303</v>
      </c>
      <c r="G3368" s="2" t="s">
        <v>764</v>
      </c>
      <c r="H3368" s="2" t="s">
        <v>815</v>
      </c>
      <c r="I3368" s="4" t="s">
        <v>42</v>
      </c>
      <c r="J3368" s="31">
        <v>45852</v>
      </c>
      <c r="K3368" s="31">
        <v>45863</v>
      </c>
      <c r="L3368" s="31"/>
      <c r="M3368" s="31"/>
      <c r="N3368" s="31"/>
      <c r="O3368" s="2" t="s">
        <v>425</v>
      </c>
    </row>
    <row r="3369" spans="1:15">
      <c r="A3369" s="3">
        <f t="shared" si="54"/>
        <v>3368</v>
      </c>
      <c r="B3369" s="65" t="s">
        <v>5111</v>
      </c>
      <c r="C3369" s="1">
        <v>9871163185</v>
      </c>
      <c r="E3369" s="17" t="s">
        <v>4691</v>
      </c>
      <c r="F3369" s="33" t="s">
        <v>5112</v>
      </c>
      <c r="G3369" s="2" t="s">
        <v>424</v>
      </c>
      <c r="H3369" s="2" t="s">
        <v>4693</v>
      </c>
      <c r="I3369" s="4" t="s">
        <v>42</v>
      </c>
      <c r="J3369" s="31">
        <v>45852</v>
      </c>
      <c r="K3369" s="31">
        <v>45856</v>
      </c>
      <c r="L3369" s="31"/>
      <c r="M3369" s="31"/>
      <c r="N3369" s="31"/>
      <c r="O3369" s="2" t="s">
        <v>749</v>
      </c>
    </row>
    <row r="3370" spans="1:15">
      <c r="A3370" s="3">
        <f t="shared" si="54"/>
        <v>3369</v>
      </c>
      <c r="B3370" s="65" t="s">
        <v>5113</v>
      </c>
      <c r="C3370" s="1">
        <v>7017210683</v>
      </c>
      <c r="E3370" s="17" t="s">
        <v>4691</v>
      </c>
      <c r="F3370" s="33" t="s">
        <v>5112</v>
      </c>
      <c r="G3370" s="2" t="s">
        <v>424</v>
      </c>
      <c r="H3370" s="2" t="s">
        <v>4693</v>
      </c>
      <c r="I3370" s="4" t="s">
        <v>42</v>
      </c>
      <c r="J3370" s="31">
        <v>45852</v>
      </c>
      <c r="K3370" s="31">
        <v>45856</v>
      </c>
      <c r="L3370" s="31"/>
      <c r="M3370" s="31"/>
      <c r="N3370" s="31"/>
      <c r="O3370" s="2" t="s">
        <v>749</v>
      </c>
    </row>
    <row r="3371" spans="1:15">
      <c r="A3371" s="3">
        <f t="shared" si="54"/>
        <v>3370</v>
      </c>
      <c r="B3371" s="65" t="s">
        <v>5114</v>
      </c>
      <c r="C3371" s="1">
        <v>6301243442</v>
      </c>
      <c r="E3371" s="17" t="s">
        <v>141</v>
      </c>
      <c r="F3371" s="33" t="s">
        <v>825</v>
      </c>
      <c r="G3371" s="2" t="s">
        <v>764</v>
      </c>
      <c r="H3371" s="2" t="s">
        <v>815</v>
      </c>
      <c r="I3371" s="4" t="s">
        <v>88</v>
      </c>
      <c r="J3371" s="31">
        <v>45852</v>
      </c>
      <c r="K3371" s="31">
        <v>45861</v>
      </c>
      <c r="L3371" s="31"/>
      <c r="M3371" s="31"/>
      <c r="N3371" s="31"/>
      <c r="O3371" s="2" t="s">
        <v>425</v>
      </c>
    </row>
    <row r="3372" spans="1:15">
      <c r="A3372" s="3">
        <f t="shared" si="54"/>
        <v>3371</v>
      </c>
      <c r="B3372" s="65" t="s">
        <v>5115</v>
      </c>
      <c r="C3372" s="1">
        <v>7987761683</v>
      </c>
      <c r="D3372" s="1">
        <v>7381537414</v>
      </c>
      <c r="E3372" s="17" t="s">
        <v>390</v>
      </c>
      <c r="F3372" s="33" t="s">
        <v>569</v>
      </c>
      <c r="G3372" s="2" t="s">
        <v>16</v>
      </c>
      <c r="H3372" s="2" t="s">
        <v>357</v>
      </c>
      <c r="I3372" s="4" t="s">
        <v>94</v>
      </c>
      <c r="J3372" s="31">
        <v>45852</v>
      </c>
      <c r="K3372" s="31">
        <v>45853</v>
      </c>
      <c r="L3372" s="31">
        <v>45856</v>
      </c>
      <c r="M3372" s="31">
        <v>45887</v>
      </c>
      <c r="N3372" s="31">
        <v>45890</v>
      </c>
      <c r="O3372" s="2" t="s">
        <v>297</v>
      </c>
    </row>
    <row r="3373" spans="1:15">
      <c r="A3373" s="3">
        <f t="shared" si="54"/>
        <v>3372</v>
      </c>
      <c r="B3373" s="65" t="s">
        <v>5116</v>
      </c>
      <c r="C3373" s="1">
        <v>9123228783</v>
      </c>
      <c r="E3373" s="17" t="s">
        <v>390</v>
      </c>
      <c r="F3373" s="33" t="s">
        <v>569</v>
      </c>
      <c r="G3373" s="2" t="s">
        <v>295</v>
      </c>
      <c r="H3373" s="2" t="s">
        <v>357</v>
      </c>
      <c r="I3373" s="4" t="s">
        <v>94</v>
      </c>
      <c r="J3373" s="31">
        <v>45852</v>
      </c>
      <c r="K3373" s="31">
        <v>45853</v>
      </c>
      <c r="L3373" s="31">
        <v>45856</v>
      </c>
      <c r="M3373" s="31">
        <v>45915</v>
      </c>
      <c r="N3373" s="31"/>
      <c r="O3373" s="2" t="s">
        <v>297</v>
      </c>
    </row>
    <row r="3374" spans="1:15">
      <c r="A3374" s="3">
        <f t="shared" si="54"/>
        <v>3373</v>
      </c>
      <c r="B3374" s="65" t="s">
        <v>5117</v>
      </c>
      <c r="C3374" s="1">
        <v>9023339455</v>
      </c>
      <c r="D3374" s="1">
        <v>8967497870</v>
      </c>
      <c r="E3374" s="17" t="s">
        <v>392</v>
      </c>
      <c r="F3374" s="33" t="s">
        <v>308</v>
      </c>
      <c r="G3374" s="2" t="s">
        <v>330</v>
      </c>
      <c r="H3374" s="2" t="s">
        <v>357</v>
      </c>
      <c r="I3374" s="4" t="s">
        <v>94</v>
      </c>
      <c r="J3374" s="31">
        <v>45852</v>
      </c>
      <c r="K3374" s="31">
        <v>45854</v>
      </c>
      <c r="L3374" s="31">
        <v>45861</v>
      </c>
      <c r="M3374" s="31">
        <v>45892</v>
      </c>
      <c r="N3374" s="31"/>
      <c r="O3374" s="2" t="s">
        <v>297</v>
      </c>
    </row>
    <row r="3375" spans="1:15">
      <c r="A3375" s="3">
        <f t="shared" si="54"/>
        <v>3374</v>
      </c>
      <c r="B3375" s="65" t="s">
        <v>5118</v>
      </c>
      <c r="C3375" s="1">
        <v>7067074631</v>
      </c>
      <c r="E3375" s="17" t="s">
        <v>392</v>
      </c>
      <c r="F3375" s="33" t="s">
        <v>569</v>
      </c>
      <c r="G3375" s="2" t="s">
        <v>16</v>
      </c>
      <c r="H3375" s="2" t="s">
        <v>357</v>
      </c>
      <c r="I3375" s="4" t="s">
        <v>94</v>
      </c>
      <c r="J3375" s="31">
        <v>45852</v>
      </c>
      <c r="K3375" s="31">
        <v>45858</v>
      </c>
      <c r="L3375" s="31">
        <v>45867</v>
      </c>
      <c r="M3375" s="31">
        <v>45898</v>
      </c>
      <c r="N3375" s="31">
        <v>45904</v>
      </c>
      <c r="O3375" s="2" t="s">
        <v>297</v>
      </c>
    </row>
    <row r="3376" spans="1:15">
      <c r="A3376" s="3">
        <f t="shared" si="54"/>
        <v>3375</v>
      </c>
      <c r="B3376" s="65" t="s">
        <v>5119</v>
      </c>
      <c r="C3376" s="1">
        <v>6281588673</v>
      </c>
      <c r="E3376" s="17" t="s">
        <v>5109</v>
      </c>
      <c r="F3376" s="33" t="s">
        <v>1555</v>
      </c>
      <c r="G3376" s="2" t="s">
        <v>764</v>
      </c>
      <c r="H3376" s="2" t="s">
        <v>815</v>
      </c>
      <c r="I3376" s="4" t="s">
        <v>94</v>
      </c>
      <c r="J3376" s="31">
        <v>45853</v>
      </c>
      <c r="K3376" s="31">
        <v>45863</v>
      </c>
      <c r="L3376" s="31"/>
      <c r="M3376" s="31"/>
      <c r="N3376" s="31"/>
      <c r="O3376" s="2" t="s">
        <v>425</v>
      </c>
    </row>
    <row r="3377" spans="1:15">
      <c r="A3377" s="3">
        <f t="shared" si="54"/>
        <v>3376</v>
      </c>
      <c r="B3377" s="65" t="s">
        <v>5120</v>
      </c>
      <c r="C3377" s="1">
        <v>7735807406</v>
      </c>
      <c r="E3377" s="17" t="s">
        <v>141</v>
      </c>
      <c r="F3377" s="33" t="s">
        <v>1555</v>
      </c>
      <c r="G3377" s="2" t="s">
        <v>764</v>
      </c>
      <c r="H3377" s="2" t="s">
        <v>815</v>
      </c>
      <c r="I3377" s="4" t="s">
        <v>88</v>
      </c>
      <c r="J3377" s="31">
        <v>45853</v>
      </c>
      <c r="K3377" s="31">
        <v>45861</v>
      </c>
      <c r="L3377" s="31"/>
      <c r="M3377" s="31"/>
      <c r="N3377" s="31"/>
      <c r="O3377" s="2" t="s">
        <v>425</v>
      </c>
    </row>
    <row r="3378" spans="1:15">
      <c r="A3378" s="3">
        <f t="shared" si="54"/>
        <v>3377</v>
      </c>
      <c r="B3378" s="65" t="s">
        <v>5121</v>
      </c>
      <c r="C3378" s="1">
        <v>8978537769</v>
      </c>
      <c r="E3378" s="17" t="s">
        <v>141</v>
      </c>
      <c r="F3378" s="33" t="s">
        <v>1555</v>
      </c>
      <c r="G3378" s="2" t="s">
        <v>16</v>
      </c>
      <c r="H3378" s="2" t="s">
        <v>815</v>
      </c>
      <c r="I3378" s="4" t="s">
        <v>88</v>
      </c>
      <c r="J3378" s="31">
        <v>45853</v>
      </c>
      <c r="K3378" s="31">
        <v>45856</v>
      </c>
      <c r="L3378" s="31">
        <v>45877</v>
      </c>
      <c r="M3378" s="31">
        <v>45908</v>
      </c>
      <c r="N3378" s="31">
        <v>45913</v>
      </c>
      <c r="O3378" s="2" t="s">
        <v>297</v>
      </c>
    </row>
    <row r="3379" spans="1:15">
      <c r="A3379" s="3">
        <f t="shared" si="54"/>
        <v>3378</v>
      </c>
      <c r="B3379" s="65" t="s">
        <v>5122</v>
      </c>
      <c r="C3379" s="1">
        <v>9963641039</v>
      </c>
      <c r="E3379" s="17" t="s">
        <v>141</v>
      </c>
      <c r="F3379" s="33" t="s">
        <v>5123</v>
      </c>
      <c r="G3379" s="2" t="s">
        <v>764</v>
      </c>
      <c r="H3379" s="2" t="s">
        <v>815</v>
      </c>
      <c r="I3379" s="4" t="s">
        <v>88</v>
      </c>
      <c r="J3379" s="31">
        <v>45853</v>
      </c>
      <c r="K3379" s="31">
        <v>45861</v>
      </c>
      <c r="L3379" s="31"/>
      <c r="M3379" s="31"/>
      <c r="N3379" s="31"/>
      <c r="O3379" s="2" t="s">
        <v>425</v>
      </c>
    </row>
    <row r="3380" spans="1:15">
      <c r="A3380" s="3">
        <f t="shared" si="54"/>
        <v>3379</v>
      </c>
      <c r="B3380" s="65" t="s">
        <v>5124</v>
      </c>
      <c r="C3380" s="1">
        <v>9550330810</v>
      </c>
      <c r="E3380" s="17" t="s">
        <v>141</v>
      </c>
      <c r="F3380" s="33" t="s">
        <v>1555</v>
      </c>
      <c r="G3380" s="2" t="s">
        <v>16</v>
      </c>
      <c r="H3380" s="2" t="s">
        <v>815</v>
      </c>
      <c r="I3380" s="4" t="s">
        <v>88</v>
      </c>
      <c r="J3380" s="31">
        <v>45853</v>
      </c>
      <c r="K3380" s="31">
        <v>45856</v>
      </c>
      <c r="L3380" s="31">
        <v>45861</v>
      </c>
      <c r="M3380" s="31">
        <v>45892</v>
      </c>
      <c r="N3380" s="31">
        <v>45894</v>
      </c>
      <c r="O3380" s="2" t="s">
        <v>297</v>
      </c>
    </row>
    <row r="3381" spans="1:15">
      <c r="A3381" s="3">
        <f t="shared" si="54"/>
        <v>3380</v>
      </c>
      <c r="B3381" s="65" t="s">
        <v>3403</v>
      </c>
      <c r="C3381" s="1">
        <v>8115550986</v>
      </c>
      <c r="E3381" s="17" t="s">
        <v>5125</v>
      </c>
      <c r="F3381" s="33" t="s">
        <v>5126</v>
      </c>
      <c r="G3381" s="2" t="s">
        <v>416</v>
      </c>
      <c r="H3381" s="2" t="s">
        <v>487</v>
      </c>
      <c r="I3381" s="4" t="s">
        <v>88</v>
      </c>
      <c r="J3381" s="31">
        <v>45853</v>
      </c>
      <c r="K3381" s="31">
        <v>45856</v>
      </c>
      <c r="L3381" s="31"/>
      <c r="M3381" s="31"/>
      <c r="N3381" s="31"/>
      <c r="O3381" s="2" t="s">
        <v>297</v>
      </c>
    </row>
    <row r="3382" spans="1:15">
      <c r="A3382" s="3">
        <f t="shared" si="54"/>
        <v>3381</v>
      </c>
      <c r="B3382" s="65" t="s">
        <v>5127</v>
      </c>
      <c r="C3382" s="1">
        <v>9155104202</v>
      </c>
      <c r="E3382" s="17" t="s">
        <v>5125</v>
      </c>
      <c r="F3382" s="33" t="s">
        <v>5126</v>
      </c>
      <c r="G3382" s="2" t="s">
        <v>424</v>
      </c>
      <c r="H3382" s="2" t="s">
        <v>487</v>
      </c>
      <c r="I3382" s="4" t="s">
        <v>88</v>
      </c>
      <c r="J3382" s="31">
        <v>45853</v>
      </c>
      <c r="K3382" s="31">
        <v>45856</v>
      </c>
      <c r="L3382" s="31"/>
      <c r="M3382" s="31"/>
      <c r="N3382" s="31"/>
      <c r="O3382" s="2" t="s">
        <v>425</v>
      </c>
    </row>
    <row r="3383" spans="1:15">
      <c r="A3383" s="3">
        <f t="shared" si="54"/>
        <v>3382</v>
      </c>
      <c r="B3383" s="65" t="s">
        <v>5128</v>
      </c>
      <c r="C3383" s="1">
        <v>6205824952</v>
      </c>
      <c r="E3383" s="17" t="s">
        <v>5129</v>
      </c>
      <c r="F3383" s="33" t="s">
        <v>5130</v>
      </c>
      <c r="G3383" s="2" t="s">
        <v>424</v>
      </c>
      <c r="H3383" s="2" t="s">
        <v>487</v>
      </c>
      <c r="I3383" s="4" t="s">
        <v>88</v>
      </c>
      <c r="J3383" s="31">
        <v>45853</v>
      </c>
      <c r="K3383" s="31">
        <v>45856</v>
      </c>
      <c r="L3383" s="31"/>
      <c r="M3383" s="31"/>
      <c r="N3383" s="31"/>
      <c r="O3383" s="2" t="s">
        <v>425</v>
      </c>
    </row>
    <row r="3384" spans="1:15">
      <c r="A3384" s="3">
        <f t="shared" si="54"/>
        <v>3383</v>
      </c>
      <c r="B3384" s="65" t="s">
        <v>5131</v>
      </c>
      <c r="C3384" s="1">
        <v>9816727009</v>
      </c>
      <c r="E3384" s="17" t="s">
        <v>5125</v>
      </c>
      <c r="F3384" s="33" t="s">
        <v>5126</v>
      </c>
      <c r="G3384" s="2" t="s">
        <v>424</v>
      </c>
      <c r="H3384" s="2" t="s">
        <v>487</v>
      </c>
      <c r="I3384" s="4" t="s">
        <v>88</v>
      </c>
      <c r="J3384" s="31">
        <v>45853</v>
      </c>
      <c r="K3384" s="31">
        <v>45880</v>
      </c>
      <c r="L3384" s="31"/>
      <c r="M3384" s="31"/>
      <c r="N3384" s="31"/>
      <c r="O3384" s="2" t="s">
        <v>425</v>
      </c>
    </row>
    <row r="3385" spans="1:15">
      <c r="A3385" s="3">
        <f t="shared" si="54"/>
        <v>3384</v>
      </c>
      <c r="B3385" s="65" t="s">
        <v>5132</v>
      </c>
      <c r="C3385" s="1">
        <v>8101484927</v>
      </c>
      <c r="E3385" s="17" t="s">
        <v>5133</v>
      </c>
      <c r="F3385" s="33" t="s">
        <v>5126</v>
      </c>
      <c r="G3385" s="2" t="s">
        <v>424</v>
      </c>
      <c r="H3385" s="2" t="s">
        <v>487</v>
      </c>
      <c r="I3385" s="4" t="s">
        <v>88</v>
      </c>
      <c r="J3385" s="31">
        <v>45853</v>
      </c>
      <c r="K3385" s="31">
        <v>45856</v>
      </c>
      <c r="L3385" s="31"/>
      <c r="M3385" s="31"/>
      <c r="N3385" s="31"/>
      <c r="O3385" s="2" t="s">
        <v>425</v>
      </c>
    </row>
    <row r="3386" spans="1:15">
      <c r="A3386" s="3">
        <f t="shared" si="54"/>
        <v>3385</v>
      </c>
      <c r="B3386" s="65" t="s">
        <v>3637</v>
      </c>
      <c r="C3386" s="1">
        <v>6287534497</v>
      </c>
      <c r="E3386" s="17" t="s">
        <v>5133</v>
      </c>
      <c r="F3386" s="33" t="s">
        <v>5126</v>
      </c>
      <c r="G3386" s="2" t="s">
        <v>16</v>
      </c>
      <c r="H3386" s="2" t="s">
        <v>487</v>
      </c>
      <c r="I3386" s="4" t="s">
        <v>88</v>
      </c>
      <c r="J3386" s="31">
        <v>45853</v>
      </c>
      <c r="K3386" s="31">
        <v>45856</v>
      </c>
      <c r="L3386" s="31">
        <v>45861</v>
      </c>
      <c r="M3386" s="31">
        <v>45892</v>
      </c>
      <c r="N3386" s="31">
        <v>45892</v>
      </c>
      <c r="O3386" s="2" t="s">
        <v>297</v>
      </c>
    </row>
    <row r="3387" spans="1:15">
      <c r="A3387" s="3">
        <f t="shared" si="54"/>
        <v>3386</v>
      </c>
      <c r="B3387" s="65" t="s">
        <v>5134</v>
      </c>
      <c r="C3387" s="1">
        <v>8770809037</v>
      </c>
      <c r="E3387" s="17" t="s">
        <v>5135</v>
      </c>
      <c r="F3387" s="33" t="s">
        <v>5126</v>
      </c>
      <c r="G3387" s="2" t="s">
        <v>16</v>
      </c>
      <c r="H3387" s="2" t="s">
        <v>487</v>
      </c>
      <c r="I3387" s="4" t="s">
        <v>88</v>
      </c>
      <c r="J3387" s="31">
        <v>45853</v>
      </c>
      <c r="K3387" s="31">
        <v>45856</v>
      </c>
      <c r="L3387" s="31">
        <v>45861</v>
      </c>
      <c r="M3387" s="31">
        <v>45908</v>
      </c>
      <c r="N3387" s="31">
        <v>45912</v>
      </c>
      <c r="O3387" s="2" t="s">
        <v>297</v>
      </c>
    </row>
    <row r="3388" spans="1:15">
      <c r="A3388" s="3">
        <f t="shared" si="54"/>
        <v>3387</v>
      </c>
      <c r="B3388" s="65" t="s">
        <v>5136</v>
      </c>
      <c r="C3388" s="1">
        <v>7317576773</v>
      </c>
      <c r="D3388" s="1">
        <v>9015254526</v>
      </c>
      <c r="E3388" s="17" t="s">
        <v>5129</v>
      </c>
      <c r="F3388" s="33" t="s">
        <v>5130</v>
      </c>
      <c r="G3388" s="2" t="s">
        <v>16</v>
      </c>
      <c r="H3388" s="2" t="s">
        <v>487</v>
      </c>
      <c r="I3388" s="4" t="s">
        <v>88</v>
      </c>
      <c r="J3388" s="31">
        <v>45853</v>
      </c>
      <c r="K3388" s="31">
        <v>45856</v>
      </c>
      <c r="L3388" s="31">
        <v>45861</v>
      </c>
      <c r="M3388" s="31">
        <v>45892</v>
      </c>
      <c r="N3388" s="31">
        <v>45892</v>
      </c>
      <c r="O3388" s="2" t="s">
        <v>297</v>
      </c>
    </row>
    <row r="3389" spans="1:15">
      <c r="A3389" s="3">
        <f t="shared" si="54"/>
        <v>3388</v>
      </c>
      <c r="B3389" s="65" t="s">
        <v>5137</v>
      </c>
      <c r="C3389" s="1">
        <v>9805637754</v>
      </c>
      <c r="E3389" s="17" t="s">
        <v>5129</v>
      </c>
      <c r="F3389" s="33" t="s">
        <v>5130</v>
      </c>
      <c r="G3389" s="2" t="s">
        <v>16</v>
      </c>
      <c r="H3389" s="2" t="s">
        <v>487</v>
      </c>
      <c r="I3389" s="4" t="s">
        <v>88</v>
      </c>
      <c r="J3389" s="31">
        <v>45853</v>
      </c>
      <c r="K3389" s="31">
        <v>45856</v>
      </c>
      <c r="L3389" s="31">
        <v>45861</v>
      </c>
      <c r="M3389" s="31">
        <v>45892</v>
      </c>
      <c r="N3389" s="31">
        <v>45892</v>
      </c>
      <c r="O3389" s="2" t="s">
        <v>297</v>
      </c>
    </row>
    <row r="3390" spans="1:15">
      <c r="A3390" s="3">
        <f t="shared" si="54"/>
        <v>3389</v>
      </c>
      <c r="B3390" s="65" t="s">
        <v>5138</v>
      </c>
      <c r="C3390" s="1">
        <v>7006652880</v>
      </c>
      <c r="E3390" s="17" t="s">
        <v>5129</v>
      </c>
      <c r="F3390" s="33" t="s">
        <v>5130</v>
      </c>
      <c r="G3390" s="2" t="s">
        <v>416</v>
      </c>
      <c r="H3390" s="2" t="s">
        <v>487</v>
      </c>
      <c r="I3390" s="4" t="s">
        <v>88</v>
      </c>
      <c r="J3390" s="31">
        <v>45853</v>
      </c>
      <c r="K3390" s="31">
        <v>45856</v>
      </c>
      <c r="L3390" s="31"/>
      <c r="M3390" s="31"/>
      <c r="N3390" s="31"/>
      <c r="O3390" s="2" t="s">
        <v>297</v>
      </c>
    </row>
    <row r="3391" spans="1:15">
      <c r="A3391" s="3">
        <f t="shared" si="54"/>
        <v>3390</v>
      </c>
      <c r="B3391" s="65" t="s">
        <v>5139</v>
      </c>
      <c r="C3391" s="1">
        <v>8185998637</v>
      </c>
      <c r="E3391" s="17" t="s">
        <v>5140</v>
      </c>
      <c r="F3391" s="33" t="s">
        <v>2261</v>
      </c>
      <c r="G3391" s="2" t="s">
        <v>424</v>
      </c>
      <c r="H3391" s="2" t="s">
        <v>487</v>
      </c>
      <c r="I3391" s="4" t="s">
        <v>88</v>
      </c>
      <c r="J3391" s="31">
        <v>45853</v>
      </c>
      <c r="K3391" s="31">
        <v>45856</v>
      </c>
      <c r="L3391" s="31"/>
      <c r="M3391" s="31"/>
      <c r="N3391" s="31"/>
      <c r="O3391" s="2" t="s">
        <v>425</v>
      </c>
    </row>
    <row r="3392" spans="1:15">
      <c r="A3392" s="3">
        <f t="shared" si="54"/>
        <v>3391</v>
      </c>
      <c r="B3392" s="65" t="s">
        <v>5141</v>
      </c>
      <c r="C3392" s="1">
        <v>8349120058</v>
      </c>
      <c r="E3392" s="17" t="s">
        <v>5140</v>
      </c>
      <c r="F3392" s="33" t="s">
        <v>2261</v>
      </c>
      <c r="G3392" s="2" t="s">
        <v>764</v>
      </c>
      <c r="H3392" s="2" t="s">
        <v>487</v>
      </c>
      <c r="I3392" s="4" t="s">
        <v>88</v>
      </c>
      <c r="J3392" s="31">
        <v>45853</v>
      </c>
      <c r="K3392" s="31">
        <v>45856</v>
      </c>
      <c r="L3392" s="31"/>
      <c r="M3392" s="31"/>
      <c r="N3392" s="31"/>
      <c r="O3392" s="2" t="s">
        <v>425</v>
      </c>
    </row>
    <row r="3393" spans="1:15">
      <c r="A3393" s="3">
        <f t="shared" si="54"/>
        <v>3392</v>
      </c>
      <c r="B3393" s="65" t="s">
        <v>5142</v>
      </c>
      <c r="C3393" s="1">
        <v>8511870988</v>
      </c>
      <c r="E3393" s="17" t="s">
        <v>5143</v>
      </c>
      <c r="F3393" s="33" t="s">
        <v>5144</v>
      </c>
      <c r="G3393" s="2" t="s">
        <v>424</v>
      </c>
      <c r="H3393" s="2" t="s">
        <v>487</v>
      </c>
      <c r="I3393" s="4" t="s">
        <v>88</v>
      </c>
      <c r="J3393" s="31">
        <v>45853</v>
      </c>
      <c r="K3393" s="31">
        <v>45856</v>
      </c>
      <c r="L3393" s="31"/>
      <c r="M3393" s="31"/>
      <c r="N3393" s="31"/>
      <c r="O3393" s="2" t="s">
        <v>425</v>
      </c>
    </row>
    <row r="3394" spans="1:15">
      <c r="A3394" s="3">
        <f t="shared" si="54"/>
        <v>3393</v>
      </c>
      <c r="B3394" s="65" t="s">
        <v>5145</v>
      </c>
      <c r="C3394" s="1">
        <v>9628967205</v>
      </c>
      <c r="D3394" s="1">
        <v>8574222894</v>
      </c>
      <c r="E3394" s="17" t="s">
        <v>5143</v>
      </c>
      <c r="F3394" s="33" t="s">
        <v>5144</v>
      </c>
      <c r="G3394" s="2" t="s">
        <v>16</v>
      </c>
      <c r="H3394" s="2" t="s">
        <v>487</v>
      </c>
      <c r="I3394" s="4" t="s">
        <v>88</v>
      </c>
      <c r="J3394" s="31">
        <v>45853</v>
      </c>
      <c r="K3394" s="31">
        <v>45856</v>
      </c>
      <c r="L3394" s="31">
        <v>45861</v>
      </c>
      <c r="M3394" s="31">
        <v>45892</v>
      </c>
      <c r="N3394" s="31">
        <v>45892</v>
      </c>
      <c r="O3394" s="2" t="s">
        <v>297</v>
      </c>
    </row>
    <row r="3395" spans="1:15">
      <c r="A3395" s="3">
        <f t="shared" si="54"/>
        <v>3394</v>
      </c>
      <c r="B3395" s="65" t="s">
        <v>5146</v>
      </c>
      <c r="C3395" s="1">
        <v>9491129402</v>
      </c>
      <c r="E3395" s="17" t="s">
        <v>5147</v>
      </c>
      <c r="F3395" s="33" t="s">
        <v>5148</v>
      </c>
      <c r="G3395" s="2" t="s">
        <v>416</v>
      </c>
      <c r="H3395" s="2" t="s">
        <v>487</v>
      </c>
      <c r="I3395" s="4" t="s">
        <v>88</v>
      </c>
      <c r="J3395" s="31">
        <v>45853</v>
      </c>
      <c r="K3395" s="31">
        <v>45856</v>
      </c>
      <c r="L3395" s="31"/>
      <c r="M3395" s="31"/>
      <c r="N3395" s="31"/>
      <c r="O3395" s="2" t="s">
        <v>297</v>
      </c>
    </row>
    <row r="3396" spans="1:15">
      <c r="A3396" s="3">
        <f t="shared" si="54"/>
        <v>3395</v>
      </c>
      <c r="B3396" s="65" t="s">
        <v>5149</v>
      </c>
      <c r="C3396" s="1">
        <v>9848973975</v>
      </c>
      <c r="E3396" s="17" t="s">
        <v>5147</v>
      </c>
      <c r="F3396" s="33" t="s">
        <v>5148</v>
      </c>
      <c r="G3396" s="2" t="s">
        <v>16</v>
      </c>
      <c r="H3396" s="2" t="s">
        <v>487</v>
      </c>
      <c r="I3396" s="4" t="s">
        <v>88</v>
      </c>
      <c r="J3396" s="31">
        <v>45853</v>
      </c>
      <c r="K3396" s="31">
        <v>45856</v>
      </c>
      <c r="L3396" s="31">
        <v>45868</v>
      </c>
      <c r="M3396" s="31">
        <v>45899</v>
      </c>
      <c r="N3396" s="31">
        <v>45899</v>
      </c>
      <c r="O3396" s="2" t="s">
        <v>297</v>
      </c>
    </row>
    <row r="3397" spans="1:15">
      <c r="A3397" s="3">
        <f t="shared" si="54"/>
        <v>3396</v>
      </c>
      <c r="B3397" s="65" t="s">
        <v>457</v>
      </c>
      <c r="C3397" s="1">
        <v>9263077089</v>
      </c>
      <c r="D3397" s="1">
        <v>8789907546</v>
      </c>
      <c r="E3397" s="17" t="s">
        <v>5147</v>
      </c>
      <c r="F3397" s="33" t="s">
        <v>5148</v>
      </c>
      <c r="G3397" s="2" t="s">
        <v>18</v>
      </c>
      <c r="H3397" s="2" t="s">
        <v>487</v>
      </c>
      <c r="I3397" s="4" t="s">
        <v>88</v>
      </c>
      <c r="J3397" s="31">
        <v>45853</v>
      </c>
      <c r="K3397" s="31">
        <v>45856</v>
      </c>
      <c r="L3397" s="31"/>
      <c r="M3397" s="31"/>
      <c r="N3397" s="31"/>
      <c r="O3397" s="2" t="s">
        <v>297</v>
      </c>
    </row>
    <row r="3398" spans="1:15">
      <c r="A3398" s="3">
        <f t="shared" si="54"/>
        <v>3397</v>
      </c>
      <c r="B3398" s="65" t="s">
        <v>5150</v>
      </c>
      <c r="C3398" s="1">
        <v>8341154124</v>
      </c>
      <c r="E3398" s="17" t="s">
        <v>5147</v>
      </c>
      <c r="F3398" s="33" t="s">
        <v>5148</v>
      </c>
      <c r="G3398" s="2" t="s">
        <v>16</v>
      </c>
      <c r="H3398" s="2" t="s">
        <v>487</v>
      </c>
      <c r="I3398" s="4" t="s">
        <v>88</v>
      </c>
      <c r="J3398" s="31">
        <v>45853</v>
      </c>
      <c r="K3398" s="31">
        <v>45856</v>
      </c>
      <c r="L3398" s="31">
        <v>45861</v>
      </c>
      <c r="M3398" s="31">
        <v>45916</v>
      </c>
      <c r="N3398" s="31">
        <v>45916</v>
      </c>
      <c r="O3398" s="2" t="s">
        <v>297</v>
      </c>
    </row>
    <row r="3399" spans="1:15">
      <c r="A3399" s="3">
        <f t="shared" si="54"/>
        <v>3398</v>
      </c>
      <c r="B3399" s="65" t="s">
        <v>2569</v>
      </c>
      <c r="C3399" s="1">
        <v>9078114329</v>
      </c>
      <c r="E3399" s="17" t="s">
        <v>5151</v>
      </c>
      <c r="F3399" s="33" t="s">
        <v>4362</v>
      </c>
      <c r="G3399" s="2" t="s">
        <v>16</v>
      </c>
      <c r="H3399" s="2" t="s">
        <v>815</v>
      </c>
      <c r="I3399" s="4" t="s">
        <v>88</v>
      </c>
      <c r="J3399" s="31">
        <v>45853</v>
      </c>
      <c r="K3399" s="31">
        <v>45863</v>
      </c>
      <c r="L3399" s="31">
        <v>45868</v>
      </c>
      <c r="M3399" s="31">
        <v>45899</v>
      </c>
      <c r="N3399" s="31">
        <v>45899</v>
      </c>
      <c r="O3399" s="2" t="s">
        <v>297</v>
      </c>
    </row>
    <row r="3400" spans="1:15">
      <c r="A3400" s="3">
        <f t="shared" si="54"/>
        <v>3399</v>
      </c>
      <c r="B3400" s="65" t="s">
        <v>5152</v>
      </c>
      <c r="C3400" s="1">
        <v>8210595755</v>
      </c>
      <c r="D3400" s="1">
        <v>9006765459</v>
      </c>
      <c r="E3400" s="17" t="s">
        <v>5151</v>
      </c>
      <c r="F3400" s="33" t="s">
        <v>5153</v>
      </c>
      <c r="G3400" s="2" t="s">
        <v>764</v>
      </c>
      <c r="H3400" s="2" t="s">
        <v>815</v>
      </c>
      <c r="I3400" s="4" t="s">
        <v>88</v>
      </c>
      <c r="J3400" s="31">
        <v>45853</v>
      </c>
      <c r="K3400" s="31">
        <v>45863</v>
      </c>
      <c r="L3400" s="31"/>
      <c r="M3400" s="31"/>
      <c r="N3400" s="31"/>
      <c r="O3400" s="2" t="s">
        <v>425</v>
      </c>
    </row>
    <row r="3401" spans="1:15">
      <c r="A3401" s="3">
        <f t="shared" si="54"/>
        <v>3400</v>
      </c>
      <c r="B3401" s="65" t="s">
        <v>5154</v>
      </c>
      <c r="C3401" s="1">
        <v>8125344931</v>
      </c>
      <c r="E3401" s="17" t="s">
        <v>5155</v>
      </c>
      <c r="F3401" s="33" t="s">
        <v>1827</v>
      </c>
      <c r="G3401" s="2" t="s">
        <v>764</v>
      </c>
      <c r="H3401" s="2" t="s">
        <v>815</v>
      </c>
      <c r="I3401" s="4" t="s">
        <v>94</v>
      </c>
      <c r="J3401" s="31">
        <v>45853</v>
      </c>
      <c r="K3401" s="31">
        <v>45863</v>
      </c>
      <c r="L3401" s="31"/>
      <c r="M3401" s="31"/>
      <c r="N3401" s="31"/>
      <c r="O3401" s="2" t="s">
        <v>425</v>
      </c>
    </row>
    <row r="3402" spans="1:15">
      <c r="A3402" s="3">
        <f t="shared" si="54"/>
        <v>3401</v>
      </c>
      <c r="B3402" s="65" t="s">
        <v>5156</v>
      </c>
      <c r="C3402" s="1">
        <v>9398717432</v>
      </c>
      <c r="E3402" s="17" t="s">
        <v>5155</v>
      </c>
      <c r="F3402" s="33" t="s">
        <v>1149</v>
      </c>
      <c r="G3402" s="2" t="s">
        <v>16</v>
      </c>
      <c r="H3402" s="2" t="s">
        <v>815</v>
      </c>
      <c r="I3402" s="4" t="s">
        <v>94</v>
      </c>
      <c r="J3402" s="31">
        <v>45853</v>
      </c>
      <c r="K3402" s="31">
        <v>45854</v>
      </c>
      <c r="L3402" s="31">
        <v>45867</v>
      </c>
      <c r="M3402" s="31">
        <v>45874</v>
      </c>
      <c r="N3402" s="31">
        <v>45877</v>
      </c>
      <c r="O3402" s="2" t="s">
        <v>297</v>
      </c>
    </row>
    <row r="3403" spans="1:15">
      <c r="A3403" s="3">
        <f t="shared" si="54"/>
        <v>3402</v>
      </c>
      <c r="B3403" s="65" t="s">
        <v>5157</v>
      </c>
      <c r="C3403" s="1">
        <v>9553963397</v>
      </c>
      <c r="E3403" s="17" t="s">
        <v>124</v>
      </c>
      <c r="F3403" s="33" t="s">
        <v>3832</v>
      </c>
      <c r="G3403" s="2" t="s">
        <v>424</v>
      </c>
      <c r="H3403" s="2" t="s">
        <v>3240</v>
      </c>
      <c r="I3403" s="4" t="s">
        <v>42</v>
      </c>
      <c r="J3403" s="31">
        <v>45853</v>
      </c>
      <c r="K3403" s="31">
        <v>45856</v>
      </c>
      <c r="L3403" s="31"/>
      <c r="M3403" s="31"/>
      <c r="N3403" s="31"/>
      <c r="O3403" s="2" t="s">
        <v>749</v>
      </c>
    </row>
    <row r="3404" spans="1:15">
      <c r="A3404" s="3">
        <f t="shared" si="54"/>
        <v>3403</v>
      </c>
      <c r="B3404" s="65" t="s">
        <v>5158</v>
      </c>
      <c r="C3404" s="1">
        <v>7997887229</v>
      </c>
      <c r="E3404" s="17" t="s">
        <v>124</v>
      </c>
      <c r="F3404" s="33" t="s">
        <v>3837</v>
      </c>
      <c r="G3404" s="2" t="s">
        <v>424</v>
      </c>
      <c r="H3404" s="2" t="s">
        <v>3240</v>
      </c>
      <c r="I3404" s="4" t="s">
        <v>42</v>
      </c>
      <c r="J3404" s="31">
        <v>45853</v>
      </c>
      <c r="K3404" s="31">
        <v>45856</v>
      </c>
      <c r="L3404" s="31"/>
      <c r="M3404" s="31"/>
      <c r="N3404" s="31"/>
      <c r="O3404" s="2" t="s">
        <v>749</v>
      </c>
    </row>
    <row r="3405" spans="1:15">
      <c r="A3405" s="3">
        <f t="shared" si="54"/>
        <v>3404</v>
      </c>
      <c r="B3405" s="65" t="s">
        <v>5159</v>
      </c>
      <c r="C3405" s="1">
        <v>8639893367</v>
      </c>
      <c r="D3405" s="1">
        <v>7382115897</v>
      </c>
      <c r="E3405" s="17" t="s">
        <v>4963</v>
      </c>
      <c r="F3405" s="33" t="s">
        <v>5160</v>
      </c>
      <c r="G3405" s="2" t="s">
        <v>424</v>
      </c>
      <c r="H3405" s="2" t="s">
        <v>296</v>
      </c>
      <c r="I3405" s="4" t="s">
        <v>42</v>
      </c>
      <c r="J3405" s="31">
        <v>45854</v>
      </c>
      <c r="K3405" s="31">
        <v>45857</v>
      </c>
      <c r="L3405" s="31"/>
      <c r="M3405" s="31"/>
      <c r="N3405" s="31"/>
      <c r="O3405" s="2" t="s">
        <v>749</v>
      </c>
    </row>
    <row r="3406" spans="1:15">
      <c r="A3406" s="3">
        <f t="shared" si="54"/>
        <v>3405</v>
      </c>
      <c r="B3406" s="65" t="s">
        <v>5161</v>
      </c>
      <c r="C3406" s="1">
        <v>7799246806</v>
      </c>
      <c r="D3406" s="1">
        <v>9494553221</v>
      </c>
      <c r="E3406" s="17" t="s">
        <v>5162</v>
      </c>
      <c r="F3406" s="33" t="s">
        <v>308</v>
      </c>
      <c r="G3406" s="2" t="s">
        <v>18</v>
      </c>
      <c r="H3406" s="2" t="s">
        <v>5163</v>
      </c>
      <c r="I3406" s="4" t="s">
        <v>94</v>
      </c>
      <c r="J3406" s="31">
        <v>45854</v>
      </c>
      <c r="K3406" s="31">
        <v>45860</v>
      </c>
      <c r="L3406" s="31">
        <v>45861</v>
      </c>
      <c r="M3406" s="31">
        <v>45930</v>
      </c>
      <c r="N3406" s="31"/>
      <c r="O3406" s="2" t="s">
        <v>297</v>
      </c>
    </row>
    <row r="3407" spans="1:15">
      <c r="A3407" s="3">
        <f t="shared" si="54"/>
        <v>3406</v>
      </c>
      <c r="B3407" s="65" t="s">
        <v>5164</v>
      </c>
      <c r="C3407" s="1">
        <v>9959379293</v>
      </c>
      <c r="E3407" s="17" t="s">
        <v>5162</v>
      </c>
      <c r="F3407" s="33" t="s">
        <v>308</v>
      </c>
      <c r="G3407" s="2" t="s">
        <v>16</v>
      </c>
      <c r="H3407" s="2" t="s">
        <v>5163</v>
      </c>
      <c r="I3407" s="4" t="s">
        <v>94</v>
      </c>
      <c r="J3407" s="31">
        <v>45854</v>
      </c>
      <c r="K3407" s="31">
        <v>45860</v>
      </c>
      <c r="L3407" s="31">
        <v>45867</v>
      </c>
      <c r="M3407" s="31">
        <v>45898</v>
      </c>
      <c r="N3407" s="31">
        <v>45902</v>
      </c>
      <c r="O3407" s="2" t="s">
        <v>297</v>
      </c>
    </row>
    <row r="3408" spans="1:15">
      <c r="A3408" s="3">
        <f t="shared" si="54"/>
        <v>3407</v>
      </c>
      <c r="B3408" s="65" t="s">
        <v>5165</v>
      </c>
      <c r="C3408" s="1">
        <v>9346091004</v>
      </c>
      <c r="E3408" s="17" t="s">
        <v>5162</v>
      </c>
      <c r="F3408" s="33" t="s">
        <v>5166</v>
      </c>
      <c r="G3408" s="2" t="s">
        <v>424</v>
      </c>
      <c r="H3408" s="2" t="s">
        <v>5163</v>
      </c>
      <c r="I3408" s="4" t="s">
        <v>94</v>
      </c>
      <c r="J3408" s="31">
        <v>45854</v>
      </c>
      <c r="K3408" s="31">
        <v>45876</v>
      </c>
      <c r="L3408" s="31"/>
      <c r="M3408" s="31"/>
      <c r="N3408" s="31"/>
      <c r="O3408" s="2" t="s">
        <v>425</v>
      </c>
    </row>
    <row r="3409" spans="1:15">
      <c r="A3409" s="3">
        <f t="shared" si="54"/>
        <v>3408</v>
      </c>
      <c r="B3409" s="65" t="s">
        <v>5167</v>
      </c>
      <c r="C3409" s="1">
        <v>7439215592</v>
      </c>
      <c r="E3409" s="17" t="s">
        <v>5162</v>
      </c>
      <c r="F3409" s="33" t="s">
        <v>5166</v>
      </c>
      <c r="G3409" s="2" t="s">
        <v>424</v>
      </c>
      <c r="H3409" s="2" t="s">
        <v>5163</v>
      </c>
      <c r="I3409" s="4" t="s">
        <v>94</v>
      </c>
      <c r="J3409" s="31">
        <v>45854</v>
      </c>
      <c r="K3409" s="31">
        <v>45876</v>
      </c>
      <c r="L3409" s="31"/>
      <c r="M3409" s="31"/>
      <c r="N3409" s="31"/>
      <c r="O3409" s="2" t="s">
        <v>425</v>
      </c>
    </row>
    <row r="3410" spans="1:15">
      <c r="A3410" s="3">
        <f t="shared" si="54"/>
        <v>3409</v>
      </c>
      <c r="B3410" s="65" t="s">
        <v>5168</v>
      </c>
      <c r="C3410" s="1">
        <v>9801696114</v>
      </c>
      <c r="E3410" s="17" t="s">
        <v>1023</v>
      </c>
      <c r="F3410" s="33" t="s">
        <v>5169</v>
      </c>
      <c r="G3410" s="2" t="s">
        <v>764</v>
      </c>
      <c r="H3410" s="2" t="s">
        <v>3240</v>
      </c>
      <c r="I3410" s="4" t="s">
        <v>42</v>
      </c>
      <c r="J3410" s="31">
        <v>45854</v>
      </c>
      <c r="K3410" s="31">
        <v>45859</v>
      </c>
      <c r="L3410" s="31"/>
      <c r="M3410" s="31"/>
      <c r="N3410" s="31"/>
      <c r="O3410" s="2" t="s">
        <v>425</v>
      </c>
    </row>
    <row r="3411" spans="1:15">
      <c r="A3411" s="3">
        <f t="shared" si="54"/>
        <v>3410</v>
      </c>
      <c r="B3411" s="65" t="s">
        <v>5170</v>
      </c>
      <c r="C3411" s="1">
        <v>6355640684</v>
      </c>
      <c r="E3411" s="17" t="s">
        <v>1023</v>
      </c>
      <c r="F3411" s="33" t="s">
        <v>5169</v>
      </c>
      <c r="G3411" s="2" t="s">
        <v>295</v>
      </c>
      <c r="H3411" s="2" t="s">
        <v>3240</v>
      </c>
      <c r="I3411" s="4" t="s">
        <v>42</v>
      </c>
      <c r="J3411" s="31">
        <v>45854</v>
      </c>
      <c r="K3411" s="31">
        <v>45859</v>
      </c>
      <c r="L3411" s="31">
        <v>45891</v>
      </c>
      <c r="M3411" s="31">
        <v>45941</v>
      </c>
      <c r="N3411" s="31"/>
      <c r="O3411" s="2" t="s">
        <v>297</v>
      </c>
    </row>
    <row r="3412" spans="1:15">
      <c r="A3412" s="3">
        <f t="shared" si="54"/>
        <v>3411</v>
      </c>
      <c r="B3412" s="65" t="s">
        <v>3265</v>
      </c>
      <c r="C3412" s="1">
        <v>7491914131</v>
      </c>
      <c r="E3412" s="17" t="s">
        <v>1023</v>
      </c>
      <c r="F3412" s="33" t="s">
        <v>303</v>
      </c>
      <c r="G3412" s="2" t="s">
        <v>424</v>
      </c>
      <c r="H3412" s="2" t="s">
        <v>3240</v>
      </c>
      <c r="I3412" s="4" t="s">
        <v>42</v>
      </c>
      <c r="J3412" s="31">
        <v>45854</v>
      </c>
      <c r="K3412" s="31">
        <v>45859</v>
      </c>
      <c r="L3412" s="31"/>
      <c r="M3412" s="31"/>
      <c r="N3412" s="31"/>
      <c r="O3412" s="2" t="s">
        <v>425</v>
      </c>
    </row>
    <row r="3413" spans="1:15">
      <c r="A3413" s="3">
        <f t="shared" si="54"/>
        <v>3412</v>
      </c>
      <c r="B3413" s="65" t="s">
        <v>5171</v>
      </c>
      <c r="C3413" s="1">
        <v>8144348102</v>
      </c>
      <c r="E3413" s="17" t="s">
        <v>1023</v>
      </c>
      <c r="F3413" s="33" t="s">
        <v>419</v>
      </c>
      <c r="G3413" s="2" t="s">
        <v>18</v>
      </c>
      <c r="H3413" s="2" t="s">
        <v>3240</v>
      </c>
      <c r="I3413" s="4" t="s">
        <v>42</v>
      </c>
      <c r="J3413" s="31">
        <v>45854</v>
      </c>
      <c r="K3413" s="31">
        <v>45859</v>
      </c>
      <c r="L3413" s="31"/>
      <c r="M3413" s="31"/>
      <c r="N3413" s="31"/>
      <c r="O3413" s="2" t="s">
        <v>297</v>
      </c>
    </row>
    <row r="3414" spans="1:15">
      <c r="A3414" s="3">
        <f t="shared" si="54"/>
        <v>3413</v>
      </c>
      <c r="B3414" s="65" t="s">
        <v>5172</v>
      </c>
      <c r="C3414" s="1">
        <v>9951339954</v>
      </c>
      <c r="E3414" s="1" t="s">
        <v>5173</v>
      </c>
      <c r="F3414" s="33" t="s">
        <v>419</v>
      </c>
      <c r="G3414" s="2" t="s">
        <v>16</v>
      </c>
      <c r="H3414" s="2" t="s">
        <v>3240</v>
      </c>
      <c r="I3414" s="4" t="s">
        <v>42</v>
      </c>
      <c r="J3414" s="31">
        <v>45854</v>
      </c>
      <c r="K3414" s="31">
        <v>45859</v>
      </c>
      <c r="L3414" s="31">
        <v>45868</v>
      </c>
      <c r="M3414" s="31">
        <v>45883</v>
      </c>
      <c r="N3414" s="31">
        <v>45880</v>
      </c>
      <c r="O3414" s="2" t="s">
        <v>297</v>
      </c>
    </row>
    <row r="3415" spans="1:15">
      <c r="A3415" s="3">
        <f t="shared" si="54"/>
        <v>3414</v>
      </c>
      <c r="B3415" s="65" t="s">
        <v>1875</v>
      </c>
      <c r="C3415" s="1">
        <v>9336680872</v>
      </c>
      <c r="E3415" s="1" t="s">
        <v>5173</v>
      </c>
      <c r="F3415" s="33" t="s">
        <v>303</v>
      </c>
      <c r="G3415" s="2" t="s">
        <v>16</v>
      </c>
      <c r="H3415" s="2" t="s">
        <v>3240</v>
      </c>
      <c r="I3415" s="4" t="s">
        <v>42</v>
      </c>
      <c r="J3415" s="31">
        <v>45854</v>
      </c>
      <c r="K3415" s="31">
        <v>45862</v>
      </c>
      <c r="L3415" s="31">
        <v>45877</v>
      </c>
      <c r="M3415" s="31">
        <v>45884</v>
      </c>
      <c r="N3415" s="31">
        <v>45885</v>
      </c>
      <c r="O3415" s="2" t="s">
        <v>297</v>
      </c>
    </row>
    <row r="3416" spans="1:15">
      <c r="A3416" s="3">
        <f t="shared" si="54"/>
        <v>3415</v>
      </c>
      <c r="B3416" s="65" t="s">
        <v>5174</v>
      </c>
      <c r="C3416" s="1">
        <v>7494029476</v>
      </c>
      <c r="E3416" s="17" t="s">
        <v>1023</v>
      </c>
      <c r="F3416" s="33" t="s">
        <v>303</v>
      </c>
      <c r="G3416" s="2" t="s">
        <v>16</v>
      </c>
      <c r="H3416" s="2" t="s">
        <v>3240</v>
      </c>
      <c r="I3416" s="4" t="s">
        <v>42</v>
      </c>
      <c r="J3416" s="31">
        <v>45854</v>
      </c>
      <c r="K3416" s="31">
        <v>45859</v>
      </c>
      <c r="L3416" s="31">
        <v>45862</v>
      </c>
      <c r="M3416" s="31">
        <v>45892</v>
      </c>
      <c r="N3416" s="31">
        <v>45867</v>
      </c>
      <c r="O3416" s="2" t="s">
        <v>297</v>
      </c>
    </row>
    <row r="3417" spans="1:15">
      <c r="A3417" s="3">
        <f t="shared" si="54"/>
        <v>3416</v>
      </c>
      <c r="B3417" s="65" t="s">
        <v>5175</v>
      </c>
      <c r="C3417" s="1">
        <v>9907257586</v>
      </c>
      <c r="E3417" s="1" t="s">
        <v>5173</v>
      </c>
      <c r="F3417" s="33" t="s">
        <v>303</v>
      </c>
      <c r="G3417" s="2" t="s">
        <v>16</v>
      </c>
      <c r="H3417" s="2" t="s">
        <v>3240</v>
      </c>
      <c r="I3417" s="4" t="s">
        <v>42</v>
      </c>
      <c r="J3417" s="31">
        <v>45854</v>
      </c>
      <c r="K3417" s="31">
        <v>45859</v>
      </c>
      <c r="L3417" s="31">
        <v>45862</v>
      </c>
      <c r="M3417" s="31">
        <v>45896</v>
      </c>
      <c r="N3417" s="31">
        <v>45897</v>
      </c>
      <c r="O3417" s="2" t="s">
        <v>297</v>
      </c>
    </row>
    <row r="3418" spans="1:15">
      <c r="A3418" s="3">
        <f t="shared" si="54"/>
        <v>3417</v>
      </c>
      <c r="B3418" s="65" t="s">
        <v>5176</v>
      </c>
      <c r="C3418" s="1">
        <v>9584850163</v>
      </c>
      <c r="E3418" s="1" t="s">
        <v>5173</v>
      </c>
      <c r="F3418" s="33" t="s">
        <v>5169</v>
      </c>
      <c r="G3418" s="2" t="s">
        <v>16</v>
      </c>
      <c r="H3418" s="2" t="s">
        <v>3240</v>
      </c>
      <c r="I3418" s="4" t="s">
        <v>42</v>
      </c>
      <c r="J3418" s="31">
        <v>45854</v>
      </c>
      <c r="K3418" s="31">
        <v>45859</v>
      </c>
      <c r="L3418" s="31">
        <v>45877</v>
      </c>
      <c r="M3418" s="31">
        <v>45908</v>
      </c>
      <c r="N3418" s="31">
        <v>45908</v>
      </c>
      <c r="O3418" s="2" t="s">
        <v>297</v>
      </c>
    </row>
    <row r="3419" spans="1:15">
      <c r="A3419" s="3">
        <f t="shared" si="54"/>
        <v>3418</v>
      </c>
      <c r="B3419" s="65" t="s">
        <v>5177</v>
      </c>
      <c r="C3419" s="1">
        <v>9179646416</v>
      </c>
      <c r="E3419" s="1" t="s">
        <v>5173</v>
      </c>
      <c r="F3419" s="33" t="s">
        <v>490</v>
      </c>
      <c r="G3419" s="2" t="s">
        <v>16</v>
      </c>
      <c r="H3419" s="2" t="s">
        <v>3240</v>
      </c>
      <c r="I3419" s="4" t="s">
        <v>42</v>
      </c>
      <c r="J3419" s="31">
        <v>45854</v>
      </c>
      <c r="K3419" s="31">
        <v>45859</v>
      </c>
      <c r="L3419" s="31">
        <v>45868</v>
      </c>
      <c r="M3419" s="31">
        <v>45914</v>
      </c>
      <c r="N3419" s="31">
        <v>45915</v>
      </c>
      <c r="O3419" s="2" t="s">
        <v>297</v>
      </c>
    </row>
    <row r="3420" spans="1:15">
      <c r="A3420" s="3">
        <f t="shared" si="54"/>
        <v>3419</v>
      </c>
      <c r="B3420" s="65" t="s">
        <v>5178</v>
      </c>
      <c r="C3420" s="1">
        <v>9394530375</v>
      </c>
      <c r="E3420" s="17" t="s">
        <v>1023</v>
      </c>
      <c r="F3420" s="33" t="s">
        <v>5179</v>
      </c>
      <c r="G3420" s="2" t="s">
        <v>424</v>
      </c>
      <c r="H3420" s="2" t="s">
        <v>3240</v>
      </c>
      <c r="I3420" s="4" t="s">
        <v>42</v>
      </c>
      <c r="J3420" s="31">
        <v>45854</v>
      </c>
      <c r="K3420" s="31">
        <v>45859</v>
      </c>
      <c r="L3420" s="31"/>
      <c r="M3420" s="31"/>
      <c r="N3420" s="31"/>
      <c r="O3420" s="2" t="s">
        <v>749</v>
      </c>
    </row>
    <row r="3421" spans="1:15">
      <c r="A3421" s="3">
        <f t="shared" si="54"/>
        <v>3420</v>
      </c>
      <c r="B3421" s="65" t="s">
        <v>5180</v>
      </c>
      <c r="C3421" s="1">
        <v>9491421598</v>
      </c>
      <c r="E3421" s="1" t="s">
        <v>5173</v>
      </c>
      <c r="F3421" s="33" t="s">
        <v>303</v>
      </c>
      <c r="G3421" s="2" t="s">
        <v>16</v>
      </c>
      <c r="H3421" s="2" t="s">
        <v>3240</v>
      </c>
      <c r="I3421" s="4" t="s">
        <v>42</v>
      </c>
      <c r="J3421" s="31">
        <v>45854</v>
      </c>
      <c r="K3421" s="31">
        <v>45859</v>
      </c>
      <c r="L3421" s="31">
        <v>45862</v>
      </c>
      <c r="M3421" s="31">
        <v>45869</v>
      </c>
      <c r="N3421" s="31">
        <v>45876</v>
      </c>
      <c r="O3421" s="2" t="s">
        <v>297</v>
      </c>
    </row>
    <row r="3422" spans="1:15">
      <c r="A3422" s="3">
        <f t="shared" si="54"/>
        <v>3421</v>
      </c>
      <c r="B3422" s="65" t="s">
        <v>5181</v>
      </c>
      <c r="C3422" s="1">
        <v>9515253252</v>
      </c>
      <c r="E3422" s="1" t="s">
        <v>5173</v>
      </c>
      <c r="F3422" s="33" t="s">
        <v>303</v>
      </c>
      <c r="G3422" s="3" t="s">
        <v>295</v>
      </c>
      <c r="H3422" s="2" t="s">
        <v>3240</v>
      </c>
      <c r="I3422" s="4" t="s">
        <v>42</v>
      </c>
      <c r="J3422" s="31">
        <v>45854</v>
      </c>
      <c r="K3422" s="31">
        <v>45862</v>
      </c>
      <c r="L3422" s="31">
        <v>45877</v>
      </c>
      <c r="M3422" s="31">
        <v>45952</v>
      </c>
      <c r="N3422" s="31"/>
      <c r="O3422" s="2" t="s">
        <v>297</v>
      </c>
    </row>
    <row r="3423" spans="1:15">
      <c r="A3423" s="3">
        <f t="shared" si="54"/>
        <v>3422</v>
      </c>
      <c r="B3423" s="65" t="s">
        <v>5182</v>
      </c>
      <c r="C3423" s="1">
        <v>8008134698</v>
      </c>
      <c r="E3423" s="1" t="s">
        <v>5173</v>
      </c>
      <c r="F3423" s="33" t="s">
        <v>614</v>
      </c>
      <c r="G3423" s="2" t="s">
        <v>16</v>
      </c>
      <c r="H3423" s="2" t="s">
        <v>3240</v>
      </c>
      <c r="I3423" s="4" t="s">
        <v>42</v>
      </c>
      <c r="J3423" s="31">
        <v>45854</v>
      </c>
      <c r="K3423" s="31">
        <v>45859</v>
      </c>
      <c r="L3423" s="31">
        <v>45868</v>
      </c>
      <c r="M3423" s="31">
        <v>45902</v>
      </c>
      <c r="N3423" s="31">
        <v>45902</v>
      </c>
      <c r="O3423" s="2" t="s">
        <v>297</v>
      </c>
    </row>
    <row r="3424" spans="1:15">
      <c r="A3424" s="3">
        <f t="shared" ref="A3424:A3487" si="55">ROW()-1</f>
        <v>3423</v>
      </c>
      <c r="B3424" s="65" t="s">
        <v>5183</v>
      </c>
      <c r="C3424" s="1">
        <v>7569643478</v>
      </c>
      <c r="E3424" s="1" t="s">
        <v>5173</v>
      </c>
      <c r="F3424" s="33" t="s">
        <v>303</v>
      </c>
      <c r="G3424" s="2" t="s">
        <v>16</v>
      </c>
      <c r="H3424" s="2" t="s">
        <v>3240</v>
      </c>
      <c r="I3424" s="4" t="s">
        <v>42</v>
      </c>
      <c r="J3424" s="31">
        <v>45854</v>
      </c>
      <c r="K3424" s="31">
        <v>45859</v>
      </c>
      <c r="L3424" s="31">
        <v>45868</v>
      </c>
      <c r="M3424" s="31">
        <v>45875</v>
      </c>
      <c r="N3424" s="31">
        <v>45877</v>
      </c>
      <c r="O3424" s="2" t="s">
        <v>297</v>
      </c>
    </row>
    <row r="3425" spans="1:15">
      <c r="A3425" s="3">
        <f t="shared" si="55"/>
        <v>3424</v>
      </c>
      <c r="B3425" s="65" t="s">
        <v>5184</v>
      </c>
      <c r="C3425" s="1">
        <v>6371317739</v>
      </c>
      <c r="E3425" s="17" t="s">
        <v>5185</v>
      </c>
      <c r="F3425" s="33" t="s">
        <v>5186</v>
      </c>
      <c r="G3425" s="2" t="s">
        <v>424</v>
      </c>
      <c r="H3425" s="2" t="s">
        <v>785</v>
      </c>
      <c r="I3425" s="4" t="s">
        <v>88</v>
      </c>
      <c r="J3425" s="31">
        <v>45854</v>
      </c>
      <c r="K3425" s="31">
        <v>45862</v>
      </c>
      <c r="L3425" s="31"/>
      <c r="M3425" s="31"/>
      <c r="N3425" s="31"/>
      <c r="O3425" s="2" t="s">
        <v>749</v>
      </c>
    </row>
    <row r="3426" spans="1:15">
      <c r="A3426" s="3">
        <f t="shared" si="55"/>
        <v>3425</v>
      </c>
      <c r="B3426" s="65" t="s">
        <v>5187</v>
      </c>
      <c r="C3426" s="1">
        <v>9039994963</v>
      </c>
      <c r="D3426" s="1">
        <v>7030600000</v>
      </c>
      <c r="E3426" s="17" t="s">
        <v>5185</v>
      </c>
      <c r="F3426" s="33" t="s">
        <v>5186</v>
      </c>
      <c r="G3426" s="2" t="s">
        <v>295</v>
      </c>
      <c r="H3426" s="2" t="s">
        <v>785</v>
      </c>
      <c r="I3426" s="4" t="s">
        <v>88</v>
      </c>
      <c r="J3426" s="31">
        <v>45854</v>
      </c>
      <c r="K3426" s="31">
        <v>45862</v>
      </c>
      <c r="L3426" s="31">
        <v>45868</v>
      </c>
      <c r="M3426" s="31">
        <v>45923</v>
      </c>
      <c r="N3426" s="31"/>
      <c r="O3426" s="2" t="s">
        <v>297</v>
      </c>
    </row>
    <row r="3427" spans="1:15">
      <c r="A3427" s="3">
        <f t="shared" si="55"/>
        <v>3426</v>
      </c>
      <c r="B3427" s="65" t="s">
        <v>1046</v>
      </c>
      <c r="C3427" s="1">
        <v>7979065962</v>
      </c>
      <c r="E3427" s="17" t="s">
        <v>5185</v>
      </c>
      <c r="F3427" s="33" t="s">
        <v>5186</v>
      </c>
      <c r="G3427" s="2" t="s">
        <v>424</v>
      </c>
      <c r="H3427" s="2" t="s">
        <v>785</v>
      </c>
      <c r="I3427" s="4" t="s">
        <v>88</v>
      </c>
      <c r="J3427" s="31">
        <v>45854</v>
      </c>
      <c r="K3427" s="31">
        <v>45862</v>
      </c>
      <c r="L3427" s="31"/>
      <c r="M3427" s="31"/>
      <c r="N3427" s="31"/>
      <c r="O3427" s="2" t="s">
        <v>425</v>
      </c>
    </row>
    <row r="3428" spans="1:15">
      <c r="A3428" s="3">
        <f t="shared" si="55"/>
        <v>3427</v>
      </c>
      <c r="B3428" s="65" t="s">
        <v>5188</v>
      </c>
      <c r="C3428" s="1">
        <v>6200192632</v>
      </c>
      <c r="E3428" s="17" t="s">
        <v>5189</v>
      </c>
      <c r="F3428" s="33" t="s">
        <v>5186</v>
      </c>
      <c r="G3428" s="2" t="s">
        <v>424</v>
      </c>
      <c r="H3428" s="3" t="s">
        <v>368</v>
      </c>
      <c r="I3428" s="4" t="s">
        <v>88</v>
      </c>
      <c r="J3428" s="31">
        <v>45854</v>
      </c>
      <c r="K3428" s="31">
        <v>45866</v>
      </c>
      <c r="L3428" s="31"/>
      <c r="M3428" s="31"/>
      <c r="N3428" s="31"/>
      <c r="O3428" s="2" t="s">
        <v>425</v>
      </c>
    </row>
    <row r="3429" spans="1:15">
      <c r="A3429" s="3">
        <f t="shared" si="55"/>
        <v>3428</v>
      </c>
      <c r="B3429" s="65" t="s">
        <v>5190</v>
      </c>
      <c r="C3429" s="1">
        <v>8809822238</v>
      </c>
      <c r="E3429" s="17" t="s">
        <v>5191</v>
      </c>
      <c r="F3429" s="33" t="s">
        <v>5186</v>
      </c>
      <c r="G3429" s="2" t="s">
        <v>16</v>
      </c>
      <c r="H3429" s="3" t="s">
        <v>368</v>
      </c>
      <c r="I3429" s="4" t="s">
        <v>88</v>
      </c>
      <c r="J3429" s="31">
        <v>45854</v>
      </c>
      <c r="K3429" s="31">
        <v>45867</v>
      </c>
      <c r="L3429" s="31">
        <v>45882</v>
      </c>
      <c r="M3429" s="31">
        <v>45913</v>
      </c>
      <c r="N3429" s="31">
        <v>45906</v>
      </c>
      <c r="O3429" s="2" t="s">
        <v>297</v>
      </c>
    </row>
    <row r="3430" spans="1:15">
      <c r="A3430" s="3">
        <f t="shared" si="55"/>
        <v>3429</v>
      </c>
      <c r="B3430" s="65" t="s">
        <v>5192</v>
      </c>
      <c r="C3430" s="1">
        <v>9459222144</v>
      </c>
      <c r="D3430" s="1">
        <v>9015140027</v>
      </c>
      <c r="E3430" s="17" t="s">
        <v>5189</v>
      </c>
      <c r="F3430" s="33" t="s">
        <v>5186</v>
      </c>
      <c r="G3430" s="2" t="s">
        <v>16</v>
      </c>
      <c r="H3430" s="1" t="s">
        <v>368</v>
      </c>
      <c r="I3430" s="4" t="s">
        <v>88</v>
      </c>
      <c r="J3430" s="31">
        <v>45854</v>
      </c>
      <c r="K3430" s="31">
        <v>45867</v>
      </c>
      <c r="L3430" s="31">
        <v>45876</v>
      </c>
      <c r="M3430" s="31">
        <v>45913</v>
      </c>
      <c r="N3430" s="31">
        <v>45918</v>
      </c>
      <c r="O3430" s="2" t="s">
        <v>297</v>
      </c>
    </row>
    <row r="3431" spans="1:15">
      <c r="A3431" s="3">
        <f t="shared" si="55"/>
        <v>3430</v>
      </c>
      <c r="B3431" s="65" t="s">
        <v>5193</v>
      </c>
      <c r="C3431" s="1">
        <v>7396444992</v>
      </c>
      <c r="E3431" s="17" t="s">
        <v>3312</v>
      </c>
      <c r="F3431" s="33"/>
      <c r="G3431" s="2" t="s">
        <v>16</v>
      </c>
      <c r="H3431" s="2" t="s">
        <v>4704</v>
      </c>
      <c r="I3431" s="4" t="s">
        <v>42</v>
      </c>
      <c r="J3431" s="31">
        <v>45851</v>
      </c>
      <c r="K3431" s="31">
        <v>45852</v>
      </c>
      <c r="L3431" s="31">
        <v>45854</v>
      </c>
      <c r="M3431" s="31">
        <v>45861</v>
      </c>
      <c r="N3431" s="31">
        <v>45860</v>
      </c>
      <c r="O3431" s="2" t="s">
        <v>297</v>
      </c>
    </row>
    <row r="3432" spans="1:15">
      <c r="A3432" s="3">
        <f t="shared" si="55"/>
        <v>3431</v>
      </c>
      <c r="B3432" s="65" t="s">
        <v>5194</v>
      </c>
      <c r="C3432" s="1">
        <v>8555040965</v>
      </c>
      <c r="E3432" s="17" t="s">
        <v>5195</v>
      </c>
      <c r="F3432" s="65" t="s">
        <v>5196</v>
      </c>
      <c r="G3432" s="2" t="s">
        <v>16</v>
      </c>
      <c r="H3432" s="2" t="s">
        <v>2183</v>
      </c>
      <c r="I3432" s="4" t="s">
        <v>88</v>
      </c>
      <c r="J3432" s="31">
        <v>45854</v>
      </c>
      <c r="K3432" s="31">
        <v>45877</v>
      </c>
      <c r="L3432" s="31">
        <v>45882</v>
      </c>
      <c r="M3432" s="31">
        <v>45920</v>
      </c>
      <c r="N3432" s="31">
        <v>45918</v>
      </c>
      <c r="O3432" s="2" t="s">
        <v>297</v>
      </c>
    </row>
    <row r="3433" spans="1:15">
      <c r="A3433" s="3">
        <f t="shared" si="55"/>
        <v>3432</v>
      </c>
      <c r="B3433" s="65" t="s">
        <v>5197</v>
      </c>
      <c r="C3433" s="1">
        <v>9751067948</v>
      </c>
      <c r="E3433" s="17" t="s">
        <v>5198</v>
      </c>
      <c r="F3433" s="65" t="s">
        <v>4391</v>
      </c>
      <c r="G3433" s="2" t="s">
        <v>16</v>
      </c>
      <c r="H3433" s="17" t="s">
        <v>674</v>
      </c>
      <c r="I3433" s="4" t="s">
        <v>94</v>
      </c>
      <c r="J3433" s="31">
        <v>45855</v>
      </c>
      <c r="K3433" s="31">
        <v>45860</v>
      </c>
      <c r="L3433" s="31">
        <v>45889</v>
      </c>
      <c r="M3433" s="31">
        <v>45925</v>
      </c>
      <c r="N3433" s="31">
        <v>45923</v>
      </c>
      <c r="O3433" s="2" t="s">
        <v>297</v>
      </c>
    </row>
    <row r="3434" spans="1:15">
      <c r="A3434" s="3">
        <f t="shared" si="55"/>
        <v>3433</v>
      </c>
      <c r="B3434" s="65" t="s">
        <v>5199</v>
      </c>
      <c r="C3434" s="1">
        <v>8287074549</v>
      </c>
      <c r="E3434" s="17" t="s">
        <v>5200</v>
      </c>
      <c r="F3434" s="65" t="s">
        <v>5201</v>
      </c>
      <c r="G3434" s="2" t="s">
        <v>424</v>
      </c>
      <c r="H3434" s="17" t="s">
        <v>674</v>
      </c>
      <c r="I3434" s="4" t="s">
        <v>94</v>
      </c>
      <c r="J3434" s="31">
        <v>45855</v>
      </c>
      <c r="K3434" s="31">
        <v>45868</v>
      </c>
      <c r="O3434" s="2" t="s">
        <v>749</v>
      </c>
    </row>
    <row r="3435" spans="1:15">
      <c r="A3435" s="3">
        <f t="shared" si="55"/>
        <v>3434</v>
      </c>
      <c r="B3435" s="65" t="s">
        <v>5202</v>
      </c>
      <c r="C3435" s="1">
        <v>9557875593</v>
      </c>
      <c r="E3435" s="17" t="s">
        <v>5200</v>
      </c>
      <c r="F3435" s="65" t="s">
        <v>2199</v>
      </c>
      <c r="G3435" s="2" t="s">
        <v>295</v>
      </c>
      <c r="H3435" s="17" t="s">
        <v>674</v>
      </c>
      <c r="I3435" s="4" t="s">
        <v>94</v>
      </c>
      <c r="J3435" s="31">
        <v>45855</v>
      </c>
      <c r="K3435" s="31">
        <v>45868</v>
      </c>
      <c r="L3435" s="31">
        <v>45876</v>
      </c>
      <c r="M3435" s="31">
        <v>45907</v>
      </c>
      <c r="N3435" s="31"/>
      <c r="O3435" s="2" t="s">
        <v>297</v>
      </c>
    </row>
    <row r="3436" spans="1:15">
      <c r="A3436" s="3">
        <f t="shared" si="55"/>
        <v>3435</v>
      </c>
      <c r="B3436" s="65" t="s">
        <v>5203</v>
      </c>
      <c r="C3436" s="1">
        <v>9840990287</v>
      </c>
      <c r="E3436" s="17" t="s">
        <v>5204</v>
      </c>
      <c r="F3436" s="65" t="s">
        <v>5205</v>
      </c>
      <c r="G3436" s="2" t="s">
        <v>16</v>
      </c>
      <c r="H3436" s="17" t="s">
        <v>674</v>
      </c>
      <c r="I3436" s="4" t="s">
        <v>94</v>
      </c>
      <c r="J3436" s="31">
        <v>45855</v>
      </c>
      <c r="K3436" s="31">
        <v>45860</v>
      </c>
      <c r="L3436" s="31">
        <v>45981</v>
      </c>
      <c r="M3436" s="31">
        <v>46003</v>
      </c>
      <c r="N3436" s="31">
        <v>46012</v>
      </c>
      <c r="O3436" s="2" t="s">
        <v>297</v>
      </c>
    </row>
    <row r="3437" spans="1:15">
      <c r="A3437" s="3">
        <f t="shared" si="55"/>
        <v>3436</v>
      </c>
      <c r="B3437" s="65" t="s">
        <v>5206</v>
      </c>
      <c r="C3437" s="1">
        <v>9131499381</v>
      </c>
      <c r="E3437" s="17" t="s">
        <v>5207</v>
      </c>
      <c r="F3437" s="65" t="s">
        <v>569</v>
      </c>
      <c r="G3437" s="3" t="s">
        <v>295</v>
      </c>
      <c r="H3437" s="17" t="s">
        <v>674</v>
      </c>
      <c r="I3437" s="4" t="s">
        <v>94</v>
      </c>
      <c r="J3437" s="31">
        <v>45855</v>
      </c>
      <c r="K3437" s="31">
        <v>45881</v>
      </c>
      <c r="L3437" s="31">
        <v>46002</v>
      </c>
      <c r="M3437" s="31">
        <v>46033</v>
      </c>
      <c r="N3437" s="31"/>
      <c r="O3437" s="2" t="s">
        <v>297</v>
      </c>
    </row>
    <row r="3438" spans="1:15">
      <c r="A3438" s="3">
        <f t="shared" si="55"/>
        <v>3437</v>
      </c>
      <c r="B3438" s="65" t="s">
        <v>5208</v>
      </c>
      <c r="C3438" s="1">
        <v>9987068865</v>
      </c>
      <c r="E3438" s="17" t="s">
        <v>5209</v>
      </c>
      <c r="F3438" s="65" t="s">
        <v>569</v>
      </c>
      <c r="G3438" s="2" t="s">
        <v>764</v>
      </c>
      <c r="H3438" s="17" t="s">
        <v>674</v>
      </c>
      <c r="I3438" s="4" t="s">
        <v>94</v>
      </c>
      <c r="J3438" s="31">
        <v>45855</v>
      </c>
      <c r="K3438" s="31">
        <v>45881</v>
      </c>
      <c r="O3438" s="2" t="s">
        <v>425</v>
      </c>
    </row>
    <row r="3439" spans="1:15">
      <c r="A3439" s="3">
        <f t="shared" si="55"/>
        <v>3438</v>
      </c>
      <c r="B3439" s="65" t="s">
        <v>1327</v>
      </c>
      <c r="C3439" s="1">
        <v>9990509320</v>
      </c>
      <c r="E3439" s="17" t="s">
        <v>5209</v>
      </c>
      <c r="F3439" s="65" t="s">
        <v>569</v>
      </c>
      <c r="G3439" s="2" t="s">
        <v>424</v>
      </c>
      <c r="H3439" s="17" t="s">
        <v>674</v>
      </c>
      <c r="I3439" s="4" t="s">
        <v>94</v>
      </c>
      <c r="J3439" s="31">
        <v>45855</v>
      </c>
      <c r="K3439" s="31">
        <v>45865</v>
      </c>
      <c r="O3439" s="2" t="s">
        <v>425</v>
      </c>
    </row>
    <row r="3440" spans="1:15">
      <c r="A3440" s="3">
        <f t="shared" si="55"/>
        <v>3439</v>
      </c>
      <c r="B3440" s="65" t="s">
        <v>5210</v>
      </c>
      <c r="C3440" s="1">
        <v>8449267898</v>
      </c>
      <c r="E3440" s="17" t="s">
        <v>5211</v>
      </c>
      <c r="F3440" s="65" t="s">
        <v>569</v>
      </c>
      <c r="G3440" s="2" t="s">
        <v>424</v>
      </c>
      <c r="H3440" s="17" t="s">
        <v>674</v>
      </c>
      <c r="I3440" s="4" t="s">
        <v>94</v>
      </c>
      <c r="J3440" s="31">
        <v>45855</v>
      </c>
      <c r="K3440" s="31">
        <v>45887</v>
      </c>
      <c r="O3440" s="2" t="s">
        <v>425</v>
      </c>
    </row>
    <row r="3441" spans="1:15">
      <c r="A3441" s="3">
        <f t="shared" si="55"/>
        <v>3440</v>
      </c>
      <c r="B3441" s="65" t="s">
        <v>5212</v>
      </c>
      <c r="C3441" s="1">
        <v>8896782558</v>
      </c>
      <c r="E3441" s="17" t="s">
        <v>5211</v>
      </c>
      <c r="F3441" s="65" t="s">
        <v>308</v>
      </c>
      <c r="G3441" s="3" t="s">
        <v>416</v>
      </c>
      <c r="H3441" s="17" t="s">
        <v>674</v>
      </c>
      <c r="I3441" s="4" t="s">
        <v>94</v>
      </c>
      <c r="J3441" s="31">
        <v>45855</v>
      </c>
      <c r="K3441" s="31">
        <v>45865</v>
      </c>
      <c r="O3441" s="2" t="s">
        <v>297</v>
      </c>
    </row>
    <row r="3442" spans="1:15">
      <c r="A3442" s="3">
        <f t="shared" si="55"/>
        <v>3441</v>
      </c>
      <c r="B3442" s="65" t="s">
        <v>5213</v>
      </c>
      <c r="C3442" s="1">
        <v>7478651824</v>
      </c>
      <c r="D3442" s="1">
        <v>7478651824</v>
      </c>
      <c r="E3442" s="17" t="s">
        <v>5214</v>
      </c>
      <c r="F3442" s="65" t="s">
        <v>308</v>
      </c>
      <c r="G3442" s="3" t="s">
        <v>416</v>
      </c>
      <c r="H3442" s="17" t="s">
        <v>674</v>
      </c>
      <c r="I3442" s="4" t="s">
        <v>94</v>
      </c>
      <c r="J3442" s="31">
        <v>45855</v>
      </c>
      <c r="K3442" s="31">
        <v>45865</v>
      </c>
      <c r="O3442" s="2" t="s">
        <v>297</v>
      </c>
    </row>
    <row r="3443" spans="1:15">
      <c r="A3443" s="3">
        <f t="shared" si="55"/>
        <v>3442</v>
      </c>
      <c r="B3443" s="65" t="s">
        <v>493</v>
      </c>
      <c r="C3443" s="1">
        <v>9501537123</v>
      </c>
      <c r="E3443" s="17" t="s">
        <v>5215</v>
      </c>
      <c r="F3443" s="65" t="s">
        <v>308</v>
      </c>
      <c r="G3443" s="2" t="s">
        <v>16</v>
      </c>
      <c r="H3443" s="17" t="s">
        <v>674</v>
      </c>
      <c r="I3443" s="4" t="s">
        <v>94</v>
      </c>
      <c r="J3443" s="31">
        <v>45855</v>
      </c>
      <c r="K3443" s="31">
        <v>45865</v>
      </c>
      <c r="L3443" s="31">
        <v>45867</v>
      </c>
      <c r="M3443" s="31">
        <v>45887</v>
      </c>
      <c r="N3443" s="31">
        <v>45885</v>
      </c>
      <c r="O3443" s="2" t="s">
        <v>297</v>
      </c>
    </row>
    <row r="3444" spans="1:15">
      <c r="A3444" s="3">
        <f t="shared" si="55"/>
        <v>3443</v>
      </c>
      <c r="B3444" s="65" t="s">
        <v>5216</v>
      </c>
      <c r="C3444" s="1">
        <v>9128930750</v>
      </c>
      <c r="E3444" s="17" t="s">
        <v>5215</v>
      </c>
      <c r="F3444" s="65" t="s">
        <v>308</v>
      </c>
      <c r="G3444" s="2" t="s">
        <v>424</v>
      </c>
      <c r="H3444" s="17" t="s">
        <v>674</v>
      </c>
      <c r="I3444" s="4" t="s">
        <v>94</v>
      </c>
      <c r="J3444" s="31">
        <v>45855</v>
      </c>
      <c r="K3444" s="31">
        <v>45868</v>
      </c>
      <c r="O3444" s="2" t="s">
        <v>425</v>
      </c>
    </row>
    <row r="3445" spans="1:15">
      <c r="A3445" s="3">
        <f t="shared" si="55"/>
        <v>3444</v>
      </c>
      <c r="B3445" s="65" t="s">
        <v>5217</v>
      </c>
      <c r="C3445" s="1">
        <v>9091555097</v>
      </c>
      <c r="E3445" s="17" t="s">
        <v>5218</v>
      </c>
      <c r="F3445" s="65" t="s">
        <v>308</v>
      </c>
      <c r="G3445" s="2" t="s">
        <v>764</v>
      </c>
      <c r="H3445" s="17" t="s">
        <v>674</v>
      </c>
      <c r="I3445" s="4" t="s">
        <v>94</v>
      </c>
      <c r="J3445" s="31">
        <v>45855</v>
      </c>
      <c r="K3445" s="31">
        <v>45865</v>
      </c>
      <c r="O3445" s="2" t="s">
        <v>425</v>
      </c>
    </row>
    <row r="3446" spans="1:15">
      <c r="A3446" s="3">
        <f t="shared" si="55"/>
        <v>3445</v>
      </c>
      <c r="B3446" s="65" t="s">
        <v>5219</v>
      </c>
      <c r="C3446" s="1">
        <v>7827417295</v>
      </c>
      <c r="E3446" s="17" t="s">
        <v>5218</v>
      </c>
      <c r="F3446" s="65" t="s">
        <v>308</v>
      </c>
      <c r="G3446" s="2" t="s">
        <v>424</v>
      </c>
      <c r="H3446" s="17" t="s">
        <v>674</v>
      </c>
      <c r="I3446" s="4" t="s">
        <v>94</v>
      </c>
      <c r="J3446" s="31">
        <v>45855</v>
      </c>
      <c r="K3446" s="31">
        <v>45865</v>
      </c>
      <c r="O3446" s="2" t="s">
        <v>425</v>
      </c>
    </row>
    <row r="3447" spans="1:15">
      <c r="A3447" s="3">
        <f t="shared" si="55"/>
        <v>3446</v>
      </c>
      <c r="B3447" s="65" t="s">
        <v>5220</v>
      </c>
      <c r="C3447" s="1">
        <v>7717752549</v>
      </c>
      <c r="E3447" s="17" t="s">
        <v>5221</v>
      </c>
      <c r="F3447" s="65" t="s">
        <v>308</v>
      </c>
      <c r="G3447" s="2" t="s">
        <v>18</v>
      </c>
      <c r="H3447" s="17" t="s">
        <v>674</v>
      </c>
      <c r="I3447" s="4" t="s">
        <v>94</v>
      </c>
      <c r="J3447" s="31">
        <v>45855</v>
      </c>
      <c r="K3447" s="31">
        <v>45860</v>
      </c>
      <c r="O3447" s="2" t="s">
        <v>297</v>
      </c>
    </row>
    <row r="3448" spans="1:15">
      <c r="A3448" s="3">
        <f t="shared" si="55"/>
        <v>3447</v>
      </c>
      <c r="B3448" s="65" t="s">
        <v>5222</v>
      </c>
      <c r="C3448" s="1">
        <v>6392054592</v>
      </c>
      <c r="E3448" s="17" t="s">
        <v>5221</v>
      </c>
      <c r="F3448" s="65" t="s">
        <v>308</v>
      </c>
      <c r="G3448" s="2" t="s">
        <v>416</v>
      </c>
      <c r="H3448" s="17" t="s">
        <v>674</v>
      </c>
      <c r="I3448" s="4" t="s">
        <v>94</v>
      </c>
      <c r="J3448" s="31">
        <v>45855</v>
      </c>
      <c r="K3448" s="31">
        <v>45868</v>
      </c>
      <c r="O3448" s="2" t="s">
        <v>297</v>
      </c>
    </row>
    <row r="3449" spans="1:15">
      <c r="A3449" s="3">
        <f t="shared" si="55"/>
        <v>3448</v>
      </c>
      <c r="B3449" s="65" t="s">
        <v>2971</v>
      </c>
      <c r="C3449" s="1">
        <v>8873375934</v>
      </c>
      <c r="D3449" s="1">
        <v>7023161510</v>
      </c>
      <c r="E3449" s="17" t="s">
        <v>5223</v>
      </c>
      <c r="F3449" s="65" t="s">
        <v>612</v>
      </c>
      <c r="G3449" s="3" t="s">
        <v>18</v>
      </c>
      <c r="H3449" s="17" t="s">
        <v>674</v>
      </c>
      <c r="I3449" s="4" t="s">
        <v>94</v>
      </c>
      <c r="J3449" s="31">
        <v>45855</v>
      </c>
      <c r="K3449" s="31">
        <v>45868</v>
      </c>
      <c r="L3449" s="31">
        <v>45881</v>
      </c>
      <c r="M3449" s="31">
        <v>45925</v>
      </c>
      <c r="N3449" s="31"/>
      <c r="O3449" s="2" t="s">
        <v>297</v>
      </c>
    </row>
    <row r="3450" spans="1:15">
      <c r="A3450" s="3">
        <f t="shared" si="55"/>
        <v>3449</v>
      </c>
      <c r="B3450" s="65" t="s">
        <v>5224</v>
      </c>
      <c r="C3450" s="1">
        <v>9546290980</v>
      </c>
      <c r="E3450" s="17" t="s">
        <v>5223</v>
      </c>
      <c r="F3450" s="65" t="s">
        <v>612</v>
      </c>
      <c r="G3450" s="2" t="s">
        <v>424</v>
      </c>
      <c r="H3450" s="17" t="s">
        <v>674</v>
      </c>
      <c r="I3450" s="4" t="s">
        <v>94</v>
      </c>
      <c r="J3450" s="31">
        <v>45855</v>
      </c>
      <c r="K3450" s="31">
        <v>45868</v>
      </c>
      <c r="O3450" s="2" t="s">
        <v>425</v>
      </c>
    </row>
    <row r="3451" spans="1:15">
      <c r="A3451" s="3">
        <f t="shared" si="55"/>
        <v>3450</v>
      </c>
      <c r="B3451" s="65" t="s">
        <v>5225</v>
      </c>
      <c r="C3451" s="1">
        <v>8788567509</v>
      </c>
      <c r="E3451" s="17" t="s">
        <v>5223</v>
      </c>
      <c r="F3451" s="65" t="s">
        <v>612</v>
      </c>
      <c r="G3451" s="2" t="s">
        <v>16</v>
      </c>
      <c r="H3451" s="17" t="s">
        <v>674</v>
      </c>
      <c r="I3451" s="4" t="s">
        <v>94</v>
      </c>
      <c r="J3451" s="31">
        <v>45855</v>
      </c>
      <c r="K3451" s="31">
        <v>45868</v>
      </c>
      <c r="L3451" s="31">
        <v>45876</v>
      </c>
      <c r="M3451" s="31">
        <v>45907</v>
      </c>
      <c r="N3451" s="31">
        <v>45908</v>
      </c>
      <c r="O3451" s="2" t="s">
        <v>297</v>
      </c>
    </row>
    <row r="3452" spans="1:15">
      <c r="A3452" s="3">
        <f t="shared" si="55"/>
        <v>3451</v>
      </c>
      <c r="B3452" s="65" t="s">
        <v>5226</v>
      </c>
      <c r="C3452" s="1">
        <v>8977904371</v>
      </c>
      <c r="E3452" s="17" t="s">
        <v>5227</v>
      </c>
      <c r="F3452" s="65" t="s">
        <v>569</v>
      </c>
      <c r="G3452" s="2" t="s">
        <v>764</v>
      </c>
      <c r="H3452" s="17" t="s">
        <v>674</v>
      </c>
      <c r="I3452" s="4" t="s">
        <v>94</v>
      </c>
      <c r="J3452" s="31">
        <v>45855</v>
      </c>
      <c r="K3452" s="31">
        <v>45881</v>
      </c>
      <c r="O3452" s="2" t="s">
        <v>425</v>
      </c>
    </row>
    <row r="3453" spans="1:15">
      <c r="A3453" s="3">
        <f t="shared" si="55"/>
        <v>3452</v>
      </c>
      <c r="B3453" s="65" t="s">
        <v>5228</v>
      </c>
      <c r="C3453" s="1">
        <v>7699392857</v>
      </c>
      <c r="E3453" s="17" t="s">
        <v>5229</v>
      </c>
      <c r="F3453" s="65" t="s">
        <v>569</v>
      </c>
      <c r="G3453" s="2" t="s">
        <v>16</v>
      </c>
      <c r="H3453" s="17" t="s">
        <v>674</v>
      </c>
      <c r="I3453" s="4" t="s">
        <v>94</v>
      </c>
      <c r="J3453" s="31">
        <v>45855</v>
      </c>
      <c r="K3453" s="31">
        <v>45876</v>
      </c>
      <c r="L3453" s="31">
        <v>45889</v>
      </c>
      <c r="M3453" s="31">
        <v>45930</v>
      </c>
      <c r="N3453" s="31">
        <v>45937</v>
      </c>
      <c r="O3453" s="2" t="s">
        <v>297</v>
      </c>
    </row>
    <row r="3454" spans="1:15">
      <c r="A3454" s="3">
        <f t="shared" si="55"/>
        <v>3453</v>
      </c>
      <c r="B3454" s="65" t="s">
        <v>5230</v>
      </c>
      <c r="C3454" s="1">
        <v>7500953354</v>
      </c>
      <c r="E3454" s="17" t="s">
        <v>5229</v>
      </c>
      <c r="F3454" s="65" t="s">
        <v>569</v>
      </c>
      <c r="G3454" s="2" t="s">
        <v>424</v>
      </c>
      <c r="H3454" s="17" t="s">
        <v>674</v>
      </c>
      <c r="I3454" s="4" t="s">
        <v>94</v>
      </c>
      <c r="J3454" s="31">
        <v>45855</v>
      </c>
      <c r="K3454" s="31">
        <v>45887</v>
      </c>
      <c r="O3454" s="2" t="s">
        <v>749</v>
      </c>
    </row>
    <row r="3455" spans="1:15">
      <c r="A3455" s="3">
        <f t="shared" si="55"/>
        <v>3454</v>
      </c>
      <c r="B3455" s="65" t="s">
        <v>5231</v>
      </c>
      <c r="C3455" s="1">
        <v>7908300393</v>
      </c>
      <c r="E3455" s="17" t="s">
        <v>5229</v>
      </c>
      <c r="F3455" s="65" t="s">
        <v>569</v>
      </c>
      <c r="G3455" s="2" t="s">
        <v>424</v>
      </c>
      <c r="H3455" s="17" t="s">
        <v>674</v>
      </c>
      <c r="I3455" s="4" t="s">
        <v>94</v>
      </c>
      <c r="J3455" s="31">
        <v>45855</v>
      </c>
      <c r="K3455" s="31">
        <v>45876</v>
      </c>
      <c r="O3455" s="2" t="s">
        <v>425</v>
      </c>
    </row>
    <row r="3456" spans="1:15">
      <c r="A3456" s="3">
        <f t="shared" si="55"/>
        <v>3455</v>
      </c>
      <c r="B3456" s="65" t="s">
        <v>5232</v>
      </c>
      <c r="C3456" s="1">
        <v>6394419131</v>
      </c>
      <c r="D3456" s="1">
        <v>9454862157</v>
      </c>
      <c r="E3456" s="17" t="s">
        <v>5233</v>
      </c>
      <c r="F3456" s="65" t="s">
        <v>308</v>
      </c>
      <c r="G3456" s="2" t="s">
        <v>416</v>
      </c>
      <c r="H3456" s="17" t="s">
        <v>674</v>
      </c>
      <c r="I3456" s="4" t="s">
        <v>94</v>
      </c>
      <c r="J3456" s="31">
        <v>45855</v>
      </c>
      <c r="K3456" s="31">
        <v>45868</v>
      </c>
      <c r="O3456" s="2" t="s">
        <v>297</v>
      </c>
    </row>
    <row r="3457" spans="1:15">
      <c r="A3457" s="3">
        <f t="shared" si="55"/>
        <v>3456</v>
      </c>
      <c r="B3457" s="65" t="s">
        <v>5234</v>
      </c>
      <c r="C3457" s="1">
        <v>9304860306</v>
      </c>
      <c r="D3457" s="1">
        <v>9304860306</v>
      </c>
      <c r="E3457" s="17" t="s">
        <v>5233</v>
      </c>
      <c r="F3457" s="65" t="s">
        <v>308</v>
      </c>
      <c r="G3457" s="2" t="s">
        <v>16</v>
      </c>
      <c r="H3457" s="17" t="s">
        <v>674</v>
      </c>
      <c r="I3457" s="4" t="s">
        <v>94</v>
      </c>
      <c r="J3457" s="31">
        <v>45855</v>
      </c>
      <c r="K3457" s="31">
        <v>45868</v>
      </c>
      <c r="L3457" s="31">
        <v>45870</v>
      </c>
      <c r="M3457" s="31">
        <v>45901</v>
      </c>
      <c r="N3457" s="31">
        <v>45902</v>
      </c>
      <c r="O3457" s="2" t="s">
        <v>297</v>
      </c>
    </row>
    <row r="3458" spans="1:15">
      <c r="A3458" s="3">
        <f t="shared" si="55"/>
        <v>3457</v>
      </c>
      <c r="B3458" s="65" t="s">
        <v>5235</v>
      </c>
      <c r="C3458" s="1">
        <v>9860870688</v>
      </c>
      <c r="E3458" s="17" t="s">
        <v>5236</v>
      </c>
      <c r="F3458" s="65" t="s">
        <v>2199</v>
      </c>
      <c r="G3458" s="2" t="s">
        <v>764</v>
      </c>
      <c r="H3458" s="17" t="s">
        <v>674</v>
      </c>
      <c r="I3458" s="4" t="s">
        <v>94</v>
      </c>
      <c r="J3458" s="31">
        <v>45855</v>
      </c>
      <c r="K3458" s="31">
        <v>45868</v>
      </c>
      <c r="O3458" s="2" t="s">
        <v>425</v>
      </c>
    </row>
    <row r="3459" spans="1:15">
      <c r="A3459" s="3">
        <f t="shared" si="55"/>
        <v>3458</v>
      </c>
      <c r="B3459" s="65" t="s">
        <v>5237</v>
      </c>
      <c r="C3459" s="1">
        <v>9949752115</v>
      </c>
      <c r="E3459" s="17" t="s">
        <v>3999</v>
      </c>
      <c r="F3459" s="65" t="s">
        <v>5238</v>
      </c>
      <c r="G3459" s="2" t="s">
        <v>295</v>
      </c>
      <c r="H3459" s="17" t="s">
        <v>42</v>
      </c>
      <c r="I3459" s="4" t="s">
        <v>42</v>
      </c>
      <c r="J3459" s="31">
        <v>45855</v>
      </c>
      <c r="K3459" s="31">
        <v>45856</v>
      </c>
      <c r="L3459" s="31">
        <v>45856</v>
      </c>
      <c r="M3459" s="31">
        <v>45889</v>
      </c>
      <c r="O3459" s="2" t="s">
        <v>297</v>
      </c>
    </row>
    <row r="3460" spans="1:15">
      <c r="A3460" s="3">
        <f t="shared" si="55"/>
        <v>3459</v>
      </c>
      <c r="B3460" s="65" t="s">
        <v>5239</v>
      </c>
      <c r="C3460" s="1">
        <v>6372827568</v>
      </c>
      <c r="E3460" s="17" t="s">
        <v>5173</v>
      </c>
      <c r="F3460" s="65" t="s">
        <v>490</v>
      </c>
      <c r="G3460" s="2" t="s">
        <v>16</v>
      </c>
      <c r="H3460" s="17" t="s">
        <v>3240</v>
      </c>
      <c r="I3460" s="4" t="s">
        <v>42</v>
      </c>
      <c r="J3460" s="31">
        <v>45855</v>
      </c>
      <c r="K3460" s="31">
        <v>45859</v>
      </c>
      <c r="L3460" s="31">
        <v>45862</v>
      </c>
      <c r="M3460" s="31">
        <v>45869</v>
      </c>
      <c r="N3460" s="31">
        <v>45870</v>
      </c>
      <c r="O3460" s="2" t="s">
        <v>297</v>
      </c>
    </row>
    <row r="3461" spans="1:15">
      <c r="A3461" s="3">
        <f t="shared" si="55"/>
        <v>3460</v>
      </c>
      <c r="B3461" s="65" t="s">
        <v>5240</v>
      </c>
      <c r="C3461" s="1">
        <v>9131918081</v>
      </c>
      <c r="E3461" s="17" t="s">
        <v>1023</v>
      </c>
      <c r="F3461" s="65" t="s">
        <v>612</v>
      </c>
      <c r="G3461" s="2" t="s">
        <v>764</v>
      </c>
      <c r="H3461" s="17" t="s">
        <v>3240</v>
      </c>
      <c r="I3461" s="4" t="s">
        <v>42</v>
      </c>
      <c r="J3461" s="31">
        <v>45855</v>
      </c>
      <c r="K3461" s="31">
        <v>45859</v>
      </c>
      <c r="O3461" s="2" t="s">
        <v>425</v>
      </c>
    </row>
    <row r="3462" spans="1:15">
      <c r="A3462" s="3">
        <f t="shared" si="55"/>
        <v>3461</v>
      </c>
      <c r="B3462" s="65" t="s">
        <v>5241</v>
      </c>
      <c r="C3462" s="1">
        <v>9010531996</v>
      </c>
      <c r="E3462" s="1" t="s">
        <v>5173</v>
      </c>
      <c r="F3462" s="65" t="s">
        <v>490</v>
      </c>
      <c r="G3462" s="2" t="s">
        <v>16</v>
      </c>
      <c r="H3462" s="17" t="s">
        <v>3240</v>
      </c>
      <c r="I3462" s="4" t="s">
        <v>42</v>
      </c>
      <c r="J3462" s="31">
        <v>45855</v>
      </c>
      <c r="K3462" s="31">
        <v>45859</v>
      </c>
      <c r="L3462" s="31">
        <v>45868</v>
      </c>
      <c r="M3462" s="31">
        <v>45875</v>
      </c>
      <c r="N3462" s="31">
        <v>45876</v>
      </c>
      <c r="O3462" s="2" t="s">
        <v>297</v>
      </c>
    </row>
    <row r="3463" spans="1:15">
      <c r="A3463" s="3">
        <f t="shared" si="55"/>
        <v>3462</v>
      </c>
      <c r="B3463" s="65" t="s">
        <v>5242</v>
      </c>
      <c r="C3463" s="1">
        <v>8878418392</v>
      </c>
      <c r="E3463" s="17" t="s">
        <v>1023</v>
      </c>
      <c r="F3463" s="65" t="s">
        <v>303</v>
      </c>
      <c r="G3463" s="2" t="s">
        <v>416</v>
      </c>
      <c r="H3463" s="17" t="s">
        <v>3240</v>
      </c>
      <c r="I3463" s="4" t="s">
        <v>42</v>
      </c>
      <c r="J3463" s="31">
        <v>45855</v>
      </c>
      <c r="K3463" s="31">
        <v>45859</v>
      </c>
      <c r="O3463" s="2" t="s">
        <v>297</v>
      </c>
    </row>
    <row r="3464" spans="1:15">
      <c r="A3464" s="3">
        <f t="shared" si="55"/>
        <v>3463</v>
      </c>
      <c r="B3464" s="65" t="s">
        <v>5243</v>
      </c>
      <c r="C3464" s="1">
        <v>8125134705</v>
      </c>
      <c r="E3464" s="17" t="s">
        <v>1023</v>
      </c>
      <c r="F3464" s="65" t="s">
        <v>303</v>
      </c>
      <c r="G3464" s="2" t="s">
        <v>18</v>
      </c>
      <c r="H3464" s="17" t="s">
        <v>3240</v>
      </c>
      <c r="I3464" s="4" t="s">
        <v>42</v>
      </c>
      <c r="J3464" s="31">
        <v>45855</v>
      </c>
      <c r="K3464" s="31">
        <v>45859</v>
      </c>
      <c r="O3464" s="2" t="s">
        <v>297</v>
      </c>
    </row>
    <row r="3465" spans="1:15">
      <c r="A3465" s="3">
        <f t="shared" si="55"/>
        <v>3464</v>
      </c>
      <c r="B3465" s="65" t="s">
        <v>5244</v>
      </c>
      <c r="C3465" s="1">
        <v>9691567058</v>
      </c>
      <c r="E3465" s="1" t="s">
        <v>5173</v>
      </c>
      <c r="F3465" s="65" t="s">
        <v>303</v>
      </c>
      <c r="G3465" s="2" t="s">
        <v>16</v>
      </c>
      <c r="H3465" s="17" t="s">
        <v>3240</v>
      </c>
      <c r="I3465" s="4" t="s">
        <v>42</v>
      </c>
      <c r="J3465" s="31">
        <v>45855</v>
      </c>
      <c r="K3465" s="31">
        <v>45859</v>
      </c>
      <c r="L3465" s="31">
        <v>45868</v>
      </c>
      <c r="M3465" s="31">
        <v>45875</v>
      </c>
      <c r="N3465" s="31">
        <v>45888</v>
      </c>
      <c r="O3465" s="2" t="s">
        <v>297</v>
      </c>
    </row>
    <row r="3466" spans="1:15">
      <c r="A3466" s="3">
        <f t="shared" si="55"/>
        <v>3465</v>
      </c>
      <c r="B3466" s="65" t="s">
        <v>5245</v>
      </c>
      <c r="C3466" s="1">
        <v>8247794957</v>
      </c>
      <c r="E3466" s="1" t="s">
        <v>5173</v>
      </c>
      <c r="F3466" s="65" t="s">
        <v>490</v>
      </c>
      <c r="G3466" s="2" t="s">
        <v>295</v>
      </c>
      <c r="H3466" s="17" t="s">
        <v>3240</v>
      </c>
      <c r="I3466" s="4" t="s">
        <v>42</v>
      </c>
      <c r="J3466" s="31">
        <v>45855</v>
      </c>
      <c r="K3466" s="31">
        <v>45859</v>
      </c>
      <c r="L3466" s="31">
        <v>45868</v>
      </c>
      <c r="M3466" s="31">
        <v>45943</v>
      </c>
      <c r="O3466" s="2" t="s">
        <v>297</v>
      </c>
    </row>
    <row r="3467" spans="1:15">
      <c r="A3467" s="3">
        <f t="shared" si="55"/>
        <v>3466</v>
      </c>
      <c r="B3467" s="65" t="s">
        <v>5246</v>
      </c>
      <c r="C3467" s="1">
        <v>9019765398</v>
      </c>
      <c r="E3467" s="1" t="s">
        <v>5173</v>
      </c>
      <c r="F3467" s="65" t="s">
        <v>612</v>
      </c>
      <c r="G3467" s="2" t="s">
        <v>16</v>
      </c>
      <c r="H3467" s="17" t="s">
        <v>3240</v>
      </c>
      <c r="I3467" s="4" t="s">
        <v>42</v>
      </c>
      <c r="J3467" s="31">
        <v>45855</v>
      </c>
      <c r="K3467" s="31">
        <v>45859</v>
      </c>
      <c r="L3467" s="31">
        <v>45870</v>
      </c>
      <c r="M3467" s="31">
        <v>45906</v>
      </c>
      <c r="N3467" s="31">
        <v>45906</v>
      </c>
      <c r="O3467" s="2" t="s">
        <v>297</v>
      </c>
    </row>
    <row r="3468" spans="1:15">
      <c r="A3468" s="3">
        <f t="shared" si="55"/>
        <v>3467</v>
      </c>
      <c r="B3468" s="65" t="s">
        <v>1507</v>
      </c>
      <c r="C3468" s="1">
        <v>7870146767</v>
      </c>
      <c r="E3468" s="1" t="s">
        <v>5173</v>
      </c>
      <c r="F3468" s="65" t="s">
        <v>303</v>
      </c>
      <c r="G3468" s="2" t="s">
        <v>16</v>
      </c>
      <c r="H3468" s="17" t="s">
        <v>3240</v>
      </c>
      <c r="I3468" s="4" t="s">
        <v>42</v>
      </c>
      <c r="J3468" s="31">
        <v>45855</v>
      </c>
      <c r="K3468" s="31">
        <v>45859</v>
      </c>
      <c r="L3468" s="31">
        <v>45862</v>
      </c>
      <c r="M3468" s="31">
        <v>45888</v>
      </c>
      <c r="N3468" s="31">
        <v>45890</v>
      </c>
      <c r="O3468" s="2" t="s">
        <v>297</v>
      </c>
    </row>
    <row r="3469" spans="1:15">
      <c r="A3469" s="3">
        <f t="shared" si="55"/>
        <v>3468</v>
      </c>
      <c r="B3469" s="65" t="s">
        <v>5247</v>
      </c>
      <c r="C3469" s="1">
        <v>8770753590</v>
      </c>
      <c r="D3469" s="1">
        <v>9424016542</v>
      </c>
      <c r="E3469" s="17" t="s">
        <v>5248</v>
      </c>
      <c r="F3469" s="65" t="s">
        <v>2482</v>
      </c>
      <c r="G3469" s="2" t="s">
        <v>424</v>
      </c>
      <c r="H3469" s="17" t="s">
        <v>162</v>
      </c>
      <c r="I3469" s="4" t="s">
        <v>88</v>
      </c>
      <c r="J3469" s="31">
        <v>45855</v>
      </c>
      <c r="K3469" s="31">
        <v>45860</v>
      </c>
      <c r="O3469" s="2" t="s">
        <v>425</v>
      </c>
    </row>
    <row r="3470" spans="1:15">
      <c r="A3470" s="3">
        <f t="shared" si="55"/>
        <v>3469</v>
      </c>
      <c r="B3470" s="65" t="s">
        <v>5249</v>
      </c>
      <c r="C3470" s="1">
        <v>7807941697</v>
      </c>
      <c r="E3470" s="17" t="s">
        <v>5248</v>
      </c>
      <c r="F3470" s="65" t="s">
        <v>5250</v>
      </c>
      <c r="G3470" s="2" t="s">
        <v>424</v>
      </c>
      <c r="H3470" s="17" t="s">
        <v>162</v>
      </c>
      <c r="I3470" s="4" t="s">
        <v>88</v>
      </c>
      <c r="J3470" s="31">
        <v>45855</v>
      </c>
      <c r="K3470" s="31">
        <v>45860</v>
      </c>
      <c r="O3470" s="2" t="s">
        <v>425</v>
      </c>
    </row>
    <row r="3471" spans="1:15">
      <c r="A3471" s="3">
        <f t="shared" si="55"/>
        <v>3470</v>
      </c>
      <c r="B3471" s="65" t="s">
        <v>5164</v>
      </c>
      <c r="C3471" s="1">
        <v>7006942558</v>
      </c>
      <c r="E3471" s="17" t="s">
        <v>5248</v>
      </c>
      <c r="F3471" s="65" t="s">
        <v>1312</v>
      </c>
      <c r="G3471" s="2" t="s">
        <v>424</v>
      </c>
      <c r="H3471" s="17" t="s">
        <v>162</v>
      </c>
      <c r="I3471" s="4" t="s">
        <v>88</v>
      </c>
      <c r="J3471" s="31">
        <v>45855</v>
      </c>
      <c r="K3471" s="31">
        <v>45860</v>
      </c>
      <c r="O3471" s="2" t="s">
        <v>425</v>
      </c>
    </row>
    <row r="3472" spans="1:15">
      <c r="A3472" s="3">
        <f t="shared" si="55"/>
        <v>3471</v>
      </c>
      <c r="B3472" s="65" t="s">
        <v>457</v>
      </c>
      <c r="C3472" s="1">
        <v>7631669492</v>
      </c>
      <c r="E3472" s="17" t="s">
        <v>5248</v>
      </c>
      <c r="F3472" s="65" t="s">
        <v>569</v>
      </c>
      <c r="G3472" s="2" t="s">
        <v>16</v>
      </c>
      <c r="H3472" s="17" t="s">
        <v>162</v>
      </c>
      <c r="I3472" s="4" t="s">
        <v>88</v>
      </c>
      <c r="J3472" s="31">
        <v>45855</v>
      </c>
      <c r="K3472" s="31">
        <v>45860</v>
      </c>
      <c r="L3472" s="31">
        <v>45868</v>
      </c>
      <c r="M3472" s="31">
        <v>45899</v>
      </c>
      <c r="N3472" s="31">
        <v>45899</v>
      </c>
      <c r="O3472" s="2" t="s">
        <v>297</v>
      </c>
    </row>
    <row r="3473" spans="1:15">
      <c r="A3473" s="3">
        <f t="shared" si="55"/>
        <v>3472</v>
      </c>
      <c r="B3473" s="65" t="s">
        <v>5251</v>
      </c>
      <c r="C3473" s="1">
        <v>8374912192</v>
      </c>
      <c r="E3473" s="17" t="s">
        <v>4545</v>
      </c>
      <c r="F3473" s="65" t="s">
        <v>5252</v>
      </c>
      <c r="G3473" s="2" t="s">
        <v>16</v>
      </c>
      <c r="H3473" s="17" t="s">
        <v>162</v>
      </c>
      <c r="I3473" s="4" t="s">
        <v>42</v>
      </c>
      <c r="J3473" s="31">
        <v>45851</v>
      </c>
      <c r="K3473" s="31">
        <v>45852</v>
      </c>
      <c r="L3473" s="31">
        <v>45853</v>
      </c>
      <c r="M3473" s="31">
        <v>45860</v>
      </c>
      <c r="N3473" s="31">
        <v>45853</v>
      </c>
      <c r="O3473" s="2" t="s">
        <v>297</v>
      </c>
    </row>
    <row r="3474" spans="1:15">
      <c r="A3474" s="3">
        <f t="shared" si="55"/>
        <v>3473</v>
      </c>
      <c r="B3474" s="65" t="s">
        <v>5253</v>
      </c>
      <c r="C3474" s="1">
        <v>7989406019</v>
      </c>
      <c r="E3474" s="17" t="s">
        <v>5254</v>
      </c>
      <c r="F3474" s="65" t="s">
        <v>5255</v>
      </c>
      <c r="G3474" s="2" t="s">
        <v>16</v>
      </c>
      <c r="H3474" s="17" t="s">
        <v>42</v>
      </c>
      <c r="I3474" s="4" t="s">
        <v>42</v>
      </c>
      <c r="J3474" s="31">
        <v>45851</v>
      </c>
      <c r="K3474" s="31">
        <v>45852</v>
      </c>
      <c r="L3474" s="31">
        <v>45853</v>
      </c>
      <c r="M3474" s="31">
        <v>45860</v>
      </c>
      <c r="N3474" s="31">
        <v>45859</v>
      </c>
      <c r="O3474" s="2" t="s">
        <v>297</v>
      </c>
    </row>
    <row r="3475" spans="1:15">
      <c r="A3475" s="3">
        <f t="shared" si="55"/>
        <v>3474</v>
      </c>
      <c r="B3475" s="65" t="s">
        <v>5256</v>
      </c>
      <c r="C3475" s="1">
        <v>9866255335</v>
      </c>
      <c r="E3475" s="1" t="s">
        <v>170</v>
      </c>
      <c r="F3475" s="65" t="s">
        <v>5257</v>
      </c>
      <c r="G3475" s="2" t="s">
        <v>16</v>
      </c>
      <c r="H3475" s="17" t="s">
        <v>162</v>
      </c>
      <c r="I3475" s="4" t="s">
        <v>42</v>
      </c>
      <c r="J3475" s="31">
        <v>45851</v>
      </c>
      <c r="K3475" s="31">
        <v>45852</v>
      </c>
      <c r="L3475" s="31">
        <v>45853</v>
      </c>
      <c r="M3475" s="31">
        <v>45873</v>
      </c>
      <c r="N3475" s="31">
        <v>45874</v>
      </c>
      <c r="O3475" s="2" t="s">
        <v>297</v>
      </c>
    </row>
    <row r="3476" spans="1:15">
      <c r="A3476" s="3">
        <f t="shared" si="55"/>
        <v>3475</v>
      </c>
      <c r="B3476" s="65" t="s">
        <v>3460</v>
      </c>
      <c r="C3476" s="1">
        <v>8210097526</v>
      </c>
      <c r="E3476" s="1" t="s">
        <v>5173</v>
      </c>
      <c r="F3476" s="65" t="s">
        <v>303</v>
      </c>
      <c r="G3476" s="2" t="s">
        <v>16</v>
      </c>
      <c r="H3476" s="17" t="s">
        <v>3240</v>
      </c>
      <c r="I3476" s="4" t="s">
        <v>42</v>
      </c>
      <c r="J3476" s="31">
        <v>45856</v>
      </c>
      <c r="K3476" s="31">
        <v>45867</v>
      </c>
      <c r="L3476" s="31">
        <v>45877</v>
      </c>
      <c r="M3476" s="31">
        <v>45895</v>
      </c>
      <c r="N3476" s="31">
        <v>45895</v>
      </c>
      <c r="O3476" s="2" t="s">
        <v>297</v>
      </c>
    </row>
    <row r="3477" spans="1:15">
      <c r="A3477" s="3">
        <f t="shared" si="55"/>
        <v>3476</v>
      </c>
      <c r="B3477" s="65" t="s">
        <v>5258</v>
      </c>
      <c r="C3477" s="1">
        <v>8486115755</v>
      </c>
      <c r="E3477" s="17" t="s">
        <v>5173</v>
      </c>
      <c r="F3477" s="65" t="s">
        <v>490</v>
      </c>
      <c r="G3477" s="2" t="s">
        <v>16</v>
      </c>
      <c r="H3477" s="17" t="s">
        <v>3240</v>
      </c>
      <c r="I3477" s="4" t="s">
        <v>42</v>
      </c>
      <c r="J3477" s="31">
        <v>45856</v>
      </c>
      <c r="K3477" s="31">
        <v>45867</v>
      </c>
      <c r="L3477" s="31">
        <v>45908</v>
      </c>
      <c r="M3477" s="31">
        <v>45964</v>
      </c>
      <c r="N3477" s="31">
        <v>45945</v>
      </c>
      <c r="O3477" s="2" t="s">
        <v>297</v>
      </c>
    </row>
    <row r="3478" spans="1:15">
      <c r="A3478" s="3">
        <f t="shared" si="55"/>
        <v>3477</v>
      </c>
      <c r="B3478" s="65" t="s">
        <v>5259</v>
      </c>
      <c r="C3478" s="1">
        <v>8975032927</v>
      </c>
      <c r="E3478" s="17" t="s">
        <v>1023</v>
      </c>
      <c r="F3478" s="65" t="s">
        <v>308</v>
      </c>
      <c r="G3478" s="2" t="s">
        <v>424</v>
      </c>
      <c r="H3478" s="17" t="s">
        <v>3240</v>
      </c>
      <c r="I3478" s="4" t="s">
        <v>42</v>
      </c>
      <c r="J3478" s="31">
        <v>45856</v>
      </c>
      <c r="K3478" s="31">
        <v>45867</v>
      </c>
      <c r="O3478" s="2" t="s">
        <v>425</v>
      </c>
    </row>
    <row r="3479" spans="1:15">
      <c r="A3479" s="3">
        <f t="shared" si="55"/>
        <v>3478</v>
      </c>
      <c r="B3479" s="65" t="s">
        <v>5260</v>
      </c>
      <c r="C3479" s="1">
        <v>7286980912</v>
      </c>
      <c r="E3479" s="1" t="s">
        <v>5173</v>
      </c>
      <c r="F3479" s="65" t="s">
        <v>490</v>
      </c>
      <c r="G3479" s="3" t="s">
        <v>295</v>
      </c>
      <c r="H3479" s="17" t="s">
        <v>3240</v>
      </c>
      <c r="I3479" s="4" t="s">
        <v>42</v>
      </c>
      <c r="J3479" s="31">
        <v>45856</v>
      </c>
      <c r="K3479" s="31">
        <v>45867</v>
      </c>
      <c r="L3479" s="31">
        <v>45877</v>
      </c>
      <c r="M3479" s="31">
        <v>45953</v>
      </c>
      <c r="N3479" s="31"/>
      <c r="O3479" s="2" t="s">
        <v>297</v>
      </c>
    </row>
    <row r="3480" spans="1:15">
      <c r="A3480" s="3">
        <f t="shared" si="55"/>
        <v>3479</v>
      </c>
      <c r="B3480" s="65" t="s">
        <v>5261</v>
      </c>
      <c r="C3480" s="1">
        <v>7978952939</v>
      </c>
      <c r="E3480" s="1" t="s">
        <v>5173</v>
      </c>
      <c r="F3480" s="65" t="s">
        <v>612</v>
      </c>
      <c r="G3480" s="2" t="s">
        <v>16</v>
      </c>
      <c r="H3480" s="17" t="s">
        <v>3240</v>
      </c>
      <c r="I3480" s="4" t="s">
        <v>42</v>
      </c>
      <c r="J3480" s="31">
        <v>45856</v>
      </c>
      <c r="K3480" s="31">
        <v>45867</v>
      </c>
      <c r="L3480" s="31">
        <v>45877</v>
      </c>
      <c r="M3480" s="31">
        <v>45911</v>
      </c>
      <c r="N3480" s="31">
        <v>45924</v>
      </c>
      <c r="O3480" s="2" t="s">
        <v>297</v>
      </c>
    </row>
    <row r="3481" spans="1:15">
      <c r="A3481" s="3">
        <f t="shared" si="55"/>
        <v>3480</v>
      </c>
      <c r="B3481" s="65" t="s">
        <v>5262</v>
      </c>
      <c r="C3481" s="1">
        <v>7694999840</v>
      </c>
      <c r="E3481" s="17" t="s">
        <v>1023</v>
      </c>
      <c r="F3481" s="65" t="s">
        <v>303</v>
      </c>
      <c r="G3481" s="2" t="s">
        <v>16</v>
      </c>
      <c r="H3481" s="17" t="s">
        <v>3240</v>
      </c>
      <c r="I3481" s="4" t="s">
        <v>42</v>
      </c>
      <c r="J3481" s="31">
        <v>45856</v>
      </c>
      <c r="K3481" s="31">
        <v>45867</v>
      </c>
      <c r="L3481" s="31">
        <v>45909</v>
      </c>
      <c r="M3481" s="31">
        <v>45941</v>
      </c>
      <c r="N3481" s="31">
        <v>45941</v>
      </c>
      <c r="O3481" s="2" t="s">
        <v>297</v>
      </c>
    </row>
    <row r="3482" spans="1:15">
      <c r="A3482" s="3">
        <f t="shared" si="55"/>
        <v>3481</v>
      </c>
      <c r="B3482" s="65" t="s">
        <v>5263</v>
      </c>
      <c r="C3482" s="1">
        <v>7559464993</v>
      </c>
      <c r="E3482" s="1" t="s">
        <v>5173</v>
      </c>
      <c r="F3482" s="65" t="s">
        <v>490</v>
      </c>
      <c r="G3482" s="2" t="s">
        <v>16</v>
      </c>
      <c r="H3482" s="17" t="s">
        <v>3240</v>
      </c>
      <c r="I3482" s="4" t="s">
        <v>42</v>
      </c>
      <c r="J3482" s="31">
        <v>45856</v>
      </c>
      <c r="K3482" s="31">
        <v>45867</v>
      </c>
      <c r="L3482" s="31">
        <v>45877</v>
      </c>
      <c r="M3482" s="31">
        <v>45908</v>
      </c>
      <c r="N3482" s="31">
        <v>45908</v>
      </c>
      <c r="O3482" s="2" t="s">
        <v>297</v>
      </c>
    </row>
    <row r="3483" spans="1:15">
      <c r="A3483" s="3">
        <f t="shared" si="55"/>
        <v>3482</v>
      </c>
      <c r="B3483" s="65" t="s">
        <v>985</v>
      </c>
      <c r="C3483" s="1">
        <v>9118694041</v>
      </c>
      <c r="E3483" s="17" t="s">
        <v>5264</v>
      </c>
      <c r="F3483" s="65" t="s">
        <v>364</v>
      </c>
      <c r="G3483" s="2" t="s">
        <v>16</v>
      </c>
      <c r="H3483" s="17" t="s">
        <v>5163</v>
      </c>
      <c r="I3483" s="4" t="s">
        <v>94</v>
      </c>
      <c r="J3483" s="31">
        <v>45856</v>
      </c>
      <c r="K3483" s="31">
        <v>45869</v>
      </c>
      <c r="L3483" s="31">
        <v>45867</v>
      </c>
      <c r="M3483" s="31">
        <v>45880</v>
      </c>
      <c r="N3483" s="31">
        <v>45881</v>
      </c>
      <c r="O3483" s="2" t="s">
        <v>297</v>
      </c>
    </row>
    <row r="3484" spans="1:15">
      <c r="A3484" s="3">
        <f t="shared" si="55"/>
        <v>3483</v>
      </c>
      <c r="B3484" s="65" t="s">
        <v>2371</v>
      </c>
      <c r="C3484" s="1">
        <v>9131614936</v>
      </c>
      <c r="D3484" s="1">
        <v>7489250940</v>
      </c>
      <c r="E3484" s="17" t="s">
        <v>5264</v>
      </c>
      <c r="F3484" s="65" t="s">
        <v>364</v>
      </c>
      <c r="G3484" s="2" t="s">
        <v>764</v>
      </c>
      <c r="H3484" s="17" t="s">
        <v>5163</v>
      </c>
      <c r="I3484" s="4" t="s">
        <v>94</v>
      </c>
      <c r="J3484" s="31">
        <v>45856</v>
      </c>
      <c r="K3484" s="31">
        <v>45869</v>
      </c>
      <c r="O3484" s="2" t="s">
        <v>425</v>
      </c>
    </row>
    <row r="3485" spans="1:15">
      <c r="A3485" s="3">
        <f t="shared" si="55"/>
        <v>3484</v>
      </c>
      <c r="B3485" s="65" t="s">
        <v>5265</v>
      </c>
      <c r="C3485" s="1">
        <v>9340468746</v>
      </c>
      <c r="E3485" s="17" t="s">
        <v>5266</v>
      </c>
      <c r="F3485" s="65" t="s">
        <v>364</v>
      </c>
      <c r="G3485" s="2" t="s">
        <v>416</v>
      </c>
      <c r="H3485" s="17" t="s">
        <v>5163</v>
      </c>
      <c r="I3485" s="4" t="s">
        <v>94</v>
      </c>
      <c r="J3485" s="31">
        <v>45856</v>
      </c>
      <c r="K3485" s="31">
        <v>45869</v>
      </c>
      <c r="O3485" s="2" t="s">
        <v>297</v>
      </c>
    </row>
    <row r="3486" spans="1:15">
      <c r="A3486" s="3">
        <f t="shared" si="55"/>
        <v>3485</v>
      </c>
      <c r="B3486" s="65" t="s">
        <v>5267</v>
      </c>
      <c r="C3486" s="1">
        <v>9603020912</v>
      </c>
      <c r="E3486" s="17" t="s">
        <v>5266</v>
      </c>
      <c r="F3486" s="65" t="s">
        <v>364</v>
      </c>
      <c r="G3486" s="2" t="s">
        <v>764</v>
      </c>
      <c r="H3486" s="17" t="s">
        <v>5163</v>
      </c>
      <c r="I3486" s="4" t="s">
        <v>94</v>
      </c>
      <c r="J3486" s="31">
        <v>45856</v>
      </c>
      <c r="K3486" s="31">
        <v>45869</v>
      </c>
      <c r="O3486" s="2" t="s">
        <v>425</v>
      </c>
    </row>
    <row r="3487" spans="1:15">
      <c r="A3487" s="3">
        <f t="shared" si="55"/>
        <v>3486</v>
      </c>
      <c r="B3487" s="65" t="s">
        <v>5268</v>
      </c>
      <c r="C3487" s="1">
        <v>8688657640</v>
      </c>
      <c r="E3487" s="17" t="s">
        <v>151</v>
      </c>
      <c r="F3487" s="65" t="s">
        <v>863</v>
      </c>
      <c r="G3487" s="2" t="s">
        <v>18</v>
      </c>
      <c r="H3487" s="17" t="s">
        <v>42</v>
      </c>
      <c r="I3487" s="4" t="s">
        <v>88</v>
      </c>
      <c r="J3487" s="31">
        <v>45856</v>
      </c>
      <c r="K3487" s="31">
        <v>45856</v>
      </c>
      <c r="O3487" s="2" t="s">
        <v>297</v>
      </c>
    </row>
    <row r="3488" spans="1:15">
      <c r="A3488" s="3">
        <f t="shared" ref="A3488:A3551" si="56">ROW()-1</f>
        <v>3487</v>
      </c>
      <c r="B3488" s="65" t="s">
        <v>5269</v>
      </c>
      <c r="C3488" s="1">
        <v>7731024172</v>
      </c>
      <c r="D3488" s="1">
        <v>7995780462</v>
      </c>
      <c r="E3488" s="17" t="s">
        <v>3339</v>
      </c>
      <c r="F3488" s="65"/>
      <c r="G3488" s="2" t="s">
        <v>16</v>
      </c>
      <c r="H3488" s="17" t="s">
        <v>999</v>
      </c>
      <c r="I3488" s="4" t="s">
        <v>88</v>
      </c>
      <c r="J3488" s="31">
        <v>45852</v>
      </c>
      <c r="K3488" s="31">
        <v>45854</v>
      </c>
      <c r="L3488" s="31">
        <v>45856</v>
      </c>
      <c r="M3488" s="31">
        <v>45887</v>
      </c>
      <c r="N3488" s="31">
        <v>45887</v>
      </c>
      <c r="O3488" s="2" t="s">
        <v>297</v>
      </c>
    </row>
    <row r="3489" spans="1:15">
      <c r="A3489" s="3">
        <f t="shared" si="56"/>
        <v>3488</v>
      </c>
      <c r="B3489" s="65" t="s">
        <v>5270</v>
      </c>
      <c r="C3489" s="1">
        <v>7259622131</v>
      </c>
      <c r="E3489" s="17" t="s">
        <v>3339</v>
      </c>
      <c r="F3489" s="65"/>
      <c r="G3489" s="2" t="s">
        <v>295</v>
      </c>
      <c r="H3489" s="17" t="s">
        <v>999</v>
      </c>
      <c r="I3489" s="4" t="s">
        <v>88</v>
      </c>
      <c r="J3489" s="31">
        <v>45852</v>
      </c>
      <c r="K3489" s="31">
        <v>45854</v>
      </c>
      <c r="L3489" s="31">
        <v>45856</v>
      </c>
      <c r="M3489" s="31">
        <v>45915</v>
      </c>
      <c r="O3489" s="2" t="s">
        <v>297</v>
      </c>
    </row>
    <row r="3490" spans="1:15">
      <c r="A3490" s="3">
        <f t="shared" si="56"/>
        <v>3489</v>
      </c>
      <c r="B3490" s="65" t="s">
        <v>5271</v>
      </c>
      <c r="C3490" s="1">
        <v>6260404211</v>
      </c>
      <c r="E3490" s="17" t="s">
        <v>5272</v>
      </c>
      <c r="F3490" s="65"/>
      <c r="G3490" s="2" t="s">
        <v>16</v>
      </c>
      <c r="H3490" s="17" t="s">
        <v>5273</v>
      </c>
      <c r="I3490" s="4" t="s">
        <v>88</v>
      </c>
      <c r="J3490" s="31">
        <v>45852</v>
      </c>
      <c r="K3490" s="31">
        <v>45854</v>
      </c>
      <c r="L3490" s="31">
        <v>45856</v>
      </c>
      <c r="M3490" s="31">
        <v>45887</v>
      </c>
      <c r="N3490" s="31">
        <v>45887</v>
      </c>
      <c r="O3490" s="2" t="s">
        <v>297</v>
      </c>
    </row>
    <row r="3491" spans="1:15">
      <c r="A3491" s="3">
        <f t="shared" si="56"/>
        <v>3490</v>
      </c>
      <c r="B3491" s="65" t="s">
        <v>5274</v>
      </c>
      <c r="C3491" s="1">
        <v>9990706947</v>
      </c>
      <c r="E3491" s="17" t="s">
        <v>5272</v>
      </c>
      <c r="F3491" s="65"/>
      <c r="G3491" s="2" t="s">
        <v>16</v>
      </c>
      <c r="H3491" s="17" t="s">
        <v>5273</v>
      </c>
      <c r="I3491" s="4" t="s">
        <v>88</v>
      </c>
      <c r="J3491" s="31">
        <v>45852</v>
      </c>
      <c r="K3491" s="31">
        <v>45854</v>
      </c>
      <c r="L3491" s="31">
        <v>45856</v>
      </c>
      <c r="M3491" s="31">
        <v>45887</v>
      </c>
      <c r="N3491" s="31">
        <v>45887</v>
      </c>
      <c r="O3491" s="2" t="s">
        <v>297</v>
      </c>
    </row>
    <row r="3492" spans="1:15">
      <c r="A3492" s="3">
        <f t="shared" si="56"/>
        <v>3491</v>
      </c>
      <c r="B3492" s="65" t="s">
        <v>5275</v>
      </c>
      <c r="C3492" s="1">
        <v>9661280250</v>
      </c>
      <c r="D3492" s="1">
        <v>6267523416</v>
      </c>
      <c r="E3492" s="17" t="s">
        <v>5276</v>
      </c>
      <c r="F3492" s="65"/>
      <c r="G3492" s="2" t="s">
        <v>16</v>
      </c>
      <c r="H3492" s="17" t="s">
        <v>3854</v>
      </c>
      <c r="I3492" s="4" t="s">
        <v>88</v>
      </c>
      <c r="J3492" s="31">
        <v>45845</v>
      </c>
      <c r="K3492" s="31">
        <v>45845</v>
      </c>
      <c r="L3492" s="31">
        <v>45856</v>
      </c>
      <c r="M3492" s="31">
        <v>45887</v>
      </c>
      <c r="N3492" s="31">
        <v>45887</v>
      </c>
      <c r="O3492" s="2" t="s">
        <v>297</v>
      </c>
    </row>
    <row r="3493" spans="1:15">
      <c r="A3493" s="3">
        <f t="shared" si="56"/>
        <v>3492</v>
      </c>
      <c r="B3493" s="65" t="s">
        <v>5277</v>
      </c>
      <c r="C3493" s="1">
        <v>7989901894</v>
      </c>
      <c r="E3493" s="17" t="s">
        <v>5278</v>
      </c>
      <c r="F3493" s="65"/>
      <c r="G3493" s="2" t="s">
        <v>295</v>
      </c>
      <c r="H3493" s="17" t="s">
        <v>999</v>
      </c>
      <c r="I3493" s="4" t="s">
        <v>94</v>
      </c>
      <c r="J3493" s="31">
        <v>45852</v>
      </c>
      <c r="K3493" s="31">
        <v>45854</v>
      </c>
      <c r="L3493" s="31">
        <v>45856</v>
      </c>
      <c r="M3493" s="31">
        <v>45915</v>
      </c>
      <c r="O3493" s="2" t="s">
        <v>297</v>
      </c>
    </row>
    <row r="3494" spans="1:15">
      <c r="A3494" s="3">
        <f t="shared" si="56"/>
        <v>3493</v>
      </c>
      <c r="B3494" s="65" t="s">
        <v>5279</v>
      </c>
      <c r="C3494" s="1">
        <v>9491100455</v>
      </c>
      <c r="E3494" s="17" t="s">
        <v>5280</v>
      </c>
      <c r="F3494" s="65"/>
      <c r="G3494" s="2" t="s">
        <v>295</v>
      </c>
      <c r="H3494" s="17" t="s">
        <v>999</v>
      </c>
      <c r="I3494" s="4" t="s">
        <v>94</v>
      </c>
      <c r="J3494" s="31">
        <v>45852</v>
      </c>
      <c r="K3494" s="31">
        <v>45854</v>
      </c>
      <c r="L3494" s="31">
        <v>45856</v>
      </c>
      <c r="M3494" s="31">
        <v>45887</v>
      </c>
      <c r="O3494" s="2" t="s">
        <v>297</v>
      </c>
    </row>
    <row r="3495" spans="1:15">
      <c r="A3495" s="3">
        <f t="shared" si="56"/>
        <v>3494</v>
      </c>
      <c r="B3495" s="65" t="s">
        <v>5281</v>
      </c>
      <c r="C3495" s="1">
        <v>8810581332</v>
      </c>
      <c r="E3495" s="17" t="s">
        <v>5282</v>
      </c>
      <c r="F3495" s="65"/>
      <c r="G3495" s="3" t="s">
        <v>295</v>
      </c>
      <c r="H3495" s="17" t="s">
        <v>361</v>
      </c>
      <c r="I3495" s="4" t="s">
        <v>94</v>
      </c>
      <c r="J3495" s="31">
        <v>45852</v>
      </c>
      <c r="K3495" s="31">
        <v>45854</v>
      </c>
      <c r="L3495" s="31">
        <v>45856</v>
      </c>
      <c r="M3495" s="31">
        <v>45901</v>
      </c>
      <c r="O3495" s="2" t="s">
        <v>297</v>
      </c>
    </row>
    <row r="3496" spans="1:15">
      <c r="A3496" s="3">
        <f t="shared" si="56"/>
        <v>3495</v>
      </c>
      <c r="B3496" s="65" t="s">
        <v>5283</v>
      </c>
      <c r="C3496" s="1">
        <v>9392195957</v>
      </c>
      <c r="E3496" s="17" t="s">
        <v>5284</v>
      </c>
      <c r="F3496" s="65" t="s">
        <v>5285</v>
      </c>
      <c r="G3496" s="2" t="s">
        <v>424</v>
      </c>
      <c r="H3496" s="17" t="s">
        <v>785</v>
      </c>
      <c r="I3496" s="4" t="s">
        <v>42</v>
      </c>
      <c r="J3496" s="31">
        <v>45856</v>
      </c>
      <c r="K3496" s="31">
        <v>45860</v>
      </c>
      <c r="O3496" s="2" t="s">
        <v>425</v>
      </c>
    </row>
    <row r="3497" spans="1:15">
      <c r="A3497" s="3">
        <f t="shared" si="56"/>
        <v>3496</v>
      </c>
      <c r="B3497" s="65" t="s">
        <v>5286</v>
      </c>
      <c r="C3497" s="1">
        <v>9951049473</v>
      </c>
      <c r="E3497" s="17" t="s">
        <v>5284</v>
      </c>
      <c r="F3497" s="65" t="s">
        <v>5287</v>
      </c>
      <c r="G3497" s="2" t="s">
        <v>424</v>
      </c>
      <c r="H3497" s="17" t="s">
        <v>785</v>
      </c>
      <c r="I3497" s="4" t="s">
        <v>42</v>
      </c>
      <c r="J3497" s="31">
        <v>45856</v>
      </c>
      <c r="K3497" s="31">
        <v>45860</v>
      </c>
      <c r="O3497" s="2" t="s">
        <v>425</v>
      </c>
    </row>
    <row r="3498" spans="1:15">
      <c r="A3498" s="3">
        <f t="shared" si="56"/>
        <v>3497</v>
      </c>
      <c r="B3498" s="65" t="s">
        <v>5288</v>
      </c>
      <c r="C3498" s="1">
        <v>8099914224</v>
      </c>
      <c r="E3498" s="17" t="s">
        <v>5284</v>
      </c>
      <c r="F3498" s="65" t="s">
        <v>2002</v>
      </c>
      <c r="G3498" s="2" t="s">
        <v>424</v>
      </c>
      <c r="H3498" s="17" t="s">
        <v>785</v>
      </c>
      <c r="I3498" s="4" t="s">
        <v>42</v>
      </c>
      <c r="J3498" s="31">
        <v>45856</v>
      </c>
      <c r="K3498" s="31">
        <v>45911</v>
      </c>
      <c r="O3498" s="2" t="s">
        <v>425</v>
      </c>
    </row>
    <row r="3499" spans="1:15">
      <c r="A3499" s="3">
        <f t="shared" si="56"/>
        <v>3498</v>
      </c>
      <c r="B3499" s="65" t="s">
        <v>5289</v>
      </c>
      <c r="C3499" s="1">
        <v>9939983105</v>
      </c>
      <c r="E3499" s="17" t="s">
        <v>5290</v>
      </c>
      <c r="F3499" s="65" t="s">
        <v>5291</v>
      </c>
      <c r="G3499" s="2" t="s">
        <v>295</v>
      </c>
      <c r="H3499" s="17" t="s">
        <v>88</v>
      </c>
      <c r="I3499" s="4" t="s">
        <v>88</v>
      </c>
      <c r="J3499" s="31">
        <v>45856</v>
      </c>
      <c r="K3499" s="31">
        <v>45856</v>
      </c>
      <c r="L3499" s="31">
        <v>45866</v>
      </c>
      <c r="M3499" s="31">
        <v>45897</v>
      </c>
      <c r="O3499" s="2" t="s">
        <v>297</v>
      </c>
    </row>
    <row r="3500" spans="1:15">
      <c r="A3500" s="3">
        <f t="shared" si="56"/>
        <v>3499</v>
      </c>
      <c r="B3500" s="65" t="s">
        <v>5292</v>
      </c>
      <c r="C3500" s="1">
        <v>9966909593</v>
      </c>
      <c r="E3500" s="17" t="s">
        <v>124</v>
      </c>
      <c r="F3500" s="65" t="s">
        <v>5293</v>
      </c>
      <c r="G3500" s="2" t="s">
        <v>16</v>
      </c>
      <c r="H3500" s="17" t="s">
        <v>3240</v>
      </c>
      <c r="I3500" s="4" t="s">
        <v>42</v>
      </c>
      <c r="J3500" s="31">
        <v>45856</v>
      </c>
      <c r="K3500" s="31">
        <v>45956</v>
      </c>
      <c r="L3500" s="31">
        <v>45959</v>
      </c>
      <c r="M3500" s="31">
        <v>45971</v>
      </c>
      <c r="N3500" s="31">
        <v>45970</v>
      </c>
      <c r="O3500" s="2" t="s">
        <v>297</v>
      </c>
    </row>
    <row r="3501" spans="1:15">
      <c r="A3501" s="3">
        <f t="shared" si="56"/>
        <v>3500</v>
      </c>
      <c r="B3501" s="65" t="s">
        <v>5294</v>
      </c>
      <c r="C3501" s="1">
        <v>9989885475</v>
      </c>
      <c r="E3501" s="17" t="s">
        <v>121</v>
      </c>
      <c r="F3501" s="65" t="s">
        <v>4405</v>
      </c>
      <c r="G3501" s="2" t="s">
        <v>1175</v>
      </c>
      <c r="H3501" s="17" t="s">
        <v>3240</v>
      </c>
      <c r="I3501" s="4" t="s">
        <v>42</v>
      </c>
      <c r="J3501" s="31">
        <v>45856</v>
      </c>
      <c r="K3501" s="31"/>
      <c r="O3501" s="2" t="s">
        <v>1004</v>
      </c>
    </row>
    <row r="3502" spans="1:15">
      <c r="A3502" s="3">
        <f t="shared" si="56"/>
        <v>3501</v>
      </c>
      <c r="B3502" s="65" t="s">
        <v>5295</v>
      </c>
      <c r="C3502" s="1">
        <v>7022927590</v>
      </c>
      <c r="E3502" s="17" t="s">
        <v>121</v>
      </c>
      <c r="F3502" s="65" t="s">
        <v>5064</v>
      </c>
      <c r="G3502" s="2" t="s">
        <v>1175</v>
      </c>
      <c r="H3502" s="17" t="s">
        <v>3240</v>
      </c>
      <c r="I3502" s="4" t="s">
        <v>42</v>
      </c>
      <c r="J3502" s="31">
        <v>45856</v>
      </c>
      <c r="K3502" s="31"/>
      <c r="O3502" s="2" t="s">
        <v>1004</v>
      </c>
    </row>
    <row r="3503" spans="1:15">
      <c r="A3503" s="3">
        <f t="shared" si="56"/>
        <v>3502</v>
      </c>
      <c r="B3503" s="65" t="s">
        <v>5296</v>
      </c>
      <c r="C3503" s="1">
        <v>9666113043</v>
      </c>
      <c r="D3503" s="1">
        <v>7013412465</v>
      </c>
      <c r="E3503" s="17" t="s">
        <v>5297</v>
      </c>
      <c r="F3503" s="65" t="s">
        <v>5298</v>
      </c>
      <c r="G3503" s="2" t="s">
        <v>295</v>
      </c>
      <c r="H3503" s="17" t="s">
        <v>42</v>
      </c>
      <c r="I3503" s="4" t="s">
        <v>42</v>
      </c>
      <c r="J3503" s="31">
        <v>45843</v>
      </c>
      <c r="K3503" s="31">
        <v>45845</v>
      </c>
      <c r="L3503" s="31">
        <v>45850</v>
      </c>
      <c r="M3503" s="31">
        <v>45880</v>
      </c>
      <c r="O3503" s="2" t="s">
        <v>297</v>
      </c>
    </row>
    <row r="3504" spans="1:15">
      <c r="A3504" s="3">
        <f t="shared" si="56"/>
        <v>3503</v>
      </c>
      <c r="B3504" s="65" t="s">
        <v>5299</v>
      </c>
      <c r="C3504" s="1">
        <v>9794699572</v>
      </c>
      <c r="D3504" s="1">
        <v>6363881504</v>
      </c>
      <c r="E3504" s="17" t="s">
        <v>5140</v>
      </c>
      <c r="F3504" s="65" t="s">
        <v>612</v>
      </c>
      <c r="G3504" s="2" t="s">
        <v>16</v>
      </c>
      <c r="H3504" s="17" t="s">
        <v>487</v>
      </c>
      <c r="I3504" s="4" t="s">
        <v>88</v>
      </c>
      <c r="J3504" s="31">
        <v>45859</v>
      </c>
      <c r="K3504" s="31">
        <v>45859</v>
      </c>
      <c r="L3504" s="31">
        <v>45861</v>
      </c>
      <c r="M3504" s="31">
        <v>45892</v>
      </c>
      <c r="N3504" s="31">
        <v>45891</v>
      </c>
      <c r="O3504" s="2" t="s">
        <v>297</v>
      </c>
    </row>
    <row r="3505" spans="1:15">
      <c r="A3505" s="3">
        <f t="shared" si="56"/>
        <v>3504</v>
      </c>
      <c r="B3505" s="65" t="s">
        <v>5300</v>
      </c>
      <c r="C3505" s="1">
        <v>9502625027</v>
      </c>
      <c r="E3505" s="17" t="s">
        <v>4963</v>
      </c>
      <c r="F3505" s="65" t="s">
        <v>5301</v>
      </c>
      <c r="G3505" s="2" t="s">
        <v>424</v>
      </c>
      <c r="H3505" s="17" t="s">
        <v>296</v>
      </c>
      <c r="I3505" s="4" t="s">
        <v>42</v>
      </c>
      <c r="J3505" s="31">
        <v>45859</v>
      </c>
      <c r="K3505" s="31">
        <v>45866</v>
      </c>
      <c r="O3505" s="2" t="s">
        <v>425</v>
      </c>
    </row>
    <row r="3506" spans="1:15">
      <c r="A3506" s="3">
        <f t="shared" si="56"/>
        <v>3505</v>
      </c>
      <c r="B3506" s="65" t="s">
        <v>5302</v>
      </c>
      <c r="C3506" s="1">
        <v>9676577306</v>
      </c>
      <c r="E3506" s="17" t="s">
        <v>2176</v>
      </c>
      <c r="F3506" s="65" t="s">
        <v>4550</v>
      </c>
      <c r="G3506" s="2" t="s">
        <v>424</v>
      </c>
      <c r="H3506" s="17" t="s">
        <v>296</v>
      </c>
      <c r="I3506" s="4" t="s">
        <v>42</v>
      </c>
      <c r="J3506" s="31">
        <v>45859</v>
      </c>
      <c r="K3506" s="31">
        <v>45867</v>
      </c>
      <c r="O3506" s="2" t="s">
        <v>425</v>
      </c>
    </row>
    <row r="3507" spans="1:15">
      <c r="A3507" s="3">
        <f t="shared" si="56"/>
        <v>3506</v>
      </c>
      <c r="B3507" s="65" t="s">
        <v>5303</v>
      </c>
      <c r="C3507" s="1">
        <v>8374041033</v>
      </c>
      <c r="E3507" s="17" t="s">
        <v>2176</v>
      </c>
      <c r="F3507" s="65" t="s">
        <v>5304</v>
      </c>
      <c r="G3507" s="2" t="s">
        <v>424</v>
      </c>
      <c r="H3507" s="17" t="s">
        <v>296</v>
      </c>
      <c r="I3507" s="4" t="s">
        <v>42</v>
      </c>
      <c r="J3507" s="31">
        <v>45859</v>
      </c>
      <c r="K3507" s="31">
        <v>45861</v>
      </c>
      <c r="O3507" s="2" t="s">
        <v>425</v>
      </c>
    </row>
    <row r="3508" spans="1:15">
      <c r="A3508" s="3">
        <f t="shared" si="56"/>
        <v>3507</v>
      </c>
      <c r="B3508" s="65" t="s">
        <v>5305</v>
      </c>
      <c r="C3508" s="1">
        <v>9989539499</v>
      </c>
      <c r="D3508" s="1">
        <v>9666568613</v>
      </c>
      <c r="E3508" s="17" t="s">
        <v>2176</v>
      </c>
      <c r="F3508" s="65" t="s">
        <v>5306</v>
      </c>
      <c r="G3508" s="2" t="s">
        <v>424</v>
      </c>
      <c r="H3508" s="17" t="s">
        <v>296</v>
      </c>
      <c r="I3508" s="4" t="s">
        <v>42</v>
      </c>
      <c r="J3508" s="31">
        <v>45859</v>
      </c>
      <c r="K3508" s="31">
        <v>45860</v>
      </c>
      <c r="O3508" s="2" t="s">
        <v>425</v>
      </c>
    </row>
    <row r="3509" spans="1:15">
      <c r="A3509" s="3">
        <f t="shared" si="56"/>
        <v>3508</v>
      </c>
      <c r="B3509" s="65" t="s">
        <v>5307</v>
      </c>
      <c r="C3509" s="1">
        <v>9046629343</v>
      </c>
      <c r="D3509" s="1">
        <v>9735951044</v>
      </c>
      <c r="E3509" s="17" t="s">
        <v>2176</v>
      </c>
      <c r="F3509" s="65" t="s">
        <v>5308</v>
      </c>
      <c r="G3509" s="2" t="s">
        <v>764</v>
      </c>
      <c r="H3509" s="17" t="s">
        <v>296</v>
      </c>
      <c r="I3509" s="4" t="s">
        <v>42</v>
      </c>
      <c r="J3509" s="31">
        <v>45859</v>
      </c>
      <c r="K3509" s="31">
        <v>45863</v>
      </c>
      <c r="O3509" s="2" t="s">
        <v>425</v>
      </c>
    </row>
    <row r="3510" spans="1:15">
      <c r="A3510" s="3">
        <f t="shared" si="56"/>
        <v>3509</v>
      </c>
      <c r="B3510" s="65" t="s">
        <v>5309</v>
      </c>
      <c r="C3510" s="1">
        <v>9704081838</v>
      </c>
      <c r="E3510" s="17" t="s">
        <v>4963</v>
      </c>
      <c r="F3510" s="65" t="s">
        <v>2199</v>
      </c>
      <c r="G3510" s="2" t="s">
        <v>416</v>
      </c>
      <c r="H3510" s="17" t="s">
        <v>296</v>
      </c>
      <c r="I3510" s="4" t="s">
        <v>88</v>
      </c>
      <c r="J3510" s="31">
        <v>45859</v>
      </c>
      <c r="K3510" s="31">
        <v>45868</v>
      </c>
      <c r="O3510" s="2" t="s">
        <v>297</v>
      </c>
    </row>
    <row r="3511" spans="1:15">
      <c r="A3511" s="3">
        <f t="shared" si="56"/>
        <v>3510</v>
      </c>
      <c r="B3511" s="65" t="s">
        <v>5310</v>
      </c>
      <c r="C3511" s="1">
        <v>8074798400</v>
      </c>
      <c r="E3511" s="63" t="s">
        <v>4946</v>
      </c>
      <c r="F3511" s="65" t="s">
        <v>2630</v>
      </c>
      <c r="G3511" s="2" t="s">
        <v>295</v>
      </c>
      <c r="H3511" s="17" t="s">
        <v>296</v>
      </c>
      <c r="I3511" s="4" t="s">
        <v>88</v>
      </c>
      <c r="J3511" s="31">
        <v>45859</v>
      </c>
      <c r="K3511" s="31">
        <v>45867</v>
      </c>
      <c r="L3511" s="31">
        <v>45877</v>
      </c>
      <c r="M3511" s="31">
        <v>45885</v>
      </c>
      <c r="N3511" s="31"/>
      <c r="O3511" s="2" t="s">
        <v>297</v>
      </c>
    </row>
    <row r="3512" spans="1:15">
      <c r="A3512" s="3">
        <f t="shared" si="56"/>
        <v>3511</v>
      </c>
      <c r="B3512" s="65" t="s">
        <v>5311</v>
      </c>
      <c r="C3512" s="1">
        <v>9494234249</v>
      </c>
      <c r="E3512" s="17" t="s">
        <v>2176</v>
      </c>
      <c r="F3512" s="65" t="s">
        <v>2199</v>
      </c>
      <c r="G3512" s="2" t="s">
        <v>16</v>
      </c>
      <c r="H3512" s="17" t="s">
        <v>296</v>
      </c>
      <c r="I3512" s="4" t="s">
        <v>88</v>
      </c>
      <c r="J3512" s="31">
        <v>45859</v>
      </c>
      <c r="K3512" s="31">
        <v>45860</v>
      </c>
      <c r="L3512" s="31">
        <v>45870</v>
      </c>
      <c r="M3512" s="31">
        <v>45901</v>
      </c>
      <c r="N3512" s="31">
        <v>45901</v>
      </c>
      <c r="O3512" s="2" t="s">
        <v>297</v>
      </c>
    </row>
    <row r="3513" spans="1:15">
      <c r="A3513" s="3">
        <f t="shared" si="56"/>
        <v>3512</v>
      </c>
      <c r="B3513" s="65" t="s">
        <v>5312</v>
      </c>
      <c r="C3513" s="1">
        <v>9418168783</v>
      </c>
      <c r="E3513" s="17" t="s">
        <v>5313</v>
      </c>
      <c r="F3513" s="65" t="s">
        <v>1467</v>
      </c>
      <c r="G3513" s="2" t="s">
        <v>424</v>
      </c>
      <c r="H3513" s="17" t="s">
        <v>487</v>
      </c>
      <c r="I3513" s="4" t="s">
        <v>88</v>
      </c>
      <c r="J3513" s="31">
        <v>45860</v>
      </c>
      <c r="K3513" s="31">
        <v>45869</v>
      </c>
      <c r="O3513" s="2" t="s">
        <v>425</v>
      </c>
    </row>
    <row r="3514" spans="1:15">
      <c r="A3514" s="3">
        <f t="shared" si="56"/>
        <v>3513</v>
      </c>
      <c r="B3514" s="65" t="s">
        <v>5314</v>
      </c>
      <c r="C3514" s="1">
        <v>7549993539</v>
      </c>
      <c r="D3514" s="1">
        <v>6006348640</v>
      </c>
      <c r="E3514" s="17" t="s">
        <v>5125</v>
      </c>
      <c r="F3514" s="65" t="s">
        <v>3401</v>
      </c>
      <c r="G3514" s="2" t="s">
        <v>424</v>
      </c>
      <c r="H3514" s="17" t="s">
        <v>487</v>
      </c>
      <c r="I3514" s="4" t="s">
        <v>88</v>
      </c>
      <c r="J3514" s="31">
        <v>45860</v>
      </c>
      <c r="K3514" s="31">
        <v>45869</v>
      </c>
      <c r="O3514" s="2" t="s">
        <v>425</v>
      </c>
    </row>
    <row r="3515" spans="1:15">
      <c r="A3515" s="3">
        <f t="shared" si="56"/>
        <v>3514</v>
      </c>
      <c r="B3515" s="65" t="s">
        <v>5315</v>
      </c>
      <c r="C3515" s="1">
        <v>9756104533</v>
      </c>
      <c r="E3515" s="17" t="s">
        <v>5125</v>
      </c>
      <c r="F3515" s="65" t="s">
        <v>3401</v>
      </c>
      <c r="G3515" s="2" t="s">
        <v>424</v>
      </c>
      <c r="H3515" s="17" t="s">
        <v>487</v>
      </c>
      <c r="I3515" s="4" t="s">
        <v>88</v>
      </c>
      <c r="J3515" s="31">
        <v>45860</v>
      </c>
      <c r="K3515" s="31">
        <v>45869</v>
      </c>
      <c r="O3515" s="2" t="s">
        <v>425</v>
      </c>
    </row>
    <row r="3516" spans="1:15">
      <c r="A3516" s="3">
        <f t="shared" si="56"/>
        <v>3515</v>
      </c>
      <c r="B3516" s="65" t="s">
        <v>5316</v>
      </c>
      <c r="C3516" s="1">
        <v>9918547859</v>
      </c>
      <c r="D3516" s="1">
        <v>6394503075</v>
      </c>
      <c r="E3516" s="17" t="s">
        <v>5125</v>
      </c>
      <c r="F3516" s="65" t="s">
        <v>3401</v>
      </c>
      <c r="G3516" s="2" t="s">
        <v>424</v>
      </c>
      <c r="H3516" s="17" t="s">
        <v>487</v>
      </c>
      <c r="I3516" s="4" t="s">
        <v>88</v>
      </c>
      <c r="J3516" s="31">
        <v>45860</v>
      </c>
      <c r="K3516" s="31">
        <v>45869</v>
      </c>
      <c r="O3516" s="2" t="s">
        <v>425</v>
      </c>
    </row>
    <row r="3517" spans="1:15">
      <c r="A3517" s="3">
        <f t="shared" si="56"/>
        <v>3516</v>
      </c>
      <c r="B3517" s="65" t="s">
        <v>5317</v>
      </c>
      <c r="C3517" s="1">
        <v>7667540717</v>
      </c>
      <c r="E3517" s="17" t="s">
        <v>5133</v>
      </c>
      <c r="F3517" s="65" t="s">
        <v>3401</v>
      </c>
      <c r="G3517" s="2" t="s">
        <v>424</v>
      </c>
      <c r="H3517" s="17" t="s">
        <v>487</v>
      </c>
      <c r="I3517" s="4" t="s">
        <v>88</v>
      </c>
      <c r="J3517" s="31">
        <v>45860</v>
      </c>
      <c r="K3517" s="31">
        <v>45869</v>
      </c>
      <c r="O3517" s="2" t="s">
        <v>425</v>
      </c>
    </row>
    <row r="3518" spans="1:15">
      <c r="A3518" s="3">
        <f t="shared" si="56"/>
        <v>3517</v>
      </c>
      <c r="B3518" s="65" t="s">
        <v>5318</v>
      </c>
      <c r="C3518" s="1">
        <v>9565872771</v>
      </c>
      <c r="D3518" s="1">
        <v>8493062355</v>
      </c>
      <c r="E3518" s="17" t="s">
        <v>5319</v>
      </c>
      <c r="F3518" s="65" t="s">
        <v>3763</v>
      </c>
      <c r="G3518" s="2" t="s">
        <v>416</v>
      </c>
      <c r="H3518" s="17" t="s">
        <v>487</v>
      </c>
      <c r="I3518" s="4" t="s">
        <v>88</v>
      </c>
      <c r="J3518" s="31">
        <v>45860</v>
      </c>
      <c r="K3518" s="31">
        <v>45870</v>
      </c>
      <c r="O3518" s="2" t="s">
        <v>297</v>
      </c>
    </row>
    <row r="3519" spans="1:15">
      <c r="A3519" s="3">
        <f t="shared" si="56"/>
        <v>3518</v>
      </c>
      <c r="B3519" s="65" t="s">
        <v>5320</v>
      </c>
      <c r="C3519" s="1">
        <v>7624962574</v>
      </c>
      <c r="E3519" s="17" t="s">
        <v>5319</v>
      </c>
      <c r="F3519" s="65" t="s">
        <v>3763</v>
      </c>
      <c r="G3519" s="2" t="s">
        <v>295</v>
      </c>
      <c r="H3519" s="17" t="s">
        <v>487</v>
      </c>
      <c r="I3519" s="4" t="s">
        <v>88</v>
      </c>
      <c r="J3519" s="31">
        <v>45860</v>
      </c>
      <c r="K3519" s="31">
        <v>45870</v>
      </c>
      <c r="L3519" s="31">
        <v>45876</v>
      </c>
      <c r="M3519" s="31">
        <v>45907</v>
      </c>
      <c r="O3519" s="2" t="s">
        <v>297</v>
      </c>
    </row>
    <row r="3520" spans="1:15">
      <c r="A3520" s="3">
        <f t="shared" si="56"/>
        <v>3519</v>
      </c>
      <c r="B3520" s="65" t="s">
        <v>5321</v>
      </c>
      <c r="C3520" s="1">
        <v>9149706022</v>
      </c>
      <c r="E3520" s="17" t="s">
        <v>5140</v>
      </c>
      <c r="F3520" s="65" t="s">
        <v>2261</v>
      </c>
      <c r="G3520" s="2" t="s">
        <v>16</v>
      </c>
      <c r="H3520" s="17" t="s">
        <v>487</v>
      </c>
      <c r="I3520" s="4" t="s">
        <v>88</v>
      </c>
      <c r="J3520" s="31">
        <v>45860</v>
      </c>
      <c r="K3520" s="31">
        <v>45869</v>
      </c>
      <c r="L3520" s="31">
        <v>45876</v>
      </c>
      <c r="M3520" s="31">
        <v>45907</v>
      </c>
      <c r="N3520" s="31">
        <v>45888</v>
      </c>
      <c r="O3520" s="2" t="s">
        <v>297</v>
      </c>
    </row>
    <row r="3521" spans="1:15">
      <c r="A3521" s="3">
        <f t="shared" si="56"/>
        <v>3520</v>
      </c>
      <c r="B3521" s="65" t="s">
        <v>5322</v>
      </c>
      <c r="C3521" s="1">
        <v>8954415333</v>
      </c>
      <c r="D3521" s="1">
        <v>9548607203</v>
      </c>
      <c r="E3521" s="17" t="s">
        <v>5323</v>
      </c>
      <c r="F3521" s="65" t="s">
        <v>2261</v>
      </c>
      <c r="G3521" s="2" t="s">
        <v>16</v>
      </c>
      <c r="H3521" s="17" t="s">
        <v>487</v>
      </c>
      <c r="I3521" s="4" t="s">
        <v>88</v>
      </c>
      <c r="J3521" s="31">
        <v>45860</v>
      </c>
      <c r="K3521" s="31">
        <v>45870</v>
      </c>
      <c r="L3521" s="31">
        <v>45986</v>
      </c>
      <c r="M3521" s="31">
        <v>46016</v>
      </c>
      <c r="N3521" s="31">
        <v>45992</v>
      </c>
      <c r="O3521" s="2" t="s">
        <v>297</v>
      </c>
    </row>
    <row r="3522" spans="1:15">
      <c r="A3522" s="3">
        <f t="shared" si="56"/>
        <v>3521</v>
      </c>
      <c r="B3522" s="65" t="s">
        <v>5324</v>
      </c>
      <c r="C3522" s="1">
        <v>7807235422</v>
      </c>
      <c r="E3522" s="17" t="s">
        <v>5140</v>
      </c>
      <c r="F3522" s="65" t="s">
        <v>2261</v>
      </c>
      <c r="G3522" s="2" t="s">
        <v>16</v>
      </c>
      <c r="H3522" s="17" t="s">
        <v>487</v>
      </c>
      <c r="I3522" s="4" t="s">
        <v>88</v>
      </c>
      <c r="J3522" s="31">
        <v>45860</v>
      </c>
      <c r="K3522" s="31">
        <v>45869</v>
      </c>
      <c r="L3522" s="31">
        <v>45876</v>
      </c>
      <c r="M3522" s="31">
        <v>45907</v>
      </c>
      <c r="N3522" s="31">
        <v>45910</v>
      </c>
      <c r="O3522" s="2" t="s">
        <v>297</v>
      </c>
    </row>
    <row r="3523" spans="1:15">
      <c r="A3523" s="3">
        <f t="shared" si="56"/>
        <v>3522</v>
      </c>
      <c r="B3523" s="65" t="s">
        <v>5325</v>
      </c>
      <c r="C3523" s="1">
        <v>8899346423</v>
      </c>
      <c r="E3523" s="17" t="s">
        <v>5326</v>
      </c>
      <c r="F3523" s="65" t="s">
        <v>2261</v>
      </c>
      <c r="G3523" s="2" t="s">
        <v>16</v>
      </c>
      <c r="H3523" s="17" t="s">
        <v>487</v>
      </c>
      <c r="I3523" s="4" t="s">
        <v>88</v>
      </c>
      <c r="J3523" s="31">
        <v>45860</v>
      </c>
      <c r="K3523" s="31">
        <v>45869</v>
      </c>
      <c r="L3523" s="31">
        <v>45876</v>
      </c>
      <c r="M3523" s="31">
        <v>45907</v>
      </c>
      <c r="N3523" s="31">
        <v>45916</v>
      </c>
      <c r="O3523" s="2" t="s">
        <v>297</v>
      </c>
    </row>
    <row r="3524" spans="1:15">
      <c r="A3524" s="3">
        <f t="shared" si="56"/>
        <v>3523</v>
      </c>
      <c r="B3524" s="65" t="s">
        <v>5327</v>
      </c>
      <c r="C3524" s="1">
        <v>8528698868</v>
      </c>
      <c r="E3524" s="17" t="s">
        <v>5328</v>
      </c>
      <c r="F3524" s="65" t="s">
        <v>5329</v>
      </c>
      <c r="G3524" s="2" t="s">
        <v>18</v>
      </c>
      <c r="H3524" s="17" t="s">
        <v>674</v>
      </c>
      <c r="I3524" s="4" t="s">
        <v>94</v>
      </c>
      <c r="J3524" s="31">
        <v>45860</v>
      </c>
      <c r="K3524" s="31">
        <v>45887</v>
      </c>
      <c r="O3524" s="2" t="s">
        <v>297</v>
      </c>
    </row>
    <row r="3525" spans="1:15">
      <c r="A3525" s="3">
        <f t="shared" si="56"/>
        <v>3524</v>
      </c>
      <c r="B3525" s="65" t="s">
        <v>5330</v>
      </c>
      <c r="C3525" s="1">
        <v>7682824304</v>
      </c>
      <c r="E3525" s="17" t="s">
        <v>5331</v>
      </c>
      <c r="F3525" s="65" t="s">
        <v>5332</v>
      </c>
      <c r="G3525" s="2" t="s">
        <v>424</v>
      </c>
      <c r="H3525" s="17" t="s">
        <v>674</v>
      </c>
      <c r="I3525" s="4" t="s">
        <v>94</v>
      </c>
      <c r="J3525" s="31">
        <v>45860</v>
      </c>
      <c r="K3525" s="31">
        <v>45876</v>
      </c>
      <c r="O3525" s="2" t="s">
        <v>749</v>
      </c>
    </row>
    <row r="3526" spans="1:15">
      <c r="A3526" s="3">
        <f t="shared" si="56"/>
        <v>3525</v>
      </c>
      <c r="B3526" s="65" t="s">
        <v>5333</v>
      </c>
      <c r="C3526" s="1">
        <v>9635748100</v>
      </c>
      <c r="E3526" s="17" t="s">
        <v>5331</v>
      </c>
      <c r="F3526" s="65" t="s">
        <v>2199</v>
      </c>
      <c r="G3526" s="2" t="s">
        <v>424</v>
      </c>
      <c r="H3526" s="17" t="s">
        <v>674</v>
      </c>
      <c r="I3526" s="4" t="s">
        <v>94</v>
      </c>
      <c r="J3526" s="31">
        <v>45860</v>
      </c>
      <c r="K3526" s="31">
        <v>45876</v>
      </c>
      <c r="O3526" s="2" t="s">
        <v>749</v>
      </c>
    </row>
    <row r="3527" spans="1:15">
      <c r="A3527" s="3">
        <f t="shared" si="56"/>
        <v>3526</v>
      </c>
      <c r="B3527" s="65" t="s">
        <v>5334</v>
      </c>
      <c r="C3527" s="1">
        <v>9083595495</v>
      </c>
      <c r="E3527" s="17" t="s">
        <v>5331</v>
      </c>
      <c r="F3527" s="65" t="s">
        <v>2199</v>
      </c>
      <c r="G3527" s="2" t="s">
        <v>764</v>
      </c>
      <c r="H3527" s="17" t="s">
        <v>674</v>
      </c>
      <c r="I3527" s="4" t="s">
        <v>94</v>
      </c>
      <c r="J3527" s="31">
        <v>45860</v>
      </c>
      <c r="K3527" s="31">
        <v>45876</v>
      </c>
      <c r="O3527" s="2" t="s">
        <v>425</v>
      </c>
    </row>
    <row r="3528" spans="1:15">
      <c r="A3528" s="3">
        <f t="shared" si="56"/>
        <v>3527</v>
      </c>
      <c r="B3528" s="65" t="s">
        <v>5335</v>
      </c>
      <c r="C3528" s="1">
        <v>9807965894</v>
      </c>
      <c r="E3528" s="17" t="s">
        <v>5214</v>
      </c>
      <c r="F3528" s="65" t="s">
        <v>329</v>
      </c>
      <c r="G3528" s="2" t="s">
        <v>424</v>
      </c>
      <c r="H3528" s="17" t="s">
        <v>674</v>
      </c>
      <c r="I3528" s="4" t="s">
        <v>94</v>
      </c>
      <c r="J3528" s="31">
        <v>45860</v>
      </c>
      <c r="K3528" s="31">
        <v>45887</v>
      </c>
      <c r="O3528" s="2" t="s">
        <v>425</v>
      </c>
    </row>
    <row r="3529" spans="1:15">
      <c r="A3529" s="3">
        <f t="shared" si="56"/>
        <v>3528</v>
      </c>
      <c r="B3529" s="65" t="s">
        <v>5336</v>
      </c>
      <c r="C3529" s="1">
        <v>8961660567</v>
      </c>
      <c r="E3529" s="17" t="s">
        <v>5214</v>
      </c>
      <c r="F3529" s="65" t="s">
        <v>310</v>
      </c>
      <c r="G3529" s="3" t="s">
        <v>416</v>
      </c>
      <c r="H3529" s="17" t="s">
        <v>674</v>
      </c>
      <c r="I3529" s="4" t="s">
        <v>94</v>
      </c>
      <c r="J3529" s="31">
        <v>45860</v>
      </c>
      <c r="K3529" s="31">
        <v>45876</v>
      </c>
      <c r="O3529" s="2" t="s">
        <v>297</v>
      </c>
    </row>
    <row r="3530" spans="1:15">
      <c r="A3530" s="3">
        <f t="shared" si="56"/>
        <v>3529</v>
      </c>
      <c r="B3530" s="65" t="s">
        <v>5337</v>
      </c>
      <c r="C3530" s="1">
        <v>9158511496</v>
      </c>
      <c r="D3530" s="1">
        <v>9284085320</v>
      </c>
      <c r="E3530" s="17" t="s">
        <v>3592</v>
      </c>
      <c r="F3530" s="65" t="s">
        <v>3002</v>
      </c>
      <c r="G3530" s="2" t="s">
        <v>295</v>
      </c>
      <c r="H3530" s="17" t="s">
        <v>296</v>
      </c>
      <c r="I3530" s="4" t="s">
        <v>94</v>
      </c>
      <c r="J3530" s="31">
        <v>45860</v>
      </c>
      <c r="K3530" s="31">
        <v>45862</v>
      </c>
      <c r="L3530" s="31">
        <v>45867</v>
      </c>
      <c r="M3530" s="31">
        <v>45898</v>
      </c>
      <c r="O3530" s="2" t="s">
        <v>297</v>
      </c>
    </row>
    <row r="3531" spans="1:15">
      <c r="A3531" s="3">
        <f t="shared" si="56"/>
        <v>3530</v>
      </c>
      <c r="B3531" s="65" t="s">
        <v>5338</v>
      </c>
      <c r="C3531" s="1">
        <v>8240819464</v>
      </c>
      <c r="E3531" s="17" t="s">
        <v>3592</v>
      </c>
      <c r="F3531" s="65" t="s">
        <v>3002</v>
      </c>
      <c r="G3531" s="2" t="s">
        <v>424</v>
      </c>
      <c r="H3531" s="17" t="s">
        <v>296</v>
      </c>
      <c r="I3531" s="4" t="s">
        <v>94</v>
      </c>
      <c r="J3531" s="31">
        <v>45860</v>
      </c>
      <c r="K3531" s="31">
        <v>45862</v>
      </c>
      <c r="O3531" s="2" t="s">
        <v>749</v>
      </c>
    </row>
    <row r="3532" spans="1:15">
      <c r="A3532" s="3">
        <f t="shared" si="56"/>
        <v>3531</v>
      </c>
      <c r="B3532" s="65" t="s">
        <v>5339</v>
      </c>
      <c r="C3532" s="1">
        <v>7908557100</v>
      </c>
      <c r="E3532" s="17" t="s">
        <v>4597</v>
      </c>
      <c r="F3532" s="65" t="s">
        <v>5340</v>
      </c>
      <c r="G3532" s="2" t="s">
        <v>424</v>
      </c>
      <c r="H3532" s="17" t="s">
        <v>296</v>
      </c>
      <c r="I3532" s="4" t="s">
        <v>94</v>
      </c>
      <c r="J3532" s="31">
        <v>45860</v>
      </c>
      <c r="K3532" s="31">
        <v>45862</v>
      </c>
      <c r="O3532" s="2" t="s">
        <v>749</v>
      </c>
    </row>
    <row r="3533" spans="1:15">
      <c r="A3533" s="3">
        <f t="shared" si="56"/>
        <v>3532</v>
      </c>
      <c r="B3533" s="65" t="s">
        <v>5341</v>
      </c>
      <c r="C3533" s="1">
        <v>7478833705</v>
      </c>
      <c r="D3533" s="1">
        <v>8847437190</v>
      </c>
      <c r="E3533" s="17" t="s">
        <v>4597</v>
      </c>
      <c r="F3533" s="65" t="s">
        <v>3002</v>
      </c>
      <c r="G3533" s="2" t="s">
        <v>424</v>
      </c>
      <c r="H3533" s="17" t="s">
        <v>296</v>
      </c>
      <c r="I3533" s="4" t="s">
        <v>94</v>
      </c>
      <c r="J3533" s="31">
        <v>45860</v>
      </c>
      <c r="K3533" s="31">
        <v>45870</v>
      </c>
      <c r="O3533" s="2" t="s">
        <v>425</v>
      </c>
    </row>
    <row r="3534" spans="1:15">
      <c r="A3534" s="3">
        <f t="shared" si="56"/>
        <v>3533</v>
      </c>
      <c r="B3534" s="65" t="s">
        <v>5342</v>
      </c>
      <c r="C3534" s="1">
        <v>8116600102</v>
      </c>
      <c r="E3534" s="17" t="s">
        <v>5343</v>
      </c>
      <c r="F3534" s="65" t="s">
        <v>3002</v>
      </c>
      <c r="G3534" s="2" t="s">
        <v>16</v>
      </c>
      <c r="H3534" s="17" t="s">
        <v>296</v>
      </c>
      <c r="I3534" s="4" t="s">
        <v>94</v>
      </c>
      <c r="J3534" s="31">
        <v>45860</v>
      </c>
      <c r="K3534" s="31">
        <v>45862</v>
      </c>
      <c r="L3534" s="31">
        <v>45867</v>
      </c>
      <c r="M3534" s="31">
        <v>45907</v>
      </c>
      <c r="N3534" s="31">
        <v>45907</v>
      </c>
      <c r="O3534" s="2" t="s">
        <v>297</v>
      </c>
    </row>
    <row r="3535" spans="1:15">
      <c r="A3535" s="3">
        <f t="shared" si="56"/>
        <v>3534</v>
      </c>
      <c r="B3535" s="65" t="s">
        <v>4598</v>
      </c>
      <c r="C3535" s="1">
        <v>6290509554</v>
      </c>
      <c r="D3535" s="1">
        <v>9748263435</v>
      </c>
      <c r="E3535" s="17" t="s">
        <v>3592</v>
      </c>
      <c r="F3535" s="65" t="s">
        <v>3002</v>
      </c>
      <c r="G3535" s="2" t="s">
        <v>295</v>
      </c>
      <c r="H3535" s="17" t="s">
        <v>296</v>
      </c>
      <c r="I3535" s="4" t="s">
        <v>94</v>
      </c>
      <c r="J3535" s="31">
        <v>45860</v>
      </c>
      <c r="K3535" s="31">
        <v>45874</v>
      </c>
      <c r="L3535" s="31">
        <v>45881</v>
      </c>
      <c r="M3535" s="31">
        <v>45915</v>
      </c>
      <c r="N3535" s="31"/>
      <c r="O3535" s="2" t="s">
        <v>297</v>
      </c>
    </row>
    <row r="3536" spans="1:15">
      <c r="A3536" s="3">
        <f t="shared" si="56"/>
        <v>3535</v>
      </c>
      <c r="B3536" s="65" t="s">
        <v>5344</v>
      </c>
      <c r="C3536" s="1">
        <v>9775606781</v>
      </c>
      <c r="E3536" s="17" t="s">
        <v>5343</v>
      </c>
      <c r="F3536" s="65" t="s">
        <v>3002</v>
      </c>
      <c r="G3536" s="2" t="s">
        <v>295</v>
      </c>
      <c r="H3536" s="17" t="s">
        <v>296</v>
      </c>
      <c r="I3536" s="4" t="s">
        <v>94</v>
      </c>
      <c r="J3536" s="31">
        <v>45860</v>
      </c>
      <c r="K3536" s="31">
        <v>45862</v>
      </c>
      <c r="L3536" s="31">
        <v>45867</v>
      </c>
      <c r="M3536" s="31">
        <v>45898</v>
      </c>
      <c r="O3536" s="2" t="s">
        <v>297</v>
      </c>
    </row>
    <row r="3537" spans="1:15">
      <c r="A3537" s="3">
        <f t="shared" si="56"/>
        <v>3536</v>
      </c>
      <c r="B3537" s="65" t="s">
        <v>5345</v>
      </c>
      <c r="C3537" s="1">
        <v>7319548504</v>
      </c>
      <c r="E3537" s="17" t="s">
        <v>5346</v>
      </c>
      <c r="F3537" s="65" t="s">
        <v>5340</v>
      </c>
      <c r="G3537" s="2" t="s">
        <v>18</v>
      </c>
      <c r="H3537" s="17" t="s">
        <v>296</v>
      </c>
      <c r="I3537" s="4" t="s">
        <v>94</v>
      </c>
      <c r="J3537" s="31">
        <v>45860</v>
      </c>
      <c r="K3537" s="31">
        <v>45905</v>
      </c>
      <c r="O3537" s="2" t="s">
        <v>297</v>
      </c>
    </row>
    <row r="3538" spans="1:15">
      <c r="A3538" s="3">
        <f t="shared" si="56"/>
        <v>3537</v>
      </c>
      <c r="B3538" s="65" t="s">
        <v>5347</v>
      </c>
      <c r="C3538" s="1">
        <v>9752532453</v>
      </c>
      <c r="E3538" s="17" t="s">
        <v>5346</v>
      </c>
      <c r="F3538" s="65" t="s">
        <v>294</v>
      </c>
      <c r="G3538" s="2" t="s">
        <v>295</v>
      </c>
      <c r="H3538" s="17" t="s">
        <v>296</v>
      </c>
      <c r="I3538" s="4" t="s">
        <v>94</v>
      </c>
      <c r="J3538" s="31">
        <v>45860</v>
      </c>
      <c r="K3538" s="31">
        <v>45862</v>
      </c>
      <c r="L3538" s="31">
        <v>45881</v>
      </c>
      <c r="M3538" s="31">
        <v>45902</v>
      </c>
      <c r="N3538" s="31"/>
      <c r="O3538" s="2" t="s">
        <v>297</v>
      </c>
    </row>
    <row r="3539" spans="1:15">
      <c r="A3539" s="3">
        <f t="shared" si="56"/>
        <v>3538</v>
      </c>
      <c r="B3539" s="65" t="s">
        <v>5348</v>
      </c>
      <c r="C3539" s="1">
        <v>8116400409</v>
      </c>
      <c r="E3539" s="17" t="s">
        <v>5346</v>
      </c>
      <c r="F3539" s="65" t="s">
        <v>294</v>
      </c>
      <c r="G3539" s="2" t="s">
        <v>16</v>
      </c>
      <c r="H3539" s="17" t="s">
        <v>296</v>
      </c>
      <c r="I3539" s="4" t="s">
        <v>94</v>
      </c>
      <c r="J3539" s="31">
        <v>45860</v>
      </c>
      <c r="K3539" s="31">
        <v>45862</v>
      </c>
      <c r="L3539" s="31">
        <v>45867</v>
      </c>
      <c r="M3539" s="31">
        <v>45899</v>
      </c>
      <c r="N3539" s="31">
        <v>45901</v>
      </c>
      <c r="O3539" s="2" t="s">
        <v>297</v>
      </c>
    </row>
    <row r="3540" spans="1:15">
      <c r="A3540" s="3">
        <f t="shared" si="56"/>
        <v>3539</v>
      </c>
      <c r="B3540" s="65" t="s">
        <v>5349</v>
      </c>
      <c r="C3540" s="1">
        <v>8295343386</v>
      </c>
      <c r="E3540" s="17" t="s">
        <v>5350</v>
      </c>
      <c r="F3540" s="65" t="s">
        <v>5351</v>
      </c>
      <c r="G3540" s="2" t="s">
        <v>416</v>
      </c>
      <c r="H3540" s="17" t="s">
        <v>815</v>
      </c>
      <c r="I3540" s="4" t="s">
        <v>94</v>
      </c>
      <c r="J3540" s="31">
        <v>45860</v>
      </c>
      <c r="K3540" s="31">
        <v>45863</v>
      </c>
      <c r="O3540" s="2" t="s">
        <v>297</v>
      </c>
    </row>
    <row r="3541" spans="1:15">
      <c r="A3541" s="3">
        <f t="shared" si="56"/>
        <v>3540</v>
      </c>
      <c r="B3541" s="65" t="s">
        <v>5352</v>
      </c>
      <c r="C3541" s="1">
        <v>7407646066</v>
      </c>
      <c r="E3541" s="17" t="s">
        <v>5350</v>
      </c>
      <c r="F3541" s="65" t="s">
        <v>825</v>
      </c>
      <c r="G3541" s="2" t="s">
        <v>416</v>
      </c>
      <c r="H3541" s="17" t="s">
        <v>815</v>
      </c>
      <c r="I3541" s="4" t="s">
        <v>94</v>
      </c>
      <c r="J3541" s="31">
        <v>45860</v>
      </c>
      <c r="K3541" s="31">
        <v>45863</v>
      </c>
      <c r="O3541" s="2" t="s">
        <v>297</v>
      </c>
    </row>
    <row r="3542" spans="1:15">
      <c r="A3542" s="3">
        <f t="shared" si="56"/>
        <v>3541</v>
      </c>
      <c r="B3542" s="65" t="s">
        <v>5353</v>
      </c>
      <c r="C3542" s="1">
        <v>7294102451</v>
      </c>
      <c r="E3542" s="17" t="s">
        <v>5354</v>
      </c>
      <c r="F3542" s="65" t="s">
        <v>825</v>
      </c>
      <c r="G3542" s="2" t="s">
        <v>295</v>
      </c>
      <c r="H3542" s="17" t="s">
        <v>815</v>
      </c>
      <c r="I3542" s="4" t="s">
        <v>88</v>
      </c>
      <c r="J3542" s="31">
        <v>45860</v>
      </c>
      <c r="K3542" s="31">
        <v>45863</v>
      </c>
      <c r="L3542" s="31">
        <v>45876</v>
      </c>
      <c r="M3542" s="31">
        <v>45907</v>
      </c>
      <c r="O3542" s="2" t="s">
        <v>297</v>
      </c>
    </row>
    <row r="3543" spans="1:15">
      <c r="A3543" s="3">
        <f t="shared" si="56"/>
        <v>3542</v>
      </c>
      <c r="B3543" s="65" t="s">
        <v>5355</v>
      </c>
      <c r="C3543" s="1">
        <v>7439124971</v>
      </c>
      <c r="D3543" s="1">
        <v>8013113654</v>
      </c>
      <c r="E3543" s="17" t="s">
        <v>5356</v>
      </c>
      <c r="F3543" s="65" t="s">
        <v>4786</v>
      </c>
      <c r="G3543" s="2" t="s">
        <v>16</v>
      </c>
      <c r="H3543" s="17" t="s">
        <v>815</v>
      </c>
      <c r="I3543" s="4" t="s">
        <v>94</v>
      </c>
      <c r="J3543" s="31">
        <v>45860</v>
      </c>
      <c r="K3543" s="31">
        <v>45863</v>
      </c>
      <c r="L3543" s="31">
        <v>45876</v>
      </c>
      <c r="M3543" s="31">
        <v>45891</v>
      </c>
      <c r="N3543" s="31">
        <v>45891</v>
      </c>
      <c r="O3543" s="2" t="s">
        <v>297</v>
      </c>
    </row>
    <row r="3544" spans="1:15">
      <c r="A3544" s="3">
        <f t="shared" si="56"/>
        <v>3543</v>
      </c>
      <c r="B3544" s="65" t="s">
        <v>5357</v>
      </c>
      <c r="C3544" s="1">
        <v>9453586359</v>
      </c>
      <c r="E3544" s="17" t="s">
        <v>5358</v>
      </c>
      <c r="F3544" s="65" t="s">
        <v>5359</v>
      </c>
      <c r="G3544" s="2" t="s">
        <v>16</v>
      </c>
      <c r="H3544" s="17" t="s">
        <v>815</v>
      </c>
      <c r="I3544" s="4" t="s">
        <v>94</v>
      </c>
      <c r="J3544" s="31">
        <v>45860</v>
      </c>
      <c r="K3544" s="31">
        <v>45863</v>
      </c>
      <c r="L3544" s="31">
        <v>45867</v>
      </c>
      <c r="M3544" s="31">
        <v>45898</v>
      </c>
      <c r="N3544" s="31">
        <v>45903</v>
      </c>
      <c r="O3544" s="2" t="s">
        <v>297</v>
      </c>
    </row>
    <row r="3545" spans="1:15">
      <c r="A3545" s="3">
        <f t="shared" si="56"/>
        <v>3544</v>
      </c>
      <c r="B3545" s="65" t="s">
        <v>5360</v>
      </c>
      <c r="C3545" s="1">
        <v>6393672002</v>
      </c>
      <c r="E3545" s="17" t="s">
        <v>5361</v>
      </c>
      <c r="F3545" s="65" t="s">
        <v>1555</v>
      </c>
      <c r="G3545" s="2" t="s">
        <v>16</v>
      </c>
      <c r="H3545" s="17" t="s">
        <v>815</v>
      </c>
      <c r="I3545" s="4" t="s">
        <v>94</v>
      </c>
      <c r="J3545" s="31">
        <v>45860</v>
      </c>
      <c r="K3545" s="31">
        <v>45863</v>
      </c>
      <c r="L3545" s="31">
        <v>45883</v>
      </c>
      <c r="M3545" s="31">
        <v>45918</v>
      </c>
      <c r="N3545" s="31">
        <v>45917</v>
      </c>
      <c r="O3545" s="2" t="s">
        <v>297</v>
      </c>
    </row>
    <row r="3546" spans="1:15">
      <c r="A3546" s="3">
        <f t="shared" si="56"/>
        <v>3545</v>
      </c>
      <c r="B3546" s="65" t="s">
        <v>5299</v>
      </c>
      <c r="C3546" s="1">
        <v>9905263529</v>
      </c>
      <c r="E3546" s="17" t="s">
        <v>5362</v>
      </c>
      <c r="F3546" s="65" t="s">
        <v>4786</v>
      </c>
      <c r="G3546" s="2" t="s">
        <v>16</v>
      </c>
      <c r="H3546" s="17" t="s">
        <v>815</v>
      </c>
      <c r="I3546" s="4" t="s">
        <v>94</v>
      </c>
      <c r="J3546" s="31">
        <v>45860</v>
      </c>
      <c r="K3546" s="31">
        <v>45863</v>
      </c>
      <c r="L3546" s="31">
        <v>45867</v>
      </c>
      <c r="M3546" s="31">
        <v>45882</v>
      </c>
      <c r="N3546" s="31">
        <v>45885</v>
      </c>
      <c r="O3546" s="2" t="s">
        <v>297</v>
      </c>
    </row>
    <row r="3547" spans="1:15">
      <c r="A3547" s="3">
        <f t="shared" si="56"/>
        <v>3546</v>
      </c>
      <c r="B3547" s="65" t="s">
        <v>5363</v>
      </c>
      <c r="C3547" s="1">
        <v>9522911047</v>
      </c>
      <c r="E3547" s="17" t="s">
        <v>5364</v>
      </c>
      <c r="F3547" s="65" t="s">
        <v>5365</v>
      </c>
      <c r="G3547" s="2" t="s">
        <v>16</v>
      </c>
      <c r="H3547" s="17" t="s">
        <v>815</v>
      </c>
      <c r="I3547" s="4" t="s">
        <v>94</v>
      </c>
      <c r="J3547" s="31">
        <v>45860</v>
      </c>
      <c r="K3547" s="31">
        <v>45863</v>
      </c>
      <c r="L3547" s="31">
        <v>45867</v>
      </c>
      <c r="M3547" s="31">
        <v>45903</v>
      </c>
      <c r="N3547" s="31">
        <v>45903</v>
      </c>
      <c r="O3547" s="2" t="s">
        <v>297</v>
      </c>
    </row>
    <row r="3548" spans="1:15">
      <c r="A3548" s="3">
        <f t="shared" si="56"/>
        <v>3547</v>
      </c>
      <c r="B3548" s="65" t="s">
        <v>5366</v>
      </c>
      <c r="C3548" s="1">
        <v>8299559942</v>
      </c>
      <c r="E3548" s="17" t="s">
        <v>5367</v>
      </c>
      <c r="F3548" s="65" t="s">
        <v>333</v>
      </c>
      <c r="G3548" s="2" t="s">
        <v>764</v>
      </c>
      <c r="H3548" s="17" t="s">
        <v>1096</v>
      </c>
      <c r="I3548" s="4" t="s">
        <v>94</v>
      </c>
      <c r="J3548" s="31">
        <v>45860</v>
      </c>
      <c r="K3548" s="31">
        <v>45876</v>
      </c>
      <c r="L3548" s="31"/>
      <c r="M3548" s="31"/>
      <c r="N3548" s="31"/>
      <c r="O3548" s="2" t="s">
        <v>425</v>
      </c>
    </row>
    <row r="3549" spans="1:15">
      <c r="A3549" s="3">
        <f t="shared" si="56"/>
        <v>3548</v>
      </c>
      <c r="B3549" s="65" t="s">
        <v>5368</v>
      </c>
      <c r="C3549" s="1">
        <v>8279727946</v>
      </c>
      <c r="E3549" s="17" t="s">
        <v>5367</v>
      </c>
      <c r="F3549" s="65" t="s">
        <v>333</v>
      </c>
      <c r="G3549" s="2" t="s">
        <v>18</v>
      </c>
      <c r="H3549" s="17" t="s">
        <v>1096</v>
      </c>
      <c r="I3549" s="4" t="s">
        <v>94</v>
      </c>
      <c r="J3549" s="31">
        <v>45860</v>
      </c>
      <c r="K3549" s="31">
        <v>45876</v>
      </c>
      <c r="L3549" s="31"/>
      <c r="M3549" s="31"/>
      <c r="N3549" s="31"/>
      <c r="O3549" s="2" t="s">
        <v>297</v>
      </c>
    </row>
    <row r="3550" spans="1:15">
      <c r="A3550" s="3">
        <f t="shared" si="56"/>
        <v>3549</v>
      </c>
      <c r="B3550" s="65" t="s">
        <v>5369</v>
      </c>
      <c r="C3550" s="1">
        <v>8770600309</v>
      </c>
      <c r="E3550" s="17" t="s">
        <v>5370</v>
      </c>
      <c r="F3550" s="65" t="s">
        <v>308</v>
      </c>
      <c r="G3550" s="2" t="s">
        <v>424</v>
      </c>
      <c r="H3550" s="17" t="s">
        <v>1096</v>
      </c>
      <c r="I3550" s="4" t="s">
        <v>94</v>
      </c>
      <c r="J3550" s="31">
        <v>45860</v>
      </c>
      <c r="K3550" s="31">
        <v>45880</v>
      </c>
      <c r="L3550" s="31"/>
      <c r="M3550" s="31"/>
      <c r="N3550" s="31"/>
      <c r="O3550" s="2" t="s">
        <v>425</v>
      </c>
    </row>
    <row r="3551" spans="1:15">
      <c r="A3551" s="3">
        <f t="shared" si="56"/>
        <v>3550</v>
      </c>
      <c r="B3551" s="65" t="s">
        <v>532</v>
      </c>
      <c r="C3551" s="1">
        <v>9581119616</v>
      </c>
      <c r="E3551" s="17" t="s">
        <v>5371</v>
      </c>
      <c r="F3551" s="65" t="s">
        <v>333</v>
      </c>
      <c r="G3551" s="2" t="s">
        <v>416</v>
      </c>
      <c r="H3551" s="17" t="s">
        <v>1096</v>
      </c>
      <c r="I3551" s="4" t="s">
        <v>94</v>
      </c>
      <c r="J3551" s="31">
        <v>45860</v>
      </c>
      <c r="K3551" s="31">
        <v>45876</v>
      </c>
      <c r="L3551" s="31"/>
      <c r="M3551" s="31"/>
      <c r="N3551" s="31"/>
      <c r="O3551" s="2" t="s">
        <v>297</v>
      </c>
    </row>
    <row r="3552" spans="1:15">
      <c r="A3552" s="3">
        <f t="shared" ref="A3552:A3615" si="57">ROW()-1</f>
        <v>3551</v>
      </c>
      <c r="B3552" s="65" t="s">
        <v>422</v>
      </c>
      <c r="C3552" s="1">
        <v>7979729578</v>
      </c>
      <c r="E3552" s="17" t="s">
        <v>5370</v>
      </c>
      <c r="F3552" s="65" t="s">
        <v>920</v>
      </c>
      <c r="G3552" s="2" t="s">
        <v>424</v>
      </c>
      <c r="H3552" s="17" t="s">
        <v>1096</v>
      </c>
      <c r="I3552" s="4" t="s">
        <v>94</v>
      </c>
      <c r="J3552" s="31">
        <v>45860</v>
      </c>
      <c r="K3552" s="31">
        <v>45876</v>
      </c>
      <c r="L3552" s="31"/>
      <c r="M3552" s="31"/>
      <c r="N3552" s="31"/>
      <c r="O3552" s="2" t="s">
        <v>749</v>
      </c>
    </row>
    <row r="3553" spans="1:15">
      <c r="A3553" s="3">
        <f t="shared" si="57"/>
        <v>3552</v>
      </c>
      <c r="B3553" s="65" t="s">
        <v>5372</v>
      </c>
      <c r="C3553" s="1">
        <v>9643677889</v>
      </c>
      <c r="E3553" s="17" t="s">
        <v>5371</v>
      </c>
      <c r="F3553" s="65" t="s">
        <v>333</v>
      </c>
      <c r="G3553" s="3" t="s">
        <v>295</v>
      </c>
      <c r="H3553" s="17" t="s">
        <v>1096</v>
      </c>
      <c r="I3553" s="4" t="s">
        <v>94</v>
      </c>
      <c r="J3553" s="31">
        <v>45860</v>
      </c>
      <c r="K3553" s="31">
        <v>45882</v>
      </c>
      <c r="L3553" s="31">
        <v>45897</v>
      </c>
      <c r="M3553" s="31">
        <v>45953</v>
      </c>
      <c r="N3553" s="31"/>
      <c r="O3553" s="2" t="s">
        <v>297</v>
      </c>
    </row>
    <row r="3554" spans="1:15">
      <c r="A3554" s="3">
        <f t="shared" si="57"/>
        <v>3553</v>
      </c>
      <c r="B3554" s="65" t="s">
        <v>531</v>
      </c>
      <c r="C3554" s="1">
        <v>8750228008</v>
      </c>
      <c r="E3554" s="17" t="s">
        <v>5373</v>
      </c>
      <c r="F3554" s="65" t="s">
        <v>333</v>
      </c>
      <c r="G3554" s="2" t="s">
        <v>16</v>
      </c>
      <c r="H3554" s="17" t="s">
        <v>1096</v>
      </c>
      <c r="I3554" s="4" t="s">
        <v>94</v>
      </c>
      <c r="J3554" s="31">
        <v>45860</v>
      </c>
      <c r="K3554" s="31">
        <v>45875</v>
      </c>
      <c r="L3554" s="31">
        <v>45881</v>
      </c>
      <c r="M3554" s="31">
        <v>46011</v>
      </c>
      <c r="N3554" s="31">
        <v>45996</v>
      </c>
      <c r="O3554" s="2" t="s">
        <v>297</v>
      </c>
    </row>
    <row r="3555" spans="1:15">
      <c r="A3555" s="3">
        <f t="shared" si="57"/>
        <v>3554</v>
      </c>
      <c r="B3555" s="65" t="s">
        <v>5374</v>
      </c>
      <c r="C3555" s="1">
        <v>8950517269</v>
      </c>
      <c r="E3555" s="17" t="s">
        <v>5375</v>
      </c>
      <c r="F3555" s="65" t="s">
        <v>5376</v>
      </c>
      <c r="G3555" s="2" t="s">
        <v>16</v>
      </c>
      <c r="H3555" s="17" t="s">
        <v>357</v>
      </c>
      <c r="I3555" s="4" t="s">
        <v>88</v>
      </c>
      <c r="J3555" s="31">
        <v>45861</v>
      </c>
      <c r="K3555" s="31">
        <v>45862</v>
      </c>
      <c r="L3555" s="31">
        <v>45868</v>
      </c>
      <c r="M3555" s="31">
        <v>45899</v>
      </c>
      <c r="N3555" s="31">
        <v>45899</v>
      </c>
      <c r="O3555" s="2" t="s">
        <v>297</v>
      </c>
    </row>
    <row r="3556" spans="1:15">
      <c r="A3556" s="3">
        <f t="shared" si="57"/>
        <v>3555</v>
      </c>
      <c r="B3556" s="65" t="s">
        <v>5377</v>
      </c>
      <c r="C3556" s="1">
        <v>8091119463</v>
      </c>
      <c r="E3556" s="17" t="s">
        <v>5375</v>
      </c>
      <c r="F3556" s="65" t="s">
        <v>5376</v>
      </c>
      <c r="G3556" s="2" t="s">
        <v>416</v>
      </c>
      <c r="H3556" s="17" t="s">
        <v>357</v>
      </c>
      <c r="I3556" s="4" t="s">
        <v>88</v>
      </c>
      <c r="J3556" s="31">
        <v>45861</v>
      </c>
      <c r="K3556" s="31">
        <v>45862</v>
      </c>
      <c r="L3556" s="31"/>
      <c r="M3556" s="31"/>
      <c r="N3556" s="31"/>
      <c r="O3556" s="2" t="s">
        <v>297</v>
      </c>
    </row>
    <row r="3557" spans="1:15">
      <c r="A3557" s="3">
        <f t="shared" si="57"/>
        <v>3556</v>
      </c>
      <c r="B3557" s="65" t="s">
        <v>5378</v>
      </c>
      <c r="C3557" s="1">
        <v>8899032127</v>
      </c>
      <c r="E3557" s="17" t="s">
        <v>5375</v>
      </c>
      <c r="F3557" s="65" t="s">
        <v>5376</v>
      </c>
      <c r="G3557" s="2" t="s">
        <v>16</v>
      </c>
      <c r="H3557" s="17" t="s">
        <v>357</v>
      </c>
      <c r="I3557" s="4" t="s">
        <v>88</v>
      </c>
      <c r="J3557" s="31">
        <v>45861</v>
      </c>
      <c r="K3557" s="31">
        <v>45862</v>
      </c>
      <c r="L3557" s="31">
        <v>45868</v>
      </c>
      <c r="M3557" s="31">
        <v>45916</v>
      </c>
      <c r="N3557" s="31">
        <v>45916</v>
      </c>
      <c r="O3557" s="2" t="s">
        <v>297</v>
      </c>
    </row>
    <row r="3558" spans="1:15">
      <c r="A3558" s="3">
        <f t="shared" si="57"/>
        <v>3557</v>
      </c>
      <c r="B3558" s="65" t="s">
        <v>5379</v>
      </c>
      <c r="C3558" s="1">
        <v>7328083601</v>
      </c>
      <c r="E3558" s="17" t="s">
        <v>5375</v>
      </c>
      <c r="F3558" s="65" t="s">
        <v>5376</v>
      </c>
      <c r="G3558" s="2" t="s">
        <v>416</v>
      </c>
      <c r="H3558" s="17" t="s">
        <v>357</v>
      </c>
      <c r="I3558" s="4" t="s">
        <v>88</v>
      </c>
      <c r="J3558" s="31">
        <v>45861</v>
      </c>
      <c r="K3558" s="31">
        <v>45869</v>
      </c>
      <c r="L3558" s="31"/>
      <c r="M3558" s="31"/>
      <c r="N3558" s="31"/>
      <c r="O3558" s="2" t="s">
        <v>297</v>
      </c>
    </row>
    <row r="3559" spans="1:15">
      <c r="A3559" s="3">
        <f t="shared" si="57"/>
        <v>3558</v>
      </c>
      <c r="B3559" s="41" t="s">
        <v>5380</v>
      </c>
      <c r="C3559" s="3">
        <v>9596855962</v>
      </c>
      <c r="D3559" s="3"/>
      <c r="E3559" s="3" t="s">
        <v>5381</v>
      </c>
      <c r="F3559" s="3" t="s">
        <v>5382</v>
      </c>
      <c r="G3559" s="3" t="s">
        <v>16</v>
      </c>
      <c r="H3559" s="3" t="s">
        <v>357</v>
      </c>
      <c r="I3559" s="3" t="s">
        <v>88</v>
      </c>
      <c r="J3559" s="31">
        <v>45861</v>
      </c>
      <c r="K3559" s="31">
        <v>45863</v>
      </c>
      <c r="L3559" s="31">
        <v>45876</v>
      </c>
      <c r="M3559" s="31">
        <v>45907</v>
      </c>
      <c r="N3559" s="31">
        <v>45909</v>
      </c>
      <c r="O3559" s="3" t="s">
        <v>297</v>
      </c>
    </row>
    <row r="3560" spans="1:15">
      <c r="A3560" s="3">
        <f t="shared" si="57"/>
        <v>3559</v>
      </c>
      <c r="B3560" s="41" t="s">
        <v>5383</v>
      </c>
      <c r="C3560" s="3">
        <v>8447819806</v>
      </c>
      <c r="D3560" s="3"/>
      <c r="E3560" s="3" t="s">
        <v>5384</v>
      </c>
      <c r="F3560" s="3" t="s">
        <v>333</v>
      </c>
      <c r="G3560" s="3" t="s">
        <v>424</v>
      </c>
      <c r="H3560" s="3" t="s">
        <v>1096</v>
      </c>
      <c r="I3560" s="3" t="s">
        <v>94</v>
      </c>
      <c r="J3560" s="31">
        <v>45861</v>
      </c>
      <c r="K3560" s="31">
        <v>45877</v>
      </c>
      <c r="L3560" s="31"/>
      <c r="M3560" s="31"/>
      <c r="N3560" s="31"/>
      <c r="O3560" s="3" t="s">
        <v>749</v>
      </c>
    </row>
    <row r="3561" spans="1:15">
      <c r="A3561" s="3">
        <f t="shared" si="57"/>
        <v>3560</v>
      </c>
      <c r="B3561" s="41" t="s">
        <v>5385</v>
      </c>
      <c r="C3561" s="3">
        <v>9032916652</v>
      </c>
      <c r="D3561" s="3"/>
      <c r="E3561" s="3" t="s">
        <v>5384</v>
      </c>
      <c r="F3561" s="3" t="s">
        <v>333</v>
      </c>
      <c r="G3561" s="3" t="s">
        <v>295</v>
      </c>
      <c r="H3561" s="3" t="s">
        <v>1096</v>
      </c>
      <c r="I3561" s="3" t="s">
        <v>94</v>
      </c>
      <c r="J3561" s="31">
        <v>45861</v>
      </c>
      <c r="K3561" s="31">
        <v>45877</v>
      </c>
      <c r="L3561" s="31">
        <v>45883</v>
      </c>
      <c r="M3561" s="31">
        <v>45955</v>
      </c>
      <c r="N3561" s="31"/>
      <c r="O3561" s="3" t="s">
        <v>297</v>
      </c>
    </row>
    <row r="3562" spans="1:15">
      <c r="A3562" s="3">
        <f t="shared" si="57"/>
        <v>3561</v>
      </c>
      <c r="B3562" s="41" t="s">
        <v>5386</v>
      </c>
      <c r="C3562" s="3">
        <v>6395559879</v>
      </c>
      <c r="D3562" s="2"/>
      <c r="E3562" s="3" t="s">
        <v>5387</v>
      </c>
      <c r="F3562" s="3" t="s">
        <v>333</v>
      </c>
      <c r="G3562" s="3" t="s">
        <v>424</v>
      </c>
      <c r="H3562" s="3" t="s">
        <v>1096</v>
      </c>
      <c r="I3562" s="3" t="s">
        <v>94</v>
      </c>
      <c r="J3562" s="31">
        <v>45861</v>
      </c>
      <c r="K3562" s="31">
        <v>45880</v>
      </c>
      <c r="L3562" s="31"/>
      <c r="M3562" s="31"/>
      <c r="N3562" s="31"/>
      <c r="O3562" s="3" t="s">
        <v>749</v>
      </c>
    </row>
    <row r="3563" spans="1:15">
      <c r="A3563" s="3">
        <f t="shared" si="57"/>
        <v>3562</v>
      </c>
      <c r="B3563" s="41" t="s">
        <v>5388</v>
      </c>
      <c r="C3563" s="3">
        <v>7018161819</v>
      </c>
      <c r="D3563" s="3"/>
      <c r="E3563" s="3" t="s">
        <v>5387</v>
      </c>
      <c r="F3563" s="3" t="s">
        <v>333</v>
      </c>
      <c r="G3563" s="3" t="s">
        <v>416</v>
      </c>
      <c r="H3563" s="3" t="s">
        <v>1096</v>
      </c>
      <c r="I3563" s="3" t="s">
        <v>94</v>
      </c>
      <c r="J3563" s="31">
        <v>45861</v>
      </c>
      <c r="K3563" s="31">
        <v>45877</v>
      </c>
      <c r="L3563" s="31"/>
      <c r="M3563" s="31"/>
      <c r="N3563" s="31"/>
      <c r="O3563" s="3" t="s">
        <v>297</v>
      </c>
    </row>
    <row r="3564" spans="1:15">
      <c r="A3564" s="3">
        <f t="shared" si="57"/>
        <v>3563</v>
      </c>
      <c r="B3564" s="41" t="s">
        <v>5389</v>
      </c>
      <c r="C3564" s="3">
        <v>8899319466</v>
      </c>
      <c r="D3564" s="3"/>
      <c r="E3564" s="3" t="s">
        <v>5390</v>
      </c>
      <c r="F3564" s="3" t="s">
        <v>543</v>
      </c>
      <c r="G3564" s="3" t="s">
        <v>295</v>
      </c>
      <c r="H3564" s="3" t="s">
        <v>1096</v>
      </c>
      <c r="I3564" s="3" t="s">
        <v>94</v>
      </c>
      <c r="J3564" s="31">
        <v>45861</v>
      </c>
      <c r="K3564" s="31">
        <v>45877</v>
      </c>
      <c r="L3564" s="31">
        <v>45903</v>
      </c>
      <c r="M3564" s="31">
        <v>45933</v>
      </c>
      <c r="N3564" s="31"/>
      <c r="O3564" s="3" t="s">
        <v>297</v>
      </c>
    </row>
    <row r="3565" spans="1:15">
      <c r="A3565" s="3">
        <f t="shared" si="57"/>
        <v>3564</v>
      </c>
      <c r="B3565" s="41" t="s">
        <v>5391</v>
      </c>
      <c r="C3565" s="3">
        <v>8919167555</v>
      </c>
      <c r="D3565" s="3"/>
      <c r="E3565" s="3" t="s">
        <v>5370</v>
      </c>
      <c r="F3565" s="3" t="s">
        <v>308</v>
      </c>
      <c r="G3565" s="3" t="s">
        <v>295</v>
      </c>
      <c r="H3565" s="3" t="s">
        <v>1096</v>
      </c>
      <c r="I3565" s="3" t="s">
        <v>94</v>
      </c>
      <c r="J3565" s="31">
        <v>45861</v>
      </c>
      <c r="K3565" s="31">
        <v>45870</v>
      </c>
      <c r="L3565" s="31">
        <v>45876</v>
      </c>
      <c r="M3565" s="31">
        <v>45907</v>
      </c>
      <c r="N3565" s="31"/>
      <c r="O3565" s="3" t="s">
        <v>297</v>
      </c>
    </row>
    <row r="3566" spans="1:15">
      <c r="A3566" s="3">
        <f t="shared" si="57"/>
        <v>3565</v>
      </c>
      <c r="B3566" s="41" t="s">
        <v>5392</v>
      </c>
      <c r="C3566" s="3">
        <v>8520075216</v>
      </c>
      <c r="D3566" s="3"/>
      <c r="E3566" s="3" t="s">
        <v>5367</v>
      </c>
      <c r="F3566" s="3" t="s">
        <v>333</v>
      </c>
      <c r="G3566" s="3" t="s">
        <v>16</v>
      </c>
      <c r="H3566" s="3" t="s">
        <v>1096</v>
      </c>
      <c r="I3566" s="3" t="s">
        <v>94</v>
      </c>
      <c r="J3566" s="31">
        <v>45861</v>
      </c>
      <c r="K3566" s="31">
        <v>45870</v>
      </c>
      <c r="L3566" s="31">
        <v>45876</v>
      </c>
      <c r="M3566" s="31">
        <v>45932</v>
      </c>
      <c r="N3566" s="31">
        <v>45931</v>
      </c>
      <c r="O3566" s="3" t="s">
        <v>297</v>
      </c>
    </row>
    <row r="3567" spans="1:15">
      <c r="A3567" s="3">
        <f t="shared" si="57"/>
        <v>3566</v>
      </c>
      <c r="B3567" s="41" t="s">
        <v>5393</v>
      </c>
      <c r="C3567" s="3">
        <v>9074504549</v>
      </c>
      <c r="D3567" s="3"/>
      <c r="E3567" s="3" t="s">
        <v>5394</v>
      </c>
      <c r="F3567" s="3" t="s">
        <v>308</v>
      </c>
      <c r="G3567" s="3" t="s">
        <v>416</v>
      </c>
      <c r="H3567" s="3" t="s">
        <v>1096</v>
      </c>
      <c r="I3567" s="3" t="s">
        <v>94</v>
      </c>
      <c r="J3567" s="31">
        <v>45861</v>
      </c>
      <c r="K3567" s="31">
        <v>45872</v>
      </c>
      <c r="L3567" s="31"/>
      <c r="M3567" s="31"/>
      <c r="N3567" s="31"/>
      <c r="O3567" s="3" t="s">
        <v>297</v>
      </c>
    </row>
    <row r="3568" spans="1:15">
      <c r="A3568" s="3">
        <f t="shared" si="57"/>
        <v>3567</v>
      </c>
      <c r="B3568" s="41" t="s">
        <v>5395</v>
      </c>
      <c r="C3568" s="3">
        <v>7905402320</v>
      </c>
      <c r="D3568" s="3"/>
      <c r="E3568" s="3" t="s">
        <v>5371</v>
      </c>
      <c r="F3568" s="3" t="s">
        <v>333</v>
      </c>
      <c r="G3568" s="3" t="s">
        <v>16</v>
      </c>
      <c r="H3568" s="3" t="s">
        <v>1096</v>
      </c>
      <c r="I3568" s="3" t="s">
        <v>94</v>
      </c>
      <c r="J3568" s="31">
        <v>45861</v>
      </c>
      <c r="K3568" s="31">
        <v>45872</v>
      </c>
      <c r="L3568" s="31">
        <v>45876</v>
      </c>
      <c r="M3568" s="31">
        <v>45937</v>
      </c>
      <c r="N3568" s="31">
        <v>45943</v>
      </c>
      <c r="O3568" s="3" t="s">
        <v>297</v>
      </c>
    </row>
    <row r="3569" spans="1:15">
      <c r="A3569" s="3">
        <f t="shared" si="57"/>
        <v>3568</v>
      </c>
      <c r="B3569" s="41" t="s">
        <v>1095</v>
      </c>
      <c r="C3569" s="3">
        <v>9770093208</v>
      </c>
      <c r="D3569" s="3"/>
      <c r="E3569" s="3" t="s">
        <v>5394</v>
      </c>
      <c r="F3569" s="3" t="s">
        <v>308</v>
      </c>
      <c r="G3569" s="3" t="s">
        <v>18</v>
      </c>
      <c r="H3569" s="3" t="s">
        <v>1096</v>
      </c>
      <c r="I3569" s="3" t="s">
        <v>94</v>
      </c>
      <c r="J3569" s="31">
        <v>45861</v>
      </c>
      <c r="K3569" s="31">
        <v>45870</v>
      </c>
      <c r="L3569" s="31"/>
      <c r="M3569" s="31"/>
      <c r="N3569" s="31"/>
      <c r="O3569" s="3" t="s">
        <v>297</v>
      </c>
    </row>
    <row r="3570" spans="1:15">
      <c r="A3570" s="3">
        <f t="shared" si="57"/>
        <v>3569</v>
      </c>
      <c r="B3570" s="41" t="s">
        <v>5396</v>
      </c>
      <c r="C3570" s="3">
        <v>9424421184</v>
      </c>
      <c r="D3570" s="3"/>
      <c r="E3570" s="3" t="s">
        <v>5397</v>
      </c>
      <c r="F3570" s="3" t="s">
        <v>5398</v>
      </c>
      <c r="G3570" s="3" t="s">
        <v>764</v>
      </c>
      <c r="H3570" s="3" t="s">
        <v>674</v>
      </c>
      <c r="I3570" s="3" t="s">
        <v>94</v>
      </c>
      <c r="J3570" s="31">
        <v>45861</v>
      </c>
      <c r="K3570" s="31">
        <v>45881</v>
      </c>
      <c r="L3570" s="31"/>
      <c r="M3570" s="31"/>
      <c r="N3570" s="31"/>
      <c r="O3570" s="3" t="s">
        <v>425</v>
      </c>
    </row>
    <row r="3571" spans="1:15">
      <c r="A3571" s="3">
        <f t="shared" si="57"/>
        <v>3570</v>
      </c>
      <c r="B3571" s="41" t="s">
        <v>5399</v>
      </c>
      <c r="C3571" s="3">
        <v>7780619803</v>
      </c>
      <c r="D3571" s="3">
        <v>7032423449</v>
      </c>
      <c r="E3571" s="3" t="s">
        <v>5204</v>
      </c>
      <c r="F3571" s="3" t="s">
        <v>275</v>
      </c>
      <c r="G3571" s="3" t="s">
        <v>416</v>
      </c>
      <c r="H3571" s="3" t="s">
        <v>674</v>
      </c>
      <c r="I3571" s="3" t="s">
        <v>94</v>
      </c>
      <c r="J3571" s="31">
        <v>45861</v>
      </c>
      <c r="K3571" s="31">
        <v>45881</v>
      </c>
      <c r="L3571" s="31"/>
      <c r="M3571" s="31"/>
      <c r="N3571" s="31"/>
      <c r="O3571" s="3" t="s">
        <v>297</v>
      </c>
    </row>
    <row r="3572" spans="1:15">
      <c r="A3572" s="3">
        <f t="shared" si="57"/>
        <v>3571</v>
      </c>
      <c r="B3572" s="41" t="s">
        <v>5400</v>
      </c>
      <c r="C3572" s="3">
        <v>7906243030</v>
      </c>
      <c r="D3572" s="3">
        <v>9992633878</v>
      </c>
      <c r="E3572" s="3" t="s">
        <v>5204</v>
      </c>
      <c r="F3572" s="3" t="s">
        <v>5398</v>
      </c>
      <c r="G3572" s="3" t="s">
        <v>416</v>
      </c>
      <c r="H3572" s="3" t="s">
        <v>674</v>
      </c>
      <c r="I3572" s="3" t="s">
        <v>94</v>
      </c>
      <c r="J3572" s="31">
        <v>45861</v>
      </c>
      <c r="K3572" s="31">
        <v>45881</v>
      </c>
      <c r="L3572" s="31"/>
      <c r="M3572" s="31"/>
      <c r="N3572" s="31"/>
      <c r="O3572" s="3" t="s">
        <v>297</v>
      </c>
    </row>
    <row r="3573" spans="1:15">
      <c r="A3573" s="3">
        <f t="shared" si="57"/>
        <v>3572</v>
      </c>
      <c r="B3573" s="41" t="s">
        <v>5401</v>
      </c>
      <c r="C3573" s="3">
        <v>9494831925</v>
      </c>
      <c r="D3573" s="3"/>
      <c r="E3573" s="3" t="s">
        <v>5204</v>
      </c>
      <c r="F3573" s="3" t="s">
        <v>2251</v>
      </c>
      <c r="G3573" s="3" t="s">
        <v>764</v>
      </c>
      <c r="H3573" s="3" t="s">
        <v>674</v>
      </c>
      <c r="I3573" s="3" t="s">
        <v>94</v>
      </c>
      <c r="J3573" s="31">
        <v>45861</v>
      </c>
      <c r="K3573" s="31">
        <v>45881</v>
      </c>
      <c r="L3573" s="31"/>
      <c r="M3573" s="31"/>
      <c r="N3573" s="31"/>
      <c r="O3573" s="3" t="s">
        <v>425</v>
      </c>
    </row>
    <row r="3574" spans="1:15">
      <c r="A3574" s="3">
        <f t="shared" si="57"/>
        <v>3573</v>
      </c>
      <c r="B3574" s="41" t="s">
        <v>5402</v>
      </c>
      <c r="C3574" s="3">
        <v>9459419469</v>
      </c>
      <c r="D3574" s="3">
        <v>6300524370</v>
      </c>
      <c r="E3574" s="3" t="s">
        <v>5403</v>
      </c>
      <c r="F3574" s="3" t="s">
        <v>5404</v>
      </c>
      <c r="G3574" s="3" t="s">
        <v>416</v>
      </c>
      <c r="H3574" s="3" t="s">
        <v>42</v>
      </c>
      <c r="I3574" s="3" t="s">
        <v>42</v>
      </c>
      <c r="J3574" s="31">
        <v>45862</v>
      </c>
      <c r="K3574" s="31">
        <v>45869</v>
      </c>
      <c r="L3574" s="31"/>
      <c r="M3574" s="31"/>
      <c r="N3574" s="31"/>
      <c r="O3574" s="3" t="s">
        <v>297</v>
      </c>
    </row>
    <row r="3575" spans="1:15">
      <c r="A3575" s="3">
        <f t="shared" si="57"/>
        <v>3574</v>
      </c>
      <c r="B3575" s="41" t="s">
        <v>5405</v>
      </c>
      <c r="C3575" s="3">
        <v>9660925604</v>
      </c>
      <c r="D3575" s="3"/>
      <c r="E3575" s="3" t="s">
        <v>5403</v>
      </c>
      <c r="F3575" s="3" t="s">
        <v>5406</v>
      </c>
      <c r="G3575" s="3" t="s">
        <v>424</v>
      </c>
      <c r="H3575" s="3" t="s">
        <v>42</v>
      </c>
      <c r="I3575" s="3" t="s">
        <v>42</v>
      </c>
      <c r="J3575" s="31">
        <v>45862</v>
      </c>
      <c r="K3575" s="31">
        <v>45869</v>
      </c>
      <c r="L3575" s="31"/>
      <c r="M3575" s="31"/>
      <c r="N3575" s="31"/>
      <c r="O3575" s="3" t="s">
        <v>425</v>
      </c>
    </row>
    <row r="3576" spans="1:15">
      <c r="A3576" s="3">
        <f t="shared" si="57"/>
        <v>3575</v>
      </c>
      <c r="B3576" s="41" t="s">
        <v>5407</v>
      </c>
      <c r="C3576" s="3">
        <v>7989140232</v>
      </c>
      <c r="D3576" s="3"/>
      <c r="E3576" s="3" t="s">
        <v>3226</v>
      </c>
      <c r="F3576" s="3" t="s">
        <v>5408</v>
      </c>
      <c r="G3576" s="3" t="s">
        <v>18</v>
      </c>
      <c r="H3576" s="3" t="s">
        <v>2425</v>
      </c>
      <c r="I3576" s="3" t="s">
        <v>42</v>
      </c>
      <c r="J3576" s="31">
        <v>45862</v>
      </c>
      <c r="K3576" s="3"/>
      <c r="L3576" s="31"/>
      <c r="M3576" s="31"/>
      <c r="N3576" s="31"/>
      <c r="O3576" s="3" t="s">
        <v>1004</v>
      </c>
    </row>
    <row r="3577" spans="1:15">
      <c r="A3577" s="3">
        <f t="shared" si="57"/>
        <v>3576</v>
      </c>
      <c r="B3577" s="41" t="s">
        <v>5409</v>
      </c>
      <c r="C3577" s="3">
        <v>8486763298</v>
      </c>
      <c r="D3577" s="3"/>
      <c r="E3577" s="3" t="s">
        <v>3226</v>
      </c>
      <c r="F3577" s="3" t="s">
        <v>5410</v>
      </c>
      <c r="G3577" s="3" t="s">
        <v>18</v>
      </c>
      <c r="H3577" s="3" t="s">
        <v>2425</v>
      </c>
      <c r="I3577" s="3" t="s">
        <v>42</v>
      </c>
      <c r="J3577" s="31">
        <v>45862</v>
      </c>
      <c r="K3577" s="3"/>
      <c r="L3577" s="31"/>
      <c r="M3577" s="31"/>
      <c r="N3577" s="31"/>
      <c r="O3577" s="3" t="s">
        <v>1004</v>
      </c>
    </row>
    <row r="3578" spans="1:15">
      <c r="A3578" s="3">
        <f t="shared" si="57"/>
        <v>3577</v>
      </c>
      <c r="B3578" s="41" t="s">
        <v>5411</v>
      </c>
      <c r="C3578" s="3">
        <v>6000921252</v>
      </c>
      <c r="D3578" s="3"/>
      <c r="E3578" s="3" t="s">
        <v>5412</v>
      </c>
      <c r="F3578" s="3" t="s">
        <v>3632</v>
      </c>
      <c r="G3578" s="3" t="s">
        <v>416</v>
      </c>
      <c r="H3578" s="3" t="s">
        <v>1605</v>
      </c>
      <c r="I3578" s="3" t="s">
        <v>94</v>
      </c>
      <c r="J3578" s="31">
        <v>45862</v>
      </c>
      <c r="K3578" s="31">
        <v>45870</v>
      </c>
      <c r="L3578" s="31"/>
      <c r="M3578" s="31"/>
      <c r="N3578" s="31"/>
      <c r="O3578" s="3" t="s">
        <v>297</v>
      </c>
    </row>
    <row r="3579" spans="1:15">
      <c r="A3579" s="3">
        <f t="shared" si="57"/>
        <v>3578</v>
      </c>
      <c r="B3579" s="41" t="s">
        <v>3601</v>
      </c>
      <c r="C3579" s="3">
        <v>7759899713</v>
      </c>
      <c r="D3579" s="3"/>
      <c r="E3579" s="3" t="s">
        <v>5412</v>
      </c>
      <c r="F3579" s="3" t="s">
        <v>3632</v>
      </c>
      <c r="G3579" s="3" t="s">
        <v>764</v>
      </c>
      <c r="H3579" s="3" t="s">
        <v>1605</v>
      </c>
      <c r="I3579" s="3" t="s">
        <v>94</v>
      </c>
      <c r="J3579" s="31">
        <v>45862</v>
      </c>
      <c r="K3579" s="31">
        <v>45870</v>
      </c>
      <c r="L3579" s="31"/>
      <c r="M3579" s="31"/>
      <c r="N3579" s="31"/>
      <c r="O3579" s="3" t="s">
        <v>425</v>
      </c>
    </row>
    <row r="3580" spans="1:15">
      <c r="A3580" s="3">
        <f t="shared" si="57"/>
        <v>3579</v>
      </c>
      <c r="B3580" s="41" t="s">
        <v>535</v>
      </c>
      <c r="C3580" s="3">
        <v>8172874222</v>
      </c>
      <c r="D3580" s="3"/>
      <c r="E3580" s="3" t="s">
        <v>5413</v>
      </c>
      <c r="F3580" s="3" t="s">
        <v>364</v>
      </c>
      <c r="G3580" s="3" t="s">
        <v>416</v>
      </c>
      <c r="H3580" s="3" t="s">
        <v>1605</v>
      </c>
      <c r="I3580" s="3" t="s">
        <v>94</v>
      </c>
      <c r="J3580" s="31">
        <v>45862</v>
      </c>
      <c r="K3580" s="31">
        <v>45870</v>
      </c>
      <c r="L3580" s="31"/>
      <c r="M3580" s="31"/>
      <c r="N3580" s="31"/>
      <c r="O3580" s="3" t="s">
        <v>297</v>
      </c>
    </row>
    <row r="3581" spans="1:15">
      <c r="A3581" s="3">
        <f t="shared" si="57"/>
        <v>3580</v>
      </c>
      <c r="B3581" s="41" t="s">
        <v>5414</v>
      </c>
      <c r="C3581" s="3">
        <v>7679482214</v>
      </c>
      <c r="D3581" s="3"/>
      <c r="E3581" s="3" t="s">
        <v>5413</v>
      </c>
      <c r="F3581" s="3" t="s">
        <v>364</v>
      </c>
      <c r="G3581" s="2" t="s">
        <v>16</v>
      </c>
      <c r="H3581" s="3" t="s">
        <v>1605</v>
      </c>
      <c r="I3581" s="3" t="s">
        <v>94</v>
      </c>
      <c r="J3581" s="31">
        <v>45862</v>
      </c>
      <c r="K3581" s="31">
        <v>45870</v>
      </c>
      <c r="L3581" s="31">
        <v>45870</v>
      </c>
      <c r="M3581" s="31">
        <v>45901</v>
      </c>
      <c r="N3581" s="31">
        <v>45903</v>
      </c>
      <c r="O3581" s="3" t="s">
        <v>297</v>
      </c>
    </row>
    <row r="3582" spans="1:15">
      <c r="A3582" s="3">
        <f t="shared" si="57"/>
        <v>3581</v>
      </c>
      <c r="B3582" s="41" t="s">
        <v>5415</v>
      </c>
      <c r="C3582" s="3">
        <v>9019232697</v>
      </c>
      <c r="D3582" s="3"/>
      <c r="E3582" s="3" t="s">
        <v>5413</v>
      </c>
      <c r="F3582" s="3" t="s">
        <v>364</v>
      </c>
      <c r="G3582" s="3" t="s">
        <v>764</v>
      </c>
      <c r="H3582" s="3" t="s">
        <v>1605</v>
      </c>
      <c r="I3582" s="3" t="s">
        <v>94</v>
      </c>
      <c r="J3582" s="31">
        <v>45862</v>
      </c>
      <c r="K3582" s="31">
        <v>45870</v>
      </c>
      <c r="L3582" s="31"/>
      <c r="M3582" s="31"/>
      <c r="N3582" s="31"/>
      <c r="O3582" s="3" t="s">
        <v>425</v>
      </c>
    </row>
    <row r="3583" spans="1:15">
      <c r="A3583" s="3">
        <f t="shared" si="57"/>
        <v>3582</v>
      </c>
      <c r="B3583" s="41" t="s">
        <v>5246</v>
      </c>
      <c r="C3583" s="3">
        <v>9179309061</v>
      </c>
      <c r="D3583" s="3"/>
      <c r="E3583" s="3" t="s">
        <v>5413</v>
      </c>
      <c r="F3583" s="3" t="s">
        <v>364</v>
      </c>
      <c r="G3583" s="3" t="s">
        <v>764</v>
      </c>
      <c r="H3583" s="3" t="s">
        <v>1605</v>
      </c>
      <c r="I3583" s="3" t="s">
        <v>94</v>
      </c>
      <c r="J3583" s="31">
        <v>45862</v>
      </c>
      <c r="K3583" s="31">
        <v>45870</v>
      </c>
      <c r="L3583" s="31"/>
      <c r="M3583" s="31"/>
      <c r="N3583" s="31"/>
      <c r="O3583" s="3" t="s">
        <v>425</v>
      </c>
    </row>
    <row r="3584" spans="1:15">
      <c r="A3584" s="3">
        <f t="shared" si="57"/>
        <v>3583</v>
      </c>
      <c r="B3584" s="41" t="s">
        <v>5416</v>
      </c>
      <c r="C3584" s="3">
        <v>8890551373</v>
      </c>
      <c r="D3584" s="3"/>
      <c r="E3584" s="3" t="s">
        <v>5417</v>
      </c>
      <c r="F3584" s="3" t="s">
        <v>364</v>
      </c>
      <c r="G3584" s="2" t="s">
        <v>416</v>
      </c>
      <c r="H3584" s="3" t="s">
        <v>1605</v>
      </c>
      <c r="I3584" s="3" t="s">
        <v>94</v>
      </c>
      <c r="J3584" s="31">
        <v>45862</v>
      </c>
      <c r="K3584" s="31">
        <v>45870</v>
      </c>
      <c r="L3584" s="31"/>
      <c r="M3584" s="31"/>
      <c r="N3584" s="31"/>
      <c r="O3584" s="3" t="s">
        <v>297</v>
      </c>
    </row>
    <row r="3585" spans="1:15">
      <c r="A3585" s="3">
        <f t="shared" si="57"/>
        <v>3584</v>
      </c>
      <c r="B3585" s="41" t="s">
        <v>5418</v>
      </c>
      <c r="C3585" s="3">
        <v>7583849798</v>
      </c>
      <c r="D3585" s="3"/>
      <c r="E3585" s="3" t="s">
        <v>5373</v>
      </c>
      <c r="F3585" s="3" t="s">
        <v>569</v>
      </c>
      <c r="G3585" s="3" t="s">
        <v>424</v>
      </c>
      <c r="H3585" s="3" t="s">
        <v>1096</v>
      </c>
      <c r="I3585" s="3" t="s">
        <v>94</v>
      </c>
      <c r="J3585" s="31">
        <v>45862</v>
      </c>
      <c r="K3585" s="31">
        <v>45870</v>
      </c>
      <c r="L3585" s="31"/>
      <c r="M3585" s="31"/>
      <c r="N3585" s="31"/>
      <c r="O3585" s="3" t="s">
        <v>749</v>
      </c>
    </row>
    <row r="3586" spans="1:15">
      <c r="A3586" s="3">
        <f t="shared" si="57"/>
        <v>3585</v>
      </c>
      <c r="B3586" s="41" t="s">
        <v>5419</v>
      </c>
      <c r="C3586" s="3">
        <v>7351780898</v>
      </c>
      <c r="D3586" s="3">
        <v>7668700000</v>
      </c>
      <c r="E3586" s="3" t="s">
        <v>5373</v>
      </c>
      <c r="F3586" s="3" t="s">
        <v>569</v>
      </c>
      <c r="G3586" s="3" t="s">
        <v>424</v>
      </c>
      <c r="H3586" s="3" t="s">
        <v>1096</v>
      </c>
      <c r="I3586" s="3" t="s">
        <v>94</v>
      </c>
      <c r="J3586" s="31">
        <v>45862</v>
      </c>
      <c r="K3586" s="31">
        <v>45870</v>
      </c>
      <c r="L3586" s="31"/>
      <c r="M3586" s="31"/>
      <c r="N3586" s="31"/>
      <c r="O3586" s="3" t="s">
        <v>749</v>
      </c>
    </row>
    <row r="3587" spans="1:15">
      <c r="A3587" s="3">
        <f t="shared" si="57"/>
        <v>3586</v>
      </c>
      <c r="B3587" s="41" t="s">
        <v>4215</v>
      </c>
      <c r="C3587" s="3">
        <v>8938021472</v>
      </c>
      <c r="D3587" s="3"/>
      <c r="E3587" s="3" t="s">
        <v>5420</v>
      </c>
      <c r="F3587" s="3" t="s">
        <v>308</v>
      </c>
      <c r="G3587" s="3" t="s">
        <v>16</v>
      </c>
      <c r="H3587" s="3" t="s">
        <v>1096</v>
      </c>
      <c r="I3587" s="3" t="s">
        <v>94</v>
      </c>
      <c r="J3587" s="31">
        <v>45862</v>
      </c>
      <c r="K3587" s="31">
        <v>45870</v>
      </c>
      <c r="L3587" s="31">
        <v>45876</v>
      </c>
      <c r="M3587" s="31">
        <v>45907</v>
      </c>
      <c r="N3587" s="31">
        <v>45909</v>
      </c>
      <c r="O3587" s="3" t="s">
        <v>297</v>
      </c>
    </row>
    <row r="3588" spans="1:15">
      <c r="A3588" s="3">
        <f t="shared" si="57"/>
        <v>3587</v>
      </c>
      <c r="B3588" s="41" t="s">
        <v>5421</v>
      </c>
      <c r="C3588" s="3">
        <v>9782898499</v>
      </c>
      <c r="D3588" s="3"/>
      <c r="E3588" s="3" t="s">
        <v>5420</v>
      </c>
      <c r="F3588" s="3" t="s">
        <v>308</v>
      </c>
      <c r="G3588" s="3" t="s">
        <v>16</v>
      </c>
      <c r="H3588" s="3" t="s">
        <v>1096</v>
      </c>
      <c r="I3588" s="3" t="s">
        <v>94</v>
      </c>
      <c r="J3588" s="31">
        <v>45862</v>
      </c>
      <c r="K3588" s="31">
        <v>45870</v>
      </c>
      <c r="L3588" s="31">
        <v>45877</v>
      </c>
      <c r="M3588" s="31">
        <v>45910</v>
      </c>
      <c r="N3588" s="31">
        <v>45910</v>
      </c>
      <c r="O3588" s="3" t="s">
        <v>297</v>
      </c>
    </row>
    <row r="3589" spans="1:15">
      <c r="A3589" s="3">
        <f t="shared" si="57"/>
        <v>3588</v>
      </c>
      <c r="B3589" s="41" t="s">
        <v>5422</v>
      </c>
      <c r="C3589" s="3">
        <v>7579449802</v>
      </c>
      <c r="D3589" s="3">
        <v>7817825599</v>
      </c>
      <c r="E3589" s="3" t="s">
        <v>5420</v>
      </c>
      <c r="F3589" s="3" t="s">
        <v>308</v>
      </c>
      <c r="G3589" s="3" t="s">
        <v>424</v>
      </c>
      <c r="H3589" s="3" t="s">
        <v>1096</v>
      </c>
      <c r="I3589" s="3" t="s">
        <v>94</v>
      </c>
      <c r="J3589" s="31">
        <v>45862</v>
      </c>
      <c r="K3589" s="31">
        <v>45870</v>
      </c>
      <c r="L3589" s="31"/>
      <c r="M3589" s="31"/>
      <c r="N3589" s="31"/>
      <c r="O3589" s="3" t="s">
        <v>425</v>
      </c>
    </row>
    <row r="3590" spans="1:15">
      <c r="A3590" s="3">
        <f t="shared" si="57"/>
        <v>3589</v>
      </c>
      <c r="B3590" s="41" t="s">
        <v>5423</v>
      </c>
      <c r="C3590" s="3">
        <v>8886864438</v>
      </c>
      <c r="D3590" s="3"/>
      <c r="E3590" s="3" t="s">
        <v>5424</v>
      </c>
      <c r="F3590" s="3" t="s">
        <v>308</v>
      </c>
      <c r="G3590" s="3" t="s">
        <v>18</v>
      </c>
      <c r="H3590" s="3" t="s">
        <v>1096</v>
      </c>
      <c r="I3590" s="3" t="s">
        <v>94</v>
      </c>
      <c r="J3590" s="31">
        <v>45862</v>
      </c>
      <c r="K3590" s="31">
        <v>45870</v>
      </c>
      <c r="L3590" s="31"/>
      <c r="M3590" s="31"/>
      <c r="N3590" s="31"/>
      <c r="O3590" s="3" t="s">
        <v>297</v>
      </c>
    </row>
    <row r="3591" spans="1:15">
      <c r="A3591" s="3">
        <f t="shared" si="57"/>
        <v>3590</v>
      </c>
      <c r="B3591" s="41" t="s">
        <v>5425</v>
      </c>
      <c r="C3591" s="3">
        <v>9973131556</v>
      </c>
      <c r="D3591" s="3"/>
      <c r="E3591" s="3" t="s">
        <v>5424</v>
      </c>
      <c r="F3591" s="3" t="s">
        <v>308</v>
      </c>
      <c r="G3591" s="3" t="s">
        <v>18</v>
      </c>
      <c r="H3591" s="3" t="s">
        <v>1096</v>
      </c>
      <c r="I3591" s="3" t="s">
        <v>94</v>
      </c>
      <c r="J3591" s="31">
        <v>45862</v>
      </c>
      <c r="K3591" s="31">
        <v>45874</v>
      </c>
      <c r="L3591" s="31"/>
      <c r="M3591" s="31"/>
      <c r="N3591" s="31"/>
      <c r="O3591" s="3" t="s">
        <v>297</v>
      </c>
    </row>
    <row r="3592" spans="1:15">
      <c r="A3592" s="3">
        <f t="shared" si="57"/>
        <v>3591</v>
      </c>
      <c r="B3592" s="41" t="s">
        <v>5426</v>
      </c>
      <c r="C3592" s="3">
        <v>9983757740</v>
      </c>
      <c r="D3592" s="3"/>
      <c r="E3592" s="3" t="s">
        <v>5424</v>
      </c>
      <c r="F3592" s="3" t="s">
        <v>308</v>
      </c>
      <c r="G3592" s="3" t="s">
        <v>16</v>
      </c>
      <c r="H3592" s="3" t="s">
        <v>1096</v>
      </c>
      <c r="I3592" s="3" t="s">
        <v>94</v>
      </c>
      <c r="J3592" s="31">
        <v>45862</v>
      </c>
      <c r="K3592" s="31">
        <v>45870</v>
      </c>
      <c r="L3592" s="31">
        <v>45876</v>
      </c>
      <c r="M3592" s="31">
        <v>45915</v>
      </c>
      <c r="N3592" s="31">
        <v>45915</v>
      </c>
      <c r="O3592" s="3" t="s">
        <v>297</v>
      </c>
    </row>
    <row r="3593" spans="1:15">
      <c r="A3593" s="3">
        <f t="shared" si="57"/>
        <v>3592</v>
      </c>
      <c r="B3593" s="41" t="s">
        <v>5427</v>
      </c>
      <c r="C3593" s="3">
        <v>8388950587</v>
      </c>
      <c r="D3593" s="3"/>
      <c r="E3593" s="3" t="s">
        <v>5428</v>
      </c>
      <c r="F3593" s="3" t="s">
        <v>2251</v>
      </c>
      <c r="G3593" s="3" t="s">
        <v>14</v>
      </c>
      <c r="H3593" s="3" t="s">
        <v>1096</v>
      </c>
      <c r="I3593" s="3" t="s">
        <v>94</v>
      </c>
      <c r="J3593" s="31">
        <v>45862</v>
      </c>
      <c r="K3593" s="31">
        <v>45870</v>
      </c>
      <c r="L3593" s="31"/>
      <c r="M3593" s="31"/>
      <c r="N3593" s="31"/>
      <c r="O3593" s="3" t="s">
        <v>297</v>
      </c>
    </row>
    <row r="3594" spans="1:15">
      <c r="A3594" s="3">
        <f t="shared" si="57"/>
        <v>3593</v>
      </c>
      <c r="B3594" s="41" t="s">
        <v>549</v>
      </c>
      <c r="C3594" s="3">
        <v>8292677139</v>
      </c>
      <c r="D3594" s="3"/>
      <c r="E3594" s="3" t="s">
        <v>5429</v>
      </c>
      <c r="F3594" s="3" t="s">
        <v>689</v>
      </c>
      <c r="G3594" s="3" t="s">
        <v>764</v>
      </c>
      <c r="H3594" s="3" t="s">
        <v>674</v>
      </c>
      <c r="I3594" s="3" t="s">
        <v>94</v>
      </c>
      <c r="J3594" s="31">
        <v>45862</v>
      </c>
      <c r="K3594" s="31">
        <v>45881</v>
      </c>
      <c r="L3594" s="31"/>
      <c r="M3594" s="31"/>
      <c r="N3594" s="31"/>
      <c r="O3594" s="3" t="s">
        <v>425</v>
      </c>
    </row>
    <row r="3595" spans="1:15">
      <c r="A3595" s="3">
        <f t="shared" si="57"/>
        <v>3594</v>
      </c>
      <c r="B3595" s="41" t="s">
        <v>5430</v>
      </c>
      <c r="C3595" s="3">
        <v>7903352073</v>
      </c>
      <c r="D3595" s="3"/>
      <c r="E3595" s="3" t="s">
        <v>5429</v>
      </c>
      <c r="F3595" s="3" t="s">
        <v>689</v>
      </c>
      <c r="G3595" s="3" t="s">
        <v>764</v>
      </c>
      <c r="H3595" s="3" t="s">
        <v>674</v>
      </c>
      <c r="I3595" s="3" t="s">
        <v>94</v>
      </c>
      <c r="J3595" s="31">
        <v>45862</v>
      </c>
      <c r="K3595" s="31">
        <v>45881</v>
      </c>
      <c r="L3595" s="31"/>
      <c r="M3595" s="31"/>
      <c r="N3595" s="31"/>
      <c r="O3595" s="3" t="s">
        <v>425</v>
      </c>
    </row>
    <row r="3596" spans="1:15">
      <c r="A3596" s="3">
        <f t="shared" si="57"/>
        <v>3595</v>
      </c>
      <c r="B3596" s="41" t="s">
        <v>5431</v>
      </c>
      <c r="C3596" s="3">
        <v>9398834793</v>
      </c>
      <c r="D3596" s="3"/>
      <c r="E3596" s="3" t="s">
        <v>5432</v>
      </c>
      <c r="F3596" s="3" t="s">
        <v>2144</v>
      </c>
      <c r="G3596" s="3" t="s">
        <v>295</v>
      </c>
      <c r="H3596" s="3" t="s">
        <v>94</v>
      </c>
      <c r="I3596" s="3" t="s">
        <v>94</v>
      </c>
      <c r="J3596" s="31">
        <v>45859</v>
      </c>
      <c r="K3596" s="31">
        <v>45860</v>
      </c>
      <c r="L3596" s="31">
        <v>45861</v>
      </c>
      <c r="M3596" s="31">
        <v>45873</v>
      </c>
      <c r="N3596" s="31"/>
      <c r="O3596" s="3" t="s">
        <v>297</v>
      </c>
    </row>
    <row r="3597" spans="1:15">
      <c r="A3597" s="3">
        <f t="shared" si="57"/>
        <v>3596</v>
      </c>
      <c r="B3597" s="41" t="s">
        <v>5433</v>
      </c>
      <c r="C3597" s="3">
        <v>9908777855</v>
      </c>
      <c r="D3597" s="3"/>
      <c r="E3597" s="3" t="s">
        <v>5284</v>
      </c>
      <c r="F3597" s="3" t="s">
        <v>5434</v>
      </c>
      <c r="G3597" s="3" t="s">
        <v>16</v>
      </c>
      <c r="H3597" s="3" t="s">
        <v>785</v>
      </c>
      <c r="I3597" s="3" t="s">
        <v>42</v>
      </c>
      <c r="J3597" s="31">
        <v>45862</v>
      </c>
      <c r="K3597" s="31">
        <v>45863</v>
      </c>
      <c r="L3597" s="31">
        <v>45868</v>
      </c>
      <c r="M3597" s="31">
        <v>45899</v>
      </c>
      <c r="N3597" s="31">
        <v>45870</v>
      </c>
      <c r="O3597" s="3" t="s">
        <v>297</v>
      </c>
    </row>
    <row r="3598" spans="1:15">
      <c r="A3598" s="3">
        <f t="shared" si="57"/>
        <v>3597</v>
      </c>
      <c r="B3598" s="41" t="s">
        <v>5435</v>
      </c>
      <c r="C3598" s="3">
        <v>9908393600</v>
      </c>
      <c r="D3598" s="3">
        <v>7207605749</v>
      </c>
      <c r="E3598" s="3" t="s">
        <v>121</v>
      </c>
      <c r="F3598" s="3" t="s">
        <v>5436</v>
      </c>
      <c r="G3598" s="3" t="s">
        <v>424</v>
      </c>
      <c r="H3598" s="3" t="s">
        <v>296</v>
      </c>
      <c r="I3598" s="3" t="s">
        <v>42</v>
      </c>
      <c r="J3598" s="31">
        <v>45862</v>
      </c>
      <c r="K3598" s="31">
        <v>45867</v>
      </c>
      <c r="L3598" s="31"/>
      <c r="M3598" s="31"/>
      <c r="N3598" s="31"/>
      <c r="O3598" s="3" t="s">
        <v>425</v>
      </c>
    </row>
    <row r="3599" spans="1:15">
      <c r="A3599" s="3">
        <f t="shared" si="57"/>
        <v>3598</v>
      </c>
      <c r="B3599" s="41" t="s">
        <v>5437</v>
      </c>
      <c r="C3599" s="3">
        <v>8008721959</v>
      </c>
      <c r="D3599" s="3"/>
      <c r="E3599" s="3" t="s">
        <v>121</v>
      </c>
      <c r="F3599" s="3" t="s">
        <v>4831</v>
      </c>
      <c r="G3599" s="3" t="s">
        <v>424</v>
      </c>
      <c r="H3599" s="3" t="s">
        <v>296</v>
      </c>
      <c r="I3599" s="3" t="s">
        <v>42</v>
      </c>
      <c r="J3599" s="31">
        <v>45862</v>
      </c>
      <c r="K3599" s="31">
        <v>45865</v>
      </c>
      <c r="L3599" s="31"/>
      <c r="M3599" s="31"/>
      <c r="N3599" s="31"/>
      <c r="O3599" s="3" t="s">
        <v>425</v>
      </c>
    </row>
    <row r="3600" spans="1:15">
      <c r="A3600" s="3">
        <f t="shared" si="57"/>
        <v>3599</v>
      </c>
      <c r="B3600" s="41" t="s">
        <v>5438</v>
      </c>
      <c r="C3600" s="3">
        <v>9705270438</v>
      </c>
      <c r="D3600" s="3">
        <v>7702003116</v>
      </c>
      <c r="E3600" s="3" t="s">
        <v>145</v>
      </c>
      <c r="F3600" s="3" t="s">
        <v>5439</v>
      </c>
      <c r="G3600" s="3" t="s">
        <v>424</v>
      </c>
      <c r="H3600" s="3" t="s">
        <v>42</v>
      </c>
      <c r="I3600" s="3" t="s">
        <v>42</v>
      </c>
      <c r="J3600" s="31">
        <v>45863</v>
      </c>
      <c r="K3600" s="31">
        <v>45863</v>
      </c>
      <c r="L3600" s="31"/>
      <c r="M3600" s="31"/>
      <c r="N3600" s="31"/>
      <c r="O3600" s="3" t="s">
        <v>425</v>
      </c>
    </row>
    <row r="3601" spans="1:15">
      <c r="A3601" s="3">
        <f t="shared" si="57"/>
        <v>3600</v>
      </c>
      <c r="B3601" s="41" t="s">
        <v>5440</v>
      </c>
      <c r="C3601" s="3">
        <v>9418002888</v>
      </c>
      <c r="D3601" s="3"/>
      <c r="E3601" s="3" t="s">
        <v>145</v>
      </c>
      <c r="F3601" s="3" t="s">
        <v>5441</v>
      </c>
      <c r="G3601" s="3" t="s">
        <v>424</v>
      </c>
      <c r="H3601" s="3" t="s">
        <v>42</v>
      </c>
      <c r="I3601" s="3" t="s">
        <v>42</v>
      </c>
      <c r="J3601" s="31">
        <v>45863</v>
      </c>
      <c r="K3601" s="31">
        <v>45863</v>
      </c>
      <c r="L3601" s="31"/>
      <c r="M3601" s="31"/>
      <c r="N3601" s="31"/>
      <c r="O3601" s="3" t="s">
        <v>425</v>
      </c>
    </row>
    <row r="3602" spans="1:15">
      <c r="A3602" s="3">
        <f t="shared" si="57"/>
        <v>3601</v>
      </c>
      <c r="B3602" s="41" t="s">
        <v>5442</v>
      </c>
      <c r="C3602" s="3">
        <v>9490754583</v>
      </c>
      <c r="D3602" s="3"/>
      <c r="E3602" s="3" t="s">
        <v>5443</v>
      </c>
      <c r="F3602" s="3" t="s">
        <v>333</v>
      </c>
      <c r="G3602" s="2" t="s">
        <v>416</v>
      </c>
      <c r="H3602" s="3" t="s">
        <v>1096</v>
      </c>
      <c r="I3602" s="3" t="s">
        <v>94</v>
      </c>
      <c r="J3602" s="31">
        <v>45863</v>
      </c>
      <c r="K3602" s="31">
        <v>45874</v>
      </c>
      <c r="L3602" s="31"/>
      <c r="M3602" s="31"/>
      <c r="N3602" s="31"/>
      <c r="O3602" s="3" t="s">
        <v>297</v>
      </c>
    </row>
    <row r="3603" spans="1:15">
      <c r="A3603" s="3">
        <f t="shared" si="57"/>
        <v>3602</v>
      </c>
      <c r="B3603" s="41" t="s">
        <v>5444</v>
      </c>
      <c r="C3603" s="3">
        <v>8709032214</v>
      </c>
      <c r="D3603" s="3"/>
      <c r="E3603" s="3" t="s">
        <v>5443</v>
      </c>
      <c r="F3603" s="3" t="s">
        <v>333</v>
      </c>
      <c r="G3603" s="3" t="s">
        <v>16</v>
      </c>
      <c r="H3603" s="3" t="s">
        <v>1096</v>
      </c>
      <c r="I3603" s="3" t="s">
        <v>94</v>
      </c>
      <c r="J3603" s="31">
        <v>45863</v>
      </c>
      <c r="K3603" s="31">
        <v>45874</v>
      </c>
      <c r="L3603" s="31">
        <v>45881</v>
      </c>
      <c r="M3603" s="31">
        <v>46011</v>
      </c>
      <c r="N3603" s="31">
        <v>46027</v>
      </c>
      <c r="O3603" s="3" t="s">
        <v>297</v>
      </c>
    </row>
    <row r="3604" spans="1:15">
      <c r="A3604" s="3">
        <f t="shared" si="57"/>
        <v>3603</v>
      </c>
      <c r="B3604" s="41" t="s">
        <v>5445</v>
      </c>
      <c r="C3604" s="3">
        <v>9963009897</v>
      </c>
      <c r="D3604" s="3"/>
      <c r="E3604" s="3" t="s">
        <v>5446</v>
      </c>
      <c r="F3604" s="3" t="s">
        <v>308</v>
      </c>
      <c r="G3604" s="3" t="s">
        <v>16</v>
      </c>
      <c r="H3604" s="3" t="s">
        <v>1096</v>
      </c>
      <c r="I3604" s="3" t="s">
        <v>94</v>
      </c>
      <c r="J3604" s="31">
        <v>45863</v>
      </c>
      <c r="K3604" s="31">
        <v>45875</v>
      </c>
      <c r="L3604" s="31">
        <v>45889</v>
      </c>
      <c r="M3604" s="31">
        <v>45938</v>
      </c>
      <c r="N3604" s="31">
        <v>45943</v>
      </c>
      <c r="O3604" s="3" t="s">
        <v>297</v>
      </c>
    </row>
    <row r="3605" spans="1:15">
      <c r="A3605" s="3">
        <f t="shared" si="57"/>
        <v>3604</v>
      </c>
      <c r="B3605" s="41" t="s">
        <v>5447</v>
      </c>
      <c r="C3605" s="3">
        <v>8249921290</v>
      </c>
      <c r="D3605" s="3"/>
      <c r="E3605" s="3" t="s">
        <v>5446</v>
      </c>
      <c r="F3605" s="3" t="s">
        <v>308</v>
      </c>
      <c r="G3605" s="3" t="s">
        <v>295</v>
      </c>
      <c r="H3605" s="3" t="s">
        <v>1096</v>
      </c>
      <c r="I3605" s="3" t="s">
        <v>94</v>
      </c>
      <c r="J3605" s="31">
        <v>45863</v>
      </c>
      <c r="K3605" s="31">
        <v>45875</v>
      </c>
      <c r="L3605" s="31">
        <v>45897</v>
      </c>
      <c r="M3605" s="31">
        <v>45986</v>
      </c>
      <c r="N3605" s="31"/>
      <c r="O3605" s="3" t="s">
        <v>297</v>
      </c>
    </row>
    <row r="3606" spans="1:15">
      <c r="A3606" s="3">
        <f t="shared" si="57"/>
        <v>3605</v>
      </c>
      <c r="B3606" s="41" t="s">
        <v>5448</v>
      </c>
      <c r="C3606" s="3">
        <v>7755849784</v>
      </c>
      <c r="D3606" s="3"/>
      <c r="E3606" s="3" t="s">
        <v>5443</v>
      </c>
      <c r="F3606" s="3" t="s">
        <v>333</v>
      </c>
      <c r="G3606" s="3" t="s">
        <v>18</v>
      </c>
      <c r="H3606" s="3" t="s">
        <v>1096</v>
      </c>
      <c r="I3606" s="3" t="s">
        <v>94</v>
      </c>
      <c r="J3606" s="31">
        <v>45863</v>
      </c>
      <c r="K3606" s="31">
        <v>45882</v>
      </c>
      <c r="L3606" s="31"/>
      <c r="M3606" s="31"/>
      <c r="N3606" s="31"/>
      <c r="O3606" s="3" t="s">
        <v>297</v>
      </c>
    </row>
    <row r="3607" spans="1:15">
      <c r="A3607" s="3">
        <f t="shared" si="57"/>
        <v>3606</v>
      </c>
      <c r="B3607" s="41" t="s">
        <v>5449</v>
      </c>
      <c r="C3607" s="3">
        <v>9673985639</v>
      </c>
      <c r="D3607" s="3"/>
      <c r="E3607" s="3" t="s">
        <v>5450</v>
      </c>
      <c r="F3607" s="3" t="s">
        <v>308</v>
      </c>
      <c r="G3607" s="3" t="s">
        <v>295</v>
      </c>
      <c r="H3607" s="3" t="s">
        <v>1096</v>
      </c>
      <c r="I3607" s="3" t="s">
        <v>94</v>
      </c>
      <c r="J3607" s="31">
        <v>45863</v>
      </c>
      <c r="K3607" s="31">
        <v>45875</v>
      </c>
      <c r="L3607" s="31">
        <v>45889</v>
      </c>
      <c r="M3607" s="31">
        <v>45920</v>
      </c>
      <c r="N3607" s="31"/>
      <c r="O3607" s="3" t="s">
        <v>297</v>
      </c>
    </row>
    <row r="3608" spans="1:15">
      <c r="A3608" s="3">
        <f t="shared" si="57"/>
        <v>3607</v>
      </c>
      <c r="B3608" s="41" t="s">
        <v>5451</v>
      </c>
      <c r="C3608" s="3">
        <v>7601090508</v>
      </c>
      <c r="D3608" s="3"/>
      <c r="E3608" s="3" t="s">
        <v>5452</v>
      </c>
      <c r="F3608" s="3" t="s">
        <v>419</v>
      </c>
      <c r="G3608" s="2" t="s">
        <v>295</v>
      </c>
      <c r="H3608" s="3" t="s">
        <v>1096</v>
      </c>
      <c r="I3608" s="3" t="s">
        <v>94</v>
      </c>
      <c r="J3608" s="31">
        <v>45863</v>
      </c>
      <c r="K3608" s="31">
        <v>45883</v>
      </c>
      <c r="L3608" s="31">
        <v>45889</v>
      </c>
      <c r="M3608" s="31">
        <v>45899</v>
      </c>
      <c r="N3608" s="31"/>
      <c r="O3608" s="3" t="s">
        <v>297</v>
      </c>
    </row>
    <row r="3609" spans="1:15">
      <c r="A3609" s="3">
        <f t="shared" si="57"/>
        <v>3608</v>
      </c>
      <c r="B3609" s="41" t="s">
        <v>5453</v>
      </c>
      <c r="C3609" s="3">
        <v>9951874677</v>
      </c>
      <c r="D3609" s="3"/>
      <c r="E3609" s="3" t="s">
        <v>5454</v>
      </c>
      <c r="F3609" s="3" t="s">
        <v>443</v>
      </c>
      <c r="G3609" s="3" t="s">
        <v>16</v>
      </c>
      <c r="H3609" s="3" t="s">
        <v>296</v>
      </c>
      <c r="I3609" s="3" t="s">
        <v>42</v>
      </c>
      <c r="J3609" s="31">
        <v>45863</v>
      </c>
      <c r="K3609" s="31">
        <v>45865</v>
      </c>
      <c r="L3609" s="31">
        <v>46024</v>
      </c>
      <c r="M3609" s="31">
        <v>46086</v>
      </c>
      <c r="N3609" s="31">
        <v>46086</v>
      </c>
      <c r="O3609" s="3" t="s">
        <v>297</v>
      </c>
    </row>
    <row r="3610" spans="1:15">
      <c r="A3610" s="3">
        <f t="shared" si="57"/>
        <v>3609</v>
      </c>
      <c r="B3610" s="41" t="s">
        <v>5455</v>
      </c>
      <c r="C3610" s="3">
        <v>8978118805</v>
      </c>
      <c r="D3610" s="3"/>
      <c r="E3610" s="3" t="s">
        <v>2176</v>
      </c>
      <c r="F3610" s="3" t="s">
        <v>5456</v>
      </c>
      <c r="G3610" s="3" t="s">
        <v>295</v>
      </c>
      <c r="H3610" s="3" t="s">
        <v>296</v>
      </c>
      <c r="I3610" s="3" t="s">
        <v>42</v>
      </c>
      <c r="J3610" s="31">
        <v>45863</v>
      </c>
      <c r="K3610" s="31">
        <v>45868</v>
      </c>
      <c r="L3610" s="31">
        <v>45870</v>
      </c>
      <c r="M3610" s="31">
        <v>45900</v>
      </c>
      <c r="N3610" s="31"/>
      <c r="O3610" s="3" t="s">
        <v>297</v>
      </c>
    </row>
    <row r="3611" spans="1:15">
      <c r="A3611" s="3">
        <f t="shared" si="57"/>
        <v>3610</v>
      </c>
      <c r="B3611" s="41" t="s">
        <v>5457</v>
      </c>
      <c r="C3611" s="3">
        <v>9036034147</v>
      </c>
      <c r="D3611" s="3"/>
      <c r="E3611" s="3" t="s">
        <v>2176</v>
      </c>
      <c r="F3611" s="3" t="s">
        <v>3160</v>
      </c>
      <c r="G3611" s="3" t="s">
        <v>295</v>
      </c>
      <c r="H3611" s="3" t="s">
        <v>296</v>
      </c>
      <c r="I3611" s="3" t="s">
        <v>42</v>
      </c>
      <c r="J3611" s="31">
        <v>45863</v>
      </c>
      <c r="K3611" s="31">
        <v>45867</v>
      </c>
      <c r="L3611" s="31">
        <v>45870</v>
      </c>
      <c r="M3611" s="31">
        <v>45900</v>
      </c>
      <c r="N3611" s="31"/>
      <c r="O3611" s="3" t="s">
        <v>297</v>
      </c>
    </row>
    <row r="3612" spans="1:15">
      <c r="A3612" s="3">
        <f t="shared" si="57"/>
        <v>3611</v>
      </c>
      <c r="B3612" s="41" t="s">
        <v>5458</v>
      </c>
      <c r="C3612" s="3">
        <v>9908987488</v>
      </c>
      <c r="D3612" s="3"/>
      <c r="E3612" s="3" t="s">
        <v>5459</v>
      </c>
      <c r="F3612" s="3" t="s">
        <v>972</v>
      </c>
      <c r="G3612" s="3" t="s">
        <v>416</v>
      </c>
      <c r="H3612" s="3" t="s">
        <v>1096</v>
      </c>
      <c r="I3612" s="3" t="s">
        <v>94</v>
      </c>
      <c r="J3612" s="31">
        <v>45863</v>
      </c>
      <c r="K3612" s="31">
        <v>45876</v>
      </c>
      <c r="L3612" s="31"/>
      <c r="M3612" s="31"/>
      <c r="N3612" s="31"/>
      <c r="O3612" s="3" t="s">
        <v>297</v>
      </c>
    </row>
    <row r="3613" spans="1:15">
      <c r="A3613" s="3">
        <f t="shared" si="57"/>
        <v>3612</v>
      </c>
      <c r="B3613" s="41" t="s">
        <v>5460</v>
      </c>
      <c r="C3613" s="3">
        <v>9944351329</v>
      </c>
      <c r="D3613" s="3"/>
      <c r="E3613" s="3" t="s">
        <v>5459</v>
      </c>
      <c r="F3613" s="3" t="s">
        <v>972</v>
      </c>
      <c r="G3613" s="3" t="s">
        <v>424</v>
      </c>
      <c r="H3613" s="3" t="s">
        <v>1096</v>
      </c>
      <c r="I3613" s="3" t="s">
        <v>94</v>
      </c>
      <c r="J3613" s="31">
        <v>45863</v>
      </c>
      <c r="K3613" s="31">
        <v>45880</v>
      </c>
      <c r="L3613" s="31"/>
      <c r="M3613" s="31"/>
      <c r="N3613" s="31"/>
      <c r="O3613" s="3" t="s">
        <v>425</v>
      </c>
    </row>
    <row r="3614" spans="1:15">
      <c r="A3614" s="3">
        <f t="shared" si="57"/>
        <v>3613</v>
      </c>
      <c r="B3614" s="41" t="s">
        <v>5461</v>
      </c>
      <c r="C3614" s="3">
        <v>9700946869</v>
      </c>
      <c r="D3614" s="3"/>
      <c r="E3614" s="3" t="s">
        <v>5462</v>
      </c>
      <c r="F3614" s="3" t="s">
        <v>543</v>
      </c>
      <c r="G3614" s="3" t="s">
        <v>295</v>
      </c>
      <c r="H3614" s="3" t="s">
        <v>1096</v>
      </c>
      <c r="I3614" s="3" t="s">
        <v>94</v>
      </c>
      <c r="J3614" s="31">
        <v>45863</v>
      </c>
      <c r="K3614" s="31">
        <v>45876</v>
      </c>
      <c r="L3614" s="31">
        <v>45889</v>
      </c>
      <c r="M3614" s="31">
        <v>45950</v>
      </c>
      <c r="N3614" s="31"/>
      <c r="O3614" s="3" t="s">
        <v>297</v>
      </c>
    </row>
    <row r="3615" spans="1:15">
      <c r="A3615" s="3">
        <f t="shared" si="57"/>
        <v>3614</v>
      </c>
      <c r="B3615" s="41" t="s">
        <v>5463</v>
      </c>
      <c r="C3615" s="3">
        <v>7000868544</v>
      </c>
      <c r="D3615" s="3"/>
      <c r="E3615" s="3" t="s">
        <v>5462</v>
      </c>
      <c r="F3615" s="3" t="s">
        <v>333</v>
      </c>
      <c r="G3615" s="3" t="s">
        <v>416</v>
      </c>
      <c r="H3615" s="3" t="s">
        <v>1096</v>
      </c>
      <c r="I3615" s="3" t="s">
        <v>94</v>
      </c>
      <c r="J3615" s="31">
        <v>45863</v>
      </c>
      <c r="K3615" s="31">
        <v>45876</v>
      </c>
      <c r="L3615" s="31"/>
      <c r="M3615" s="31"/>
      <c r="N3615" s="31"/>
      <c r="O3615" s="3" t="s">
        <v>297</v>
      </c>
    </row>
    <row r="3616" spans="1:15">
      <c r="A3616" s="3">
        <f t="shared" ref="A3616:A3678" si="58">ROW()-1</f>
        <v>3615</v>
      </c>
      <c r="B3616" s="41" t="s">
        <v>5464</v>
      </c>
      <c r="C3616" s="3">
        <v>9177041517</v>
      </c>
      <c r="D3616" s="3"/>
      <c r="E3616" s="3" t="s">
        <v>5394</v>
      </c>
      <c r="F3616" s="3" t="s">
        <v>308</v>
      </c>
      <c r="G3616" s="3" t="s">
        <v>16</v>
      </c>
      <c r="H3616" s="3" t="s">
        <v>1096</v>
      </c>
      <c r="I3616" s="3" t="s">
        <v>94</v>
      </c>
      <c r="J3616" s="31">
        <v>45863</v>
      </c>
      <c r="K3616" s="31">
        <v>45876</v>
      </c>
      <c r="L3616" s="31">
        <v>45889</v>
      </c>
      <c r="M3616" s="31">
        <v>45909</v>
      </c>
      <c r="N3616" s="31">
        <v>45910</v>
      </c>
      <c r="O3616" s="3" t="s">
        <v>297</v>
      </c>
    </row>
    <row r="3617" spans="1:15">
      <c r="A3617" s="3">
        <f t="shared" si="58"/>
        <v>3616</v>
      </c>
      <c r="B3617" s="41" t="s">
        <v>5465</v>
      </c>
      <c r="C3617" s="3">
        <v>6394654435</v>
      </c>
      <c r="D3617" s="3"/>
      <c r="E3617" s="3" t="s">
        <v>5466</v>
      </c>
      <c r="F3617" s="3" t="s">
        <v>308</v>
      </c>
      <c r="G3617" s="3" t="s">
        <v>764</v>
      </c>
      <c r="H3617" s="3" t="s">
        <v>1096</v>
      </c>
      <c r="I3617" s="3" t="s">
        <v>94</v>
      </c>
      <c r="J3617" s="31">
        <v>45863</v>
      </c>
      <c r="K3617" s="31">
        <v>45874</v>
      </c>
      <c r="L3617" s="31"/>
      <c r="M3617" s="31"/>
      <c r="N3617" s="31"/>
      <c r="O3617" s="3" t="s">
        <v>425</v>
      </c>
    </row>
    <row r="3618" spans="1:15">
      <c r="A3618" s="3">
        <f t="shared" si="58"/>
        <v>3617</v>
      </c>
      <c r="B3618" s="41" t="s">
        <v>5467</v>
      </c>
      <c r="C3618" s="3">
        <v>9849233282</v>
      </c>
      <c r="D3618" s="3"/>
      <c r="E3618" s="3" t="s">
        <v>5466</v>
      </c>
      <c r="F3618" s="3" t="s">
        <v>308</v>
      </c>
      <c r="G3618" s="3" t="s">
        <v>16</v>
      </c>
      <c r="H3618" s="3" t="s">
        <v>1096</v>
      </c>
      <c r="I3618" s="3" t="s">
        <v>94</v>
      </c>
      <c r="J3618" s="31">
        <v>45863</v>
      </c>
      <c r="K3618" s="31">
        <v>45873</v>
      </c>
      <c r="L3618" s="31">
        <v>45876</v>
      </c>
      <c r="M3618" s="31">
        <v>45935</v>
      </c>
      <c r="N3618" s="31">
        <v>45935</v>
      </c>
      <c r="O3618" s="3" t="s">
        <v>297</v>
      </c>
    </row>
    <row r="3619" spans="1:15">
      <c r="A3619" s="3">
        <f t="shared" si="58"/>
        <v>3618</v>
      </c>
      <c r="B3619" s="41" t="s">
        <v>5468</v>
      </c>
      <c r="C3619" s="3">
        <v>9573397042</v>
      </c>
      <c r="D3619" s="3"/>
      <c r="E3619" s="3" t="s">
        <v>5469</v>
      </c>
      <c r="F3619" s="3" t="s">
        <v>490</v>
      </c>
      <c r="G3619" s="3" t="s">
        <v>764</v>
      </c>
      <c r="H3619" s="3" t="s">
        <v>1096</v>
      </c>
      <c r="I3619" s="3" t="s">
        <v>94</v>
      </c>
      <c r="J3619" s="31">
        <v>45863</v>
      </c>
      <c r="K3619" s="31">
        <v>45876</v>
      </c>
      <c r="L3619" s="31"/>
      <c r="M3619" s="31"/>
      <c r="N3619" s="31"/>
      <c r="O3619" s="3" t="s">
        <v>425</v>
      </c>
    </row>
    <row r="3620" spans="1:15">
      <c r="A3620" s="3">
        <f t="shared" si="58"/>
        <v>3619</v>
      </c>
      <c r="B3620" s="41" t="s">
        <v>5470</v>
      </c>
      <c r="C3620" s="3">
        <v>8576010020</v>
      </c>
      <c r="D3620" s="3"/>
      <c r="E3620" s="3" t="s">
        <v>5469</v>
      </c>
      <c r="F3620" s="3" t="s">
        <v>490</v>
      </c>
      <c r="G3620" s="3" t="s">
        <v>764</v>
      </c>
      <c r="H3620" s="3" t="s">
        <v>1096</v>
      </c>
      <c r="I3620" s="3" t="s">
        <v>94</v>
      </c>
      <c r="J3620" s="31">
        <v>45863</v>
      </c>
      <c r="K3620" s="31">
        <v>45873</v>
      </c>
      <c r="L3620" s="31"/>
      <c r="M3620" s="31"/>
      <c r="N3620" s="31"/>
      <c r="O3620" s="3" t="s">
        <v>425</v>
      </c>
    </row>
    <row r="3621" spans="1:15">
      <c r="A3621" s="3">
        <f t="shared" si="58"/>
        <v>3620</v>
      </c>
      <c r="B3621" s="41" t="s">
        <v>5471</v>
      </c>
      <c r="C3621" s="3">
        <v>9098281828</v>
      </c>
      <c r="D3621" s="3"/>
      <c r="E3621" s="3" t="s">
        <v>5472</v>
      </c>
      <c r="F3621" s="3" t="s">
        <v>972</v>
      </c>
      <c r="G3621" s="3" t="s">
        <v>416</v>
      </c>
      <c r="H3621" s="3" t="s">
        <v>1096</v>
      </c>
      <c r="I3621" s="3" t="s">
        <v>94</v>
      </c>
      <c r="J3621" s="31">
        <v>45866</v>
      </c>
      <c r="K3621" s="31">
        <v>45872</v>
      </c>
      <c r="L3621" s="31"/>
      <c r="M3621" s="31"/>
      <c r="N3621" s="31"/>
      <c r="O3621" s="3" t="s">
        <v>297</v>
      </c>
    </row>
    <row r="3622" spans="1:15">
      <c r="A3622" s="3">
        <f t="shared" si="58"/>
        <v>3621</v>
      </c>
      <c r="B3622" s="41" t="s">
        <v>5473</v>
      </c>
      <c r="C3622" s="3">
        <v>9575747292</v>
      </c>
      <c r="D3622" s="3"/>
      <c r="E3622" s="3" t="s">
        <v>5474</v>
      </c>
      <c r="F3622" s="3" t="s">
        <v>5475</v>
      </c>
      <c r="G3622" s="3" t="s">
        <v>18</v>
      </c>
      <c r="H3622" s="3" t="s">
        <v>1096</v>
      </c>
      <c r="I3622" s="3" t="s">
        <v>94</v>
      </c>
      <c r="J3622" s="31">
        <v>45866</v>
      </c>
      <c r="K3622" s="31">
        <v>45872</v>
      </c>
      <c r="L3622" s="31"/>
      <c r="M3622" s="31"/>
      <c r="N3622" s="31"/>
      <c r="O3622" s="3" t="s">
        <v>297</v>
      </c>
    </row>
    <row r="3623" spans="1:15">
      <c r="A3623" s="3">
        <f t="shared" si="58"/>
        <v>3622</v>
      </c>
      <c r="B3623" s="41" t="s">
        <v>5388</v>
      </c>
      <c r="C3623" s="3">
        <v>9805285841</v>
      </c>
      <c r="D3623" s="3"/>
      <c r="E3623" s="3" t="s">
        <v>5474</v>
      </c>
      <c r="F3623" s="3" t="s">
        <v>2199</v>
      </c>
      <c r="G3623" s="3" t="s">
        <v>424</v>
      </c>
      <c r="H3623" s="3" t="s">
        <v>1096</v>
      </c>
      <c r="I3623" s="3" t="s">
        <v>94</v>
      </c>
      <c r="J3623" s="31">
        <v>45866</v>
      </c>
      <c r="K3623" s="31">
        <v>45870</v>
      </c>
      <c r="L3623" s="31"/>
      <c r="M3623" s="31"/>
      <c r="N3623" s="31"/>
      <c r="O3623" s="3" t="s">
        <v>425</v>
      </c>
    </row>
    <row r="3624" spans="1:15">
      <c r="A3624" s="3">
        <f t="shared" si="58"/>
        <v>3623</v>
      </c>
      <c r="B3624" s="41" t="s">
        <v>5476</v>
      </c>
      <c r="C3624" s="3">
        <v>7302297128</v>
      </c>
      <c r="D3624" s="3"/>
      <c r="E3624" s="3" t="s">
        <v>5477</v>
      </c>
      <c r="F3624" s="3" t="s">
        <v>569</v>
      </c>
      <c r="G3624" s="3" t="s">
        <v>16</v>
      </c>
      <c r="H3624" s="3" t="s">
        <v>1605</v>
      </c>
      <c r="I3624" s="3" t="s">
        <v>94</v>
      </c>
      <c r="J3624" s="31">
        <v>45866</v>
      </c>
      <c r="K3624" s="31">
        <v>45870</v>
      </c>
      <c r="L3624" s="31">
        <v>45883</v>
      </c>
      <c r="M3624" s="31">
        <v>45922</v>
      </c>
      <c r="N3624" s="31">
        <v>45922</v>
      </c>
      <c r="O3624" s="3" t="s">
        <v>297</v>
      </c>
    </row>
    <row r="3625" spans="1:15">
      <c r="A3625" s="3">
        <f t="shared" si="58"/>
        <v>3624</v>
      </c>
      <c r="B3625" s="41" t="s">
        <v>5478</v>
      </c>
      <c r="C3625" s="3">
        <v>8302698572</v>
      </c>
      <c r="D3625" s="3"/>
      <c r="E3625" s="3" t="s">
        <v>5477</v>
      </c>
      <c r="F3625" s="3" t="s">
        <v>4580</v>
      </c>
      <c r="G3625" s="3" t="s">
        <v>295</v>
      </c>
      <c r="H3625" s="3" t="s">
        <v>1605</v>
      </c>
      <c r="I3625" s="3" t="s">
        <v>94</v>
      </c>
      <c r="J3625" s="31">
        <v>45866</v>
      </c>
      <c r="K3625" s="31">
        <v>45875</v>
      </c>
      <c r="L3625" s="31">
        <v>45881</v>
      </c>
      <c r="M3625" s="31">
        <v>45930</v>
      </c>
      <c r="N3625" s="31"/>
      <c r="O3625" s="3" t="s">
        <v>297</v>
      </c>
    </row>
    <row r="3626" spans="1:15">
      <c r="A3626" s="3">
        <f t="shared" si="58"/>
        <v>3625</v>
      </c>
      <c r="B3626" s="41" t="s">
        <v>5479</v>
      </c>
      <c r="C3626" s="3">
        <v>9646099706</v>
      </c>
      <c r="D3626" s="3"/>
      <c r="E3626" s="3" t="s">
        <v>5480</v>
      </c>
      <c r="F3626" s="3" t="s">
        <v>1312</v>
      </c>
      <c r="G3626" s="3" t="s">
        <v>424</v>
      </c>
      <c r="H3626" s="3" t="s">
        <v>1605</v>
      </c>
      <c r="I3626" s="3" t="s">
        <v>94</v>
      </c>
      <c r="J3626" s="31">
        <v>45866</v>
      </c>
      <c r="K3626" s="31">
        <v>45870</v>
      </c>
      <c r="L3626" s="31"/>
      <c r="M3626" s="31"/>
      <c r="N3626" s="31"/>
      <c r="O3626" s="3" t="s">
        <v>425</v>
      </c>
    </row>
    <row r="3627" spans="1:15">
      <c r="A3627" s="3">
        <f t="shared" si="58"/>
        <v>3626</v>
      </c>
      <c r="B3627" s="41" t="s">
        <v>5481</v>
      </c>
      <c r="C3627" s="3">
        <v>8374798209</v>
      </c>
      <c r="D3627" s="3">
        <v>9182033175</v>
      </c>
      <c r="E3627" s="3" t="s">
        <v>5480</v>
      </c>
      <c r="F3627" s="3" t="s">
        <v>2002</v>
      </c>
      <c r="G3627" s="3" t="s">
        <v>764</v>
      </c>
      <c r="H3627" s="3" t="s">
        <v>1605</v>
      </c>
      <c r="I3627" s="3" t="s">
        <v>94</v>
      </c>
      <c r="J3627" s="31">
        <v>45866</v>
      </c>
      <c r="K3627" s="31">
        <v>45875</v>
      </c>
      <c r="L3627" s="31"/>
      <c r="M3627" s="31"/>
      <c r="N3627" s="31"/>
      <c r="O3627" s="3" t="s">
        <v>425</v>
      </c>
    </row>
    <row r="3628" spans="1:15">
      <c r="A3628" s="3">
        <f t="shared" si="58"/>
        <v>3627</v>
      </c>
      <c r="B3628" s="41" t="s">
        <v>5482</v>
      </c>
      <c r="C3628" s="3">
        <v>9589121391</v>
      </c>
      <c r="D3628" s="3">
        <v>7024257628</v>
      </c>
      <c r="E3628" s="3" t="s">
        <v>5483</v>
      </c>
      <c r="F3628" s="3" t="s">
        <v>612</v>
      </c>
      <c r="G3628" s="3" t="s">
        <v>16</v>
      </c>
      <c r="H3628" s="3" t="s">
        <v>1605</v>
      </c>
      <c r="I3628" s="3" t="s">
        <v>94</v>
      </c>
      <c r="J3628" s="31">
        <v>45866</v>
      </c>
      <c r="K3628" s="31">
        <v>45870</v>
      </c>
      <c r="L3628" s="31">
        <v>45870</v>
      </c>
      <c r="M3628" s="31">
        <v>45901</v>
      </c>
      <c r="N3628" s="31">
        <v>45903</v>
      </c>
      <c r="O3628" s="3" t="s">
        <v>297</v>
      </c>
    </row>
    <row r="3629" spans="1:15">
      <c r="A3629" s="3">
        <f t="shared" si="58"/>
        <v>3628</v>
      </c>
      <c r="B3629" s="41" t="s">
        <v>5484</v>
      </c>
      <c r="C3629" s="3">
        <v>7800722460</v>
      </c>
      <c r="D3629" s="3"/>
      <c r="E3629" s="3" t="s">
        <v>5483</v>
      </c>
      <c r="F3629" s="3" t="s">
        <v>612</v>
      </c>
      <c r="G3629" s="3" t="s">
        <v>764</v>
      </c>
      <c r="H3629" s="3" t="s">
        <v>1605</v>
      </c>
      <c r="I3629" s="3" t="s">
        <v>94</v>
      </c>
      <c r="J3629" s="31">
        <v>45866</v>
      </c>
      <c r="K3629" s="31">
        <v>45870</v>
      </c>
      <c r="L3629" s="31"/>
      <c r="M3629" s="31"/>
      <c r="N3629" s="31"/>
      <c r="O3629" s="3" t="s">
        <v>425</v>
      </c>
    </row>
    <row r="3630" spans="1:15">
      <c r="A3630" s="3">
        <f t="shared" si="58"/>
        <v>3629</v>
      </c>
      <c r="B3630" s="41" t="s">
        <v>5485</v>
      </c>
      <c r="C3630" s="3">
        <v>9912960820</v>
      </c>
      <c r="D3630" s="3">
        <v>8500347885</v>
      </c>
      <c r="E3630" s="3" t="s">
        <v>5483</v>
      </c>
      <c r="F3630" s="3" t="s">
        <v>5486</v>
      </c>
      <c r="G3630" s="3" t="s">
        <v>764</v>
      </c>
      <c r="H3630" s="3" t="s">
        <v>1605</v>
      </c>
      <c r="I3630" s="3" t="s">
        <v>94</v>
      </c>
      <c r="J3630" s="31">
        <v>45866</v>
      </c>
      <c r="K3630" s="31">
        <v>45870</v>
      </c>
      <c r="L3630" s="31"/>
      <c r="M3630" s="31"/>
      <c r="N3630" s="31"/>
      <c r="O3630" s="3" t="s">
        <v>425</v>
      </c>
    </row>
    <row r="3631" spans="1:15">
      <c r="A3631" s="3">
        <f t="shared" si="58"/>
        <v>3630</v>
      </c>
      <c r="B3631" s="41" t="s">
        <v>5487</v>
      </c>
      <c r="C3631" s="3">
        <v>6305879037</v>
      </c>
      <c r="D3631" s="3">
        <v>7997622577</v>
      </c>
      <c r="E3631" s="3" t="s">
        <v>2176</v>
      </c>
      <c r="F3631" s="3" t="s">
        <v>5488</v>
      </c>
      <c r="G3631" s="3" t="s">
        <v>424</v>
      </c>
      <c r="H3631" s="3" t="s">
        <v>296</v>
      </c>
      <c r="I3631" s="3" t="s">
        <v>42</v>
      </c>
      <c r="J3631" s="31">
        <v>45866</v>
      </c>
      <c r="K3631" s="31">
        <v>45874</v>
      </c>
      <c r="L3631" s="31"/>
      <c r="M3631" s="31"/>
      <c r="N3631" s="31"/>
      <c r="O3631" s="3" t="s">
        <v>425</v>
      </c>
    </row>
    <row r="3632" spans="1:15">
      <c r="A3632" s="3">
        <f t="shared" si="58"/>
        <v>3631</v>
      </c>
      <c r="B3632" s="41" t="s">
        <v>5489</v>
      </c>
      <c r="C3632" s="3">
        <v>8074127813</v>
      </c>
      <c r="D3632" s="3"/>
      <c r="E3632" s="3" t="s">
        <v>2176</v>
      </c>
      <c r="F3632" s="3" t="s">
        <v>4550</v>
      </c>
      <c r="G3632" s="3" t="s">
        <v>424</v>
      </c>
      <c r="H3632" s="3" t="s">
        <v>296</v>
      </c>
      <c r="I3632" s="3" t="s">
        <v>42</v>
      </c>
      <c r="J3632" s="31">
        <v>45866</v>
      </c>
      <c r="K3632" s="31">
        <v>45869</v>
      </c>
      <c r="L3632" s="31"/>
      <c r="M3632" s="31"/>
      <c r="N3632" s="31"/>
      <c r="O3632" s="3" t="s">
        <v>425</v>
      </c>
    </row>
    <row r="3633" spans="1:15">
      <c r="A3633" s="3">
        <f t="shared" si="58"/>
        <v>3632</v>
      </c>
      <c r="B3633" s="41" t="s">
        <v>5490</v>
      </c>
      <c r="C3633" s="3">
        <v>9739654360</v>
      </c>
      <c r="D3633" s="3"/>
      <c r="E3633" s="3" t="s">
        <v>2176</v>
      </c>
      <c r="F3633" s="3" t="s">
        <v>5491</v>
      </c>
      <c r="G3633" s="3" t="s">
        <v>424</v>
      </c>
      <c r="H3633" s="3" t="s">
        <v>296</v>
      </c>
      <c r="I3633" s="3" t="s">
        <v>42</v>
      </c>
      <c r="J3633" s="31">
        <v>45866</v>
      </c>
      <c r="K3633" s="31">
        <v>45868</v>
      </c>
      <c r="L3633" s="31"/>
      <c r="M3633" s="31"/>
      <c r="N3633" s="31"/>
      <c r="O3633" s="3" t="s">
        <v>425</v>
      </c>
    </row>
    <row r="3634" spans="1:15">
      <c r="A3634" s="3">
        <f t="shared" si="58"/>
        <v>3633</v>
      </c>
      <c r="B3634" s="41" t="s">
        <v>5492</v>
      </c>
      <c r="C3634" s="3">
        <v>7478697403</v>
      </c>
      <c r="D3634" s="3">
        <v>9746205647</v>
      </c>
      <c r="E3634" s="3" t="s">
        <v>5452</v>
      </c>
      <c r="F3634" s="3" t="s">
        <v>308</v>
      </c>
      <c r="G3634" s="3" t="s">
        <v>16</v>
      </c>
      <c r="H3634" s="3" t="s">
        <v>1096</v>
      </c>
      <c r="I3634" s="3" t="s">
        <v>94</v>
      </c>
      <c r="J3634" s="31">
        <v>45866</v>
      </c>
      <c r="K3634" s="31">
        <v>45872</v>
      </c>
      <c r="L3634" s="31">
        <v>45876</v>
      </c>
      <c r="M3634" s="31">
        <v>45986</v>
      </c>
      <c r="N3634" s="31">
        <v>45987</v>
      </c>
      <c r="O3634" s="3" t="s">
        <v>297</v>
      </c>
    </row>
    <row r="3635" spans="1:15">
      <c r="A3635" s="3">
        <f t="shared" si="58"/>
        <v>3634</v>
      </c>
      <c r="B3635" s="41" t="s">
        <v>5493</v>
      </c>
      <c r="C3635" s="3">
        <v>9729748782</v>
      </c>
      <c r="D3635" s="3"/>
      <c r="E3635" s="3" t="s">
        <v>5494</v>
      </c>
      <c r="F3635" s="3" t="s">
        <v>308</v>
      </c>
      <c r="G3635" s="3" t="s">
        <v>295</v>
      </c>
      <c r="H3635" s="3" t="s">
        <v>1096</v>
      </c>
      <c r="I3635" s="3" t="s">
        <v>94</v>
      </c>
      <c r="J3635" s="31">
        <v>45866</v>
      </c>
      <c r="K3635" s="31">
        <v>45872</v>
      </c>
      <c r="L3635" s="31">
        <v>45876</v>
      </c>
      <c r="M3635" s="31">
        <v>45976</v>
      </c>
      <c r="N3635" s="31"/>
      <c r="O3635" s="3" t="s">
        <v>297</v>
      </c>
    </row>
    <row r="3636" spans="1:15">
      <c r="A3636" s="3">
        <f t="shared" si="58"/>
        <v>3635</v>
      </c>
      <c r="B3636" s="41" t="s">
        <v>5495</v>
      </c>
      <c r="C3636" s="3">
        <v>8058803017</v>
      </c>
      <c r="D3636" s="3"/>
      <c r="E3636" s="3" t="s">
        <v>5494</v>
      </c>
      <c r="F3636" s="3" t="s">
        <v>308</v>
      </c>
      <c r="G3636" s="3" t="s">
        <v>16</v>
      </c>
      <c r="H3636" s="3" t="s">
        <v>1096</v>
      </c>
      <c r="I3636" s="3" t="s">
        <v>94</v>
      </c>
      <c r="J3636" s="31">
        <v>45866</v>
      </c>
      <c r="K3636" s="31">
        <v>45872</v>
      </c>
      <c r="L3636" s="31">
        <v>45877</v>
      </c>
      <c r="M3636" s="31">
        <v>45909</v>
      </c>
      <c r="N3636" s="31">
        <v>45910</v>
      </c>
      <c r="O3636" s="3" t="s">
        <v>297</v>
      </c>
    </row>
    <row r="3637" spans="1:15">
      <c r="A3637" s="3">
        <f t="shared" si="58"/>
        <v>3636</v>
      </c>
      <c r="B3637" s="41" t="s">
        <v>5496</v>
      </c>
      <c r="C3637" s="3">
        <v>8950809411</v>
      </c>
      <c r="D3637" s="3"/>
      <c r="E3637" s="3" t="s">
        <v>5497</v>
      </c>
      <c r="F3637" s="3" t="s">
        <v>308</v>
      </c>
      <c r="G3637" s="3" t="s">
        <v>16</v>
      </c>
      <c r="H3637" s="3" t="s">
        <v>1096</v>
      </c>
      <c r="I3637" s="3" t="s">
        <v>94</v>
      </c>
      <c r="J3637" s="31">
        <v>45866</v>
      </c>
      <c r="K3637" s="31">
        <v>45883</v>
      </c>
      <c r="L3637" s="31">
        <v>45897</v>
      </c>
      <c r="M3637" s="31">
        <v>45929</v>
      </c>
      <c r="N3637" s="31">
        <v>45940</v>
      </c>
      <c r="O3637" s="3" t="s">
        <v>297</v>
      </c>
    </row>
    <row r="3638" spans="1:15">
      <c r="A3638" s="3">
        <f t="shared" si="58"/>
        <v>3637</v>
      </c>
      <c r="B3638" s="41" t="s">
        <v>5498</v>
      </c>
      <c r="C3638" s="3">
        <v>7893478947</v>
      </c>
      <c r="D3638" s="3"/>
      <c r="E3638" s="3" t="s">
        <v>5387</v>
      </c>
      <c r="F3638" s="3" t="s">
        <v>333</v>
      </c>
      <c r="G3638" s="3" t="s">
        <v>295</v>
      </c>
      <c r="H3638" s="3" t="s">
        <v>1096</v>
      </c>
      <c r="I3638" s="3" t="s">
        <v>94</v>
      </c>
      <c r="J3638" s="31">
        <v>45866</v>
      </c>
      <c r="K3638" s="31">
        <v>45872</v>
      </c>
      <c r="L3638" s="31">
        <v>45881</v>
      </c>
      <c r="M3638" s="31">
        <v>45942</v>
      </c>
      <c r="N3638" s="31"/>
      <c r="O3638" s="3" t="s">
        <v>297</v>
      </c>
    </row>
    <row r="3639" spans="1:15">
      <c r="A3639" s="3">
        <f t="shared" si="58"/>
        <v>3638</v>
      </c>
      <c r="B3639" s="41" t="s">
        <v>5499</v>
      </c>
      <c r="C3639" s="3">
        <v>8744838890</v>
      </c>
      <c r="D3639" s="3"/>
      <c r="E3639" s="3" t="s">
        <v>5500</v>
      </c>
      <c r="F3639" s="3" t="s">
        <v>612</v>
      </c>
      <c r="G3639" s="3" t="s">
        <v>18</v>
      </c>
      <c r="H3639" s="3" t="s">
        <v>1096</v>
      </c>
      <c r="I3639" s="3" t="s">
        <v>94</v>
      </c>
      <c r="J3639" s="31">
        <v>45866</v>
      </c>
      <c r="K3639" s="31">
        <v>45881</v>
      </c>
      <c r="L3639" s="31"/>
      <c r="M3639" s="31"/>
      <c r="N3639" s="31"/>
      <c r="O3639" s="3" t="s">
        <v>297</v>
      </c>
    </row>
    <row r="3640" spans="1:15">
      <c r="A3640" s="3">
        <f t="shared" si="58"/>
        <v>3639</v>
      </c>
      <c r="B3640" s="41" t="s">
        <v>5501</v>
      </c>
      <c r="C3640" s="3">
        <v>9608882650</v>
      </c>
      <c r="D3640" s="3">
        <v>9112552650</v>
      </c>
      <c r="E3640" s="3" t="s">
        <v>5500</v>
      </c>
      <c r="F3640" s="3" t="s">
        <v>490</v>
      </c>
      <c r="G3640" s="3" t="s">
        <v>295</v>
      </c>
      <c r="H3640" s="3" t="s">
        <v>1096</v>
      </c>
      <c r="I3640" s="3" t="s">
        <v>94</v>
      </c>
      <c r="J3640" s="31">
        <v>45866</v>
      </c>
      <c r="K3640" s="31">
        <v>45877</v>
      </c>
      <c r="L3640" s="31">
        <v>45889</v>
      </c>
      <c r="M3640" s="31">
        <v>45981</v>
      </c>
      <c r="N3640" s="31"/>
      <c r="O3640" s="3" t="s">
        <v>297</v>
      </c>
    </row>
    <row r="3641" spans="1:15">
      <c r="A3641" s="3">
        <f t="shared" si="58"/>
        <v>3640</v>
      </c>
      <c r="B3641" s="41" t="s">
        <v>5502</v>
      </c>
      <c r="C3641" s="3">
        <v>9708966266</v>
      </c>
      <c r="D3641" s="3"/>
      <c r="E3641" s="3" t="s">
        <v>5503</v>
      </c>
      <c r="F3641" s="3" t="s">
        <v>5504</v>
      </c>
      <c r="G3641" s="3" t="s">
        <v>1175</v>
      </c>
      <c r="H3641" s="3" t="s">
        <v>788</v>
      </c>
      <c r="I3641" s="3" t="s">
        <v>88</v>
      </c>
      <c r="J3641" s="31">
        <v>45867</v>
      </c>
      <c r="K3641" s="31"/>
      <c r="L3641" s="31"/>
      <c r="M3641" s="31"/>
      <c r="N3641" s="31"/>
      <c r="O3641" s="3" t="s">
        <v>1004</v>
      </c>
    </row>
    <row r="3642" spans="1:15">
      <c r="A3642" s="3">
        <f t="shared" si="58"/>
        <v>3641</v>
      </c>
      <c r="B3642" s="41" t="s">
        <v>5505</v>
      </c>
      <c r="C3642" s="3">
        <v>8250595687</v>
      </c>
      <c r="D3642" s="3"/>
      <c r="E3642" s="3" t="s">
        <v>5503</v>
      </c>
      <c r="F3642" s="3" t="s">
        <v>5504</v>
      </c>
      <c r="G3642" s="3" t="s">
        <v>1175</v>
      </c>
      <c r="H3642" s="3" t="s">
        <v>788</v>
      </c>
      <c r="I3642" s="3" t="s">
        <v>88</v>
      </c>
      <c r="J3642" s="31">
        <v>45867</v>
      </c>
      <c r="K3642" s="31"/>
      <c r="L3642" s="31"/>
      <c r="M3642" s="31"/>
      <c r="N3642" s="31"/>
      <c r="O3642" s="3" t="s">
        <v>1004</v>
      </c>
    </row>
    <row r="3643" spans="1:15">
      <c r="A3643" s="3">
        <f t="shared" si="58"/>
        <v>3642</v>
      </c>
      <c r="B3643" s="41" t="s">
        <v>5506</v>
      </c>
      <c r="C3643" s="3">
        <v>9121159557</v>
      </c>
      <c r="D3643" s="3">
        <v>9160700000</v>
      </c>
      <c r="E3643" s="3" t="s">
        <v>5503</v>
      </c>
      <c r="F3643" s="3" t="s">
        <v>5504</v>
      </c>
      <c r="G3643" s="3" t="s">
        <v>1175</v>
      </c>
      <c r="H3643" s="3" t="s">
        <v>788</v>
      </c>
      <c r="I3643" s="3" t="s">
        <v>88</v>
      </c>
      <c r="J3643" s="31">
        <v>45867</v>
      </c>
      <c r="K3643" s="31"/>
      <c r="L3643" s="31"/>
      <c r="M3643" s="31"/>
      <c r="N3643" s="31"/>
      <c r="O3643" s="3" t="s">
        <v>1004</v>
      </c>
    </row>
    <row r="3644" spans="1:15">
      <c r="A3644" s="3">
        <f t="shared" si="58"/>
        <v>3643</v>
      </c>
      <c r="B3644" s="41" t="s">
        <v>5507</v>
      </c>
      <c r="C3644" s="3">
        <v>8886183627</v>
      </c>
      <c r="D3644" s="3"/>
      <c r="E3644" s="3" t="s">
        <v>5503</v>
      </c>
      <c r="F3644" s="3" t="s">
        <v>5504</v>
      </c>
      <c r="G3644" s="3" t="s">
        <v>1175</v>
      </c>
      <c r="H3644" s="3" t="s">
        <v>788</v>
      </c>
      <c r="I3644" s="3" t="s">
        <v>88</v>
      </c>
      <c r="J3644" s="31">
        <v>45867</v>
      </c>
      <c r="K3644" s="31"/>
      <c r="L3644" s="31"/>
      <c r="M3644" s="31"/>
      <c r="N3644" s="31"/>
      <c r="O3644" s="3" t="s">
        <v>1004</v>
      </c>
    </row>
    <row r="3645" spans="1:15">
      <c r="A3645" s="3">
        <f t="shared" si="58"/>
        <v>3644</v>
      </c>
      <c r="B3645" s="41" t="s">
        <v>5508</v>
      </c>
      <c r="C3645" s="3">
        <v>7683918624</v>
      </c>
      <c r="D3645" s="3"/>
      <c r="E3645" s="3" t="s">
        <v>2176</v>
      </c>
      <c r="F3645" s="3" t="s">
        <v>5509</v>
      </c>
      <c r="G3645" s="3" t="s">
        <v>424</v>
      </c>
      <c r="H3645" s="3" t="s">
        <v>296</v>
      </c>
      <c r="I3645" s="3" t="s">
        <v>42</v>
      </c>
      <c r="J3645" s="31">
        <v>45867</v>
      </c>
      <c r="K3645" s="31">
        <v>45880</v>
      </c>
      <c r="L3645" s="31"/>
      <c r="M3645" s="31"/>
      <c r="N3645" s="31"/>
      <c r="O3645" s="3" t="s">
        <v>425</v>
      </c>
    </row>
    <row r="3646" spans="1:15">
      <c r="A3646" s="3">
        <f t="shared" si="58"/>
        <v>3645</v>
      </c>
      <c r="B3646" s="41" t="s">
        <v>5510</v>
      </c>
      <c r="C3646" s="3">
        <v>7005166721</v>
      </c>
      <c r="D3646" s="3"/>
      <c r="E3646" s="3" t="s">
        <v>5185</v>
      </c>
      <c r="F3646" s="3" t="s">
        <v>5511</v>
      </c>
      <c r="G3646" s="3" t="s">
        <v>16</v>
      </c>
      <c r="H3646" s="3" t="s">
        <v>368</v>
      </c>
      <c r="I3646" s="3" t="s">
        <v>88</v>
      </c>
      <c r="J3646" s="31">
        <v>45824</v>
      </c>
      <c r="K3646" s="31">
        <v>45867</v>
      </c>
      <c r="L3646" s="31">
        <v>45876</v>
      </c>
      <c r="M3646" s="31">
        <v>45925</v>
      </c>
      <c r="N3646" s="31">
        <v>45918</v>
      </c>
      <c r="O3646" s="3" t="s">
        <v>297</v>
      </c>
    </row>
    <row r="3647" spans="1:15">
      <c r="A3647" s="3">
        <f t="shared" si="58"/>
        <v>3646</v>
      </c>
      <c r="B3647" s="41" t="s">
        <v>3220</v>
      </c>
      <c r="C3647" s="3">
        <v>8948248052</v>
      </c>
      <c r="D3647" s="3"/>
      <c r="E3647" s="3" t="s">
        <v>5512</v>
      </c>
      <c r="F3647" s="3" t="s">
        <v>509</v>
      </c>
      <c r="G3647" s="3" t="s">
        <v>16</v>
      </c>
      <c r="H3647" s="3" t="s">
        <v>361</v>
      </c>
      <c r="I3647" s="3" t="s">
        <v>94</v>
      </c>
      <c r="J3647" s="31">
        <v>45867</v>
      </c>
      <c r="K3647" s="31">
        <v>45877</v>
      </c>
      <c r="L3647" s="31">
        <v>45889</v>
      </c>
      <c r="M3647" s="31">
        <v>45923</v>
      </c>
      <c r="N3647" s="31">
        <v>45924</v>
      </c>
      <c r="O3647" s="3" t="s">
        <v>297</v>
      </c>
    </row>
    <row r="3648" spans="1:15">
      <c r="A3648" s="3">
        <f t="shared" si="58"/>
        <v>3647</v>
      </c>
      <c r="B3648" s="41" t="s">
        <v>5513</v>
      </c>
      <c r="C3648" s="3">
        <v>7739780517</v>
      </c>
      <c r="D3648" s="3">
        <v>6201828367</v>
      </c>
      <c r="E3648" s="3" t="s">
        <v>5514</v>
      </c>
      <c r="F3648" s="3" t="s">
        <v>1044</v>
      </c>
      <c r="G3648" s="3" t="s">
        <v>16</v>
      </c>
      <c r="H3648" s="3" t="s">
        <v>361</v>
      </c>
      <c r="I3648" s="3" t="s">
        <v>94</v>
      </c>
      <c r="J3648" s="31">
        <v>45867</v>
      </c>
      <c r="K3648" s="31">
        <v>45877</v>
      </c>
      <c r="L3648" s="31">
        <v>45897</v>
      </c>
      <c r="M3648" s="31">
        <v>45929</v>
      </c>
      <c r="N3648" s="31">
        <v>45935</v>
      </c>
      <c r="O3648" s="3" t="s">
        <v>297</v>
      </c>
    </row>
    <row r="3649" spans="1:15">
      <c r="A3649" s="3">
        <f t="shared" si="58"/>
        <v>3648</v>
      </c>
      <c r="B3649" s="41" t="s">
        <v>5515</v>
      </c>
      <c r="C3649" s="3">
        <v>9719396699</v>
      </c>
      <c r="D3649" s="3"/>
      <c r="E3649" s="3" t="s">
        <v>5516</v>
      </c>
      <c r="F3649" s="3" t="s">
        <v>509</v>
      </c>
      <c r="G3649" s="3" t="s">
        <v>424</v>
      </c>
      <c r="H3649" s="3" t="s">
        <v>361</v>
      </c>
      <c r="I3649" s="3" t="s">
        <v>94</v>
      </c>
      <c r="J3649" s="31">
        <v>45867</v>
      </c>
      <c r="K3649" s="31">
        <v>45877</v>
      </c>
      <c r="L3649" s="31"/>
      <c r="M3649" s="31"/>
      <c r="N3649" s="31"/>
      <c r="O3649" s="3" t="s">
        <v>425</v>
      </c>
    </row>
    <row r="3650" spans="1:15">
      <c r="A3650" s="3">
        <f t="shared" si="58"/>
        <v>3649</v>
      </c>
      <c r="B3650" s="41" t="s">
        <v>5517</v>
      </c>
      <c r="C3650" s="3">
        <v>7566366366</v>
      </c>
      <c r="D3650" s="3"/>
      <c r="E3650" s="3" t="s">
        <v>5516</v>
      </c>
      <c r="F3650" s="3" t="s">
        <v>5518</v>
      </c>
      <c r="G3650" s="3" t="s">
        <v>424</v>
      </c>
      <c r="H3650" s="3" t="s">
        <v>361</v>
      </c>
      <c r="I3650" s="3" t="s">
        <v>94</v>
      </c>
      <c r="J3650" s="31">
        <v>45867</v>
      </c>
      <c r="K3650" s="31">
        <v>45877</v>
      </c>
      <c r="L3650" s="31"/>
      <c r="M3650" s="31"/>
      <c r="N3650" s="31"/>
      <c r="O3650" s="3" t="s">
        <v>425</v>
      </c>
    </row>
    <row r="3651" spans="1:15">
      <c r="A3651" s="3">
        <f t="shared" si="58"/>
        <v>3650</v>
      </c>
      <c r="B3651" s="41" t="s">
        <v>5519</v>
      </c>
      <c r="C3651" s="3">
        <v>9950264108</v>
      </c>
      <c r="D3651" s="3"/>
      <c r="E3651" s="3" t="s">
        <v>3726</v>
      </c>
      <c r="F3651" s="3" t="s">
        <v>509</v>
      </c>
      <c r="G3651" s="3" t="s">
        <v>18</v>
      </c>
      <c r="H3651" s="3" t="s">
        <v>361</v>
      </c>
      <c r="I3651" s="3" t="s">
        <v>94</v>
      </c>
      <c r="J3651" s="31">
        <v>45867</v>
      </c>
      <c r="K3651" s="31">
        <v>45877</v>
      </c>
      <c r="L3651" s="31"/>
      <c r="M3651" s="31"/>
      <c r="N3651" s="31"/>
      <c r="O3651" s="3" t="s">
        <v>297</v>
      </c>
    </row>
    <row r="3652" spans="1:15">
      <c r="A3652" s="3">
        <f t="shared" si="58"/>
        <v>3651</v>
      </c>
      <c r="B3652" s="41" t="s">
        <v>5520</v>
      </c>
      <c r="C3652" s="3">
        <v>7070552852</v>
      </c>
      <c r="D3652" s="3"/>
      <c r="E3652" s="3" t="s">
        <v>4857</v>
      </c>
      <c r="F3652" s="3" t="s">
        <v>5521</v>
      </c>
      <c r="G3652" s="3" t="s">
        <v>416</v>
      </c>
      <c r="H3652" s="3" t="s">
        <v>361</v>
      </c>
      <c r="I3652" s="3" t="s">
        <v>94</v>
      </c>
      <c r="J3652" s="31">
        <v>45867</v>
      </c>
      <c r="K3652" s="31">
        <v>45877</v>
      </c>
      <c r="L3652" s="31"/>
      <c r="M3652" s="31"/>
      <c r="N3652" s="31"/>
      <c r="O3652" s="3" t="s">
        <v>297</v>
      </c>
    </row>
    <row r="3653" spans="1:15">
      <c r="A3653" s="3">
        <f t="shared" si="58"/>
        <v>3652</v>
      </c>
      <c r="B3653" s="41" t="s">
        <v>531</v>
      </c>
      <c r="C3653" s="3">
        <v>8540036892</v>
      </c>
      <c r="D3653" s="3"/>
      <c r="E3653" s="3" t="s">
        <v>5522</v>
      </c>
      <c r="F3653" s="3" t="s">
        <v>509</v>
      </c>
      <c r="G3653" s="3" t="s">
        <v>416</v>
      </c>
      <c r="H3653" s="3" t="s">
        <v>361</v>
      </c>
      <c r="I3653" s="3" t="s">
        <v>94</v>
      </c>
      <c r="J3653" s="31">
        <v>45867</v>
      </c>
      <c r="K3653" s="31">
        <v>45880</v>
      </c>
      <c r="L3653" s="31"/>
      <c r="M3653" s="31"/>
      <c r="N3653" s="31"/>
      <c r="O3653" s="3" t="s">
        <v>297</v>
      </c>
    </row>
    <row r="3654" spans="1:15">
      <c r="A3654" s="3">
        <f t="shared" si="58"/>
        <v>3653</v>
      </c>
      <c r="B3654" s="41" t="s">
        <v>5523</v>
      </c>
      <c r="C3654" s="3">
        <v>9616559962</v>
      </c>
      <c r="D3654" s="3"/>
      <c r="E3654" s="3" t="s">
        <v>4857</v>
      </c>
      <c r="F3654" s="3" t="s">
        <v>509</v>
      </c>
      <c r="G3654" s="3" t="s">
        <v>416</v>
      </c>
      <c r="H3654" s="3" t="s">
        <v>361</v>
      </c>
      <c r="I3654" s="3" t="s">
        <v>94</v>
      </c>
      <c r="J3654" s="31">
        <v>45867</v>
      </c>
      <c r="K3654" s="31">
        <v>45880</v>
      </c>
      <c r="L3654" s="31"/>
      <c r="M3654" s="31"/>
      <c r="N3654" s="31"/>
      <c r="O3654" s="3" t="s">
        <v>297</v>
      </c>
    </row>
    <row r="3655" spans="1:15">
      <c r="A3655" s="3">
        <f t="shared" si="58"/>
        <v>3654</v>
      </c>
      <c r="B3655" s="65" t="s">
        <v>5524</v>
      </c>
      <c r="C3655" s="1">
        <v>8249268025</v>
      </c>
      <c r="E3655" s="17" t="s">
        <v>5525</v>
      </c>
      <c r="F3655" s="65" t="s">
        <v>277</v>
      </c>
      <c r="G3655" s="3" t="s">
        <v>416</v>
      </c>
      <c r="H3655" s="3" t="s">
        <v>296</v>
      </c>
      <c r="I3655" s="3" t="s">
        <v>94</v>
      </c>
      <c r="J3655" s="31">
        <v>45867</v>
      </c>
      <c r="K3655" s="31">
        <v>45876</v>
      </c>
      <c r="L3655" s="31"/>
      <c r="M3655" s="31"/>
      <c r="N3655" s="31"/>
      <c r="O3655" s="3" t="s">
        <v>297</v>
      </c>
    </row>
    <row r="3656" spans="1:15">
      <c r="A3656" s="3">
        <f t="shared" si="58"/>
        <v>3655</v>
      </c>
      <c r="B3656" s="65" t="s">
        <v>5526</v>
      </c>
      <c r="C3656" s="1">
        <v>7702039791</v>
      </c>
      <c r="E3656" s="17" t="s">
        <v>5525</v>
      </c>
      <c r="F3656" s="65" t="s">
        <v>2395</v>
      </c>
      <c r="G3656" s="3" t="s">
        <v>18</v>
      </c>
      <c r="H3656" s="3" t="s">
        <v>296</v>
      </c>
      <c r="I3656" s="3" t="s">
        <v>94</v>
      </c>
      <c r="J3656" s="31">
        <v>45867</v>
      </c>
      <c r="K3656" s="31">
        <v>45870</v>
      </c>
      <c r="L3656" s="31"/>
      <c r="M3656" s="31"/>
      <c r="N3656" s="31"/>
      <c r="O3656" s="3" t="s">
        <v>297</v>
      </c>
    </row>
    <row r="3657" spans="1:15">
      <c r="A3657" s="3">
        <f t="shared" si="58"/>
        <v>3656</v>
      </c>
      <c r="B3657" s="65" t="s">
        <v>5527</v>
      </c>
      <c r="C3657" s="1">
        <v>9830677193</v>
      </c>
      <c r="E3657" s="17" t="s">
        <v>5528</v>
      </c>
      <c r="F3657" s="65" t="s">
        <v>294</v>
      </c>
      <c r="G3657" s="3" t="s">
        <v>416</v>
      </c>
      <c r="H3657" s="3" t="s">
        <v>296</v>
      </c>
      <c r="I3657" s="3" t="s">
        <v>94</v>
      </c>
      <c r="J3657" s="31">
        <v>45867</v>
      </c>
      <c r="K3657" s="31">
        <v>45876</v>
      </c>
      <c r="L3657" s="31"/>
      <c r="M3657" s="31"/>
      <c r="N3657" s="31"/>
      <c r="O3657" s="3" t="s">
        <v>297</v>
      </c>
    </row>
    <row r="3658" spans="1:15">
      <c r="A3658" s="3">
        <f t="shared" si="58"/>
        <v>3657</v>
      </c>
      <c r="B3658" s="65" t="s">
        <v>5529</v>
      </c>
      <c r="C3658" s="1">
        <v>9749558634</v>
      </c>
      <c r="E3658" s="17" t="s">
        <v>5528</v>
      </c>
      <c r="F3658" s="65" t="s">
        <v>294</v>
      </c>
      <c r="G3658" s="3" t="s">
        <v>424</v>
      </c>
      <c r="H3658" s="3" t="s">
        <v>296</v>
      </c>
      <c r="I3658" s="3" t="s">
        <v>94</v>
      </c>
      <c r="J3658" s="31">
        <v>45867</v>
      </c>
      <c r="K3658" s="31">
        <v>45869</v>
      </c>
      <c r="L3658" s="31"/>
      <c r="M3658" s="31"/>
      <c r="N3658" s="31"/>
      <c r="O3658" s="3" t="s">
        <v>425</v>
      </c>
    </row>
    <row r="3659" spans="1:15">
      <c r="A3659" s="3">
        <f t="shared" si="58"/>
        <v>3658</v>
      </c>
      <c r="B3659" s="65" t="s">
        <v>5530</v>
      </c>
      <c r="C3659" s="1">
        <v>9627269784</v>
      </c>
      <c r="E3659" s="17" t="s">
        <v>5528</v>
      </c>
      <c r="F3659" s="65" t="s">
        <v>277</v>
      </c>
      <c r="G3659" s="3" t="s">
        <v>416</v>
      </c>
      <c r="H3659" s="3" t="s">
        <v>296</v>
      </c>
      <c r="I3659" s="3" t="s">
        <v>94</v>
      </c>
      <c r="J3659" s="31">
        <v>45867</v>
      </c>
      <c r="K3659" s="31">
        <v>45892</v>
      </c>
      <c r="L3659" s="31"/>
      <c r="M3659" s="31"/>
      <c r="N3659" s="31"/>
      <c r="O3659" s="3" t="s">
        <v>297</v>
      </c>
    </row>
    <row r="3660" spans="1:15">
      <c r="A3660" s="3">
        <f t="shared" si="58"/>
        <v>3659</v>
      </c>
      <c r="B3660" s="65" t="s">
        <v>5531</v>
      </c>
      <c r="C3660" s="1">
        <v>7828702574</v>
      </c>
      <c r="E3660" s="17" t="s">
        <v>5532</v>
      </c>
      <c r="F3660" s="65" t="s">
        <v>5533</v>
      </c>
      <c r="G3660" s="3" t="s">
        <v>764</v>
      </c>
      <c r="H3660" s="3" t="s">
        <v>815</v>
      </c>
      <c r="I3660" s="3" t="s">
        <v>94</v>
      </c>
      <c r="J3660" s="31">
        <v>45868</v>
      </c>
      <c r="K3660" s="31">
        <v>45875</v>
      </c>
      <c r="L3660" s="31"/>
      <c r="M3660" s="31"/>
      <c r="N3660" s="31"/>
      <c r="O3660" s="3" t="s">
        <v>425</v>
      </c>
    </row>
    <row r="3661" spans="1:15">
      <c r="A3661" s="3">
        <f t="shared" si="58"/>
        <v>3660</v>
      </c>
      <c r="B3661" s="65" t="s">
        <v>5534</v>
      </c>
      <c r="C3661" s="1">
        <v>7521839775</v>
      </c>
      <c r="D3661" s="1">
        <v>7309558838</v>
      </c>
      <c r="E3661" s="17" t="s">
        <v>5532</v>
      </c>
      <c r="F3661" s="65" t="s">
        <v>5533</v>
      </c>
      <c r="G3661" s="3" t="s">
        <v>295</v>
      </c>
      <c r="H3661" s="3" t="s">
        <v>815</v>
      </c>
      <c r="I3661" s="3" t="s">
        <v>94</v>
      </c>
      <c r="J3661" s="31">
        <v>45868</v>
      </c>
      <c r="K3661" s="31">
        <v>45875</v>
      </c>
      <c r="L3661" s="31">
        <v>45897</v>
      </c>
      <c r="M3661" s="31">
        <v>45955</v>
      </c>
      <c r="N3661" s="31"/>
      <c r="O3661" s="3" t="s">
        <v>297</v>
      </c>
    </row>
    <row r="3662" spans="1:15">
      <c r="A3662" s="3">
        <f t="shared" si="58"/>
        <v>3661</v>
      </c>
      <c r="B3662" s="65" t="s">
        <v>5535</v>
      </c>
      <c r="C3662" s="1">
        <v>8521833898</v>
      </c>
      <c r="E3662" s="17" t="s">
        <v>5536</v>
      </c>
      <c r="F3662" s="65" t="s">
        <v>825</v>
      </c>
      <c r="G3662" s="3" t="s">
        <v>16</v>
      </c>
      <c r="H3662" s="3" t="s">
        <v>815</v>
      </c>
      <c r="I3662" s="3" t="s">
        <v>94</v>
      </c>
      <c r="J3662" s="31">
        <v>45868</v>
      </c>
      <c r="K3662" s="31">
        <v>45875</v>
      </c>
      <c r="L3662" s="31">
        <v>45897</v>
      </c>
      <c r="M3662" s="31">
        <v>45922</v>
      </c>
      <c r="N3662" s="31">
        <v>45921</v>
      </c>
      <c r="O3662" s="3" t="s">
        <v>297</v>
      </c>
    </row>
    <row r="3663" spans="1:15">
      <c r="A3663" s="3">
        <f t="shared" si="58"/>
        <v>3662</v>
      </c>
      <c r="B3663" s="65" t="s">
        <v>5537</v>
      </c>
      <c r="C3663" s="1">
        <v>7042665810</v>
      </c>
      <c r="E3663" s="17" t="s">
        <v>5536</v>
      </c>
      <c r="F3663" s="65" t="s">
        <v>5538</v>
      </c>
      <c r="G3663" s="3" t="s">
        <v>295</v>
      </c>
      <c r="H3663" s="3" t="s">
        <v>815</v>
      </c>
      <c r="I3663" s="3" t="s">
        <v>94</v>
      </c>
      <c r="J3663" s="31">
        <v>45868</v>
      </c>
      <c r="K3663" s="31">
        <v>45877</v>
      </c>
      <c r="L3663" s="31">
        <v>45897</v>
      </c>
      <c r="M3663" s="31">
        <v>45922</v>
      </c>
      <c r="N3663" s="31"/>
      <c r="O3663" s="3" t="s">
        <v>297</v>
      </c>
    </row>
    <row r="3664" spans="1:15">
      <c r="A3664" s="3">
        <f t="shared" si="58"/>
        <v>3663</v>
      </c>
      <c r="B3664" s="65" t="s">
        <v>5539</v>
      </c>
      <c r="C3664" s="1">
        <v>6206889812</v>
      </c>
      <c r="E3664" s="17" t="s">
        <v>5540</v>
      </c>
      <c r="F3664" s="65" t="s">
        <v>823</v>
      </c>
      <c r="G3664" s="3" t="s">
        <v>15</v>
      </c>
      <c r="H3664" s="3" t="s">
        <v>815</v>
      </c>
      <c r="I3664" s="3" t="s">
        <v>94</v>
      </c>
      <c r="J3664" s="31">
        <v>45868</v>
      </c>
      <c r="K3664" s="31">
        <v>45875</v>
      </c>
      <c r="L3664" s="31">
        <v>46080</v>
      </c>
      <c r="M3664" s="31">
        <v>46097</v>
      </c>
      <c r="N3664" s="31"/>
      <c r="O3664" s="3" t="s">
        <v>297</v>
      </c>
    </row>
    <row r="3665" spans="1:15">
      <c r="A3665" s="3">
        <f t="shared" si="58"/>
        <v>3664</v>
      </c>
      <c r="B3665" s="65" t="s">
        <v>5541</v>
      </c>
      <c r="C3665" s="1">
        <v>9873412943</v>
      </c>
      <c r="E3665" s="17" t="s">
        <v>5542</v>
      </c>
      <c r="F3665" s="65" t="s">
        <v>5533</v>
      </c>
      <c r="G3665" s="3" t="s">
        <v>16</v>
      </c>
      <c r="H3665" s="3" t="s">
        <v>815</v>
      </c>
      <c r="I3665" s="3" t="s">
        <v>94</v>
      </c>
      <c r="J3665" s="31">
        <v>45868</v>
      </c>
      <c r="K3665" s="31">
        <v>45875</v>
      </c>
      <c r="L3665" s="31">
        <v>45889</v>
      </c>
      <c r="M3665" s="31">
        <v>45920</v>
      </c>
      <c r="N3665" s="31">
        <v>45920</v>
      </c>
      <c r="O3665" s="3" t="s">
        <v>297</v>
      </c>
    </row>
    <row r="3666" spans="1:15">
      <c r="A3666" s="3">
        <f t="shared" si="58"/>
        <v>3665</v>
      </c>
      <c r="B3666" s="65" t="s">
        <v>5543</v>
      </c>
      <c r="C3666" s="1">
        <v>8121993037</v>
      </c>
      <c r="E3666" s="17" t="s">
        <v>5297</v>
      </c>
      <c r="F3666" s="65" t="s">
        <v>5544</v>
      </c>
      <c r="G3666" s="3" t="s">
        <v>1175</v>
      </c>
      <c r="H3666" s="3" t="s">
        <v>361</v>
      </c>
      <c r="I3666" s="3" t="s">
        <v>42</v>
      </c>
      <c r="J3666" s="31">
        <v>45868</v>
      </c>
      <c r="K3666" s="31"/>
      <c r="L3666" s="31"/>
      <c r="M3666" s="31"/>
      <c r="N3666" s="31"/>
      <c r="O3666" s="3" t="s">
        <v>1004</v>
      </c>
    </row>
    <row r="3667" spans="1:15">
      <c r="A3667" s="3">
        <f t="shared" si="58"/>
        <v>3666</v>
      </c>
      <c r="B3667" s="65" t="s">
        <v>5545</v>
      </c>
      <c r="C3667" s="1">
        <v>9505062976</v>
      </c>
      <c r="E3667" s="17" t="s">
        <v>5297</v>
      </c>
      <c r="F3667" s="65" t="s">
        <v>5546</v>
      </c>
      <c r="G3667" s="3" t="s">
        <v>1175</v>
      </c>
      <c r="H3667" s="3" t="s">
        <v>361</v>
      </c>
      <c r="I3667" s="3" t="s">
        <v>42</v>
      </c>
      <c r="J3667" s="31">
        <v>45868</v>
      </c>
      <c r="K3667" s="31"/>
      <c r="L3667" s="31"/>
      <c r="M3667" s="31"/>
      <c r="N3667" s="31"/>
      <c r="O3667" s="3" t="s">
        <v>1004</v>
      </c>
    </row>
    <row r="3668" spans="1:15">
      <c r="A3668" s="3">
        <f t="shared" si="58"/>
        <v>3667</v>
      </c>
      <c r="B3668" s="65" t="s">
        <v>5547</v>
      </c>
      <c r="C3668" s="1">
        <v>9989639016</v>
      </c>
      <c r="E3668" s="17" t="s">
        <v>5297</v>
      </c>
      <c r="F3668" s="65" t="s">
        <v>5298</v>
      </c>
      <c r="G3668" s="3" t="s">
        <v>16</v>
      </c>
      <c r="H3668" s="3" t="s">
        <v>361</v>
      </c>
      <c r="I3668" s="3" t="s">
        <v>42</v>
      </c>
      <c r="J3668" s="31">
        <v>45868</v>
      </c>
      <c r="K3668" s="31">
        <v>45870</v>
      </c>
      <c r="L3668" s="31">
        <v>45870</v>
      </c>
      <c r="M3668" s="31">
        <v>45870</v>
      </c>
      <c r="N3668" s="31">
        <v>45870</v>
      </c>
      <c r="O3668" s="3" t="s">
        <v>297</v>
      </c>
    </row>
    <row r="3669" spans="1:15">
      <c r="A3669" s="3">
        <f t="shared" si="58"/>
        <v>3668</v>
      </c>
      <c r="B3669" s="65" t="s">
        <v>5548</v>
      </c>
      <c r="C3669" s="1">
        <v>7013337545</v>
      </c>
      <c r="E3669" s="17" t="s">
        <v>5503</v>
      </c>
      <c r="F3669" s="65" t="s">
        <v>5504</v>
      </c>
      <c r="G3669" s="3" t="s">
        <v>1175</v>
      </c>
      <c r="H3669" s="3" t="s">
        <v>788</v>
      </c>
      <c r="I3669" s="3" t="s">
        <v>88</v>
      </c>
      <c r="J3669" s="31">
        <v>45868</v>
      </c>
      <c r="K3669" s="31"/>
      <c r="L3669" s="31"/>
      <c r="M3669" s="31"/>
      <c r="N3669" s="31"/>
      <c r="O3669" s="3" t="s">
        <v>1004</v>
      </c>
    </row>
    <row r="3670" spans="1:15">
      <c r="A3670" s="3">
        <f t="shared" si="58"/>
        <v>3669</v>
      </c>
      <c r="B3670" s="65" t="s">
        <v>5549</v>
      </c>
      <c r="C3670" s="1">
        <v>9665249266</v>
      </c>
      <c r="D3670" s="1">
        <v>9773950266</v>
      </c>
      <c r="E3670" s="17" t="s">
        <v>5503</v>
      </c>
      <c r="F3670" s="65" t="s">
        <v>5550</v>
      </c>
      <c r="G3670" s="3" t="s">
        <v>1175</v>
      </c>
      <c r="H3670" s="3" t="s">
        <v>788</v>
      </c>
      <c r="I3670" s="3" t="s">
        <v>88</v>
      </c>
      <c r="J3670" s="31">
        <v>45868</v>
      </c>
      <c r="K3670" s="31"/>
      <c r="L3670" s="31"/>
      <c r="M3670" s="31"/>
      <c r="N3670" s="31"/>
      <c r="O3670" s="3" t="s">
        <v>1004</v>
      </c>
    </row>
    <row r="3671" spans="1:15">
      <c r="A3671" s="3">
        <f t="shared" si="58"/>
        <v>3670</v>
      </c>
      <c r="B3671" s="65" t="s">
        <v>5551</v>
      </c>
      <c r="C3671" s="1">
        <v>8149940192</v>
      </c>
      <c r="E3671" s="17" t="s">
        <v>5503</v>
      </c>
      <c r="F3671" s="65" t="s">
        <v>5552</v>
      </c>
      <c r="G3671" s="3" t="s">
        <v>1175</v>
      </c>
      <c r="H3671" s="3" t="s">
        <v>788</v>
      </c>
      <c r="I3671" s="3" t="s">
        <v>88</v>
      </c>
      <c r="J3671" s="31">
        <v>45868</v>
      </c>
      <c r="K3671" s="31"/>
      <c r="L3671" s="31"/>
      <c r="M3671" s="31"/>
      <c r="N3671" s="31"/>
      <c r="O3671" s="3" t="s">
        <v>1004</v>
      </c>
    </row>
    <row r="3672" spans="1:15">
      <c r="A3672" s="3">
        <f t="shared" si="58"/>
        <v>3671</v>
      </c>
      <c r="B3672" s="65" t="s">
        <v>5553</v>
      </c>
      <c r="C3672" s="1">
        <v>9014222244</v>
      </c>
      <c r="E3672" s="17" t="s">
        <v>5503</v>
      </c>
      <c r="F3672" s="65" t="s">
        <v>5552</v>
      </c>
      <c r="G3672" s="3" t="s">
        <v>1175</v>
      </c>
      <c r="H3672" s="3" t="s">
        <v>788</v>
      </c>
      <c r="I3672" s="3" t="s">
        <v>88</v>
      </c>
      <c r="J3672" s="31">
        <v>45868</v>
      </c>
      <c r="K3672" s="31"/>
      <c r="L3672" s="31"/>
      <c r="M3672" s="31"/>
      <c r="N3672" s="31"/>
      <c r="O3672" s="3" t="s">
        <v>1004</v>
      </c>
    </row>
    <row r="3673" spans="1:15">
      <c r="A3673" s="3">
        <f t="shared" si="58"/>
        <v>3672</v>
      </c>
      <c r="B3673" s="65" t="s">
        <v>5554</v>
      </c>
      <c r="C3673" s="1">
        <v>9704611314</v>
      </c>
      <c r="D3673" s="1">
        <v>9959699707</v>
      </c>
      <c r="E3673" s="17" t="s">
        <v>52</v>
      </c>
      <c r="F3673" s="65" t="s">
        <v>972</v>
      </c>
      <c r="G3673" s="3" t="s">
        <v>424</v>
      </c>
      <c r="H3673" s="3" t="s">
        <v>679</v>
      </c>
      <c r="I3673" s="3" t="s">
        <v>42</v>
      </c>
      <c r="J3673" s="31">
        <v>45868</v>
      </c>
      <c r="K3673" s="31">
        <v>45870</v>
      </c>
      <c r="L3673" s="31"/>
      <c r="M3673" s="31"/>
      <c r="N3673" s="31"/>
      <c r="O3673" s="3" t="s">
        <v>425</v>
      </c>
    </row>
    <row r="3674" spans="1:15">
      <c r="A3674" s="3">
        <f t="shared" si="58"/>
        <v>3673</v>
      </c>
      <c r="B3674" s="65" t="s">
        <v>5555</v>
      </c>
      <c r="C3674" s="1">
        <v>8173923787</v>
      </c>
      <c r="D3674" s="1">
        <v>9463301986</v>
      </c>
      <c r="E3674" s="17" t="s">
        <v>59</v>
      </c>
      <c r="F3674" s="65" t="s">
        <v>1663</v>
      </c>
      <c r="G3674" s="3" t="s">
        <v>1175</v>
      </c>
      <c r="H3674" s="3" t="s">
        <v>679</v>
      </c>
      <c r="I3674" s="3" t="s">
        <v>42</v>
      </c>
      <c r="J3674" s="31">
        <v>45868</v>
      </c>
      <c r="K3674" s="31"/>
      <c r="L3674" s="31"/>
      <c r="M3674" s="31"/>
      <c r="N3674" s="31"/>
      <c r="O3674" s="3" t="s">
        <v>1004</v>
      </c>
    </row>
    <row r="3675" spans="1:15">
      <c r="A3675" s="3">
        <f t="shared" si="58"/>
        <v>3674</v>
      </c>
      <c r="B3675" s="65" t="s">
        <v>5556</v>
      </c>
      <c r="C3675" s="1">
        <v>8310749632</v>
      </c>
      <c r="E3675" s="3" t="s">
        <v>5557</v>
      </c>
      <c r="F3675" s="65" t="s">
        <v>972</v>
      </c>
      <c r="G3675" s="3" t="s">
        <v>16</v>
      </c>
      <c r="H3675" s="3" t="s">
        <v>679</v>
      </c>
      <c r="I3675" s="3" t="s">
        <v>42</v>
      </c>
      <c r="J3675" s="31">
        <v>45868</v>
      </c>
      <c r="K3675" s="31">
        <v>45877</v>
      </c>
      <c r="L3675" s="31">
        <v>45877</v>
      </c>
      <c r="M3675" s="31">
        <v>45922</v>
      </c>
      <c r="N3675" s="31">
        <v>46084</v>
      </c>
      <c r="O3675" s="3" t="s">
        <v>297</v>
      </c>
    </row>
    <row r="3676" spans="1:15">
      <c r="A3676" s="3">
        <f t="shared" si="58"/>
        <v>3675</v>
      </c>
      <c r="B3676" s="65" t="s">
        <v>5558</v>
      </c>
      <c r="C3676" s="1">
        <v>9493617561</v>
      </c>
      <c r="E3676" s="17" t="s">
        <v>59</v>
      </c>
      <c r="F3676" s="65" t="s">
        <v>972</v>
      </c>
      <c r="G3676" s="3" t="s">
        <v>424</v>
      </c>
      <c r="H3676" s="3" t="s">
        <v>679</v>
      </c>
      <c r="I3676" s="3" t="s">
        <v>42</v>
      </c>
      <c r="J3676" s="31">
        <v>45868</v>
      </c>
      <c r="K3676" s="31">
        <v>45870</v>
      </c>
      <c r="L3676" s="31"/>
      <c r="M3676" s="31"/>
      <c r="N3676" s="31"/>
      <c r="O3676" s="3" t="s">
        <v>425</v>
      </c>
    </row>
    <row r="3677" spans="1:15">
      <c r="A3677" s="3">
        <f t="shared" si="58"/>
        <v>3676</v>
      </c>
      <c r="B3677" s="65" t="s">
        <v>5559</v>
      </c>
      <c r="C3677" s="1">
        <v>9337733755</v>
      </c>
      <c r="E3677" s="17" t="s">
        <v>5560</v>
      </c>
      <c r="F3677" s="65" t="s">
        <v>972</v>
      </c>
      <c r="G3677" s="3" t="s">
        <v>330</v>
      </c>
      <c r="H3677" s="3" t="s">
        <v>679</v>
      </c>
      <c r="I3677" s="3" t="s">
        <v>42</v>
      </c>
      <c r="J3677" s="31">
        <v>45868</v>
      </c>
      <c r="K3677" s="31">
        <v>45870</v>
      </c>
      <c r="L3677" s="31">
        <v>45877</v>
      </c>
      <c r="M3677" s="31">
        <v>46024</v>
      </c>
      <c r="N3677" s="31"/>
      <c r="O3677" s="3" t="s">
        <v>297</v>
      </c>
    </row>
    <row r="3678" spans="1:15">
      <c r="A3678" s="3">
        <f t="shared" si="58"/>
        <v>3677</v>
      </c>
      <c r="B3678" s="65" t="s">
        <v>5561</v>
      </c>
      <c r="C3678" s="1">
        <v>9347512663</v>
      </c>
      <c r="E3678" s="17" t="s">
        <v>59</v>
      </c>
      <c r="F3678" s="65" t="s">
        <v>972</v>
      </c>
      <c r="G3678" s="3" t="s">
        <v>424</v>
      </c>
      <c r="H3678" s="3" t="s">
        <v>679</v>
      </c>
      <c r="I3678" s="3" t="s">
        <v>42</v>
      </c>
      <c r="J3678" s="31">
        <v>45868</v>
      </c>
      <c r="K3678" s="31">
        <v>45870</v>
      </c>
      <c r="L3678" s="31"/>
      <c r="M3678" s="31"/>
      <c r="N3678" s="31"/>
      <c r="O3678" s="3" t="s">
        <v>425</v>
      </c>
    </row>
    <row r="3679" spans="1:15">
      <c r="A3679" s="3">
        <f t="shared" ref="A3679:A3742" si="59">ROW()-1</f>
        <v>3678</v>
      </c>
      <c r="B3679" s="65" t="s">
        <v>5562</v>
      </c>
      <c r="C3679" s="1">
        <v>9848363701</v>
      </c>
      <c r="E3679" s="17" t="s">
        <v>59</v>
      </c>
      <c r="F3679" s="65" t="s">
        <v>5563</v>
      </c>
      <c r="G3679" s="3" t="s">
        <v>424</v>
      </c>
      <c r="H3679" s="3" t="s">
        <v>679</v>
      </c>
      <c r="I3679" s="3" t="s">
        <v>42</v>
      </c>
      <c r="J3679" s="31">
        <v>45868</v>
      </c>
      <c r="K3679" s="31">
        <v>45870</v>
      </c>
      <c r="L3679" s="31"/>
      <c r="M3679" s="31"/>
      <c r="N3679" s="31"/>
      <c r="O3679" s="3" t="s">
        <v>425</v>
      </c>
    </row>
    <row r="3680" spans="1:15">
      <c r="A3680" s="3">
        <f t="shared" si="59"/>
        <v>3679</v>
      </c>
      <c r="B3680" s="65" t="s">
        <v>5564</v>
      </c>
      <c r="C3680" s="1">
        <v>9976906301</v>
      </c>
      <c r="E3680" s="17" t="s">
        <v>59</v>
      </c>
      <c r="F3680" s="65" t="s">
        <v>972</v>
      </c>
      <c r="G3680" s="3" t="s">
        <v>1175</v>
      </c>
      <c r="H3680" s="3" t="s">
        <v>679</v>
      </c>
      <c r="I3680" s="3" t="s">
        <v>42</v>
      </c>
      <c r="J3680" s="31">
        <v>45868</v>
      </c>
      <c r="K3680" s="31"/>
      <c r="L3680" s="31"/>
      <c r="M3680" s="31"/>
      <c r="N3680" s="31"/>
      <c r="O3680" s="3" t="s">
        <v>1004</v>
      </c>
    </row>
    <row r="3681" spans="1:15">
      <c r="A3681" s="3">
        <f t="shared" si="59"/>
        <v>3680</v>
      </c>
      <c r="B3681" s="65" t="s">
        <v>5565</v>
      </c>
      <c r="C3681" s="1">
        <v>9220865808</v>
      </c>
      <c r="E3681" s="17" t="s">
        <v>5125</v>
      </c>
      <c r="F3681" s="65" t="s">
        <v>3401</v>
      </c>
      <c r="G3681" s="3" t="s">
        <v>16</v>
      </c>
      <c r="H3681" s="3" t="s">
        <v>5566</v>
      </c>
      <c r="I3681" s="3" t="s">
        <v>88</v>
      </c>
      <c r="J3681" s="31">
        <v>45866</v>
      </c>
      <c r="K3681" s="31">
        <v>45867</v>
      </c>
      <c r="L3681" s="31">
        <v>45868</v>
      </c>
      <c r="M3681" s="31">
        <v>45899</v>
      </c>
      <c r="N3681" s="31">
        <v>45899</v>
      </c>
      <c r="O3681" s="3" t="s">
        <v>297</v>
      </c>
    </row>
    <row r="3682" spans="1:15">
      <c r="A3682" s="3">
        <f t="shared" si="59"/>
        <v>3681</v>
      </c>
      <c r="B3682" s="65" t="s">
        <v>5567</v>
      </c>
      <c r="C3682" s="1">
        <v>8390488049</v>
      </c>
      <c r="E3682" s="17" t="s">
        <v>5290</v>
      </c>
      <c r="F3682" s="65" t="s">
        <v>1535</v>
      </c>
      <c r="G3682" s="3" t="s">
        <v>16</v>
      </c>
      <c r="H3682" s="3" t="s">
        <v>88</v>
      </c>
      <c r="I3682" s="3" t="s">
        <v>88</v>
      </c>
      <c r="J3682" s="31">
        <v>45866</v>
      </c>
      <c r="K3682" s="31">
        <v>45867</v>
      </c>
      <c r="L3682" s="31">
        <v>45868</v>
      </c>
      <c r="M3682" s="31">
        <v>45899</v>
      </c>
      <c r="N3682" s="31">
        <v>45899</v>
      </c>
      <c r="O3682" s="3" t="s">
        <v>297</v>
      </c>
    </row>
    <row r="3683" spans="1:15">
      <c r="A3683" s="3">
        <f t="shared" si="59"/>
        <v>3682</v>
      </c>
      <c r="B3683" s="65" t="s">
        <v>5568</v>
      </c>
      <c r="C3683" s="1">
        <v>6291945949</v>
      </c>
      <c r="E3683" s="17" t="s">
        <v>5087</v>
      </c>
      <c r="F3683" s="65" t="s">
        <v>5569</v>
      </c>
      <c r="G3683" s="3" t="s">
        <v>16</v>
      </c>
      <c r="H3683" s="2" t="s">
        <v>4201</v>
      </c>
      <c r="I3683" s="3" t="s">
        <v>88</v>
      </c>
      <c r="J3683" s="31">
        <v>45866</v>
      </c>
      <c r="K3683" s="31">
        <v>45867</v>
      </c>
      <c r="L3683" s="31">
        <v>45868</v>
      </c>
      <c r="M3683" s="31">
        <v>45899</v>
      </c>
      <c r="N3683" s="31">
        <v>45899</v>
      </c>
      <c r="O3683" s="3" t="s">
        <v>297</v>
      </c>
    </row>
    <row r="3684" spans="1:15">
      <c r="A3684" s="3">
        <f t="shared" si="59"/>
        <v>3683</v>
      </c>
      <c r="B3684" s="65" t="s">
        <v>5570</v>
      </c>
      <c r="C3684" s="1">
        <v>8328984700</v>
      </c>
      <c r="E3684" s="17" t="s">
        <v>5087</v>
      </c>
      <c r="F3684" s="65" t="s">
        <v>5569</v>
      </c>
      <c r="G3684" s="3" t="s">
        <v>16</v>
      </c>
      <c r="H3684" s="2" t="s">
        <v>4201</v>
      </c>
      <c r="I3684" s="3" t="s">
        <v>88</v>
      </c>
      <c r="J3684" s="31">
        <v>45866</v>
      </c>
      <c r="K3684" s="31">
        <v>45867</v>
      </c>
      <c r="L3684" s="31">
        <v>45868</v>
      </c>
      <c r="M3684" s="31">
        <v>45899</v>
      </c>
      <c r="N3684" s="31">
        <v>45899</v>
      </c>
      <c r="O3684" s="3" t="s">
        <v>297</v>
      </c>
    </row>
    <row r="3685" spans="1:15">
      <c r="A3685" s="3">
        <f t="shared" si="59"/>
        <v>3684</v>
      </c>
      <c r="B3685" s="65" t="s">
        <v>5571</v>
      </c>
      <c r="C3685" s="1">
        <v>9861442388</v>
      </c>
      <c r="E3685" s="17" t="s">
        <v>5572</v>
      </c>
      <c r="F3685" s="65" t="s">
        <v>5573</v>
      </c>
      <c r="G3685" s="3" t="s">
        <v>16</v>
      </c>
      <c r="H3685" s="3" t="s">
        <v>5574</v>
      </c>
      <c r="I3685" s="3" t="s">
        <v>88</v>
      </c>
      <c r="J3685" s="31">
        <v>45866</v>
      </c>
      <c r="K3685" s="31">
        <v>45867</v>
      </c>
      <c r="L3685" s="31">
        <v>45868</v>
      </c>
      <c r="M3685" s="31">
        <v>45899</v>
      </c>
      <c r="N3685" s="31">
        <v>45899</v>
      </c>
      <c r="O3685" s="3" t="s">
        <v>297</v>
      </c>
    </row>
    <row r="3686" spans="1:15">
      <c r="A3686" s="3">
        <f t="shared" si="59"/>
        <v>3685</v>
      </c>
      <c r="B3686" s="65" t="s">
        <v>5575</v>
      </c>
      <c r="C3686" s="1">
        <v>7801089506</v>
      </c>
      <c r="E3686" s="17" t="s">
        <v>5280</v>
      </c>
      <c r="F3686" s="65" t="s">
        <v>569</v>
      </c>
      <c r="G3686" s="3" t="s">
        <v>424</v>
      </c>
      <c r="H3686" s="3" t="s">
        <v>5163</v>
      </c>
      <c r="I3686" s="3" t="s">
        <v>94</v>
      </c>
      <c r="J3686" s="31">
        <v>45869</v>
      </c>
      <c r="K3686" s="31">
        <v>45870</v>
      </c>
      <c r="L3686" s="31"/>
      <c r="M3686" s="31"/>
      <c r="N3686" s="31"/>
      <c r="O3686" s="3" t="s">
        <v>425</v>
      </c>
    </row>
    <row r="3687" spans="1:15">
      <c r="A3687" s="3">
        <f t="shared" si="59"/>
        <v>3686</v>
      </c>
      <c r="B3687" s="65" t="s">
        <v>5576</v>
      </c>
      <c r="C3687" s="1">
        <v>8957441404</v>
      </c>
      <c r="E3687" s="17" t="s">
        <v>5280</v>
      </c>
      <c r="F3687" s="65" t="s">
        <v>569</v>
      </c>
      <c r="G3687" s="3" t="s">
        <v>16</v>
      </c>
      <c r="H3687" s="3" t="s">
        <v>5163</v>
      </c>
      <c r="I3687" s="3" t="s">
        <v>94</v>
      </c>
      <c r="J3687" s="31">
        <v>45869</v>
      </c>
      <c r="K3687" s="31">
        <v>45870</v>
      </c>
      <c r="L3687" s="31">
        <v>45876</v>
      </c>
      <c r="M3687" s="31">
        <v>45899</v>
      </c>
      <c r="N3687" s="31">
        <v>45897</v>
      </c>
      <c r="O3687" s="3" t="s">
        <v>297</v>
      </c>
    </row>
    <row r="3688" spans="1:15">
      <c r="A3688" s="3">
        <f t="shared" si="59"/>
        <v>3687</v>
      </c>
      <c r="B3688" s="65" t="s">
        <v>5577</v>
      </c>
      <c r="C3688" s="1">
        <v>9908059036</v>
      </c>
      <c r="E3688" s="17" t="s">
        <v>5266</v>
      </c>
      <c r="F3688" s="65" t="s">
        <v>308</v>
      </c>
      <c r="G3688" s="3" t="s">
        <v>18</v>
      </c>
      <c r="H3688" s="3" t="s">
        <v>5163</v>
      </c>
      <c r="I3688" s="3" t="s">
        <v>94</v>
      </c>
      <c r="J3688" s="31">
        <v>45869</v>
      </c>
      <c r="K3688" s="31">
        <v>45870</v>
      </c>
      <c r="L3688" s="31">
        <v>45909</v>
      </c>
      <c r="M3688" s="31">
        <v>45939</v>
      </c>
      <c r="N3688" s="31"/>
      <c r="O3688" s="3" t="s">
        <v>297</v>
      </c>
    </row>
    <row r="3689" spans="1:15">
      <c r="A3689" s="3">
        <f t="shared" si="59"/>
        <v>3688</v>
      </c>
      <c r="B3689" s="65" t="s">
        <v>5578</v>
      </c>
      <c r="C3689" s="1">
        <v>8073869470</v>
      </c>
      <c r="D3689" s="1">
        <v>9676240618</v>
      </c>
      <c r="E3689" s="17" t="s">
        <v>2176</v>
      </c>
      <c r="F3689" s="65"/>
      <c r="G3689" s="3" t="s">
        <v>16</v>
      </c>
      <c r="H3689" s="3" t="s">
        <v>296</v>
      </c>
      <c r="I3689" s="3" t="s">
        <v>42</v>
      </c>
      <c r="J3689" s="31">
        <v>45866</v>
      </c>
      <c r="K3689" s="31">
        <v>45867</v>
      </c>
      <c r="L3689" s="31">
        <v>45868</v>
      </c>
      <c r="M3689" s="31">
        <v>45902</v>
      </c>
      <c r="N3689" s="31">
        <v>45902</v>
      </c>
      <c r="O3689" s="3" t="s">
        <v>297</v>
      </c>
    </row>
    <row r="3690" spans="1:15">
      <c r="A3690" s="3">
        <f t="shared" si="59"/>
        <v>3689</v>
      </c>
      <c r="B3690" s="65" t="s">
        <v>5579</v>
      </c>
      <c r="C3690" s="1">
        <v>9467506740</v>
      </c>
      <c r="E3690" s="17" t="s">
        <v>5580</v>
      </c>
      <c r="F3690" s="65" t="s">
        <v>569</v>
      </c>
      <c r="G3690" s="3" t="s">
        <v>16</v>
      </c>
      <c r="H3690" s="3" t="s">
        <v>1605</v>
      </c>
      <c r="I3690" s="3" t="s">
        <v>94</v>
      </c>
      <c r="J3690" s="31">
        <v>45869</v>
      </c>
      <c r="K3690" s="31">
        <v>45870</v>
      </c>
      <c r="L3690" s="31">
        <v>45897</v>
      </c>
      <c r="M3690" s="31">
        <v>45943</v>
      </c>
      <c r="N3690" s="31">
        <v>45966</v>
      </c>
      <c r="O3690" s="3" t="s">
        <v>297</v>
      </c>
    </row>
    <row r="3691" spans="1:15">
      <c r="A3691" s="3">
        <f t="shared" si="59"/>
        <v>3690</v>
      </c>
      <c r="B3691" s="65" t="s">
        <v>1058</v>
      </c>
      <c r="C3691" s="1">
        <v>9198412247</v>
      </c>
      <c r="E3691" s="17" t="s">
        <v>5480</v>
      </c>
      <c r="F3691" s="65" t="s">
        <v>1312</v>
      </c>
      <c r="G3691" s="3" t="s">
        <v>16</v>
      </c>
      <c r="H3691" s="3" t="s">
        <v>1605</v>
      </c>
      <c r="I3691" s="3" t="s">
        <v>94</v>
      </c>
      <c r="J3691" s="31">
        <v>45869</v>
      </c>
      <c r="K3691" s="31">
        <v>45870</v>
      </c>
      <c r="L3691" s="31">
        <v>45876</v>
      </c>
      <c r="M3691" s="31">
        <v>45899</v>
      </c>
      <c r="N3691" s="31">
        <v>45898</v>
      </c>
      <c r="O3691" s="3" t="s">
        <v>297</v>
      </c>
    </row>
    <row r="3692" spans="1:15">
      <c r="A3692" s="3">
        <f t="shared" si="59"/>
        <v>3691</v>
      </c>
      <c r="B3692" s="65" t="s">
        <v>5581</v>
      </c>
      <c r="C3692" s="1">
        <v>8594886535</v>
      </c>
      <c r="E3692" s="17" t="s">
        <v>5483</v>
      </c>
      <c r="F3692" s="65" t="s">
        <v>5486</v>
      </c>
      <c r="G3692" s="3" t="s">
        <v>16</v>
      </c>
      <c r="H3692" s="3" t="s">
        <v>1605</v>
      </c>
      <c r="I3692" s="3" t="s">
        <v>94</v>
      </c>
      <c r="J3692" s="31">
        <v>45869</v>
      </c>
      <c r="K3692" s="31">
        <v>45870</v>
      </c>
      <c r="L3692" s="31">
        <v>45876</v>
      </c>
      <c r="M3692" s="31">
        <v>45907</v>
      </c>
      <c r="N3692" s="31">
        <v>45909</v>
      </c>
      <c r="O3692" s="3" t="s">
        <v>297</v>
      </c>
    </row>
    <row r="3693" spans="1:15">
      <c r="A3693" s="3">
        <f t="shared" si="59"/>
        <v>3692</v>
      </c>
      <c r="B3693" s="65" t="s">
        <v>5582</v>
      </c>
      <c r="C3693" s="1">
        <v>8770699248</v>
      </c>
      <c r="E3693" s="17" t="s">
        <v>5483</v>
      </c>
      <c r="F3693" s="65" t="s">
        <v>5486</v>
      </c>
      <c r="G3693" s="3" t="s">
        <v>764</v>
      </c>
      <c r="H3693" s="3" t="s">
        <v>1605</v>
      </c>
      <c r="I3693" s="3" t="s">
        <v>94</v>
      </c>
      <c r="J3693" s="31">
        <v>45869</v>
      </c>
      <c r="K3693" s="31">
        <v>45870</v>
      </c>
      <c r="L3693" s="31"/>
      <c r="M3693" s="31"/>
      <c r="N3693" s="31"/>
      <c r="O3693" s="3" t="s">
        <v>425</v>
      </c>
    </row>
    <row r="3694" spans="1:15">
      <c r="A3694" s="3">
        <f t="shared" si="59"/>
        <v>3693</v>
      </c>
      <c r="B3694" s="65" t="s">
        <v>1212</v>
      </c>
      <c r="C3694" s="1">
        <v>8827626236</v>
      </c>
      <c r="E3694" s="17" t="s">
        <v>5583</v>
      </c>
      <c r="F3694" s="65" t="s">
        <v>3696</v>
      </c>
      <c r="G3694" s="3" t="s">
        <v>295</v>
      </c>
      <c r="H3694" s="3" t="s">
        <v>1605</v>
      </c>
      <c r="I3694" s="3" t="s">
        <v>94</v>
      </c>
      <c r="J3694" s="31">
        <v>45869</v>
      </c>
      <c r="K3694" s="31">
        <v>45870</v>
      </c>
      <c r="L3694" s="31">
        <v>45911</v>
      </c>
      <c r="M3694" s="31">
        <v>45960</v>
      </c>
      <c r="N3694" s="31"/>
      <c r="O3694" s="3" t="s">
        <v>297</v>
      </c>
    </row>
    <row r="3695" spans="1:15">
      <c r="A3695" s="3">
        <f t="shared" si="59"/>
        <v>3694</v>
      </c>
      <c r="B3695" s="65" t="s">
        <v>5584</v>
      </c>
      <c r="C3695" s="1">
        <v>9448126442</v>
      </c>
      <c r="D3695" s="1">
        <v>7899442542</v>
      </c>
      <c r="E3695" s="17" t="s">
        <v>5585</v>
      </c>
      <c r="F3695" s="65" t="s">
        <v>5586</v>
      </c>
      <c r="G3695" s="3" t="s">
        <v>18</v>
      </c>
      <c r="H3695" s="3" t="s">
        <v>296</v>
      </c>
      <c r="I3695" s="3" t="s">
        <v>88</v>
      </c>
      <c r="J3695" s="31">
        <v>45869</v>
      </c>
      <c r="K3695" s="31"/>
      <c r="L3695" s="31"/>
      <c r="M3695" s="31"/>
      <c r="N3695" s="31"/>
      <c r="O3695" s="3" t="s">
        <v>297</v>
      </c>
    </row>
    <row r="3696" spans="1:15">
      <c r="A3696" s="3">
        <f t="shared" si="59"/>
        <v>3695</v>
      </c>
      <c r="B3696" s="65" t="s">
        <v>5325</v>
      </c>
      <c r="C3696" s="1">
        <v>8948708830</v>
      </c>
      <c r="E3696" s="17" t="s">
        <v>5585</v>
      </c>
      <c r="F3696" s="65" t="s">
        <v>5586</v>
      </c>
      <c r="G3696" s="3" t="s">
        <v>295</v>
      </c>
      <c r="H3696" s="3" t="s">
        <v>296</v>
      </c>
      <c r="I3696" s="3" t="s">
        <v>88</v>
      </c>
      <c r="J3696" s="31">
        <v>45869</v>
      </c>
      <c r="K3696" s="31">
        <v>45892</v>
      </c>
      <c r="L3696" s="31">
        <v>45898</v>
      </c>
      <c r="M3696" s="31">
        <v>45929</v>
      </c>
      <c r="N3696" s="31"/>
      <c r="O3696" s="3" t="s">
        <v>297</v>
      </c>
    </row>
    <row r="3697" spans="1:15">
      <c r="A3697" s="3">
        <f t="shared" si="59"/>
        <v>3696</v>
      </c>
      <c r="B3697" s="65" t="s">
        <v>5587</v>
      </c>
      <c r="C3697" s="1">
        <v>9682549437</v>
      </c>
      <c r="E3697" s="17" t="s">
        <v>5585</v>
      </c>
      <c r="F3697" s="65" t="s">
        <v>5586</v>
      </c>
      <c r="G3697" s="3" t="s">
        <v>18</v>
      </c>
      <c r="H3697" s="3" t="s">
        <v>296</v>
      </c>
      <c r="I3697" s="3" t="s">
        <v>88</v>
      </c>
      <c r="J3697" s="31">
        <v>45869</v>
      </c>
      <c r="K3697" s="31"/>
      <c r="L3697" s="31"/>
      <c r="M3697" s="31"/>
      <c r="N3697" s="31"/>
      <c r="O3697" s="3" t="s">
        <v>297</v>
      </c>
    </row>
    <row r="3698" spans="1:15">
      <c r="A3698" s="3">
        <f t="shared" si="59"/>
        <v>3697</v>
      </c>
      <c r="B3698" s="65" t="s">
        <v>5588</v>
      </c>
      <c r="C3698" s="1">
        <v>9547654787</v>
      </c>
      <c r="E3698" s="17" t="s">
        <v>5585</v>
      </c>
      <c r="F3698" s="65" t="s">
        <v>5586</v>
      </c>
      <c r="G3698" s="2" t="s">
        <v>416</v>
      </c>
      <c r="H3698" s="3" t="s">
        <v>296</v>
      </c>
      <c r="I3698" s="3" t="s">
        <v>88</v>
      </c>
      <c r="J3698" s="31">
        <v>45869</v>
      </c>
      <c r="K3698" s="31">
        <v>45884</v>
      </c>
      <c r="L3698" s="31"/>
      <c r="M3698" s="31"/>
      <c r="N3698" s="31"/>
      <c r="O3698" s="3" t="s">
        <v>297</v>
      </c>
    </row>
    <row r="3699" spans="1:15">
      <c r="A3699" s="3">
        <f t="shared" si="59"/>
        <v>3698</v>
      </c>
      <c r="B3699" s="65" t="s">
        <v>5589</v>
      </c>
      <c r="C3699" s="1">
        <v>6309528186</v>
      </c>
      <c r="D3699" s="1">
        <v>9829790789</v>
      </c>
      <c r="E3699" s="17" t="s">
        <v>5313</v>
      </c>
      <c r="F3699" s="65"/>
      <c r="G3699" s="3" t="s">
        <v>424</v>
      </c>
      <c r="H3699" s="3" t="s">
        <v>487</v>
      </c>
      <c r="I3699" s="3" t="s">
        <v>88</v>
      </c>
      <c r="J3699" s="31">
        <v>45869</v>
      </c>
      <c r="K3699" s="31">
        <v>45869</v>
      </c>
      <c r="L3699" s="31"/>
      <c r="M3699" s="31"/>
      <c r="N3699" s="31"/>
      <c r="O3699" s="3" t="s">
        <v>425</v>
      </c>
    </row>
    <row r="3700" spans="1:15">
      <c r="A3700" s="3">
        <f t="shared" si="59"/>
        <v>3699</v>
      </c>
      <c r="B3700" s="65" t="s">
        <v>5590</v>
      </c>
      <c r="C3700" s="1">
        <v>9010220127</v>
      </c>
      <c r="E3700" s="17" t="s">
        <v>2427</v>
      </c>
      <c r="F3700" s="65"/>
      <c r="G3700" s="3" t="s">
        <v>16</v>
      </c>
      <c r="H3700" s="3" t="s">
        <v>3313</v>
      </c>
      <c r="I3700" s="3" t="s">
        <v>42</v>
      </c>
      <c r="J3700" s="31">
        <v>45839</v>
      </c>
      <c r="K3700" s="31">
        <v>45840</v>
      </c>
      <c r="L3700" s="31">
        <v>45842</v>
      </c>
      <c r="M3700" s="31">
        <v>45845</v>
      </c>
      <c r="N3700" s="31">
        <v>45845</v>
      </c>
      <c r="O3700" s="3" t="s">
        <v>297</v>
      </c>
    </row>
    <row r="3701" spans="1:15">
      <c r="A3701" s="3">
        <f t="shared" si="59"/>
        <v>3700</v>
      </c>
      <c r="B3701" s="65" t="s">
        <v>5591</v>
      </c>
      <c r="C3701" s="1">
        <v>8179457871</v>
      </c>
      <c r="E3701" s="17" t="s">
        <v>5592</v>
      </c>
      <c r="F3701" s="65"/>
      <c r="G3701" s="3" t="s">
        <v>295</v>
      </c>
      <c r="H3701" s="3" t="s">
        <v>296</v>
      </c>
      <c r="I3701" s="3" t="s">
        <v>94</v>
      </c>
      <c r="J3701" s="31">
        <v>45866</v>
      </c>
      <c r="K3701" s="31">
        <v>45867</v>
      </c>
      <c r="L3701" s="31">
        <v>45867</v>
      </c>
      <c r="M3701" s="31">
        <v>45891</v>
      </c>
      <c r="N3701" s="31"/>
      <c r="O3701" s="3" t="s">
        <v>297</v>
      </c>
    </row>
    <row r="3702" spans="1:15">
      <c r="A3702" s="3">
        <f t="shared" si="59"/>
        <v>3701</v>
      </c>
      <c r="B3702" s="65" t="s">
        <v>5593</v>
      </c>
      <c r="C3702" s="1">
        <v>6206526771</v>
      </c>
      <c r="D3702" s="1">
        <v>8871706475</v>
      </c>
      <c r="E3702" s="17" t="s">
        <v>5516</v>
      </c>
      <c r="F3702" s="65"/>
      <c r="G3702" s="3" t="s">
        <v>18</v>
      </c>
      <c r="H3702" s="3" t="s">
        <v>361</v>
      </c>
      <c r="I3702" s="3" t="s">
        <v>94</v>
      </c>
      <c r="J3702" s="31">
        <v>45866</v>
      </c>
      <c r="K3702" s="31">
        <v>45867</v>
      </c>
      <c r="L3702" s="31">
        <v>45867</v>
      </c>
      <c r="M3702" s="31">
        <v>45921</v>
      </c>
      <c r="N3702" s="31"/>
      <c r="O3702" s="3" t="s">
        <v>297</v>
      </c>
    </row>
    <row r="3703" spans="1:15">
      <c r="A3703" s="3">
        <f t="shared" si="59"/>
        <v>3702</v>
      </c>
      <c r="B3703" s="65" t="s">
        <v>5594</v>
      </c>
      <c r="C3703" s="1">
        <v>9158883193</v>
      </c>
      <c r="E3703" s="1" t="s">
        <v>2821</v>
      </c>
      <c r="F3703" s="65" t="s">
        <v>687</v>
      </c>
      <c r="G3703" s="3" t="s">
        <v>295</v>
      </c>
      <c r="H3703" s="3" t="s">
        <v>679</v>
      </c>
      <c r="I3703" s="3" t="s">
        <v>42</v>
      </c>
      <c r="J3703" s="31">
        <v>45869</v>
      </c>
      <c r="K3703" s="31">
        <v>45877</v>
      </c>
      <c r="L3703" s="31">
        <v>45902</v>
      </c>
      <c r="M3703" s="31">
        <v>45992</v>
      </c>
      <c r="N3703" s="31"/>
      <c r="O3703" s="3" t="s">
        <v>297</v>
      </c>
    </row>
    <row r="3704" spans="1:15">
      <c r="A3704" s="3">
        <f t="shared" si="59"/>
        <v>3703</v>
      </c>
      <c r="B3704" s="65" t="s">
        <v>5595</v>
      </c>
      <c r="C3704" s="1">
        <v>7993488466</v>
      </c>
      <c r="D3704" s="1">
        <v>9754485233</v>
      </c>
      <c r="E3704" s="17" t="s">
        <v>59</v>
      </c>
      <c r="F3704" s="65" t="s">
        <v>5596</v>
      </c>
      <c r="G3704" s="3" t="s">
        <v>424</v>
      </c>
      <c r="H3704" s="3" t="s">
        <v>679</v>
      </c>
      <c r="I3704" s="3" t="s">
        <v>42</v>
      </c>
      <c r="J3704" s="31">
        <v>45869</v>
      </c>
      <c r="K3704" s="31">
        <v>45883</v>
      </c>
      <c r="L3704" s="31"/>
      <c r="M3704" s="31"/>
      <c r="N3704" s="31"/>
      <c r="O3704" s="3" t="s">
        <v>425</v>
      </c>
    </row>
    <row r="3705" spans="1:15">
      <c r="A3705" s="3">
        <f t="shared" si="59"/>
        <v>3704</v>
      </c>
      <c r="B3705" s="65" t="s">
        <v>5597</v>
      </c>
      <c r="C3705" s="1">
        <v>9490979755</v>
      </c>
      <c r="D3705" s="1">
        <v>8501972767</v>
      </c>
      <c r="E3705" s="17" t="s">
        <v>59</v>
      </c>
      <c r="F3705" s="65" t="s">
        <v>5598</v>
      </c>
      <c r="G3705" s="3" t="s">
        <v>424</v>
      </c>
      <c r="H3705" s="3" t="s">
        <v>679</v>
      </c>
      <c r="I3705" s="3" t="s">
        <v>42</v>
      </c>
      <c r="J3705" s="31">
        <v>45869</v>
      </c>
      <c r="K3705" s="31">
        <v>45889</v>
      </c>
      <c r="L3705" s="31"/>
      <c r="M3705" s="31"/>
      <c r="N3705" s="31"/>
      <c r="O3705" s="3" t="s">
        <v>425</v>
      </c>
    </row>
    <row r="3706" spans="1:15">
      <c r="A3706" s="3">
        <f t="shared" si="59"/>
        <v>3705</v>
      </c>
      <c r="B3706" s="65" t="s">
        <v>5599</v>
      </c>
      <c r="C3706" s="1">
        <v>9792251450</v>
      </c>
      <c r="E3706" s="17" t="s">
        <v>5600</v>
      </c>
      <c r="F3706" s="65" t="s">
        <v>308</v>
      </c>
      <c r="G3706" s="3" t="s">
        <v>424</v>
      </c>
      <c r="H3706" s="3" t="s">
        <v>368</v>
      </c>
      <c r="I3706" s="3" t="s">
        <v>94</v>
      </c>
      <c r="J3706" s="31">
        <v>45870</v>
      </c>
      <c r="K3706" s="31">
        <v>45875</v>
      </c>
      <c r="L3706" s="31"/>
      <c r="M3706" s="31"/>
      <c r="N3706" s="31"/>
      <c r="O3706" s="3" t="s">
        <v>425</v>
      </c>
    </row>
    <row r="3707" spans="1:15">
      <c r="A3707" s="3">
        <f t="shared" si="59"/>
        <v>3706</v>
      </c>
      <c r="B3707" s="65" t="s">
        <v>5601</v>
      </c>
      <c r="C3707" s="1">
        <v>9491244692</v>
      </c>
      <c r="E3707" s="17" t="s">
        <v>5600</v>
      </c>
      <c r="F3707" s="65" t="s">
        <v>308</v>
      </c>
      <c r="G3707" s="3" t="s">
        <v>424</v>
      </c>
      <c r="H3707" s="3" t="s">
        <v>368</v>
      </c>
      <c r="I3707" s="3" t="s">
        <v>94</v>
      </c>
      <c r="J3707" s="31">
        <v>45870</v>
      </c>
      <c r="K3707" s="31">
        <v>45875</v>
      </c>
      <c r="L3707" s="31"/>
      <c r="M3707" s="31"/>
      <c r="N3707" s="31"/>
      <c r="O3707" s="3" t="s">
        <v>749</v>
      </c>
    </row>
    <row r="3708" spans="1:15">
      <c r="A3708" s="3">
        <f t="shared" si="59"/>
        <v>3707</v>
      </c>
      <c r="B3708" s="65" t="s">
        <v>4345</v>
      </c>
      <c r="C3708" s="1">
        <v>8515030435</v>
      </c>
      <c r="E3708" s="17" t="s">
        <v>5600</v>
      </c>
      <c r="F3708" s="65" t="s">
        <v>419</v>
      </c>
      <c r="G3708" s="3" t="s">
        <v>16</v>
      </c>
      <c r="H3708" s="3" t="s">
        <v>368</v>
      </c>
      <c r="I3708" s="3" t="s">
        <v>94</v>
      </c>
      <c r="J3708" s="31">
        <v>45870</v>
      </c>
      <c r="K3708" s="31">
        <v>45873</v>
      </c>
      <c r="L3708" s="31">
        <v>45883</v>
      </c>
      <c r="M3708" s="31">
        <v>45914</v>
      </c>
      <c r="N3708" s="31">
        <v>45914</v>
      </c>
      <c r="O3708" s="3" t="s">
        <v>297</v>
      </c>
    </row>
    <row r="3709" spans="1:15">
      <c r="A3709" s="3">
        <f t="shared" si="59"/>
        <v>3708</v>
      </c>
      <c r="B3709" s="65" t="s">
        <v>5602</v>
      </c>
      <c r="C3709" s="1">
        <v>8819020460</v>
      </c>
      <c r="E3709" s="17" t="s">
        <v>5603</v>
      </c>
      <c r="F3709" s="65" t="s">
        <v>308</v>
      </c>
      <c r="G3709" s="3" t="s">
        <v>295</v>
      </c>
      <c r="H3709" s="3" t="s">
        <v>368</v>
      </c>
      <c r="I3709" s="3" t="s">
        <v>94</v>
      </c>
      <c r="J3709" s="31">
        <v>45870</v>
      </c>
      <c r="K3709" s="31">
        <v>45873</v>
      </c>
      <c r="L3709" s="31">
        <v>45897</v>
      </c>
      <c r="M3709" s="31">
        <v>45945</v>
      </c>
      <c r="N3709" s="31"/>
      <c r="O3709" s="3" t="s">
        <v>297</v>
      </c>
    </row>
    <row r="3710" spans="1:15">
      <c r="A3710" s="3">
        <f t="shared" si="59"/>
        <v>3709</v>
      </c>
      <c r="B3710" s="65" t="s">
        <v>5604</v>
      </c>
      <c r="C3710" s="1">
        <v>8751000087</v>
      </c>
      <c r="E3710" s="17" t="s">
        <v>5603</v>
      </c>
      <c r="F3710" s="65" t="s">
        <v>308</v>
      </c>
      <c r="G3710" s="2" t="s">
        <v>416</v>
      </c>
      <c r="H3710" s="3" t="s">
        <v>368</v>
      </c>
      <c r="I3710" s="3" t="s">
        <v>94</v>
      </c>
      <c r="J3710" s="31">
        <v>45870</v>
      </c>
      <c r="K3710" s="31">
        <v>45873</v>
      </c>
      <c r="L3710" s="31"/>
      <c r="M3710" s="31"/>
      <c r="N3710" s="31"/>
      <c r="O3710" s="3" t="s">
        <v>297</v>
      </c>
    </row>
    <row r="3711" spans="1:15">
      <c r="A3711" s="3">
        <f t="shared" si="59"/>
        <v>3710</v>
      </c>
      <c r="B3711" s="65" t="s">
        <v>5605</v>
      </c>
      <c r="C3711" s="1">
        <v>8788201512</v>
      </c>
      <c r="E3711" s="17" t="s">
        <v>5606</v>
      </c>
      <c r="F3711" s="65" t="s">
        <v>333</v>
      </c>
      <c r="G3711" s="3" t="s">
        <v>295</v>
      </c>
      <c r="H3711" s="3" t="s">
        <v>1096</v>
      </c>
      <c r="I3711" s="3" t="s">
        <v>94</v>
      </c>
      <c r="J3711" s="31">
        <v>45870</v>
      </c>
      <c r="K3711" s="31">
        <v>45874</v>
      </c>
      <c r="L3711" s="31">
        <v>45876</v>
      </c>
      <c r="M3711" s="31">
        <v>45937</v>
      </c>
      <c r="N3711" s="31"/>
      <c r="O3711" s="3" t="s">
        <v>297</v>
      </c>
    </row>
    <row r="3712" spans="1:15">
      <c r="A3712" s="3">
        <f t="shared" si="59"/>
        <v>3711</v>
      </c>
      <c r="B3712" s="65" t="s">
        <v>5607</v>
      </c>
      <c r="C3712" s="1">
        <v>8930295865</v>
      </c>
      <c r="E3712" s="17" t="s">
        <v>5606</v>
      </c>
      <c r="F3712" s="65" t="s">
        <v>333</v>
      </c>
      <c r="G3712" s="3" t="s">
        <v>16</v>
      </c>
      <c r="H3712" s="3" t="s">
        <v>1096</v>
      </c>
      <c r="I3712" s="3" t="s">
        <v>94</v>
      </c>
      <c r="J3712" s="31">
        <v>45870</v>
      </c>
      <c r="K3712" s="31">
        <v>45874</v>
      </c>
      <c r="L3712" s="31">
        <v>45881</v>
      </c>
      <c r="M3712" s="31">
        <v>45950</v>
      </c>
      <c r="N3712" s="31">
        <v>45952</v>
      </c>
      <c r="O3712" s="3" t="s">
        <v>297</v>
      </c>
    </row>
    <row r="3713" spans="1:15">
      <c r="A3713" s="3">
        <f t="shared" si="59"/>
        <v>3712</v>
      </c>
      <c r="B3713" s="65" t="s">
        <v>1058</v>
      </c>
      <c r="C3713" s="1">
        <v>9651540307</v>
      </c>
      <c r="E3713" s="17" t="s">
        <v>5606</v>
      </c>
      <c r="F3713" s="65" t="s">
        <v>333</v>
      </c>
      <c r="G3713" s="3" t="s">
        <v>424</v>
      </c>
      <c r="H3713" s="3" t="s">
        <v>1096</v>
      </c>
      <c r="I3713" s="3" t="s">
        <v>94</v>
      </c>
      <c r="J3713" s="31">
        <v>45870</v>
      </c>
      <c r="K3713" s="31">
        <v>45880</v>
      </c>
      <c r="L3713" s="31"/>
      <c r="M3713" s="31"/>
      <c r="N3713" s="31"/>
      <c r="O3713" s="3" t="s">
        <v>749</v>
      </c>
    </row>
    <row r="3714" spans="1:15">
      <c r="A3714" s="3">
        <f t="shared" si="59"/>
        <v>3713</v>
      </c>
      <c r="B3714" s="65" t="s">
        <v>5608</v>
      </c>
      <c r="C3714" s="1">
        <v>7070703067</v>
      </c>
      <c r="E3714" s="17" t="s">
        <v>5609</v>
      </c>
      <c r="F3714" s="65" t="s">
        <v>333</v>
      </c>
      <c r="G3714" s="3" t="s">
        <v>424</v>
      </c>
      <c r="H3714" s="3" t="s">
        <v>1096</v>
      </c>
      <c r="I3714" s="3" t="s">
        <v>94</v>
      </c>
      <c r="J3714" s="31">
        <v>45870</v>
      </c>
      <c r="K3714" s="31">
        <v>45880</v>
      </c>
      <c r="L3714" s="31"/>
      <c r="M3714" s="31"/>
      <c r="N3714" s="31"/>
      <c r="O3714" s="3" t="s">
        <v>425</v>
      </c>
    </row>
    <row r="3715" spans="1:15">
      <c r="A3715" s="3">
        <f t="shared" si="59"/>
        <v>3714</v>
      </c>
      <c r="B3715" s="65" t="s">
        <v>5610</v>
      </c>
      <c r="C3715" s="1">
        <v>6261525665</v>
      </c>
      <c r="E3715" s="17" t="s">
        <v>5609</v>
      </c>
      <c r="F3715" s="65" t="s">
        <v>333</v>
      </c>
      <c r="G3715" s="3" t="s">
        <v>424</v>
      </c>
      <c r="H3715" s="3" t="s">
        <v>1096</v>
      </c>
      <c r="I3715" s="3" t="s">
        <v>94</v>
      </c>
      <c r="J3715" s="31">
        <v>45870</v>
      </c>
      <c r="K3715" s="31">
        <v>45875</v>
      </c>
      <c r="L3715" s="31"/>
      <c r="M3715" s="31"/>
      <c r="N3715" s="31"/>
      <c r="O3715" s="3" t="s">
        <v>749</v>
      </c>
    </row>
    <row r="3716" spans="1:15">
      <c r="A3716" s="3">
        <f t="shared" si="59"/>
        <v>3715</v>
      </c>
      <c r="B3716" s="65" t="s">
        <v>2946</v>
      </c>
      <c r="C3716" s="1">
        <v>7077381388</v>
      </c>
      <c r="E3716" s="17" t="s">
        <v>5609</v>
      </c>
      <c r="F3716" s="65" t="s">
        <v>333</v>
      </c>
      <c r="G3716" s="3" t="s">
        <v>16</v>
      </c>
      <c r="H3716" s="3" t="s">
        <v>1096</v>
      </c>
      <c r="I3716" s="3" t="s">
        <v>94</v>
      </c>
      <c r="J3716" s="31">
        <v>45870</v>
      </c>
      <c r="K3716" s="31">
        <v>45876</v>
      </c>
      <c r="L3716" s="31">
        <v>45897</v>
      </c>
      <c r="M3716" s="31">
        <v>45958</v>
      </c>
      <c r="N3716" s="31">
        <v>45962</v>
      </c>
      <c r="O3716" s="3" t="s">
        <v>297</v>
      </c>
    </row>
    <row r="3717" spans="1:15">
      <c r="A3717" s="3">
        <f t="shared" si="59"/>
        <v>3716</v>
      </c>
      <c r="B3717" s="65" t="s">
        <v>5611</v>
      </c>
      <c r="C3717" s="1">
        <v>7078410405</v>
      </c>
      <c r="E3717" s="17" t="s">
        <v>5452</v>
      </c>
      <c r="F3717" s="65" t="s">
        <v>419</v>
      </c>
      <c r="G3717" s="3" t="s">
        <v>764</v>
      </c>
      <c r="H3717" s="3" t="s">
        <v>1096</v>
      </c>
      <c r="I3717" s="3" t="s">
        <v>94</v>
      </c>
      <c r="J3717" s="31">
        <v>45870</v>
      </c>
      <c r="K3717" s="31">
        <v>45874</v>
      </c>
      <c r="L3717" s="31"/>
      <c r="M3717" s="31"/>
      <c r="N3717" s="31"/>
      <c r="O3717" s="3" t="s">
        <v>425</v>
      </c>
    </row>
    <row r="3718" spans="1:15">
      <c r="A3718" s="3">
        <f t="shared" si="59"/>
        <v>3717</v>
      </c>
      <c r="B3718" s="65" t="s">
        <v>5612</v>
      </c>
      <c r="C3718" s="1">
        <v>9675458248</v>
      </c>
      <c r="E3718" s="17" t="s">
        <v>5452</v>
      </c>
      <c r="F3718" s="65" t="s">
        <v>419</v>
      </c>
      <c r="G3718" s="3" t="s">
        <v>424</v>
      </c>
      <c r="H3718" s="3" t="s">
        <v>1096</v>
      </c>
      <c r="I3718" s="3" t="s">
        <v>94</v>
      </c>
      <c r="J3718" s="31">
        <v>45870</v>
      </c>
      <c r="K3718" s="31">
        <v>45882</v>
      </c>
      <c r="L3718" s="31"/>
      <c r="M3718" s="31"/>
      <c r="N3718" s="31"/>
      <c r="O3718" s="3" t="s">
        <v>749</v>
      </c>
    </row>
    <row r="3719" spans="1:15">
      <c r="A3719" s="3">
        <f t="shared" si="59"/>
        <v>3718</v>
      </c>
      <c r="B3719" s="65" t="s">
        <v>2095</v>
      </c>
      <c r="C3719" s="1">
        <v>9621045163</v>
      </c>
      <c r="E3719" s="17" t="s">
        <v>5450</v>
      </c>
      <c r="F3719" s="65" t="s">
        <v>308</v>
      </c>
      <c r="G3719" s="3" t="s">
        <v>764</v>
      </c>
      <c r="H3719" s="3" t="s">
        <v>1096</v>
      </c>
      <c r="I3719" s="3" t="s">
        <v>94</v>
      </c>
      <c r="J3719" s="31">
        <v>45870</v>
      </c>
      <c r="K3719" s="31">
        <v>45874</v>
      </c>
      <c r="L3719" s="31"/>
      <c r="M3719" s="31"/>
      <c r="N3719" s="31"/>
      <c r="O3719" s="3" t="s">
        <v>425</v>
      </c>
    </row>
    <row r="3720" spans="1:15">
      <c r="A3720" s="3">
        <f t="shared" si="59"/>
        <v>3719</v>
      </c>
      <c r="B3720" s="65" t="s">
        <v>5613</v>
      </c>
      <c r="C3720" s="1">
        <v>9025074558</v>
      </c>
      <c r="E3720" s="17" t="s">
        <v>5450</v>
      </c>
      <c r="F3720" s="65" t="s">
        <v>308</v>
      </c>
      <c r="G3720" s="3" t="s">
        <v>764</v>
      </c>
      <c r="H3720" s="3" t="s">
        <v>1096</v>
      </c>
      <c r="I3720" s="3" t="s">
        <v>94</v>
      </c>
      <c r="J3720" s="31">
        <v>45870</v>
      </c>
      <c r="K3720" s="31">
        <v>45874</v>
      </c>
      <c r="L3720" s="31"/>
      <c r="M3720" s="31"/>
      <c r="N3720" s="31"/>
      <c r="O3720" s="3" t="s">
        <v>425</v>
      </c>
    </row>
    <row r="3721" spans="1:15">
      <c r="A3721" s="3">
        <f t="shared" si="59"/>
        <v>3720</v>
      </c>
      <c r="B3721" s="65" t="s">
        <v>5614</v>
      </c>
      <c r="C3721" s="1">
        <v>9555211458</v>
      </c>
      <c r="E3721" s="17" t="s">
        <v>5450</v>
      </c>
      <c r="F3721" s="65" t="s">
        <v>419</v>
      </c>
      <c r="G3721" s="3" t="s">
        <v>424</v>
      </c>
      <c r="H3721" s="3" t="s">
        <v>1096</v>
      </c>
      <c r="I3721" s="3" t="s">
        <v>94</v>
      </c>
      <c r="J3721" s="31">
        <v>45870</v>
      </c>
      <c r="K3721" s="31">
        <v>45882</v>
      </c>
      <c r="L3721" s="31"/>
      <c r="M3721" s="31"/>
      <c r="N3721" s="31"/>
      <c r="O3721" s="3" t="s">
        <v>425</v>
      </c>
    </row>
    <row r="3722" spans="1:15">
      <c r="A3722" s="3">
        <f t="shared" si="59"/>
        <v>3721</v>
      </c>
      <c r="B3722" s="65" t="s">
        <v>3798</v>
      </c>
      <c r="C3722" s="1">
        <v>8813808197</v>
      </c>
      <c r="E3722" s="17" t="s">
        <v>5497</v>
      </c>
      <c r="F3722" s="65" t="s">
        <v>308</v>
      </c>
      <c r="G3722" s="3" t="s">
        <v>424</v>
      </c>
      <c r="H3722" s="3" t="s">
        <v>1096</v>
      </c>
      <c r="I3722" s="3" t="s">
        <v>94</v>
      </c>
      <c r="J3722" s="31">
        <v>45870</v>
      </c>
      <c r="K3722" s="31">
        <v>45877</v>
      </c>
      <c r="L3722" s="31"/>
      <c r="M3722" s="31"/>
      <c r="N3722" s="31"/>
      <c r="O3722" s="3" t="s">
        <v>425</v>
      </c>
    </row>
    <row r="3723" spans="1:15">
      <c r="A3723" s="3">
        <f t="shared" si="59"/>
        <v>3722</v>
      </c>
      <c r="B3723" s="65" t="s">
        <v>5615</v>
      </c>
      <c r="C3723" s="1">
        <v>9792453737</v>
      </c>
      <c r="E3723" s="17" t="s">
        <v>5446</v>
      </c>
      <c r="F3723" s="65" t="s">
        <v>308</v>
      </c>
      <c r="G3723" s="3" t="s">
        <v>295</v>
      </c>
      <c r="H3723" s="3" t="s">
        <v>1096</v>
      </c>
      <c r="I3723" s="3" t="s">
        <v>94</v>
      </c>
      <c r="J3723" s="31">
        <v>45870</v>
      </c>
      <c r="K3723" s="31">
        <v>45876</v>
      </c>
      <c r="L3723" s="31">
        <v>45889</v>
      </c>
      <c r="M3723" s="31">
        <v>45950</v>
      </c>
      <c r="N3723" s="31"/>
      <c r="O3723" s="3" t="s">
        <v>297</v>
      </c>
    </row>
    <row r="3724" spans="1:15">
      <c r="A3724" s="3">
        <f t="shared" si="59"/>
        <v>3723</v>
      </c>
      <c r="B3724" s="65" t="s">
        <v>5616</v>
      </c>
      <c r="C3724" s="1">
        <v>8967416250</v>
      </c>
      <c r="E3724" s="17" t="s">
        <v>5617</v>
      </c>
      <c r="F3724" s="65" t="s">
        <v>308</v>
      </c>
      <c r="G3724" s="3" t="s">
        <v>295</v>
      </c>
      <c r="H3724" s="3" t="s">
        <v>1605</v>
      </c>
      <c r="I3724" s="3" t="s">
        <v>94</v>
      </c>
      <c r="J3724" s="31">
        <v>45870</v>
      </c>
      <c r="K3724" s="31">
        <v>45871</v>
      </c>
      <c r="L3724" s="31">
        <v>45876</v>
      </c>
      <c r="M3724" s="31">
        <v>45986</v>
      </c>
      <c r="N3724" s="31"/>
      <c r="O3724" s="3" t="s">
        <v>297</v>
      </c>
    </row>
    <row r="3725" spans="1:15">
      <c r="A3725" s="3">
        <f t="shared" si="59"/>
        <v>3724</v>
      </c>
      <c r="B3725" s="65" t="s">
        <v>5618</v>
      </c>
      <c r="C3725" s="1">
        <v>8273674244</v>
      </c>
      <c r="E3725" s="17" t="s">
        <v>5617</v>
      </c>
      <c r="F3725" s="65" t="s">
        <v>308</v>
      </c>
      <c r="G3725" s="3" t="s">
        <v>764</v>
      </c>
      <c r="H3725" s="3" t="s">
        <v>1605</v>
      </c>
      <c r="I3725" s="3" t="s">
        <v>94</v>
      </c>
      <c r="J3725" s="31">
        <v>45870</v>
      </c>
      <c r="K3725" s="31">
        <v>45870</v>
      </c>
      <c r="L3725" s="31"/>
      <c r="M3725" s="31"/>
      <c r="N3725" s="31"/>
      <c r="O3725" s="3" t="s">
        <v>425</v>
      </c>
    </row>
    <row r="3726" spans="1:15">
      <c r="A3726" s="3">
        <f t="shared" si="59"/>
        <v>3725</v>
      </c>
      <c r="B3726" s="65" t="s">
        <v>5619</v>
      </c>
      <c r="C3726" s="1">
        <v>8218531547</v>
      </c>
      <c r="E3726" s="17" t="s">
        <v>5617</v>
      </c>
      <c r="F3726" s="65" t="s">
        <v>419</v>
      </c>
      <c r="G3726" s="2" t="s">
        <v>416</v>
      </c>
      <c r="H3726" s="3" t="s">
        <v>1605</v>
      </c>
      <c r="I3726" s="3" t="s">
        <v>94</v>
      </c>
      <c r="J3726" s="31">
        <v>45870</v>
      </c>
      <c r="K3726" s="31">
        <v>45870</v>
      </c>
      <c r="L3726" s="31"/>
      <c r="M3726" s="31"/>
      <c r="N3726" s="31"/>
      <c r="O3726" s="3" t="s">
        <v>297</v>
      </c>
    </row>
    <row r="3727" spans="1:15">
      <c r="A3727" s="3">
        <f t="shared" si="59"/>
        <v>3726</v>
      </c>
      <c r="B3727" s="65" t="s">
        <v>5620</v>
      </c>
      <c r="C3727" s="1">
        <v>7505779488</v>
      </c>
      <c r="E3727" s="17" t="s">
        <v>5621</v>
      </c>
      <c r="F3727" s="65" t="s">
        <v>303</v>
      </c>
      <c r="G3727" s="3" t="s">
        <v>295</v>
      </c>
      <c r="H3727" s="3" t="s">
        <v>1605</v>
      </c>
      <c r="I3727" s="3" t="s">
        <v>94</v>
      </c>
      <c r="J3727" s="31">
        <v>45870</v>
      </c>
      <c r="K3727" s="31">
        <v>45870</v>
      </c>
      <c r="L3727" s="31">
        <v>45876</v>
      </c>
      <c r="M3727" s="31">
        <v>45962</v>
      </c>
      <c r="N3727" s="31"/>
      <c r="O3727" s="3" t="s">
        <v>297</v>
      </c>
    </row>
    <row r="3728" spans="1:15">
      <c r="A3728" s="3">
        <f t="shared" si="59"/>
        <v>3727</v>
      </c>
      <c r="B3728" s="65" t="s">
        <v>5622</v>
      </c>
      <c r="C3728" s="1">
        <v>6203661091</v>
      </c>
      <c r="E3728" s="17" t="s">
        <v>5621</v>
      </c>
      <c r="F3728" s="65" t="s">
        <v>303</v>
      </c>
      <c r="G3728" s="3" t="s">
        <v>764</v>
      </c>
      <c r="H3728" s="3" t="s">
        <v>1605</v>
      </c>
      <c r="I3728" s="3" t="s">
        <v>94</v>
      </c>
      <c r="J3728" s="31">
        <v>45870</v>
      </c>
      <c r="K3728" s="31">
        <v>45870</v>
      </c>
      <c r="L3728" s="31"/>
      <c r="M3728" s="31"/>
      <c r="N3728" s="31"/>
      <c r="O3728" s="3" t="s">
        <v>425</v>
      </c>
    </row>
    <row r="3729" spans="1:15">
      <c r="A3729" s="3">
        <f t="shared" si="59"/>
        <v>3728</v>
      </c>
      <c r="B3729" s="65" t="s">
        <v>5623</v>
      </c>
      <c r="C3729" s="1">
        <v>8757169781</v>
      </c>
      <c r="E3729" s="17" t="s">
        <v>5621</v>
      </c>
      <c r="F3729" s="65" t="s">
        <v>490</v>
      </c>
      <c r="G3729" s="2" t="s">
        <v>416</v>
      </c>
      <c r="H3729" s="3" t="s">
        <v>1605</v>
      </c>
      <c r="I3729" s="3" t="s">
        <v>94</v>
      </c>
      <c r="J3729" s="31">
        <v>45870</v>
      </c>
      <c r="K3729" s="31">
        <v>45870</v>
      </c>
      <c r="L3729" s="31"/>
      <c r="M3729" s="31"/>
      <c r="N3729" s="31"/>
      <c r="O3729" s="3" t="s">
        <v>297</v>
      </c>
    </row>
    <row r="3730" spans="1:15">
      <c r="A3730" s="3">
        <f t="shared" si="59"/>
        <v>3729</v>
      </c>
      <c r="B3730" s="65" t="s">
        <v>5624</v>
      </c>
      <c r="C3730" s="1">
        <v>7260850690</v>
      </c>
      <c r="E3730" s="17" t="s">
        <v>5625</v>
      </c>
      <c r="F3730" s="65" t="s">
        <v>303</v>
      </c>
      <c r="G3730" s="3" t="s">
        <v>16</v>
      </c>
      <c r="H3730" s="3" t="s">
        <v>1605</v>
      </c>
      <c r="I3730" s="3" t="s">
        <v>94</v>
      </c>
      <c r="J3730" s="31">
        <v>45870</v>
      </c>
      <c r="K3730" s="31">
        <v>45870</v>
      </c>
      <c r="L3730" s="31">
        <v>45876</v>
      </c>
      <c r="M3730" s="31">
        <v>45901</v>
      </c>
      <c r="N3730" s="31">
        <v>45901</v>
      </c>
      <c r="O3730" s="3" t="s">
        <v>297</v>
      </c>
    </row>
    <row r="3731" spans="1:15">
      <c r="A3731" s="3">
        <f t="shared" si="59"/>
        <v>3730</v>
      </c>
      <c r="B3731" s="65" t="s">
        <v>5626</v>
      </c>
      <c r="C3731" s="1">
        <v>7565005072</v>
      </c>
      <c r="E3731" s="17" t="s">
        <v>5625</v>
      </c>
      <c r="F3731" s="65" t="s">
        <v>612</v>
      </c>
      <c r="G3731" s="3" t="s">
        <v>16</v>
      </c>
      <c r="H3731" s="3" t="s">
        <v>1605</v>
      </c>
      <c r="I3731" s="3" t="s">
        <v>94</v>
      </c>
      <c r="J3731" s="31">
        <v>45870</v>
      </c>
      <c r="K3731" s="31">
        <v>45870</v>
      </c>
      <c r="L3731" s="31">
        <v>45876</v>
      </c>
      <c r="M3731" s="31">
        <v>45907</v>
      </c>
      <c r="N3731" s="31">
        <v>45909</v>
      </c>
      <c r="O3731" s="3" t="s">
        <v>297</v>
      </c>
    </row>
    <row r="3732" spans="1:15">
      <c r="A3732" s="3">
        <f t="shared" si="59"/>
        <v>3731</v>
      </c>
      <c r="B3732" s="65" t="s">
        <v>5627</v>
      </c>
      <c r="C3732" s="1">
        <v>7505977950</v>
      </c>
      <c r="E3732" s="17" t="s">
        <v>5625</v>
      </c>
      <c r="F3732" s="65" t="s">
        <v>303</v>
      </c>
      <c r="G3732" s="3" t="s">
        <v>764</v>
      </c>
      <c r="H3732" s="3" t="s">
        <v>1605</v>
      </c>
      <c r="I3732" s="3" t="s">
        <v>94</v>
      </c>
      <c r="J3732" s="31">
        <v>45870</v>
      </c>
      <c r="K3732" s="31">
        <v>45870</v>
      </c>
      <c r="L3732" s="31"/>
      <c r="M3732" s="31"/>
      <c r="N3732" s="31"/>
      <c r="O3732" s="3" t="s">
        <v>425</v>
      </c>
    </row>
    <row r="3733" spans="1:15">
      <c r="A3733" s="3">
        <f t="shared" si="59"/>
        <v>3732</v>
      </c>
      <c r="B3733" s="65" t="s">
        <v>5628</v>
      </c>
      <c r="C3733" s="1">
        <v>9550302447</v>
      </c>
      <c r="E3733" s="17" t="s">
        <v>141</v>
      </c>
      <c r="F3733" s="65"/>
      <c r="G3733" s="3" t="s">
        <v>16</v>
      </c>
      <c r="H3733" s="3" t="s">
        <v>815</v>
      </c>
      <c r="I3733" s="3" t="s">
        <v>42</v>
      </c>
      <c r="J3733" s="31">
        <v>45866</v>
      </c>
      <c r="K3733" s="31">
        <v>45867</v>
      </c>
      <c r="L3733" s="31">
        <v>45870</v>
      </c>
      <c r="M3733" s="31">
        <v>45877</v>
      </c>
      <c r="N3733" s="31">
        <v>45877</v>
      </c>
      <c r="O3733" s="3" t="s">
        <v>297</v>
      </c>
    </row>
    <row r="3734" spans="1:15">
      <c r="A3734" s="3">
        <f t="shared" si="59"/>
        <v>3733</v>
      </c>
      <c r="B3734" s="65" t="s">
        <v>5629</v>
      </c>
      <c r="C3734" s="1">
        <v>8196940849</v>
      </c>
      <c r="E3734" s="17" t="s">
        <v>5630</v>
      </c>
      <c r="F3734" s="65" t="s">
        <v>5631</v>
      </c>
      <c r="G3734" s="3" t="s">
        <v>16</v>
      </c>
      <c r="H3734" s="3" t="s">
        <v>815</v>
      </c>
      <c r="I3734" s="3" t="s">
        <v>94</v>
      </c>
      <c r="J3734" s="31">
        <v>45870</v>
      </c>
      <c r="K3734" s="31">
        <v>45875</v>
      </c>
      <c r="L3734" s="31">
        <v>45881</v>
      </c>
      <c r="M3734" s="31">
        <v>45917</v>
      </c>
      <c r="N3734" s="31">
        <v>45917</v>
      </c>
      <c r="O3734" s="3" t="s">
        <v>297</v>
      </c>
    </row>
    <row r="3735" spans="1:15">
      <c r="A3735" s="3">
        <f t="shared" si="59"/>
        <v>3734</v>
      </c>
      <c r="B3735" s="65" t="s">
        <v>5632</v>
      </c>
      <c r="C3735" s="1">
        <v>6207789092</v>
      </c>
      <c r="E3735" s="17" t="s">
        <v>5630</v>
      </c>
      <c r="F3735" s="65" t="s">
        <v>5631</v>
      </c>
      <c r="G3735" s="3" t="s">
        <v>295</v>
      </c>
      <c r="H3735" s="3" t="s">
        <v>815</v>
      </c>
      <c r="I3735" s="3" t="s">
        <v>94</v>
      </c>
      <c r="J3735" s="31">
        <v>45870</v>
      </c>
      <c r="K3735" s="31">
        <v>45875</v>
      </c>
      <c r="L3735" s="31">
        <v>45903</v>
      </c>
      <c r="M3735" s="31">
        <v>45933</v>
      </c>
      <c r="N3735" s="31"/>
      <c r="O3735" s="3" t="s">
        <v>297</v>
      </c>
    </row>
    <row r="3736" spans="1:15">
      <c r="A3736" s="3">
        <f t="shared" si="59"/>
        <v>3735</v>
      </c>
      <c r="B3736" s="65" t="s">
        <v>5633</v>
      </c>
      <c r="C3736" s="1">
        <v>7739406955</v>
      </c>
      <c r="E3736" s="17" t="s">
        <v>5350</v>
      </c>
      <c r="F3736" s="65" t="s">
        <v>5634</v>
      </c>
      <c r="G3736" s="3" t="s">
        <v>16</v>
      </c>
      <c r="H3736" s="3" t="s">
        <v>815</v>
      </c>
      <c r="I3736" s="3" t="s">
        <v>94</v>
      </c>
      <c r="J3736" s="31">
        <v>45870</v>
      </c>
      <c r="K3736" s="31">
        <v>45877</v>
      </c>
      <c r="L3736" s="31">
        <v>45897</v>
      </c>
      <c r="M3736" s="31">
        <v>45924</v>
      </c>
      <c r="N3736" s="31">
        <v>45924</v>
      </c>
      <c r="O3736" s="3" t="s">
        <v>297</v>
      </c>
    </row>
    <row r="3737" spans="1:15">
      <c r="A3737" s="3">
        <f t="shared" si="59"/>
        <v>3736</v>
      </c>
      <c r="B3737" s="65" t="s">
        <v>5635</v>
      </c>
      <c r="C3737" s="1">
        <v>8770260616</v>
      </c>
      <c r="E3737" s="17" t="s">
        <v>5350</v>
      </c>
      <c r="F3737" s="65" t="s">
        <v>5636</v>
      </c>
      <c r="G3737" s="3" t="s">
        <v>16</v>
      </c>
      <c r="H3737" s="3" t="s">
        <v>815</v>
      </c>
      <c r="I3737" s="3" t="s">
        <v>94</v>
      </c>
      <c r="J3737" s="31">
        <v>45870</v>
      </c>
      <c r="K3737" s="31">
        <v>45875</v>
      </c>
      <c r="L3737" s="31">
        <v>45889</v>
      </c>
      <c r="M3737" s="31">
        <v>45920</v>
      </c>
      <c r="N3737" s="31">
        <v>45902</v>
      </c>
      <c r="O3737" s="3" t="s">
        <v>297</v>
      </c>
    </row>
    <row r="3738" spans="1:15">
      <c r="A3738" s="3">
        <f t="shared" si="59"/>
        <v>3737</v>
      </c>
      <c r="B3738" s="65" t="s">
        <v>5637</v>
      </c>
      <c r="C3738" s="1">
        <v>9696448091</v>
      </c>
      <c r="E3738" s="17" t="s">
        <v>5350</v>
      </c>
      <c r="F3738" s="65" t="s">
        <v>5638</v>
      </c>
      <c r="G3738" s="3" t="s">
        <v>16</v>
      </c>
      <c r="H3738" s="3" t="s">
        <v>815</v>
      </c>
      <c r="I3738" s="3" t="s">
        <v>94</v>
      </c>
      <c r="J3738" s="31">
        <v>45870</v>
      </c>
      <c r="K3738" s="31">
        <v>45875</v>
      </c>
      <c r="L3738" s="31">
        <v>45881</v>
      </c>
      <c r="M3738" s="31">
        <v>45902</v>
      </c>
      <c r="N3738" s="31">
        <v>45901</v>
      </c>
      <c r="O3738" s="3" t="s">
        <v>297</v>
      </c>
    </row>
    <row r="3739" spans="1:15">
      <c r="A3739" s="3">
        <f t="shared" si="59"/>
        <v>3738</v>
      </c>
      <c r="B3739" s="65" t="s">
        <v>5639</v>
      </c>
      <c r="C3739" s="1">
        <v>7365888461</v>
      </c>
      <c r="D3739" s="1">
        <v>9352672438</v>
      </c>
      <c r="E3739" s="17" t="s">
        <v>5350</v>
      </c>
      <c r="F3739" s="65" t="s">
        <v>5631</v>
      </c>
      <c r="G3739" s="3" t="s">
        <v>416</v>
      </c>
      <c r="H3739" s="3" t="s">
        <v>815</v>
      </c>
      <c r="I3739" s="3" t="s">
        <v>94</v>
      </c>
      <c r="J3739" s="31">
        <v>45870</v>
      </c>
      <c r="K3739" s="31">
        <v>45875</v>
      </c>
      <c r="L3739" s="31"/>
      <c r="M3739" s="31"/>
      <c r="N3739" s="31"/>
      <c r="O3739" s="3" t="s">
        <v>297</v>
      </c>
    </row>
    <row r="3740" spans="1:15">
      <c r="A3740" s="3">
        <f t="shared" si="59"/>
        <v>3739</v>
      </c>
      <c r="B3740" s="65" t="s">
        <v>5640</v>
      </c>
      <c r="C3740" s="1">
        <v>7086795997</v>
      </c>
      <c r="E3740" s="17" t="s">
        <v>5364</v>
      </c>
      <c r="F3740" s="65" t="s">
        <v>5641</v>
      </c>
      <c r="G3740" s="3" t="s">
        <v>16</v>
      </c>
      <c r="H3740" s="3" t="s">
        <v>815</v>
      </c>
      <c r="I3740" s="3" t="s">
        <v>94</v>
      </c>
      <c r="J3740" s="31">
        <v>45870</v>
      </c>
      <c r="K3740" s="31">
        <v>45876</v>
      </c>
      <c r="L3740" s="31">
        <v>45883</v>
      </c>
      <c r="M3740" s="31">
        <v>45890</v>
      </c>
      <c r="N3740" s="31">
        <v>45898</v>
      </c>
      <c r="O3740" s="3" t="s">
        <v>297</v>
      </c>
    </row>
    <row r="3741" spans="1:15">
      <c r="A3741" s="3">
        <f t="shared" si="59"/>
        <v>3740</v>
      </c>
      <c r="B3741" s="65" t="s">
        <v>5642</v>
      </c>
      <c r="C3741" s="1">
        <v>8699084431</v>
      </c>
      <c r="E3741" s="17" t="s">
        <v>5364</v>
      </c>
      <c r="F3741" s="65" t="s">
        <v>823</v>
      </c>
      <c r="G3741" s="3" t="s">
        <v>16</v>
      </c>
      <c r="H3741" s="3" t="s">
        <v>815</v>
      </c>
      <c r="I3741" s="3" t="s">
        <v>94</v>
      </c>
      <c r="J3741" s="31">
        <v>45870</v>
      </c>
      <c r="K3741" s="31">
        <v>45875</v>
      </c>
      <c r="L3741" s="31">
        <v>45881</v>
      </c>
      <c r="M3741" s="31">
        <v>45888</v>
      </c>
      <c r="N3741" s="31">
        <v>45896</v>
      </c>
      <c r="O3741" s="3" t="s">
        <v>297</v>
      </c>
    </row>
    <row r="3742" spans="1:15">
      <c r="A3742" s="3">
        <f t="shared" si="59"/>
        <v>3741</v>
      </c>
      <c r="B3742" s="65" t="s">
        <v>5643</v>
      </c>
      <c r="C3742" s="1">
        <v>6393849683</v>
      </c>
      <c r="D3742" s="1">
        <v>9621223437</v>
      </c>
      <c r="E3742" s="17" t="s">
        <v>5358</v>
      </c>
      <c r="F3742" s="65" t="s">
        <v>1555</v>
      </c>
      <c r="G3742" s="3" t="s">
        <v>764</v>
      </c>
      <c r="H3742" s="3" t="s">
        <v>815</v>
      </c>
      <c r="I3742" s="3" t="s">
        <v>94</v>
      </c>
      <c r="J3742" s="31">
        <v>45870</v>
      </c>
      <c r="K3742" s="31">
        <v>45875</v>
      </c>
      <c r="L3742" s="31"/>
      <c r="M3742" s="31"/>
      <c r="N3742" s="31"/>
      <c r="O3742" s="3" t="s">
        <v>425</v>
      </c>
    </row>
    <row r="3743" spans="1:15">
      <c r="A3743" s="3">
        <f t="shared" ref="A3743:A3806" si="60">ROW()-1</f>
        <v>3742</v>
      </c>
      <c r="B3743" s="65" t="s">
        <v>5644</v>
      </c>
      <c r="C3743" s="1">
        <v>9691337435</v>
      </c>
      <c r="D3743" s="1">
        <v>9179620969</v>
      </c>
      <c r="E3743" s="17" t="s">
        <v>5362</v>
      </c>
      <c r="F3743" s="65" t="s">
        <v>1555</v>
      </c>
      <c r="G3743" s="3" t="s">
        <v>16</v>
      </c>
      <c r="H3743" s="3" t="s">
        <v>815</v>
      </c>
      <c r="I3743" s="3" t="s">
        <v>94</v>
      </c>
      <c r="J3743" s="31">
        <v>45870</v>
      </c>
      <c r="K3743" s="31">
        <v>45875</v>
      </c>
      <c r="L3743" s="31">
        <v>45889</v>
      </c>
      <c r="M3743" s="31">
        <v>45905</v>
      </c>
      <c r="N3743" s="31">
        <v>45904</v>
      </c>
      <c r="O3743" s="3" t="s">
        <v>297</v>
      </c>
    </row>
    <row r="3744" spans="1:15">
      <c r="A3744" s="3">
        <f t="shared" si="60"/>
        <v>3743</v>
      </c>
      <c r="B3744" s="65" t="s">
        <v>5645</v>
      </c>
      <c r="C3744" s="1">
        <v>7032810333</v>
      </c>
      <c r="D3744" s="1">
        <v>7893800605</v>
      </c>
      <c r="E3744" s="17" t="s">
        <v>5646</v>
      </c>
      <c r="F3744" s="65" t="s">
        <v>5647</v>
      </c>
      <c r="G3744" s="3" t="s">
        <v>16</v>
      </c>
      <c r="H3744" s="3" t="s">
        <v>3854</v>
      </c>
      <c r="I3744" s="3" t="s">
        <v>88</v>
      </c>
      <c r="J3744" s="31">
        <v>45866</v>
      </c>
      <c r="K3744" s="31">
        <v>45867</v>
      </c>
      <c r="L3744" s="31">
        <v>45868</v>
      </c>
      <c r="M3744" s="31">
        <v>45899</v>
      </c>
      <c r="N3744" s="31">
        <v>45899</v>
      </c>
      <c r="O3744" s="3" t="s">
        <v>297</v>
      </c>
    </row>
    <row r="3745" spans="1:15">
      <c r="A3745" s="3">
        <f t="shared" si="60"/>
        <v>3744</v>
      </c>
      <c r="B3745" s="65" t="s">
        <v>2202</v>
      </c>
      <c r="C3745" s="1">
        <v>8273769690</v>
      </c>
      <c r="E3745" s="17" t="s">
        <v>5648</v>
      </c>
      <c r="F3745" s="65" t="s">
        <v>456</v>
      </c>
      <c r="G3745" s="3" t="s">
        <v>424</v>
      </c>
      <c r="H3745" s="3" t="s">
        <v>296</v>
      </c>
      <c r="I3745" s="3" t="s">
        <v>94</v>
      </c>
      <c r="J3745" s="31">
        <v>45870</v>
      </c>
      <c r="K3745" s="31">
        <v>45903</v>
      </c>
      <c r="L3745" s="31"/>
      <c r="M3745" s="31"/>
      <c r="N3745" s="31"/>
      <c r="O3745" s="3" t="s">
        <v>425</v>
      </c>
    </row>
    <row r="3746" spans="1:15">
      <c r="A3746" s="3">
        <f t="shared" si="60"/>
        <v>3745</v>
      </c>
      <c r="B3746" s="65" t="s">
        <v>5649</v>
      </c>
      <c r="C3746" s="1">
        <v>8709444101</v>
      </c>
      <c r="E3746" s="17" t="s">
        <v>5648</v>
      </c>
      <c r="F3746" s="65" t="s">
        <v>456</v>
      </c>
      <c r="G3746" s="3" t="s">
        <v>424</v>
      </c>
      <c r="H3746" s="3" t="s">
        <v>296</v>
      </c>
      <c r="I3746" s="3" t="s">
        <v>94</v>
      </c>
      <c r="J3746" s="31">
        <v>45870</v>
      </c>
      <c r="K3746" s="31">
        <v>45876</v>
      </c>
      <c r="L3746" s="31"/>
      <c r="M3746" s="31"/>
      <c r="N3746" s="31"/>
      <c r="O3746" s="3" t="s">
        <v>425</v>
      </c>
    </row>
    <row r="3747" spans="1:15">
      <c r="A3747" s="3">
        <f t="shared" si="60"/>
        <v>3746</v>
      </c>
      <c r="B3747" s="65" t="s">
        <v>5650</v>
      </c>
      <c r="C3747" s="1">
        <v>7981132447</v>
      </c>
      <c r="D3747" s="1">
        <v>9493553296</v>
      </c>
      <c r="E3747" s="17" t="s">
        <v>5648</v>
      </c>
      <c r="F3747" s="65" t="s">
        <v>456</v>
      </c>
      <c r="G3747" s="3" t="s">
        <v>416</v>
      </c>
      <c r="H3747" s="3" t="s">
        <v>296</v>
      </c>
      <c r="I3747" s="3" t="s">
        <v>94</v>
      </c>
      <c r="J3747" s="31">
        <v>45870</v>
      </c>
      <c r="K3747" s="31">
        <v>45884</v>
      </c>
      <c r="L3747" s="31"/>
      <c r="M3747" s="31"/>
      <c r="N3747" s="31"/>
      <c r="O3747" s="3" t="s">
        <v>297</v>
      </c>
    </row>
    <row r="3748" spans="1:15">
      <c r="A3748" s="3">
        <f t="shared" si="60"/>
        <v>3747</v>
      </c>
      <c r="B3748" s="65" t="s">
        <v>5651</v>
      </c>
      <c r="C3748" s="1">
        <v>6296095968</v>
      </c>
      <c r="E3748" s="17" t="s">
        <v>5364</v>
      </c>
      <c r="F3748" s="65"/>
      <c r="G3748" s="3" t="s">
        <v>16</v>
      </c>
      <c r="H3748" s="3" t="s">
        <v>815</v>
      </c>
      <c r="I3748" s="3" t="s">
        <v>94</v>
      </c>
      <c r="J3748" s="31">
        <v>45866</v>
      </c>
      <c r="K3748" s="31">
        <v>45867</v>
      </c>
      <c r="L3748" s="31">
        <v>45870</v>
      </c>
      <c r="M3748" s="31">
        <v>45901</v>
      </c>
      <c r="N3748" s="31">
        <v>45886</v>
      </c>
      <c r="O3748" s="3" t="s">
        <v>297</v>
      </c>
    </row>
    <row r="3749" spans="1:15">
      <c r="A3749" s="3">
        <f t="shared" si="60"/>
        <v>3748</v>
      </c>
      <c r="B3749" s="65" t="s">
        <v>1231</v>
      </c>
      <c r="C3749" s="1">
        <v>9520229136</v>
      </c>
      <c r="E3749" s="17" t="s">
        <v>494</v>
      </c>
      <c r="F3749" s="65" t="s">
        <v>461</v>
      </c>
      <c r="G3749" s="3" t="s">
        <v>416</v>
      </c>
      <c r="H3749" s="3" t="s">
        <v>361</v>
      </c>
      <c r="I3749" s="3" t="s">
        <v>94</v>
      </c>
      <c r="J3749" s="31">
        <v>45870</v>
      </c>
      <c r="K3749" s="31">
        <v>45883</v>
      </c>
      <c r="L3749" s="31"/>
      <c r="M3749" s="31"/>
      <c r="N3749" s="31"/>
      <c r="O3749" s="3" t="s">
        <v>297</v>
      </c>
    </row>
    <row r="3750" spans="1:15">
      <c r="A3750" s="3">
        <f t="shared" si="60"/>
        <v>3749</v>
      </c>
      <c r="B3750" s="65" t="s">
        <v>5652</v>
      </c>
      <c r="C3750" s="1">
        <v>7742793861</v>
      </c>
      <c r="E3750" s="17" t="s">
        <v>5653</v>
      </c>
      <c r="F3750" s="65" t="s">
        <v>461</v>
      </c>
      <c r="G3750" s="3" t="s">
        <v>424</v>
      </c>
      <c r="H3750" s="3" t="s">
        <v>361</v>
      </c>
      <c r="I3750" s="3" t="s">
        <v>94</v>
      </c>
      <c r="J3750" s="31">
        <v>45870</v>
      </c>
      <c r="K3750" s="31">
        <v>45931</v>
      </c>
      <c r="L3750" s="31"/>
      <c r="M3750" s="31"/>
      <c r="N3750" s="31"/>
      <c r="O3750" s="3" t="s">
        <v>425</v>
      </c>
    </row>
    <row r="3751" spans="1:15">
      <c r="A3751" s="3">
        <f t="shared" si="60"/>
        <v>3750</v>
      </c>
      <c r="B3751" s="65" t="s">
        <v>5654</v>
      </c>
      <c r="C3751" s="1">
        <v>7054819178</v>
      </c>
      <c r="E3751" s="17" t="s">
        <v>5655</v>
      </c>
      <c r="F3751" s="65" t="s">
        <v>5656</v>
      </c>
      <c r="G3751" s="3" t="s">
        <v>424</v>
      </c>
      <c r="H3751" s="3" t="s">
        <v>361</v>
      </c>
      <c r="I3751" s="3" t="s">
        <v>94</v>
      </c>
      <c r="J3751" s="31">
        <v>45870</v>
      </c>
      <c r="K3751" s="31">
        <v>45883</v>
      </c>
      <c r="L3751" s="31"/>
      <c r="M3751" s="31"/>
      <c r="N3751" s="31"/>
      <c r="O3751" s="3" t="s">
        <v>425</v>
      </c>
    </row>
    <row r="3752" spans="1:15">
      <c r="A3752" s="3">
        <f t="shared" si="60"/>
        <v>3751</v>
      </c>
      <c r="B3752" s="65" t="s">
        <v>5657</v>
      </c>
      <c r="C3752" s="1">
        <v>9939720439</v>
      </c>
      <c r="E3752" s="17" t="s">
        <v>5655</v>
      </c>
      <c r="F3752" s="65" t="s">
        <v>5658</v>
      </c>
      <c r="G3752" s="3" t="s">
        <v>416</v>
      </c>
      <c r="H3752" s="3" t="s">
        <v>361</v>
      </c>
      <c r="I3752" s="3" t="s">
        <v>94</v>
      </c>
      <c r="J3752" s="31">
        <v>45870</v>
      </c>
      <c r="K3752" s="31">
        <v>45883</v>
      </c>
      <c r="L3752" s="31"/>
      <c r="M3752" s="31"/>
      <c r="N3752" s="31"/>
      <c r="O3752" s="3" t="s">
        <v>297</v>
      </c>
    </row>
    <row r="3753" spans="1:15">
      <c r="A3753" s="3">
        <f t="shared" si="60"/>
        <v>3752</v>
      </c>
      <c r="B3753" s="65" t="s">
        <v>5659</v>
      </c>
      <c r="C3753" s="1">
        <v>9732390490</v>
      </c>
      <c r="E3753" s="17" t="s">
        <v>5660</v>
      </c>
      <c r="F3753" s="65" t="s">
        <v>5661</v>
      </c>
      <c r="G3753" s="3" t="s">
        <v>18</v>
      </c>
      <c r="H3753" s="3" t="s">
        <v>815</v>
      </c>
      <c r="I3753" s="3" t="s">
        <v>88</v>
      </c>
      <c r="J3753" s="31">
        <v>45873</v>
      </c>
      <c r="K3753" s="31">
        <v>45881</v>
      </c>
      <c r="L3753" s="31"/>
      <c r="M3753" s="31"/>
      <c r="N3753" s="31"/>
      <c r="O3753" s="3" t="s">
        <v>297</v>
      </c>
    </row>
    <row r="3754" spans="1:15">
      <c r="A3754" s="3">
        <f t="shared" si="60"/>
        <v>3753</v>
      </c>
      <c r="B3754" s="65" t="s">
        <v>5662</v>
      </c>
      <c r="C3754" s="1">
        <v>8011176554</v>
      </c>
      <c r="E3754" s="17" t="s">
        <v>5660</v>
      </c>
      <c r="F3754" s="65" t="s">
        <v>5663</v>
      </c>
      <c r="G3754" s="3" t="s">
        <v>764</v>
      </c>
      <c r="H3754" s="3" t="s">
        <v>815</v>
      </c>
      <c r="I3754" s="3" t="s">
        <v>88</v>
      </c>
      <c r="J3754" s="31">
        <v>45873</v>
      </c>
      <c r="K3754" s="31">
        <v>45881</v>
      </c>
      <c r="L3754" s="31"/>
      <c r="M3754" s="31"/>
      <c r="N3754" s="31"/>
      <c r="O3754" s="3" t="s">
        <v>425</v>
      </c>
    </row>
    <row r="3755" spans="1:15">
      <c r="A3755" s="3">
        <f t="shared" si="60"/>
        <v>3754</v>
      </c>
      <c r="B3755" s="65" t="s">
        <v>5664</v>
      </c>
      <c r="C3755" s="1">
        <v>8412999765</v>
      </c>
      <c r="E3755" s="17" t="s">
        <v>5660</v>
      </c>
      <c r="F3755" s="65" t="s">
        <v>5123</v>
      </c>
      <c r="G3755" s="2" t="s">
        <v>416</v>
      </c>
      <c r="H3755" s="3" t="s">
        <v>815</v>
      </c>
      <c r="I3755" s="3" t="s">
        <v>88</v>
      </c>
      <c r="J3755" s="31">
        <v>45873</v>
      </c>
      <c r="K3755" s="31">
        <v>45881</v>
      </c>
      <c r="L3755" s="31"/>
      <c r="M3755" s="31"/>
      <c r="N3755" s="31"/>
      <c r="O3755" s="3" t="s">
        <v>297</v>
      </c>
    </row>
    <row r="3756" spans="1:15">
      <c r="A3756" s="3">
        <f t="shared" si="60"/>
        <v>3755</v>
      </c>
      <c r="B3756" s="65" t="s">
        <v>5665</v>
      </c>
      <c r="C3756" s="1">
        <v>8541085311</v>
      </c>
      <c r="E3756" s="17" t="s">
        <v>5660</v>
      </c>
      <c r="F3756" s="65" t="s">
        <v>823</v>
      </c>
      <c r="G3756" s="3" t="s">
        <v>764</v>
      </c>
      <c r="H3756" s="3" t="s">
        <v>815</v>
      </c>
      <c r="I3756" s="3" t="s">
        <v>88</v>
      </c>
      <c r="J3756" s="31">
        <v>45873</v>
      </c>
      <c r="K3756" s="31">
        <v>45881</v>
      </c>
      <c r="L3756" s="31"/>
      <c r="M3756" s="31"/>
      <c r="N3756" s="31"/>
      <c r="O3756" s="3" t="s">
        <v>425</v>
      </c>
    </row>
    <row r="3757" spans="1:15">
      <c r="A3757" s="3">
        <f t="shared" si="60"/>
        <v>3756</v>
      </c>
      <c r="B3757" s="65" t="s">
        <v>5666</v>
      </c>
      <c r="C3757" s="1">
        <v>7024965078</v>
      </c>
      <c r="E3757" s="17" t="s">
        <v>5660</v>
      </c>
      <c r="F3757" s="65" t="s">
        <v>821</v>
      </c>
      <c r="G3757" s="3" t="s">
        <v>764</v>
      </c>
      <c r="H3757" s="3" t="s">
        <v>815</v>
      </c>
      <c r="I3757" s="3" t="s">
        <v>88</v>
      </c>
      <c r="J3757" s="31">
        <v>45873</v>
      </c>
      <c r="K3757" s="31">
        <v>45881</v>
      </c>
      <c r="L3757" s="31"/>
      <c r="M3757" s="31"/>
      <c r="N3757" s="31"/>
      <c r="O3757" s="3" t="s">
        <v>425</v>
      </c>
    </row>
    <row r="3758" spans="1:15">
      <c r="A3758" s="3">
        <f t="shared" si="60"/>
        <v>3757</v>
      </c>
      <c r="B3758" s="65" t="s">
        <v>5667</v>
      </c>
      <c r="C3758" s="1">
        <v>7004357703</v>
      </c>
      <c r="E3758" s="1" t="s">
        <v>5173</v>
      </c>
      <c r="F3758" s="65" t="s">
        <v>3594</v>
      </c>
      <c r="G3758" s="3" t="s">
        <v>16</v>
      </c>
      <c r="H3758" s="3" t="s">
        <v>3240</v>
      </c>
      <c r="I3758" s="3" t="s">
        <v>42</v>
      </c>
      <c r="J3758" s="31">
        <v>45873</v>
      </c>
      <c r="K3758" s="31">
        <v>45876</v>
      </c>
      <c r="L3758" s="31">
        <v>45877</v>
      </c>
      <c r="M3758" s="31">
        <v>45884</v>
      </c>
      <c r="N3758" s="31">
        <v>45885</v>
      </c>
      <c r="O3758" s="3" t="s">
        <v>297</v>
      </c>
    </row>
    <row r="3759" spans="1:15">
      <c r="A3759" s="3">
        <f t="shared" si="60"/>
        <v>3758</v>
      </c>
      <c r="B3759" s="65" t="s">
        <v>5668</v>
      </c>
      <c r="C3759" s="1">
        <v>9912145987</v>
      </c>
      <c r="E3759" s="1" t="s">
        <v>5173</v>
      </c>
      <c r="F3759" s="65" t="s">
        <v>3594</v>
      </c>
      <c r="G3759" s="3" t="s">
        <v>16</v>
      </c>
      <c r="H3759" s="3" t="s">
        <v>3240</v>
      </c>
      <c r="I3759" s="3" t="s">
        <v>42</v>
      </c>
      <c r="J3759" s="31">
        <v>45873</v>
      </c>
      <c r="K3759" s="31">
        <v>45877</v>
      </c>
      <c r="L3759" s="31">
        <v>45877</v>
      </c>
      <c r="M3759" s="31">
        <v>45913</v>
      </c>
      <c r="N3759" s="31">
        <v>45882</v>
      </c>
      <c r="O3759" s="3" t="s">
        <v>297</v>
      </c>
    </row>
    <row r="3760" spans="1:15">
      <c r="A3760" s="3">
        <f t="shared" si="60"/>
        <v>3759</v>
      </c>
      <c r="B3760" s="65" t="s">
        <v>5669</v>
      </c>
      <c r="C3760" s="1">
        <v>9129302026</v>
      </c>
      <c r="E3760" s="17" t="s">
        <v>1023</v>
      </c>
      <c r="F3760" s="65" t="s">
        <v>5670</v>
      </c>
      <c r="G3760" s="3" t="s">
        <v>424</v>
      </c>
      <c r="H3760" s="3" t="s">
        <v>3240</v>
      </c>
      <c r="I3760" s="3" t="s">
        <v>42</v>
      </c>
      <c r="J3760" s="31">
        <v>45873</v>
      </c>
      <c r="K3760" s="31">
        <v>45883</v>
      </c>
      <c r="L3760" s="31"/>
      <c r="M3760" s="31"/>
      <c r="N3760" s="31"/>
      <c r="O3760" s="3" t="s">
        <v>425</v>
      </c>
    </row>
    <row r="3761" spans="1:15">
      <c r="A3761" s="3">
        <f t="shared" si="60"/>
        <v>3760</v>
      </c>
      <c r="B3761" s="65" t="s">
        <v>5671</v>
      </c>
      <c r="C3761" s="1">
        <v>9542431152</v>
      </c>
      <c r="D3761" s="1">
        <v>9014188414</v>
      </c>
      <c r="E3761" s="17" t="s">
        <v>1023</v>
      </c>
      <c r="F3761" s="65" t="s">
        <v>5672</v>
      </c>
      <c r="G3761" s="3" t="s">
        <v>18</v>
      </c>
      <c r="H3761" s="3" t="s">
        <v>3240</v>
      </c>
      <c r="I3761" s="3" t="s">
        <v>42</v>
      </c>
      <c r="J3761" s="31">
        <v>45873</v>
      </c>
      <c r="K3761" s="31">
        <v>45883</v>
      </c>
      <c r="L3761" s="31"/>
      <c r="M3761" s="31"/>
      <c r="N3761" s="31"/>
      <c r="O3761" s="3" t="s">
        <v>297</v>
      </c>
    </row>
    <row r="3762" spans="1:15">
      <c r="A3762" s="3">
        <f t="shared" si="60"/>
        <v>3761</v>
      </c>
      <c r="B3762" s="65" t="s">
        <v>5673</v>
      </c>
      <c r="C3762" s="1">
        <v>9346841885</v>
      </c>
      <c r="E3762" s="17" t="s">
        <v>1023</v>
      </c>
      <c r="F3762" s="65" t="s">
        <v>3594</v>
      </c>
      <c r="G3762" s="3" t="s">
        <v>18</v>
      </c>
      <c r="H3762" s="3" t="s">
        <v>3240</v>
      </c>
      <c r="I3762" s="3" t="s">
        <v>42</v>
      </c>
      <c r="J3762" s="31">
        <v>45873</v>
      </c>
      <c r="K3762" s="31">
        <v>45883</v>
      </c>
      <c r="L3762" s="31"/>
      <c r="M3762" s="31"/>
      <c r="N3762" s="31"/>
      <c r="O3762" s="3" t="s">
        <v>297</v>
      </c>
    </row>
    <row r="3763" spans="1:15">
      <c r="A3763" s="3">
        <f t="shared" si="60"/>
        <v>3762</v>
      </c>
      <c r="B3763" s="65" t="s">
        <v>5674</v>
      </c>
      <c r="C3763" s="1">
        <v>7352835611</v>
      </c>
      <c r="E3763" s="1" t="s">
        <v>5173</v>
      </c>
      <c r="F3763" s="65" t="s">
        <v>3594</v>
      </c>
      <c r="G3763" s="3" t="s">
        <v>16</v>
      </c>
      <c r="H3763" s="3" t="s">
        <v>3240</v>
      </c>
      <c r="I3763" s="3" t="s">
        <v>42</v>
      </c>
      <c r="J3763" s="31">
        <v>45873</v>
      </c>
      <c r="K3763" s="31">
        <v>45876</v>
      </c>
      <c r="L3763" s="31">
        <v>45877</v>
      </c>
      <c r="M3763" s="31">
        <v>45924</v>
      </c>
      <c r="N3763" s="31">
        <v>45912</v>
      </c>
      <c r="O3763" s="3" t="s">
        <v>297</v>
      </c>
    </row>
    <row r="3764" spans="1:15">
      <c r="A3764" s="3">
        <f t="shared" si="60"/>
        <v>3763</v>
      </c>
      <c r="B3764" s="65" t="s">
        <v>5675</v>
      </c>
      <c r="C3764" s="1">
        <v>8770295009</v>
      </c>
      <c r="E3764" s="17" t="s">
        <v>5429</v>
      </c>
      <c r="F3764" s="65" t="s">
        <v>5676</v>
      </c>
      <c r="G3764" s="3" t="s">
        <v>424</v>
      </c>
      <c r="H3764" s="3" t="s">
        <v>674</v>
      </c>
      <c r="I3764" s="3" t="s">
        <v>94</v>
      </c>
      <c r="J3764" s="31">
        <v>45874</v>
      </c>
      <c r="K3764" s="31">
        <v>45887</v>
      </c>
      <c r="L3764" s="31"/>
      <c r="M3764" s="31"/>
      <c r="N3764" s="31"/>
      <c r="O3764" s="3" t="s">
        <v>749</v>
      </c>
    </row>
    <row r="3765" spans="1:15">
      <c r="A3765" s="3">
        <f t="shared" si="60"/>
        <v>3764</v>
      </c>
      <c r="B3765" s="65" t="s">
        <v>5677</v>
      </c>
      <c r="C3765" s="1">
        <v>8728999087</v>
      </c>
      <c r="E3765" s="17" t="s">
        <v>5236</v>
      </c>
      <c r="F3765" s="65" t="s">
        <v>2199</v>
      </c>
      <c r="G3765" s="3" t="s">
        <v>416</v>
      </c>
      <c r="H3765" s="3" t="s">
        <v>674</v>
      </c>
      <c r="I3765" s="3" t="s">
        <v>94</v>
      </c>
      <c r="J3765" s="31">
        <v>45874</v>
      </c>
      <c r="K3765" s="31">
        <v>45887</v>
      </c>
      <c r="L3765" s="31"/>
      <c r="M3765" s="31"/>
      <c r="N3765" s="31"/>
      <c r="O3765" s="3" t="s">
        <v>297</v>
      </c>
    </row>
    <row r="3766" spans="1:15">
      <c r="A3766" s="3">
        <f t="shared" si="60"/>
        <v>3765</v>
      </c>
      <c r="B3766" s="65" t="s">
        <v>5678</v>
      </c>
      <c r="C3766" s="1">
        <v>8412899487</v>
      </c>
      <c r="E3766" s="17" t="s">
        <v>5236</v>
      </c>
      <c r="F3766" s="65" t="s">
        <v>2199</v>
      </c>
      <c r="G3766" s="3" t="s">
        <v>416</v>
      </c>
      <c r="H3766" s="3" t="s">
        <v>674</v>
      </c>
      <c r="I3766" s="3" t="s">
        <v>94</v>
      </c>
      <c r="J3766" s="31">
        <v>45874</v>
      </c>
      <c r="K3766" s="31">
        <v>45887</v>
      </c>
      <c r="L3766" s="31"/>
      <c r="M3766" s="31"/>
      <c r="N3766" s="31"/>
      <c r="O3766" s="3" t="s">
        <v>297</v>
      </c>
    </row>
    <row r="3767" spans="1:15">
      <c r="A3767" s="3">
        <f t="shared" si="60"/>
        <v>3766</v>
      </c>
      <c r="B3767" s="65" t="s">
        <v>5679</v>
      </c>
      <c r="C3767" s="1">
        <v>9491111617</v>
      </c>
      <c r="E3767" s="17" t="s">
        <v>5236</v>
      </c>
      <c r="F3767" s="65" t="s">
        <v>2199</v>
      </c>
      <c r="G3767" s="3" t="s">
        <v>424</v>
      </c>
      <c r="H3767" s="3" t="s">
        <v>674</v>
      </c>
      <c r="I3767" s="3" t="s">
        <v>94</v>
      </c>
      <c r="J3767" s="31">
        <v>45874</v>
      </c>
      <c r="K3767" s="31">
        <v>45951</v>
      </c>
      <c r="L3767" s="31"/>
      <c r="M3767" s="31"/>
      <c r="N3767" s="31"/>
      <c r="O3767" s="3" t="s">
        <v>749</v>
      </c>
    </row>
    <row r="3768" spans="1:15">
      <c r="A3768" s="3">
        <f t="shared" si="60"/>
        <v>3767</v>
      </c>
      <c r="B3768" s="65" t="s">
        <v>5680</v>
      </c>
      <c r="C3768" s="1">
        <v>7978113713</v>
      </c>
      <c r="E3768" s="17" t="s">
        <v>5233</v>
      </c>
      <c r="F3768" s="65" t="s">
        <v>308</v>
      </c>
      <c r="G3768" s="3" t="s">
        <v>416</v>
      </c>
      <c r="H3768" s="3" t="s">
        <v>674</v>
      </c>
      <c r="I3768" s="3" t="s">
        <v>94</v>
      </c>
      <c r="J3768" s="31">
        <v>45874</v>
      </c>
      <c r="K3768" s="31">
        <v>45888</v>
      </c>
      <c r="L3768" s="31"/>
      <c r="M3768" s="31"/>
      <c r="N3768" s="31"/>
      <c r="O3768" s="3" t="s">
        <v>297</v>
      </c>
    </row>
    <row r="3769" spans="1:15">
      <c r="A3769" s="3">
        <f t="shared" si="60"/>
        <v>3768</v>
      </c>
      <c r="B3769" s="65" t="s">
        <v>5681</v>
      </c>
      <c r="C3769" s="1">
        <v>8777328790</v>
      </c>
      <c r="D3769" s="1">
        <v>9804138748</v>
      </c>
      <c r="E3769" s="17" t="s">
        <v>5233</v>
      </c>
      <c r="F3769" s="65" t="s">
        <v>308</v>
      </c>
      <c r="G3769" s="3" t="s">
        <v>16</v>
      </c>
      <c r="H3769" s="3" t="s">
        <v>674</v>
      </c>
      <c r="I3769" s="3" t="s">
        <v>94</v>
      </c>
      <c r="J3769" s="31">
        <v>45874</v>
      </c>
      <c r="K3769" s="31">
        <v>45888</v>
      </c>
      <c r="L3769" s="31">
        <v>45903</v>
      </c>
      <c r="M3769" s="31">
        <v>45933</v>
      </c>
      <c r="N3769" s="31">
        <v>45937</v>
      </c>
      <c r="O3769" s="3" t="s">
        <v>297</v>
      </c>
    </row>
    <row r="3770" spans="1:15">
      <c r="A3770" s="3">
        <f t="shared" si="60"/>
        <v>3769</v>
      </c>
      <c r="B3770" s="65" t="s">
        <v>5682</v>
      </c>
      <c r="C3770" s="1">
        <v>8858214206</v>
      </c>
      <c r="D3770" s="1">
        <v>9399657020</v>
      </c>
      <c r="E3770" s="17" t="s">
        <v>5211</v>
      </c>
      <c r="F3770" s="65" t="s">
        <v>689</v>
      </c>
      <c r="G3770" s="3" t="s">
        <v>16</v>
      </c>
      <c r="H3770" s="3" t="s">
        <v>674</v>
      </c>
      <c r="I3770" s="3" t="s">
        <v>94</v>
      </c>
      <c r="J3770" s="31">
        <v>45874</v>
      </c>
      <c r="K3770" s="31">
        <v>45887</v>
      </c>
      <c r="L3770" s="31">
        <v>45903</v>
      </c>
      <c r="M3770" s="31">
        <v>45933</v>
      </c>
      <c r="N3770" s="31">
        <v>45940</v>
      </c>
      <c r="O3770" s="3" t="s">
        <v>297</v>
      </c>
    </row>
    <row r="3771" spans="1:15">
      <c r="A3771" s="3">
        <f t="shared" si="60"/>
        <v>3770</v>
      </c>
      <c r="B3771" s="65" t="s">
        <v>5683</v>
      </c>
      <c r="C3771" s="1">
        <v>7986087073</v>
      </c>
      <c r="E3771" s="17" t="s">
        <v>5218</v>
      </c>
      <c r="F3771" s="65" t="s">
        <v>308</v>
      </c>
      <c r="G3771" s="3" t="s">
        <v>295</v>
      </c>
      <c r="H3771" s="3" t="s">
        <v>674</v>
      </c>
      <c r="I3771" s="3" t="s">
        <v>94</v>
      </c>
      <c r="J3771" s="31">
        <v>45874</v>
      </c>
      <c r="K3771" s="31">
        <v>45887</v>
      </c>
      <c r="L3771" s="31">
        <v>45903</v>
      </c>
      <c r="M3771" s="31">
        <v>45933</v>
      </c>
      <c r="N3771" s="31"/>
      <c r="O3771" s="3" t="s">
        <v>297</v>
      </c>
    </row>
    <row r="3772" spans="1:15">
      <c r="A3772" s="3">
        <f t="shared" si="60"/>
        <v>3771</v>
      </c>
      <c r="B3772" s="65" t="s">
        <v>5684</v>
      </c>
      <c r="C3772" s="1">
        <v>6354888234</v>
      </c>
      <c r="E3772" s="17" t="s">
        <v>5685</v>
      </c>
      <c r="F3772" s="65" t="s">
        <v>364</v>
      </c>
      <c r="G3772" s="3" t="s">
        <v>416</v>
      </c>
      <c r="H3772" s="3" t="s">
        <v>674</v>
      </c>
      <c r="I3772" s="3" t="s">
        <v>94</v>
      </c>
      <c r="J3772" s="31">
        <v>45874</v>
      </c>
      <c r="K3772" s="31">
        <v>45887</v>
      </c>
      <c r="L3772" s="31"/>
      <c r="M3772" s="31"/>
      <c r="N3772" s="31"/>
      <c r="O3772" s="3" t="s">
        <v>297</v>
      </c>
    </row>
    <row r="3773" spans="1:15">
      <c r="A3773" s="3">
        <f t="shared" si="60"/>
        <v>3772</v>
      </c>
      <c r="B3773" s="65" t="s">
        <v>5686</v>
      </c>
      <c r="C3773" s="1">
        <v>6353175442</v>
      </c>
      <c r="E3773" s="17" t="s">
        <v>5685</v>
      </c>
      <c r="F3773" s="65" t="s">
        <v>364</v>
      </c>
      <c r="G3773" s="3" t="s">
        <v>424</v>
      </c>
      <c r="H3773" s="3" t="s">
        <v>674</v>
      </c>
      <c r="I3773" s="3" t="s">
        <v>94</v>
      </c>
      <c r="J3773" s="31">
        <v>45874</v>
      </c>
      <c r="K3773" s="31">
        <v>45887</v>
      </c>
      <c r="L3773" s="31"/>
      <c r="M3773" s="31"/>
      <c r="N3773" s="31"/>
      <c r="O3773" s="3" t="s">
        <v>425</v>
      </c>
    </row>
    <row r="3774" spans="1:15">
      <c r="A3774" s="3">
        <f t="shared" si="60"/>
        <v>3773</v>
      </c>
      <c r="B3774" s="65" t="s">
        <v>1327</v>
      </c>
      <c r="C3774" s="1">
        <v>8394007249</v>
      </c>
      <c r="E3774" s="17" t="s">
        <v>5223</v>
      </c>
      <c r="F3774" s="65" t="s">
        <v>364</v>
      </c>
      <c r="G3774" s="3" t="s">
        <v>424</v>
      </c>
      <c r="H3774" s="3" t="s">
        <v>674</v>
      </c>
      <c r="I3774" s="3" t="s">
        <v>94</v>
      </c>
      <c r="J3774" s="31">
        <v>45874</v>
      </c>
      <c r="K3774" s="31">
        <v>45887</v>
      </c>
      <c r="L3774" s="31"/>
      <c r="M3774" s="31"/>
      <c r="N3774" s="31"/>
      <c r="O3774" s="3" t="s">
        <v>425</v>
      </c>
    </row>
    <row r="3775" spans="1:15">
      <c r="A3775" s="3">
        <f t="shared" si="60"/>
        <v>3774</v>
      </c>
      <c r="B3775" s="65" t="s">
        <v>5687</v>
      </c>
      <c r="C3775" s="1">
        <v>9522001004</v>
      </c>
      <c r="E3775" s="17" t="s">
        <v>5198</v>
      </c>
      <c r="F3775" s="65" t="s">
        <v>5688</v>
      </c>
      <c r="G3775" s="3" t="s">
        <v>416</v>
      </c>
      <c r="H3775" s="3" t="s">
        <v>674</v>
      </c>
      <c r="I3775" s="3" t="s">
        <v>94</v>
      </c>
      <c r="J3775" s="31">
        <v>45874</v>
      </c>
      <c r="K3775" s="31">
        <v>45881</v>
      </c>
      <c r="L3775" s="31"/>
      <c r="M3775" s="31"/>
      <c r="N3775" s="31"/>
      <c r="O3775" s="3" t="s">
        <v>297</v>
      </c>
    </row>
    <row r="3776" spans="1:15">
      <c r="A3776" s="3">
        <f t="shared" si="60"/>
        <v>3775</v>
      </c>
      <c r="B3776" s="65" t="s">
        <v>5689</v>
      </c>
      <c r="C3776" s="1">
        <v>9790039687</v>
      </c>
      <c r="E3776" s="17" t="s">
        <v>5690</v>
      </c>
      <c r="F3776" s="65" t="s">
        <v>5691</v>
      </c>
      <c r="G3776" s="3" t="s">
        <v>16</v>
      </c>
      <c r="H3776" s="3" t="s">
        <v>674</v>
      </c>
      <c r="I3776" s="3" t="s">
        <v>94</v>
      </c>
      <c r="J3776" s="31">
        <v>45874</v>
      </c>
      <c r="K3776" s="31">
        <v>45881</v>
      </c>
      <c r="L3776" s="31">
        <v>45903</v>
      </c>
      <c r="M3776" s="31">
        <v>45933</v>
      </c>
      <c r="N3776" s="31">
        <v>45936</v>
      </c>
      <c r="O3776" s="3" t="s">
        <v>297</v>
      </c>
    </row>
    <row r="3777" spans="1:15">
      <c r="A3777" s="3">
        <f t="shared" si="60"/>
        <v>3776</v>
      </c>
      <c r="B3777" s="65" t="s">
        <v>5692</v>
      </c>
      <c r="C3777" s="1">
        <v>9096696604</v>
      </c>
      <c r="D3777" s="1">
        <v>8010870967</v>
      </c>
      <c r="E3777" s="17" t="s">
        <v>5685</v>
      </c>
      <c r="F3777" s="65" t="s">
        <v>3624</v>
      </c>
      <c r="G3777" s="3" t="s">
        <v>764</v>
      </c>
      <c r="H3777" s="3" t="s">
        <v>674</v>
      </c>
      <c r="I3777" s="3" t="s">
        <v>94</v>
      </c>
      <c r="J3777" s="31">
        <v>45874</v>
      </c>
      <c r="K3777" s="31">
        <v>45881</v>
      </c>
      <c r="L3777" s="31"/>
      <c r="M3777" s="31"/>
      <c r="N3777" s="31"/>
      <c r="O3777" s="3" t="s">
        <v>425</v>
      </c>
    </row>
    <row r="3778" spans="1:15">
      <c r="A3778" s="3">
        <f t="shared" si="60"/>
        <v>3777</v>
      </c>
      <c r="B3778" s="65" t="s">
        <v>5693</v>
      </c>
      <c r="C3778" s="1">
        <v>8010264140</v>
      </c>
      <c r="E3778" s="17" t="s">
        <v>5685</v>
      </c>
      <c r="F3778" s="65" t="s">
        <v>612</v>
      </c>
      <c r="G3778" s="3" t="s">
        <v>18</v>
      </c>
      <c r="H3778" s="3" t="s">
        <v>674</v>
      </c>
      <c r="I3778" s="3" t="s">
        <v>94</v>
      </c>
      <c r="J3778" s="31">
        <v>45874</v>
      </c>
      <c r="K3778" s="31">
        <v>45881</v>
      </c>
      <c r="L3778" s="31">
        <v>45897</v>
      </c>
      <c r="M3778" s="31">
        <v>45975</v>
      </c>
      <c r="N3778" s="31"/>
      <c r="O3778" s="3" t="s">
        <v>297</v>
      </c>
    </row>
    <row r="3779" spans="1:15">
      <c r="A3779" s="3">
        <f t="shared" si="60"/>
        <v>3778</v>
      </c>
      <c r="B3779" s="65" t="s">
        <v>5694</v>
      </c>
      <c r="C3779" s="1">
        <v>7319722398</v>
      </c>
      <c r="E3779" s="17" t="s">
        <v>5223</v>
      </c>
      <c r="F3779" s="65" t="s">
        <v>5695</v>
      </c>
      <c r="G3779" s="3" t="s">
        <v>424</v>
      </c>
      <c r="H3779" s="3" t="s">
        <v>674</v>
      </c>
      <c r="I3779" s="3" t="s">
        <v>94</v>
      </c>
      <c r="J3779" s="31">
        <v>45874</v>
      </c>
      <c r="K3779" s="31">
        <v>45884</v>
      </c>
      <c r="L3779" s="31"/>
      <c r="M3779" s="31"/>
      <c r="N3779" s="31"/>
      <c r="O3779" s="3" t="s">
        <v>749</v>
      </c>
    </row>
    <row r="3780" spans="1:15">
      <c r="A3780" s="3">
        <f t="shared" si="60"/>
        <v>3779</v>
      </c>
      <c r="B3780" s="65" t="s">
        <v>5696</v>
      </c>
      <c r="C3780" s="1">
        <v>6204797660</v>
      </c>
      <c r="E3780" s="17" t="s">
        <v>5223</v>
      </c>
      <c r="F3780" s="65" t="s">
        <v>5697</v>
      </c>
      <c r="G3780" s="3" t="s">
        <v>424</v>
      </c>
      <c r="H3780" s="3" t="s">
        <v>674</v>
      </c>
      <c r="I3780" s="3" t="s">
        <v>94</v>
      </c>
      <c r="J3780" s="31">
        <v>45874</v>
      </c>
      <c r="K3780" s="31">
        <v>45887</v>
      </c>
      <c r="L3780" s="31"/>
      <c r="M3780" s="31"/>
      <c r="N3780" s="31"/>
      <c r="O3780" s="3" t="s">
        <v>425</v>
      </c>
    </row>
    <row r="3781" spans="1:15">
      <c r="A3781" s="3">
        <f t="shared" si="60"/>
        <v>3780</v>
      </c>
      <c r="B3781" s="65" t="s">
        <v>5698</v>
      </c>
      <c r="C3781" s="1">
        <v>7000502506</v>
      </c>
      <c r="E3781" s="17" t="s">
        <v>5699</v>
      </c>
      <c r="F3781" s="65" t="s">
        <v>303</v>
      </c>
      <c r="G3781" s="3" t="s">
        <v>295</v>
      </c>
      <c r="H3781" s="3" t="s">
        <v>674</v>
      </c>
      <c r="I3781" s="3" t="s">
        <v>94</v>
      </c>
      <c r="J3781" s="31">
        <v>45874</v>
      </c>
      <c r="K3781" s="31">
        <v>45884</v>
      </c>
      <c r="L3781" s="31">
        <v>46017</v>
      </c>
      <c r="M3781" s="31">
        <v>46033</v>
      </c>
      <c r="N3781" s="31"/>
      <c r="O3781" s="3" t="s">
        <v>297</v>
      </c>
    </row>
    <row r="3782" spans="1:15">
      <c r="A3782" s="3">
        <f t="shared" si="60"/>
        <v>3781</v>
      </c>
      <c r="B3782" s="65" t="s">
        <v>5700</v>
      </c>
      <c r="C3782" s="1">
        <v>8091153248</v>
      </c>
      <c r="E3782" s="17" t="s">
        <v>5701</v>
      </c>
      <c r="F3782" s="65" t="s">
        <v>308</v>
      </c>
      <c r="G3782" s="3" t="s">
        <v>18</v>
      </c>
      <c r="H3782" s="3" t="s">
        <v>1605</v>
      </c>
      <c r="I3782" s="3" t="s">
        <v>94</v>
      </c>
      <c r="J3782" s="31">
        <v>45874</v>
      </c>
      <c r="K3782" s="31">
        <v>45875</v>
      </c>
      <c r="L3782" s="31"/>
      <c r="M3782" s="31"/>
      <c r="N3782" s="31"/>
      <c r="O3782" s="3" t="s">
        <v>297</v>
      </c>
    </row>
    <row r="3783" spans="1:15">
      <c r="A3783" s="3">
        <f t="shared" si="60"/>
        <v>3782</v>
      </c>
      <c r="B3783" s="65" t="s">
        <v>4429</v>
      </c>
      <c r="C3783" s="1">
        <v>8627829309</v>
      </c>
      <c r="E3783" s="17" t="s">
        <v>5701</v>
      </c>
      <c r="F3783" s="65" t="s">
        <v>329</v>
      </c>
      <c r="G3783" s="3" t="s">
        <v>764</v>
      </c>
      <c r="H3783" s="3" t="s">
        <v>1605</v>
      </c>
      <c r="I3783" s="3" t="s">
        <v>94</v>
      </c>
      <c r="J3783" s="31">
        <v>45874</v>
      </c>
      <c r="K3783" s="31">
        <v>45875</v>
      </c>
      <c r="L3783" s="31"/>
      <c r="M3783" s="31"/>
      <c r="N3783" s="31"/>
      <c r="O3783" s="3" t="s">
        <v>425</v>
      </c>
    </row>
    <row r="3784" spans="1:15">
      <c r="A3784" s="3">
        <f t="shared" si="60"/>
        <v>3783</v>
      </c>
      <c r="B3784" s="65" t="s">
        <v>5702</v>
      </c>
      <c r="C3784" s="1">
        <v>7864053783</v>
      </c>
      <c r="D3784" s="1">
        <v>9104755883</v>
      </c>
      <c r="E3784" s="17" t="s">
        <v>1608</v>
      </c>
      <c r="F3784" s="65" t="s">
        <v>612</v>
      </c>
      <c r="G3784" s="3" t="s">
        <v>16</v>
      </c>
      <c r="H3784" s="3" t="s">
        <v>1605</v>
      </c>
      <c r="I3784" s="3" t="s">
        <v>94</v>
      </c>
      <c r="J3784" s="31">
        <v>45874</v>
      </c>
      <c r="K3784" s="31">
        <v>45875</v>
      </c>
      <c r="L3784" s="31">
        <v>45877</v>
      </c>
      <c r="M3784" s="31">
        <v>45909</v>
      </c>
      <c r="N3784" s="31">
        <v>45911</v>
      </c>
      <c r="O3784" s="3" t="s">
        <v>297</v>
      </c>
    </row>
    <row r="3785" spans="1:15">
      <c r="A3785" s="3">
        <f t="shared" si="60"/>
        <v>3784</v>
      </c>
      <c r="B3785" s="65" t="s">
        <v>5703</v>
      </c>
      <c r="C3785" s="1">
        <v>7974543282</v>
      </c>
      <c r="E3785" s="17" t="s">
        <v>5483</v>
      </c>
      <c r="F3785" s="65" t="s">
        <v>5486</v>
      </c>
      <c r="G3785" s="3" t="s">
        <v>16</v>
      </c>
      <c r="H3785" s="3" t="s">
        <v>1605</v>
      </c>
      <c r="I3785" s="3" t="s">
        <v>94</v>
      </c>
      <c r="J3785" s="31">
        <v>45874</v>
      </c>
      <c r="K3785" s="31">
        <v>45875</v>
      </c>
      <c r="L3785" s="31">
        <v>45877</v>
      </c>
      <c r="M3785" s="31">
        <v>45909</v>
      </c>
      <c r="N3785" s="31">
        <v>45911</v>
      </c>
      <c r="O3785" s="3" t="s">
        <v>297</v>
      </c>
    </row>
    <row r="3786" spans="1:15">
      <c r="A3786" s="3">
        <f t="shared" si="60"/>
        <v>3785</v>
      </c>
      <c r="B3786" s="65" t="s">
        <v>5704</v>
      </c>
      <c r="C3786" s="1">
        <v>9805305032</v>
      </c>
      <c r="E3786" s="17" t="s">
        <v>5705</v>
      </c>
      <c r="F3786" s="65" t="s">
        <v>689</v>
      </c>
      <c r="G3786" s="3" t="s">
        <v>416</v>
      </c>
      <c r="H3786" s="3" t="s">
        <v>1096</v>
      </c>
      <c r="I3786" s="3" t="s">
        <v>94</v>
      </c>
      <c r="J3786" s="31">
        <v>45874</v>
      </c>
      <c r="K3786" s="31">
        <v>45877</v>
      </c>
      <c r="L3786" s="31"/>
      <c r="M3786" s="31"/>
      <c r="N3786" s="31"/>
      <c r="O3786" s="3" t="s">
        <v>297</v>
      </c>
    </row>
    <row r="3787" spans="1:15">
      <c r="A3787" s="3">
        <f t="shared" si="60"/>
        <v>3786</v>
      </c>
      <c r="B3787" s="65" t="s">
        <v>5706</v>
      </c>
      <c r="C3787" s="1">
        <v>9149501878</v>
      </c>
      <c r="E3787" s="17" t="s">
        <v>5585</v>
      </c>
      <c r="F3787" s="65" t="s">
        <v>5707</v>
      </c>
      <c r="G3787" s="3" t="s">
        <v>424</v>
      </c>
      <c r="H3787" s="3" t="s">
        <v>296</v>
      </c>
      <c r="I3787" s="3" t="s">
        <v>88</v>
      </c>
      <c r="J3787" s="31">
        <v>45874</v>
      </c>
      <c r="K3787" s="31">
        <v>45884</v>
      </c>
      <c r="L3787" s="31"/>
      <c r="M3787" s="31"/>
      <c r="N3787" s="31"/>
      <c r="O3787" s="3" t="s">
        <v>425</v>
      </c>
    </row>
    <row r="3788" spans="1:15">
      <c r="A3788" s="3">
        <f t="shared" si="60"/>
        <v>3787</v>
      </c>
      <c r="B3788" s="65" t="s">
        <v>5708</v>
      </c>
      <c r="C3788" s="1">
        <v>7302013815</v>
      </c>
      <c r="D3788" s="1">
        <v>9536741823</v>
      </c>
      <c r="E3788" s="17" t="s">
        <v>5709</v>
      </c>
      <c r="F3788" s="65" t="s">
        <v>5710</v>
      </c>
      <c r="G3788" s="3" t="s">
        <v>295</v>
      </c>
      <c r="H3788" s="3" t="s">
        <v>487</v>
      </c>
      <c r="I3788" s="3" t="s">
        <v>88</v>
      </c>
      <c r="J3788" s="31">
        <v>45874</v>
      </c>
      <c r="K3788" s="31">
        <v>45880</v>
      </c>
      <c r="L3788" s="31">
        <v>45882</v>
      </c>
      <c r="M3788" s="31">
        <v>45913</v>
      </c>
      <c r="N3788" s="31"/>
      <c r="O3788" s="3" t="s">
        <v>297</v>
      </c>
    </row>
    <row r="3789" spans="1:15">
      <c r="A3789" s="3">
        <f t="shared" si="60"/>
        <v>3788</v>
      </c>
      <c r="B3789" s="65" t="s">
        <v>5711</v>
      </c>
      <c r="C3789" s="1">
        <v>8218498428</v>
      </c>
      <c r="D3789" s="1">
        <v>7409900000</v>
      </c>
      <c r="E3789" s="17" t="s">
        <v>5709</v>
      </c>
      <c r="F3789" s="65" t="s">
        <v>5710</v>
      </c>
      <c r="G3789" s="3" t="s">
        <v>295</v>
      </c>
      <c r="H3789" s="3" t="s">
        <v>487</v>
      </c>
      <c r="I3789" s="3" t="s">
        <v>88</v>
      </c>
      <c r="J3789" s="31">
        <v>45874</v>
      </c>
      <c r="K3789" s="31">
        <v>45880</v>
      </c>
      <c r="L3789" s="31">
        <v>45882</v>
      </c>
      <c r="M3789" s="31">
        <v>45913</v>
      </c>
      <c r="N3789" s="31"/>
      <c r="O3789" s="3" t="s">
        <v>297</v>
      </c>
    </row>
    <row r="3790" spans="1:15">
      <c r="A3790" s="3">
        <f t="shared" si="60"/>
        <v>3789</v>
      </c>
      <c r="B3790" s="65" t="s">
        <v>5712</v>
      </c>
      <c r="C3790" s="1">
        <v>8579070913</v>
      </c>
      <c r="E3790" s="17" t="s">
        <v>5713</v>
      </c>
      <c r="F3790" s="65" t="s">
        <v>5710</v>
      </c>
      <c r="G3790" s="3" t="s">
        <v>424</v>
      </c>
      <c r="H3790" s="3" t="s">
        <v>487</v>
      </c>
      <c r="I3790" s="3" t="s">
        <v>88</v>
      </c>
      <c r="J3790" s="31">
        <v>45874</v>
      </c>
      <c r="K3790" s="31">
        <v>45880</v>
      </c>
      <c r="L3790" s="31"/>
      <c r="M3790" s="31"/>
      <c r="N3790" s="31"/>
      <c r="O3790" s="3" t="s">
        <v>425</v>
      </c>
    </row>
    <row r="3791" spans="1:15">
      <c r="A3791" s="3">
        <f t="shared" si="60"/>
        <v>3790</v>
      </c>
      <c r="B3791" s="65" t="s">
        <v>5714</v>
      </c>
      <c r="C3791" s="1">
        <v>7251878552</v>
      </c>
      <c r="E3791" s="17" t="s">
        <v>5713</v>
      </c>
      <c r="F3791" s="65" t="s">
        <v>5710</v>
      </c>
      <c r="G3791" s="2" t="s">
        <v>295</v>
      </c>
      <c r="H3791" s="3" t="s">
        <v>487</v>
      </c>
      <c r="I3791" s="3" t="s">
        <v>88</v>
      </c>
      <c r="J3791" s="31">
        <v>45874</v>
      </c>
      <c r="K3791" s="31">
        <v>45880</v>
      </c>
      <c r="L3791" s="31">
        <v>45882</v>
      </c>
      <c r="M3791" s="31">
        <v>45913</v>
      </c>
      <c r="N3791" s="31"/>
      <c r="O3791" s="3" t="s">
        <v>297</v>
      </c>
    </row>
    <row r="3792" spans="1:15">
      <c r="A3792" s="3">
        <f t="shared" si="60"/>
        <v>3791</v>
      </c>
      <c r="B3792" s="65" t="s">
        <v>5715</v>
      </c>
      <c r="C3792" s="1">
        <v>8057091321</v>
      </c>
      <c r="E3792" s="17" t="s">
        <v>5125</v>
      </c>
      <c r="F3792" s="65" t="s">
        <v>3401</v>
      </c>
      <c r="G3792" s="3" t="s">
        <v>16</v>
      </c>
      <c r="H3792" s="3" t="s">
        <v>487</v>
      </c>
      <c r="I3792" s="3" t="s">
        <v>88</v>
      </c>
      <c r="J3792" s="31">
        <v>45874</v>
      </c>
      <c r="K3792" s="31">
        <v>45880</v>
      </c>
      <c r="L3792" s="31">
        <v>45882</v>
      </c>
      <c r="M3792" s="31">
        <v>45918</v>
      </c>
      <c r="N3792" s="31">
        <v>45918</v>
      </c>
      <c r="O3792" s="3" t="s">
        <v>297</v>
      </c>
    </row>
    <row r="3793" spans="1:15">
      <c r="A3793" s="3">
        <f t="shared" si="60"/>
        <v>3792</v>
      </c>
      <c r="B3793" s="65" t="s">
        <v>5716</v>
      </c>
      <c r="C3793" s="1">
        <v>9341381420</v>
      </c>
      <c r="E3793" s="17" t="s">
        <v>5125</v>
      </c>
      <c r="F3793" s="65" t="s">
        <v>3401</v>
      </c>
      <c r="G3793" s="3" t="s">
        <v>424</v>
      </c>
      <c r="H3793" s="3" t="s">
        <v>487</v>
      </c>
      <c r="I3793" s="3" t="s">
        <v>88</v>
      </c>
      <c r="J3793" s="31">
        <v>45874</v>
      </c>
      <c r="K3793" s="31">
        <v>45880</v>
      </c>
      <c r="L3793" s="31"/>
      <c r="M3793" s="31"/>
      <c r="N3793" s="31"/>
      <c r="O3793" s="3" t="s">
        <v>425</v>
      </c>
    </row>
    <row r="3794" spans="1:15">
      <c r="A3794" s="3">
        <f t="shared" si="60"/>
        <v>3793</v>
      </c>
      <c r="B3794" s="65" t="s">
        <v>5717</v>
      </c>
      <c r="C3794" s="1">
        <v>9596601318</v>
      </c>
      <c r="E3794" s="17" t="s">
        <v>3295</v>
      </c>
      <c r="F3794" s="65" t="s">
        <v>3401</v>
      </c>
      <c r="G3794" s="3" t="s">
        <v>424</v>
      </c>
      <c r="H3794" s="3" t="s">
        <v>487</v>
      </c>
      <c r="I3794" s="3" t="s">
        <v>88</v>
      </c>
      <c r="J3794" s="31">
        <v>45874</v>
      </c>
      <c r="K3794" s="31">
        <v>45880</v>
      </c>
      <c r="L3794" s="31"/>
      <c r="M3794" s="31"/>
      <c r="N3794" s="31"/>
      <c r="O3794" s="3" t="s">
        <v>425</v>
      </c>
    </row>
    <row r="3795" spans="1:15">
      <c r="A3795" s="3">
        <f t="shared" si="60"/>
        <v>3794</v>
      </c>
      <c r="B3795" s="65" t="s">
        <v>5718</v>
      </c>
      <c r="C3795" s="1">
        <v>7307865174</v>
      </c>
      <c r="E3795" s="17" t="s">
        <v>5719</v>
      </c>
      <c r="F3795" s="65" t="s">
        <v>5144</v>
      </c>
      <c r="G3795" s="3" t="s">
        <v>424</v>
      </c>
      <c r="H3795" s="3" t="s">
        <v>487</v>
      </c>
      <c r="I3795" s="3" t="s">
        <v>88</v>
      </c>
      <c r="J3795" s="31">
        <v>45874</v>
      </c>
      <c r="K3795" s="31">
        <v>45880</v>
      </c>
      <c r="L3795" s="31"/>
      <c r="M3795" s="31"/>
      <c r="N3795" s="31"/>
      <c r="O3795" s="3" t="s">
        <v>425</v>
      </c>
    </row>
    <row r="3796" spans="1:15">
      <c r="A3796" s="3">
        <f t="shared" si="60"/>
        <v>3795</v>
      </c>
      <c r="B3796" s="65" t="s">
        <v>5720</v>
      </c>
      <c r="C3796" s="1">
        <v>8419095749</v>
      </c>
      <c r="E3796" s="17" t="s">
        <v>5719</v>
      </c>
      <c r="F3796" s="65" t="s">
        <v>5144</v>
      </c>
      <c r="G3796" s="3" t="s">
        <v>16</v>
      </c>
      <c r="H3796" s="3" t="s">
        <v>487</v>
      </c>
      <c r="I3796" s="3" t="s">
        <v>88</v>
      </c>
      <c r="J3796" s="31">
        <v>45874</v>
      </c>
      <c r="K3796" s="31">
        <v>45880</v>
      </c>
      <c r="L3796" s="31">
        <v>45882</v>
      </c>
      <c r="M3796" s="31">
        <v>45913</v>
      </c>
      <c r="N3796" s="31">
        <v>45918</v>
      </c>
      <c r="O3796" s="3" t="s">
        <v>297</v>
      </c>
    </row>
    <row r="3797" spans="1:15">
      <c r="A3797" s="3">
        <f t="shared" si="60"/>
        <v>3796</v>
      </c>
      <c r="B3797" s="65" t="s">
        <v>5721</v>
      </c>
      <c r="C3797" s="1">
        <v>8976091908</v>
      </c>
      <c r="E3797" s="17" t="s">
        <v>5319</v>
      </c>
      <c r="F3797" s="65" t="s">
        <v>3763</v>
      </c>
      <c r="G3797" s="3" t="s">
        <v>16</v>
      </c>
      <c r="H3797" s="3" t="s">
        <v>487</v>
      </c>
      <c r="I3797" s="3" t="s">
        <v>88</v>
      </c>
      <c r="J3797" s="31">
        <v>45874</v>
      </c>
      <c r="K3797" s="31">
        <v>45880</v>
      </c>
      <c r="L3797" s="31">
        <v>45882</v>
      </c>
      <c r="M3797" s="31">
        <v>45948</v>
      </c>
      <c r="N3797" s="31">
        <v>45948</v>
      </c>
      <c r="O3797" s="3" t="s">
        <v>297</v>
      </c>
    </row>
    <row r="3798" spans="1:15">
      <c r="A3798" s="3">
        <f t="shared" si="60"/>
        <v>3797</v>
      </c>
      <c r="B3798" s="65" t="s">
        <v>5722</v>
      </c>
      <c r="C3798" s="1">
        <v>9026361213</v>
      </c>
      <c r="E3798" s="17" t="s">
        <v>5723</v>
      </c>
      <c r="F3798" s="65" t="s">
        <v>3763</v>
      </c>
      <c r="G3798" s="3" t="s">
        <v>16</v>
      </c>
      <c r="H3798" s="3" t="s">
        <v>487</v>
      </c>
      <c r="I3798" s="3" t="s">
        <v>88</v>
      </c>
      <c r="J3798" s="31">
        <v>45874</v>
      </c>
      <c r="K3798" s="31">
        <v>45880</v>
      </c>
      <c r="L3798" s="31">
        <v>45882</v>
      </c>
      <c r="M3798" s="31">
        <v>45948</v>
      </c>
      <c r="N3798" s="31">
        <v>45948</v>
      </c>
      <c r="O3798" s="3" t="s">
        <v>297</v>
      </c>
    </row>
    <row r="3799" spans="1:15">
      <c r="A3799" s="3">
        <f t="shared" si="60"/>
        <v>3798</v>
      </c>
      <c r="B3799" s="65" t="s">
        <v>5724</v>
      </c>
      <c r="C3799" s="1">
        <v>9656937467</v>
      </c>
      <c r="E3799" s="17" t="s">
        <v>5326</v>
      </c>
      <c r="F3799" s="65" t="s">
        <v>2261</v>
      </c>
      <c r="G3799" s="3" t="s">
        <v>295</v>
      </c>
      <c r="H3799" s="3" t="s">
        <v>487</v>
      </c>
      <c r="I3799" s="3" t="s">
        <v>88</v>
      </c>
      <c r="J3799" s="31">
        <v>45874</v>
      </c>
      <c r="K3799" s="31">
        <v>45880</v>
      </c>
      <c r="L3799" s="31">
        <v>45882</v>
      </c>
      <c r="M3799" s="31">
        <v>45913</v>
      </c>
      <c r="N3799" s="31"/>
      <c r="O3799" s="3" t="s">
        <v>297</v>
      </c>
    </row>
    <row r="3800" spans="1:15">
      <c r="A3800" s="3">
        <f t="shared" si="60"/>
        <v>3799</v>
      </c>
      <c r="B3800" s="65" t="s">
        <v>5725</v>
      </c>
      <c r="C3800" s="1">
        <v>9593590746</v>
      </c>
      <c r="E3800" s="17" t="s">
        <v>5326</v>
      </c>
      <c r="F3800" s="65" t="s">
        <v>2261</v>
      </c>
      <c r="G3800" s="3" t="s">
        <v>424</v>
      </c>
      <c r="H3800" s="3" t="s">
        <v>487</v>
      </c>
      <c r="I3800" s="3" t="s">
        <v>88</v>
      </c>
      <c r="J3800" s="31">
        <v>45874</v>
      </c>
      <c r="K3800" s="31">
        <v>45880</v>
      </c>
      <c r="L3800" s="31"/>
      <c r="M3800" s="31"/>
      <c r="N3800" s="31"/>
      <c r="O3800" s="3" t="s">
        <v>425</v>
      </c>
    </row>
    <row r="3801" spans="1:15">
      <c r="A3801" s="3">
        <f t="shared" si="60"/>
        <v>3800</v>
      </c>
      <c r="B3801" s="65" t="s">
        <v>5726</v>
      </c>
      <c r="C3801" s="1">
        <v>7602569620</v>
      </c>
      <c r="E3801" s="17" t="s">
        <v>5705</v>
      </c>
      <c r="F3801" s="65" t="s">
        <v>689</v>
      </c>
      <c r="G3801" s="3" t="s">
        <v>424</v>
      </c>
      <c r="H3801" s="3" t="s">
        <v>1096</v>
      </c>
      <c r="I3801" s="3" t="s">
        <v>94</v>
      </c>
      <c r="J3801" s="31">
        <v>45874</v>
      </c>
      <c r="K3801" s="31">
        <v>45876</v>
      </c>
      <c r="L3801" s="31"/>
      <c r="M3801" s="31"/>
      <c r="N3801" s="31"/>
      <c r="O3801" s="3" t="s">
        <v>425</v>
      </c>
    </row>
    <row r="3802" spans="1:15">
      <c r="A3802" s="3">
        <f t="shared" si="60"/>
        <v>3801</v>
      </c>
      <c r="B3802" s="65" t="s">
        <v>5727</v>
      </c>
      <c r="C3802" s="1">
        <v>7384994223</v>
      </c>
      <c r="E3802" s="17" t="s">
        <v>5705</v>
      </c>
      <c r="F3802" s="65" t="s">
        <v>689</v>
      </c>
      <c r="G3802" s="3" t="s">
        <v>424</v>
      </c>
      <c r="H3802" s="3" t="s">
        <v>1096</v>
      </c>
      <c r="I3802" s="3" t="s">
        <v>94</v>
      </c>
      <c r="J3802" s="31">
        <v>45874</v>
      </c>
      <c r="K3802" s="31">
        <v>45881</v>
      </c>
      <c r="L3802" s="31"/>
      <c r="M3802" s="31"/>
      <c r="N3802" s="31"/>
      <c r="O3802" s="3" t="s">
        <v>749</v>
      </c>
    </row>
    <row r="3803" spans="1:15">
      <c r="A3803" s="3">
        <f t="shared" si="60"/>
        <v>3802</v>
      </c>
      <c r="B3803" s="65" t="s">
        <v>5728</v>
      </c>
      <c r="C3803" s="1">
        <v>8802088625</v>
      </c>
      <c r="E3803" s="1" t="s">
        <v>5173</v>
      </c>
      <c r="F3803" s="65" t="s">
        <v>3594</v>
      </c>
      <c r="G3803" s="3" t="s">
        <v>16</v>
      </c>
      <c r="H3803" s="3" t="s">
        <v>3240</v>
      </c>
      <c r="I3803" s="3" t="s">
        <v>42</v>
      </c>
      <c r="J3803" s="31">
        <v>45874</v>
      </c>
      <c r="K3803" s="31">
        <v>45876</v>
      </c>
      <c r="L3803" s="31">
        <v>45877</v>
      </c>
      <c r="M3803" s="31">
        <v>45898</v>
      </c>
      <c r="N3803" s="31">
        <v>45898</v>
      </c>
      <c r="O3803" s="3" t="s">
        <v>297</v>
      </c>
    </row>
    <row r="3804" spans="1:15">
      <c r="A3804" s="3">
        <f t="shared" si="60"/>
        <v>3803</v>
      </c>
      <c r="B3804" s="65" t="s">
        <v>5729</v>
      </c>
      <c r="C3804" s="1">
        <v>6396324748</v>
      </c>
      <c r="E3804" s="17" t="s">
        <v>1023</v>
      </c>
      <c r="F3804" s="65" t="s">
        <v>5730</v>
      </c>
      <c r="G3804" s="3" t="s">
        <v>18</v>
      </c>
      <c r="H3804" s="3" t="s">
        <v>3240</v>
      </c>
      <c r="I3804" s="3" t="s">
        <v>42</v>
      </c>
      <c r="J3804" s="31">
        <v>45874</v>
      </c>
      <c r="K3804" s="31">
        <v>45883</v>
      </c>
      <c r="L3804" s="31"/>
      <c r="M3804" s="31"/>
      <c r="N3804" s="31"/>
      <c r="O3804" s="3" t="s">
        <v>297</v>
      </c>
    </row>
    <row r="3805" spans="1:15">
      <c r="A3805" s="3">
        <f t="shared" si="60"/>
        <v>3804</v>
      </c>
      <c r="B3805" s="65" t="s">
        <v>5731</v>
      </c>
      <c r="C3805" s="1">
        <v>8200133800</v>
      </c>
      <c r="E3805" s="17" t="s">
        <v>1023</v>
      </c>
      <c r="F3805" s="65" t="s">
        <v>3648</v>
      </c>
      <c r="G3805" s="3" t="s">
        <v>416</v>
      </c>
      <c r="H3805" s="3" t="s">
        <v>3240</v>
      </c>
      <c r="I3805" s="3" t="s">
        <v>42</v>
      </c>
      <c r="J3805" s="31">
        <v>45874</v>
      </c>
      <c r="K3805" s="31">
        <v>45883</v>
      </c>
      <c r="L3805" s="31"/>
      <c r="M3805" s="31"/>
      <c r="N3805" s="31"/>
      <c r="O3805" s="3" t="s">
        <v>297</v>
      </c>
    </row>
    <row r="3806" spans="1:15">
      <c r="A3806" s="3">
        <f t="shared" si="60"/>
        <v>3805</v>
      </c>
      <c r="B3806" s="65" t="s">
        <v>2035</v>
      </c>
      <c r="C3806" s="1">
        <v>9504643260</v>
      </c>
      <c r="E3806" s="1" t="s">
        <v>5173</v>
      </c>
      <c r="F3806" s="65" t="s">
        <v>3648</v>
      </c>
      <c r="G3806" s="3" t="s">
        <v>295</v>
      </c>
      <c r="H3806" s="3" t="s">
        <v>3240</v>
      </c>
      <c r="I3806" s="3" t="s">
        <v>42</v>
      </c>
      <c r="J3806" s="31">
        <v>45874</v>
      </c>
      <c r="K3806" s="31">
        <v>45876</v>
      </c>
      <c r="L3806" s="31">
        <v>45877</v>
      </c>
      <c r="M3806" s="31">
        <v>45929</v>
      </c>
      <c r="N3806" s="31"/>
      <c r="O3806" s="3" t="s">
        <v>297</v>
      </c>
    </row>
    <row r="3807" spans="1:15">
      <c r="A3807" s="3">
        <f t="shared" ref="A3807:A3869" si="61">ROW()-1</f>
        <v>3806</v>
      </c>
      <c r="B3807" s="65" t="s">
        <v>5732</v>
      </c>
      <c r="C3807" s="1">
        <v>9556626086</v>
      </c>
      <c r="E3807" s="17" t="s">
        <v>1023</v>
      </c>
      <c r="F3807" s="65" t="s">
        <v>303</v>
      </c>
      <c r="G3807" s="3" t="s">
        <v>424</v>
      </c>
      <c r="H3807" s="3" t="s">
        <v>3240</v>
      </c>
      <c r="I3807" s="3" t="s">
        <v>42</v>
      </c>
      <c r="J3807" s="31">
        <v>45874</v>
      </c>
      <c r="K3807" s="31">
        <v>45883</v>
      </c>
      <c r="L3807" s="31"/>
      <c r="M3807" s="31"/>
      <c r="N3807" s="31"/>
      <c r="O3807" s="3" t="s">
        <v>425</v>
      </c>
    </row>
    <row r="3808" spans="1:15">
      <c r="A3808" s="3">
        <f t="shared" si="61"/>
        <v>3807</v>
      </c>
      <c r="B3808" s="65" t="s">
        <v>5733</v>
      </c>
      <c r="C3808" s="1">
        <v>8411888878</v>
      </c>
      <c r="E3808" s="17" t="s">
        <v>5403</v>
      </c>
      <c r="F3808" s="65"/>
      <c r="G3808" s="3" t="s">
        <v>16</v>
      </c>
      <c r="H3808" s="3" t="s">
        <v>42</v>
      </c>
      <c r="I3808" s="3" t="s">
        <v>42</v>
      </c>
      <c r="J3808" s="31">
        <v>45874</v>
      </c>
      <c r="K3808" s="31">
        <v>45876</v>
      </c>
      <c r="L3808" s="31">
        <v>45877</v>
      </c>
      <c r="M3808" s="31">
        <v>45925</v>
      </c>
      <c r="N3808" s="31">
        <v>45894</v>
      </c>
      <c r="O3808" s="3" t="s">
        <v>297</v>
      </c>
    </row>
    <row r="3809" spans="1:15">
      <c r="A3809" s="3">
        <f t="shared" si="61"/>
        <v>3808</v>
      </c>
      <c r="B3809" s="65" t="s">
        <v>5734</v>
      </c>
      <c r="C3809" s="1">
        <v>7382043370</v>
      </c>
      <c r="D3809" s="1">
        <v>8247605760</v>
      </c>
      <c r="E3809" s="17" t="s">
        <v>121</v>
      </c>
      <c r="F3809" s="65" t="s">
        <v>5735</v>
      </c>
      <c r="G3809" s="3" t="s">
        <v>18</v>
      </c>
      <c r="H3809" s="3" t="s">
        <v>679</v>
      </c>
      <c r="I3809" s="3" t="s">
        <v>42</v>
      </c>
      <c r="J3809" s="31">
        <v>45874</v>
      </c>
      <c r="K3809" s="31"/>
      <c r="L3809" s="31"/>
      <c r="M3809" s="31"/>
      <c r="N3809" s="31"/>
      <c r="O3809" s="3" t="s">
        <v>1004</v>
      </c>
    </row>
    <row r="3810" spans="1:15">
      <c r="A3810" s="3">
        <f t="shared" si="61"/>
        <v>3809</v>
      </c>
      <c r="B3810" s="65" t="s">
        <v>5736</v>
      </c>
      <c r="C3810" s="1">
        <v>7702267194</v>
      </c>
      <c r="E3810" s="17" t="s">
        <v>5737</v>
      </c>
      <c r="F3810" s="65" t="s">
        <v>308</v>
      </c>
      <c r="G3810" s="3" t="s">
        <v>16</v>
      </c>
      <c r="H3810" s="3" t="s">
        <v>368</v>
      </c>
      <c r="I3810" s="3" t="s">
        <v>94</v>
      </c>
      <c r="J3810" s="31">
        <v>45875</v>
      </c>
      <c r="K3810" s="31">
        <v>45876</v>
      </c>
      <c r="L3810" s="31">
        <v>45883</v>
      </c>
      <c r="M3810" s="31">
        <v>45908</v>
      </c>
      <c r="N3810" s="31">
        <v>45908</v>
      </c>
      <c r="O3810" s="3" t="s">
        <v>297</v>
      </c>
    </row>
    <row r="3811" spans="1:15">
      <c r="A3811" s="3">
        <f t="shared" si="61"/>
        <v>3810</v>
      </c>
      <c r="B3811" s="65" t="s">
        <v>5738</v>
      </c>
      <c r="C3811" s="1">
        <v>9381028286</v>
      </c>
      <c r="E3811" s="17" t="s">
        <v>5737</v>
      </c>
      <c r="F3811" s="65" t="s">
        <v>308</v>
      </c>
      <c r="G3811" s="3" t="s">
        <v>424</v>
      </c>
      <c r="H3811" s="3" t="s">
        <v>368</v>
      </c>
      <c r="I3811" s="3" t="s">
        <v>94</v>
      </c>
      <c r="J3811" s="31">
        <v>45875</v>
      </c>
      <c r="K3811" s="31">
        <v>45876</v>
      </c>
      <c r="L3811" s="31"/>
      <c r="M3811" s="31"/>
      <c r="N3811" s="31"/>
      <c r="O3811" s="3" t="s">
        <v>425</v>
      </c>
    </row>
    <row r="3812" spans="1:15">
      <c r="A3812" s="3">
        <f t="shared" si="61"/>
        <v>3811</v>
      </c>
      <c r="B3812" s="65" t="s">
        <v>5739</v>
      </c>
      <c r="C3812" s="1">
        <v>9966577007</v>
      </c>
      <c r="E3812" s="17" t="s">
        <v>5737</v>
      </c>
      <c r="F3812" s="65" t="s">
        <v>308</v>
      </c>
      <c r="G3812" s="3" t="s">
        <v>424</v>
      </c>
      <c r="H3812" s="3" t="s">
        <v>368</v>
      </c>
      <c r="I3812" s="3" t="s">
        <v>94</v>
      </c>
      <c r="J3812" s="31">
        <v>45875</v>
      </c>
      <c r="K3812" s="31">
        <v>45876</v>
      </c>
      <c r="L3812" s="31"/>
      <c r="M3812" s="31"/>
      <c r="N3812" s="31"/>
      <c r="O3812" s="3" t="s">
        <v>425</v>
      </c>
    </row>
    <row r="3813" spans="1:15">
      <c r="A3813" s="3">
        <f t="shared" si="61"/>
        <v>3812</v>
      </c>
      <c r="B3813" s="65" t="s">
        <v>5740</v>
      </c>
      <c r="C3813" s="1">
        <v>7905338720</v>
      </c>
      <c r="E3813" s="17" t="s">
        <v>5173</v>
      </c>
      <c r="F3813" s="65" t="s">
        <v>3648</v>
      </c>
      <c r="G3813" s="3" t="s">
        <v>16</v>
      </c>
      <c r="H3813" s="3" t="s">
        <v>3240</v>
      </c>
      <c r="I3813" s="3" t="s">
        <v>42</v>
      </c>
      <c r="J3813" s="31">
        <v>45875</v>
      </c>
      <c r="K3813" s="31">
        <v>45883</v>
      </c>
      <c r="L3813" s="31">
        <v>45891</v>
      </c>
      <c r="M3813" s="31">
        <v>45933</v>
      </c>
      <c r="N3813" s="31">
        <v>45934</v>
      </c>
      <c r="O3813" s="3" t="s">
        <v>297</v>
      </c>
    </row>
    <row r="3814" spans="1:15">
      <c r="A3814" s="3">
        <f t="shared" si="61"/>
        <v>3813</v>
      </c>
      <c r="B3814" s="65" t="s">
        <v>5741</v>
      </c>
      <c r="C3814" s="1">
        <v>8688713953</v>
      </c>
      <c r="E3814" s="3" t="s">
        <v>5173</v>
      </c>
      <c r="F3814" s="65" t="s">
        <v>3648</v>
      </c>
      <c r="G3814" s="3" t="s">
        <v>16</v>
      </c>
      <c r="H3814" s="3" t="s">
        <v>3240</v>
      </c>
      <c r="I3814" s="3" t="s">
        <v>42</v>
      </c>
      <c r="J3814" s="31">
        <v>45875</v>
      </c>
      <c r="K3814" s="31">
        <v>45883</v>
      </c>
      <c r="L3814" s="31">
        <v>45891</v>
      </c>
      <c r="M3814" s="31">
        <v>45934</v>
      </c>
      <c r="N3814" s="31">
        <v>45905</v>
      </c>
      <c r="O3814" s="3" t="s">
        <v>297</v>
      </c>
    </row>
    <row r="3815" spans="1:15">
      <c r="A3815" s="3">
        <f t="shared" si="61"/>
        <v>3814</v>
      </c>
      <c r="B3815" s="65" t="s">
        <v>5742</v>
      </c>
      <c r="C3815" s="1">
        <v>9569577797</v>
      </c>
      <c r="E3815" s="17" t="s">
        <v>5173</v>
      </c>
      <c r="F3815" s="65" t="s">
        <v>5743</v>
      </c>
      <c r="G3815" s="3" t="s">
        <v>16</v>
      </c>
      <c r="H3815" s="3" t="s">
        <v>3240</v>
      </c>
      <c r="I3815" s="3" t="s">
        <v>42</v>
      </c>
      <c r="J3815" s="31">
        <v>45875</v>
      </c>
      <c r="K3815" s="31">
        <v>45883</v>
      </c>
      <c r="L3815" s="31">
        <v>45917</v>
      </c>
      <c r="M3815" s="31">
        <v>45947</v>
      </c>
      <c r="N3815" s="31">
        <v>45936</v>
      </c>
      <c r="O3815" s="3" t="s">
        <v>297</v>
      </c>
    </row>
    <row r="3816" spans="1:15">
      <c r="A3816" s="3">
        <f t="shared" si="61"/>
        <v>3815</v>
      </c>
      <c r="B3816" s="65" t="s">
        <v>5744</v>
      </c>
      <c r="C3816" s="1">
        <v>9519386402</v>
      </c>
      <c r="E3816" s="17" t="s">
        <v>1023</v>
      </c>
      <c r="F3816" s="65" t="s">
        <v>5743</v>
      </c>
      <c r="G3816" s="3" t="s">
        <v>416</v>
      </c>
      <c r="H3816" s="3" t="s">
        <v>3240</v>
      </c>
      <c r="I3816" s="3" t="s">
        <v>42</v>
      </c>
      <c r="J3816" s="31">
        <v>45875</v>
      </c>
      <c r="K3816" s="31">
        <v>45883</v>
      </c>
      <c r="L3816" s="31"/>
      <c r="M3816" s="31"/>
      <c r="N3816" s="31"/>
      <c r="O3816" s="3" t="s">
        <v>297</v>
      </c>
    </row>
    <row r="3817" spans="1:15">
      <c r="A3817" s="3">
        <f t="shared" si="61"/>
        <v>3816</v>
      </c>
      <c r="B3817" s="65" t="s">
        <v>5745</v>
      </c>
      <c r="C3817" s="1">
        <v>7991949040</v>
      </c>
      <c r="E3817" s="3" t="s">
        <v>5173</v>
      </c>
      <c r="F3817" s="65" t="s">
        <v>5743</v>
      </c>
      <c r="G3817" s="3" t="s">
        <v>16</v>
      </c>
      <c r="H3817" s="3" t="s">
        <v>3240</v>
      </c>
      <c r="I3817" s="3" t="s">
        <v>42</v>
      </c>
      <c r="J3817" s="31">
        <v>45875</v>
      </c>
      <c r="K3817" s="31">
        <v>45883</v>
      </c>
      <c r="L3817" s="31">
        <v>45902</v>
      </c>
      <c r="M3817" s="31">
        <v>45936</v>
      </c>
      <c r="N3817" s="31">
        <v>45930</v>
      </c>
      <c r="O3817" s="3" t="s">
        <v>297</v>
      </c>
    </row>
    <row r="3818" spans="1:15">
      <c r="A3818" s="3">
        <f t="shared" si="61"/>
        <v>3817</v>
      </c>
      <c r="B3818" s="65" t="s">
        <v>5746</v>
      </c>
      <c r="C3818" s="1">
        <v>8588869939</v>
      </c>
      <c r="E3818" s="17" t="s">
        <v>5059</v>
      </c>
      <c r="F3818" s="65" t="s">
        <v>5747</v>
      </c>
      <c r="G3818" s="3" t="s">
        <v>708</v>
      </c>
      <c r="H3818" s="3" t="s">
        <v>42</v>
      </c>
      <c r="I3818" s="3" t="s">
        <v>42</v>
      </c>
      <c r="J3818" s="31">
        <v>45876</v>
      </c>
      <c r="K3818" s="31">
        <v>45904</v>
      </c>
      <c r="L3818" s="31"/>
      <c r="M3818" s="31"/>
      <c r="N3818" s="31"/>
      <c r="O3818" s="3" t="s">
        <v>297</v>
      </c>
    </row>
    <row r="3819" spans="1:15">
      <c r="A3819" s="3">
        <f t="shared" si="61"/>
        <v>3818</v>
      </c>
      <c r="B3819" s="65" t="s">
        <v>422</v>
      </c>
      <c r="C3819" s="1">
        <v>9718469420</v>
      </c>
      <c r="E3819" s="17" t="s">
        <v>5059</v>
      </c>
      <c r="F3819" s="65" t="s">
        <v>5748</v>
      </c>
      <c r="G3819" s="2" t="s">
        <v>424</v>
      </c>
      <c r="H3819" s="3" t="s">
        <v>42</v>
      </c>
      <c r="I3819" s="3" t="s">
        <v>42</v>
      </c>
      <c r="J3819" s="31">
        <v>45876</v>
      </c>
      <c r="K3819" s="31">
        <v>45936</v>
      </c>
      <c r="L3819" s="31"/>
      <c r="M3819" s="31"/>
      <c r="N3819" s="31"/>
      <c r="O3819" s="2" t="s">
        <v>425</v>
      </c>
    </row>
    <row r="3820" spans="1:15">
      <c r="A3820" s="3">
        <f t="shared" si="61"/>
        <v>3819</v>
      </c>
      <c r="B3820" s="65" t="s">
        <v>5749</v>
      </c>
      <c r="C3820" s="1">
        <v>9702764958</v>
      </c>
      <c r="D3820" s="1">
        <v>7304203298</v>
      </c>
      <c r="E3820" s="17" t="s">
        <v>5059</v>
      </c>
      <c r="F3820" s="65" t="s">
        <v>5750</v>
      </c>
      <c r="G3820" s="2" t="s">
        <v>424</v>
      </c>
      <c r="H3820" s="3" t="s">
        <v>42</v>
      </c>
      <c r="I3820" s="3" t="s">
        <v>42</v>
      </c>
      <c r="J3820" s="31">
        <v>45876</v>
      </c>
      <c r="K3820" s="31">
        <v>45936</v>
      </c>
      <c r="L3820" s="31"/>
      <c r="M3820" s="31"/>
      <c r="N3820" s="31"/>
      <c r="O3820" s="2" t="s">
        <v>425</v>
      </c>
    </row>
    <row r="3821" spans="1:15">
      <c r="A3821" s="3">
        <f t="shared" si="61"/>
        <v>3820</v>
      </c>
      <c r="B3821" s="65" t="s">
        <v>5751</v>
      </c>
      <c r="C3821" s="1">
        <v>6309173372</v>
      </c>
      <c r="E3821" s="17" t="s">
        <v>598</v>
      </c>
      <c r="F3821" s="65" t="s">
        <v>5752</v>
      </c>
      <c r="G3821" s="3" t="s">
        <v>16</v>
      </c>
      <c r="H3821" s="3" t="s">
        <v>999</v>
      </c>
      <c r="I3821" s="3" t="s">
        <v>88</v>
      </c>
      <c r="J3821" s="31">
        <v>45876</v>
      </c>
      <c r="K3821" s="31">
        <v>45876</v>
      </c>
      <c r="L3821" s="31">
        <v>45876</v>
      </c>
      <c r="M3821" s="31">
        <v>45907</v>
      </c>
      <c r="N3821" s="31">
        <v>45910</v>
      </c>
      <c r="O3821" s="3" t="s">
        <v>297</v>
      </c>
    </row>
    <row r="3822" spans="1:15">
      <c r="A3822" s="3">
        <f t="shared" si="61"/>
        <v>3821</v>
      </c>
      <c r="B3822" s="65" t="s">
        <v>5753</v>
      </c>
      <c r="C3822" s="1">
        <v>7675920642</v>
      </c>
      <c r="E3822" s="17" t="s">
        <v>4901</v>
      </c>
      <c r="F3822" s="65" t="s">
        <v>5752</v>
      </c>
      <c r="G3822" s="3" t="s">
        <v>16</v>
      </c>
      <c r="H3822" s="3" t="s">
        <v>999</v>
      </c>
      <c r="I3822" s="3" t="s">
        <v>88</v>
      </c>
      <c r="J3822" s="31">
        <v>45876</v>
      </c>
      <c r="K3822" s="31">
        <v>45876</v>
      </c>
      <c r="L3822" s="31">
        <v>45876</v>
      </c>
      <c r="M3822" s="31">
        <v>45907</v>
      </c>
      <c r="N3822" s="31">
        <v>45910</v>
      </c>
      <c r="O3822" s="3" t="s">
        <v>297</v>
      </c>
    </row>
    <row r="3823" spans="1:15">
      <c r="A3823" s="3">
        <f t="shared" si="61"/>
        <v>3822</v>
      </c>
      <c r="B3823" s="65" t="s">
        <v>5754</v>
      </c>
      <c r="C3823" s="1">
        <v>9014670861</v>
      </c>
      <c r="E3823" s="17" t="s">
        <v>5266</v>
      </c>
      <c r="F3823" s="65" t="s">
        <v>364</v>
      </c>
      <c r="G3823" s="3" t="s">
        <v>295</v>
      </c>
      <c r="H3823" s="3" t="s">
        <v>5163</v>
      </c>
      <c r="I3823" s="3" t="s">
        <v>94</v>
      </c>
      <c r="J3823" s="31">
        <v>45876</v>
      </c>
      <c r="K3823" s="31">
        <v>45880</v>
      </c>
      <c r="L3823" s="31">
        <v>45897</v>
      </c>
      <c r="M3823" s="31">
        <v>45912</v>
      </c>
      <c r="N3823" s="31"/>
      <c r="O3823" s="3" t="s">
        <v>297</v>
      </c>
    </row>
    <row r="3824" spans="1:15">
      <c r="A3824" s="3">
        <f t="shared" si="61"/>
        <v>3823</v>
      </c>
      <c r="B3824" s="65" t="s">
        <v>5755</v>
      </c>
      <c r="C3824" s="1">
        <v>9658135983</v>
      </c>
      <c r="E3824" s="17" t="s">
        <v>5266</v>
      </c>
      <c r="F3824" s="65" t="s">
        <v>364</v>
      </c>
      <c r="G3824" s="3" t="s">
        <v>416</v>
      </c>
      <c r="H3824" s="3" t="s">
        <v>5163</v>
      </c>
      <c r="I3824" s="3" t="s">
        <v>94</v>
      </c>
      <c r="J3824" s="31">
        <v>45876</v>
      </c>
      <c r="K3824" s="31">
        <v>45880</v>
      </c>
      <c r="L3824" s="31"/>
      <c r="M3824" s="31"/>
      <c r="N3824" s="31"/>
      <c r="O3824" s="3" t="s">
        <v>297</v>
      </c>
    </row>
    <row r="3825" spans="1:15">
      <c r="A3825" s="3">
        <f t="shared" si="61"/>
        <v>3824</v>
      </c>
      <c r="B3825" s="65" t="s">
        <v>5756</v>
      </c>
      <c r="C3825" s="1">
        <v>9886691608</v>
      </c>
      <c r="E3825" s="17" t="s">
        <v>5266</v>
      </c>
      <c r="F3825" s="65" t="s">
        <v>364</v>
      </c>
      <c r="G3825" s="3" t="s">
        <v>764</v>
      </c>
      <c r="H3825" s="3" t="s">
        <v>5163</v>
      </c>
      <c r="I3825" s="3" t="s">
        <v>94</v>
      </c>
      <c r="J3825" s="31">
        <v>45876</v>
      </c>
      <c r="K3825" s="31">
        <v>45880</v>
      </c>
      <c r="L3825" s="31"/>
      <c r="M3825" s="31"/>
      <c r="N3825" s="31"/>
      <c r="O3825" s="3" t="s">
        <v>425</v>
      </c>
    </row>
    <row r="3826" spans="1:15">
      <c r="A3826" s="3">
        <f t="shared" si="61"/>
        <v>3825</v>
      </c>
      <c r="B3826" s="65" t="s">
        <v>5757</v>
      </c>
      <c r="C3826" s="1">
        <v>8099988849</v>
      </c>
      <c r="E3826" s="17" t="s">
        <v>5236</v>
      </c>
      <c r="F3826" s="65" t="s">
        <v>689</v>
      </c>
      <c r="G3826" s="3" t="s">
        <v>16</v>
      </c>
      <c r="H3826" s="3" t="s">
        <v>674</v>
      </c>
      <c r="I3826" s="3" t="s">
        <v>94</v>
      </c>
      <c r="J3826" s="31">
        <v>45876</v>
      </c>
      <c r="K3826" s="31">
        <v>45884</v>
      </c>
      <c r="L3826" s="31">
        <v>45897</v>
      </c>
      <c r="M3826" s="31">
        <v>45929</v>
      </c>
      <c r="N3826" s="31">
        <v>45936</v>
      </c>
      <c r="O3826" s="3" t="s">
        <v>297</v>
      </c>
    </row>
    <row r="3827" spans="1:15">
      <c r="A3827" s="3">
        <f t="shared" si="61"/>
        <v>3826</v>
      </c>
      <c r="B3827" s="65" t="s">
        <v>5758</v>
      </c>
      <c r="C3827" s="1">
        <v>8853030508</v>
      </c>
      <c r="E3827" s="17" t="s">
        <v>5429</v>
      </c>
      <c r="F3827" s="65" t="s">
        <v>689</v>
      </c>
      <c r="G3827" s="2" t="s">
        <v>295</v>
      </c>
      <c r="H3827" s="3" t="s">
        <v>674</v>
      </c>
      <c r="I3827" s="3" t="s">
        <v>94</v>
      </c>
      <c r="J3827" s="31">
        <v>45876</v>
      </c>
      <c r="K3827" s="31">
        <v>45884</v>
      </c>
      <c r="L3827" s="31">
        <v>45897</v>
      </c>
      <c r="M3827" s="31">
        <v>45944</v>
      </c>
      <c r="N3827" s="31"/>
      <c r="O3827" s="3" t="s">
        <v>297</v>
      </c>
    </row>
    <row r="3828" spans="1:15">
      <c r="A3828" s="3">
        <f t="shared" si="61"/>
        <v>3827</v>
      </c>
      <c r="B3828" s="65" t="s">
        <v>5759</v>
      </c>
      <c r="C3828" s="1">
        <v>8532011174</v>
      </c>
      <c r="D3828" s="1">
        <v>9778400000</v>
      </c>
      <c r="E3828" s="17" t="s">
        <v>5207</v>
      </c>
      <c r="F3828" s="65" t="s">
        <v>569</v>
      </c>
      <c r="G3828" s="3" t="s">
        <v>295</v>
      </c>
      <c r="H3828" s="3" t="s">
        <v>674</v>
      </c>
      <c r="I3828" s="3" t="s">
        <v>94</v>
      </c>
      <c r="J3828" s="31">
        <v>45876</v>
      </c>
      <c r="K3828" s="31">
        <v>45884</v>
      </c>
      <c r="L3828" s="31">
        <v>45903</v>
      </c>
      <c r="M3828" s="31">
        <v>46027</v>
      </c>
      <c r="N3828" s="31"/>
      <c r="O3828" s="3" t="s">
        <v>297</v>
      </c>
    </row>
    <row r="3829" spans="1:15">
      <c r="A3829" s="3">
        <f t="shared" si="61"/>
        <v>3828</v>
      </c>
      <c r="B3829" s="65" t="s">
        <v>5760</v>
      </c>
      <c r="C3829" s="1">
        <v>9302901019</v>
      </c>
      <c r="E3829" s="17" t="s">
        <v>5233</v>
      </c>
      <c r="F3829" s="65" t="s">
        <v>308</v>
      </c>
      <c r="G3829" s="3" t="s">
        <v>424</v>
      </c>
      <c r="H3829" s="3" t="s">
        <v>674</v>
      </c>
      <c r="I3829" s="3" t="s">
        <v>94</v>
      </c>
      <c r="J3829" s="31">
        <v>45876</v>
      </c>
      <c r="K3829" s="31">
        <v>45884</v>
      </c>
      <c r="L3829" s="31"/>
      <c r="M3829" s="31"/>
      <c r="N3829" s="31"/>
      <c r="O3829" s="3" t="s">
        <v>749</v>
      </c>
    </row>
    <row r="3830" spans="1:15">
      <c r="A3830" s="3">
        <f t="shared" si="61"/>
        <v>3829</v>
      </c>
      <c r="B3830" s="65" t="s">
        <v>4389</v>
      </c>
      <c r="C3830" s="1">
        <v>9708476306</v>
      </c>
      <c r="E3830" s="17" t="s">
        <v>5233</v>
      </c>
      <c r="F3830" s="65" t="s">
        <v>308</v>
      </c>
      <c r="G3830" s="3" t="s">
        <v>424</v>
      </c>
      <c r="H3830" s="3" t="s">
        <v>674</v>
      </c>
      <c r="I3830" s="3" t="s">
        <v>94</v>
      </c>
      <c r="J3830" s="31">
        <v>45876</v>
      </c>
      <c r="K3830" s="31">
        <v>45887</v>
      </c>
      <c r="L3830" s="31"/>
      <c r="M3830" s="31"/>
      <c r="N3830" s="31"/>
      <c r="O3830" s="3" t="s">
        <v>749</v>
      </c>
    </row>
    <row r="3831" spans="1:15">
      <c r="A3831" s="3">
        <f t="shared" si="61"/>
        <v>3830</v>
      </c>
      <c r="B3831" s="65" t="s">
        <v>5761</v>
      </c>
      <c r="C3831" s="1">
        <v>6372694039</v>
      </c>
      <c r="D3831" s="1">
        <v>7240300000</v>
      </c>
      <c r="E3831" s="17" t="s">
        <v>5328</v>
      </c>
      <c r="F3831" s="65" t="s">
        <v>308</v>
      </c>
      <c r="G3831" s="3" t="s">
        <v>16</v>
      </c>
      <c r="H3831" s="3" t="s">
        <v>674</v>
      </c>
      <c r="I3831" s="3" t="s">
        <v>94</v>
      </c>
      <c r="J3831" s="31">
        <v>45876</v>
      </c>
      <c r="K3831" s="31">
        <v>45887</v>
      </c>
      <c r="L3831" s="31">
        <v>45897</v>
      </c>
      <c r="M3831" s="31">
        <v>45929</v>
      </c>
      <c r="N3831" s="31">
        <v>45933</v>
      </c>
      <c r="O3831" s="3" t="s">
        <v>297</v>
      </c>
    </row>
    <row r="3832" spans="1:15">
      <c r="A3832" s="3">
        <f t="shared" si="61"/>
        <v>3831</v>
      </c>
      <c r="B3832" s="65" t="s">
        <v>5762</v>
      </c>
      <c r="C3832" s="1">
        <v>9709389012</v>
      </c>
      <c r="E3832" s="17" t="s">
        <v>5763</v>
      </c>
      <c r="F3832" s="65" t="s">
        <v>303</v>
      </c>
      <c r="G3832" s="3" t="s">
        <v>424</v>
      </c>
      <c r="H3832" s="3" t="s">
        <v>674</v>
      </c>
      <c r="I3832" s="3" t="s">
        <v>94</v>
      </c>
      <c r="J3832" s="31">
        <v>45876</v>
      </c>
      <c r="K3832" s="31">
        <v>45887</v>
      </c>
      <c r="L3832" s="31"/>
      <c r="M3832" s="31"/>
      <c r="N3832" s="31"/>
      <c r="O3832" s="3" t="s">
        <v>749</v>
      </c>
    </row>
    <row r="3833" spans="1:15">
      <c r="A3833" s="3">
        <f t="shared" si="61"/>
        <v>3832</v>
      </c>
      <c r="B3833" s="65" t="s">
        <v>1058</v>
      </c>
      <c r="C3833" s="1">
        <v>8709103700</v>
      </c>
      <c r="E3833" s="17" t="s">
        <v>5764</v>
      </c>
      <c r="F3833" s="65" t="s">
        <v>303</v>
      </c>
      <c r="G3833" s="3" t="s">
        <v>424</v>
      </c>
      <c r="H3833" s="3" t="s">
        <v>674</v>
      </c>
      <c r="I3833" s="3" t="s">
        <v>94</v>
      </c>
      <c r="J3833" s="31">
        <v>45876</v>
      </c>
      <c r="K3833" s="31">
        <v>45884</v>
      </c>
      <c r="L3833" s="31"/>
      <c r="M3833" s="31"/>
      <c r="N3833" s="31"/>
      <c r="O3833" s="3" t="s">
        <v>749</v>
      </c>
    </row>
    <row r="3834" spans="1:15">
      <c r="A3834" s="3">
        <f t="shared" si="61"/>
        <v>3833</v>
      </c>
      <c r="B3834" s="65" t="s">
        <v>5765</v>
      </c>
      <c r="C3834" s="1">
        <v>9370854933</v>
      </c>
      <c r="E3834" s="17" t="s">
        <v>5764</v>
      </c>
      <c r="F3834" s="65" t="s">
        <v>303</v>
      </c>
      <c r="G3834" s="3" t="s">
        <v>18</v>
      </c>
      <c r="H3834" s="3" t="s">
        <v>674</v>
      </c>
      <c r="I3834" s="3" t="s">
        <v>94</v>
      </c>
      <c r="J3834" s="31">
        <v>45876</v>
      </c>
      <c r="K3834" s="31">
        <v>45887</v>
      </c>
      <c r="L3834" s="31"/>
      <c r="M3834" s="31"/>
      <c r="N3834" s="31"/>
      <c r="O3834" s="3" t="s">
        <v>297</v>
      </c>
    </row>
    <row r="3835" spans="1:15">
      <c r="A3835" s="3">
        <f t="shared" si="61"/>
        <v>3834</v>
      </c>
      <c r="B3835" s="65" t="s">
        <v>5766</v>
      </c>
      <c r="C3835" s="1">
        <v>7815818747</v>
      </c>
      <c r="E3835" s="17" t="s">
        <v>5767</v>
      </c>
      <c r="F3835" s="65" t="s">
        <v>303</v>
      </c>
      <c r="G3835" s="3" t="s">
        <v>424</v>
      </c>
      <c r="H3835" s="3" t="s">
        <v>674</v>
      </c>
      <c r="I3835" s="3" t="s">
        <v>94</v>
      </c>
      <c r="J3835" s="31">
        <v>45876</v>
      </c>
      <c r="K3835" s="31">
        <v>45887</v>
      </c>
      <c r="L3835" s="31"/>
      <c r="M3835" s="31"/>
      <c r="N3835" s="31"/>
      <c r="O3835" s="3" t="s">
        <v>425</v>
      </c>
    </row>
    <row r="3836" spans="1:15">
      <c r="A3836" s="3">
        <f t="shared" si="61"/>
        <v>3835</v>
      </c>
      <c r="B3836" s="65" t="s">
        <v>5768</v>
      </c>
      <c r="C3836" s="1">
        <v>9984466088</v>
      </c>
      <c r="E3836" s="17" t="s">
        <v>5769</v>
      </c>
      <c r="F3836" s="65" t="s">
        <v>4938</v>
      </c>
      <c r="G3836" s="3" t="s">
        <v>16</v>
      </c>
      <c r="H3836" s="3" t="s">
        <v>674</v>
      </c>
      <c r="I3836" s="3" t="s">
        <v>94</v>
      </c>
      <c r="J3836" s="31">
        <v>45876</v>
      </c>
      <c r="K3836" s="31">
        <v>45887</v>
      </c>
      <c r="L3836" s="31">
        <v>45897</v>
      </c>
      <c r="M3836" s="31">
        <v>45929</v>
      </c>
      <c r="N3836" s="31">
        <v>45931</v>
      </c>
      <c r="O3836" s="3" t="s">
        <v>297</v>
      </c>
    </row>
    <row r="3837" spans="1:15">
      <c r="A3837" s="3">
        <f t="shared" si="61"/>
        <v>3836</v>
      </c>
      <c r="B3837" s="65" t="s">
        <v>5770</v>
      </c>
      <c r="C3837" s="1">
        <v>8327427313</v>
      </c>
      <c r="E3837" s="17" t="s">
        <v>5771</v>
      </c>
      <c r="F3837" s="65" t="s">
        <v>277</v>
      </c>
      <c r="G3837" s="3" t="s">
        <v>295</v>
      </c>
      <c r="H3837" s="3" t="s">
        <v>296</v>
      </c>
      <c r="I3837" s="3" t="s">
        <v>94</v>
      </c>
      <c r="J3837" s="31">
        <v>45876</v>
      </c>
      <c r="K3837" s="31">
        <v>45892</v>
      </c>
      <c r="L3837" s="31">
        <v>45909</v>
      </c>
      <c r="M3837" s="31">
        <v>45924</v>
      </c>
      <c r="N3837" s="31"/>
      <c r="O3837" s="3" t="s">
        <v>297</v>
      </c>
    </row>
    <row r="3838" spans="1:15">
      <c r="A3838" s="3">
        <f t="shared" si="61"/>
        <v>3837</v>
      </c>
      <c r="B3838" s="65" t="s">
        <v>5772</v>
      </c>
      <c r="C3838" s="1">
        <v>9542921201</v>
      </c>
      <c r="E3838" s="17" t="s">
        <v>5773</v>
      </c>
      <c r="F3838" s="65" t="s">
        <v>748</v>
      </c>
      <c r="G3838" s="3" t="s">
        <v>424</v>
      </c>
      <c r="H3838" s="3" t="s">
        <v>5774</v>
      </c>
      <c r="I3838" s="3" t="s">
        <v>42</v>
      </c>
      <c r="J3838" s="31">
        <v>45876</v>
      </c>
      <c r="K3838" s="31">
        <v>45883</v>
      </c>
      <c r="L3838" s="31"/>
      <c r="M3838" s="31"/>
      <c r="N3838" s="31"/>
      <c r="O3838" s="3" t="s">
        <v>749</v>
      </c>
    </row>
    <row r="3839" spans="1:15">
      <c r="A3839" s="3">
        <f t="shared" si="61"/>
        <v>3838</v>
      </c>
      <c r="B3839" s="65" t="s">
        <v>5775</v>
      </c>
      <c r="C3839" s="1">
        <v>7067160957</v>
      </c>
      <c r="E3839" s="17" t="s">
        <v>5776</v>
      </c>
      <c r="F3839" s="65" t="s">
        <v>748</v>
      </c>
      <c r="G3839" s="3" t="s">
        <v>16</v>
      </c>
      <c r="H3839" s="3" t="s">
        <v>5774</v>
      </c>
      <c r="I3839" s="3" t="s">
        <v>42</v>
      </c>
      <c r="J3839" s="31">
        <v>45876</v>
      </c>
      <c r="K3839" s="31">
        <v>45947</v>
      </c>
      <c r="L3839" s="31">
        <v>45968</v>
      </c>
      <c r="M3839" s="31">
        <v>46012</v>
      </c>
      <c r="N3839" s="31">
        <v>46016</v>
      </c>
      <c r="O3839" s="3" t="s">
        <v>297</v>
      </c>
    </row>
    <row r="3840" spans="1:15">
      <c r="A3840" s="3">
        <f t="shared" si="61"/>
        <v>3839</v>
      </c>
      <c r="B3840" s="65" t="s">
        <v>5777</v>
      </c>
      <c r="C3840" s="1">
        <v>8247820054</v>
      </c>
      <c r="E3840" s="17" t="s">
        <v>5778</v>
      </c>
      <c r="F3840" s="65" t="s">
        <v>3249</v>
      </c>
      <c r="G3840" s="3" t="s">
        <v>16</v>
      </c>
      <c r="H3840" s="3" t="s">
        <v>5774</v>
      </c>
      <c r="I3840" s="3" t="s">
        <v>42</v>
      </c>
      <c r="J3840" s="31">
        <v>45876</v>
      </c>
      <c r="K3840" s="31">
        <v>45877</v>
      </c>
      <c r="L3840" s="31">
        <v>45877</v>
      </c>
      <c r="M3840" s="31">
        <v>45923</v>
      </c>
      <c r="N3840" s="31">
        <v>45923</v>
      </c>
      <c r="O3840" s="3" t="s">
        <v>297</v>
      </c>
    </row>
    <row r="3841" spans="1:15">
      <c r="A3841" s="3">
        <f t="shared" si="61"/>
        <v>3840</v>
      </c>
      <c r="B3841" s="65" t="s">
        <v>5779</v>
      </c>
      <c r="C3841" s="1">
        <v>9154367400</v>
      </c>
      <c r="E3841" s="17" t="s">
        <v>5773</v>
      </c>
      <c r="F3841" s="65" t="s">
        <v>748</v>
      </c>
      <c r="G3841" s="3" t="s">
        <v>16</v>
      </c>
      <c r="H3841" s="3" t="s">
        <v>5774</v>
      </c>
      <c r="I3841" s="3" t="s">
        <v>42</v>
      </c>
      <c r="J3841" s="31">
        <v>45876</v>
      </c>
      <c r="K3841" s="31">
        <v>45876</v>
      </c>
      <c r="L3841" s="31">
        <v>45877</v>
      </c>
      <c r="M3841" s="31">
        <v>45916</v>
      </c>
      <c r="N3841" s="31">
        <v>45916</v>
      </c>
      <c r="O3841" s="3" t="s">
        <v>297</v>
      </c>
    </row>
    <row r="3842" spans="1:15">
      <c r="A3842" s="3">
        <f t="shared" si="61"/>
        <v>3841</v>
      </c>
      <c r="B3842" s="65" t="s">
        <v>5780</v>
      </c>
      <c r="C3842" s="1">
        <v>6304786802</v>
      </c>
      <c r="D3842" s="1">
        <v>9160886789</v>
      </c>
      <c r="E3842" s="17" t="s">
        <v>2821</v>
      </c>
      <c r="F3842" s="65" t="s">
        <v>2448</v>
      </c>
      <c r="G3842" s="3" t="s">
        <v>16</v>
      </c>
      <c r="H3842" s="3" t="s">
        <v>5774</v>
      </c>
      <c r="I3842" s="3" t="s">
        <v>42</v>
      </c>
      <c r="J3842" s="31">
        <v>45876</v>
      </c>
      <c r="K3842" s="31">
        <v>45888</v>
      </c>
      <c r="L3842" s="31">
        <v>45946</v>
      </c>
      <c r="M3842" s="31">
        <v>45978</v>
      </c>
      <c r="N3842" s="31">
        <v>45980</v>
      </c>
      <c r="O3842" s="3" t="s">
        <v>297</v>
      </c>
    </row>
    <row r="3843" spans="1:15">
      <c r="A3843" s="3">
        <f t="shared" si="61"/>
        <v>3842</v>
      </c>
      <c r="B3843" s="65" t="s">
        <v>5781</v>
      </c>
      <c r="C3843" s="1">
        <v>6200216505</v>
      </c>
      <c r="E3843" s="17" t="s">
        <v>5778</v>
      </c>
      <c r="F3843" s="65" t="s">
        <v>2448</v>
      </c>
      <c r="G3843" s="3" t="s">
        <v>416</v>
      </c>
      <c r="H3843" s="3" t="s">
        <v>5774</v>
      </c>
      <c r="I3843" s="3" t="s">
        <v>42</v>
      </c>
      <c r="J3843" s="31">
        <v>45876</v>
      </c>
      <c r="K3843" s="31">
        <v>45883</v>
      </c>
      <c r="L3843" s="31"/>
      <c r="M3843" s="31"/>
      <c r="N3843" s="31"/>
      <c r="O3843" s="3" t="s">
        <v>297</v>
      </c>
    </row>
    <row r="3844" spans="1:15">
      <c r="A3844" s="3">
        <f t="shared" si="61"/>
        <v>3843</v>
      </c>
      <c r="B3844" s="65" t="s">
        <v>5782</v>
      </c>
      <c r="C3844" s="1">
        <v>7075511041</v>
      </c>
      <c r="E3844" s="17" t="s">
        <v>5773</v>
      </c>
      <c r="F3844" s="65" t="s">
        <v>3475</v>
      </c>
      <c r="G3844" s="3" t="s">
        <v>1175</v>
      </c>
      <c r="H3844" s="3" t="s">
        <v>5774</v>
      </c>
      <c r="I3844" s="3" t="s">
        <v>42</v>
      </c>
      <c r="J3844" s="31">
        <v>45876</v>
      </c>
      <c r="K3844" s="31"/>
      <c r="L3844" s="31"/>
      <c r="M3844" s="31"/>
      <c r="N3844" s="31"/>
      <c r="O3844" s="3" t="s">
        <v>1004</v>
      </c>
    </row>
    <row r="3845" spans="1:15">
      <c r="A3845" s="3">
        <f t="shared" si="61"/>
        <v>3844</v>
      </c>
      <c r="B3845" s="65" t="s">
        <v>5783</v>
      </c>
      <c r="C3845" s="1">
        <v>6261635378</v>
      </c>
      <c r="E3845" s="17" t="s">
        <v>5778</v>
      </c>
      <c r="F3845" s="65" t="s">
        <v>2448</v>
      </c>
      <c r="G3845" s="3" t="s">
        <v>18</v>
      </c>
      <c r="H3845" s="3" t="s">
        <v>5774</v>
      </c>
      <c r="I3845" s="3" t="s">
        <v>42</v>
      </c>
      <c r="J3845" s="31">
        <v>45876</v>
      </c>
      <c r="K3845" s="31">
        <v>45883</v>
      </c>
      <c r="L3845" s="31"/>
      <c r="M3845" s="31"/>
      <c r="N3845" s="31"/>
      <c r="O3845" s="3" t="s">
        <v>297</v>
      </c>
    </row>
    <row r="3846" spans="1:15">
      <c r="A3846" s="3">
        <f t="shared" si="61"/>
        <v>3845</v>
      </c>
      <c r="B3846" s="65" t="s">
        <v>5784</v>
      </c>
      <c r="C3846" s="1">
        <v>7997879133</v>
      </c>
      <c r="E3846" s="17" t="s">
        <v>5778</v>
      </c>
      <c r="F3846" s="65" t="s">
        <v>2448</v>
      </c>
      <c r="G3846" s="3" t="s">
        <v>424</v>
      </c>
      <c r="H3846" s="3" t="s">
        <v>5774</v>
      </c>
      <c r="I3846" s="3" t="s">
        <v>42</v>
      </c>
      <c r="J3846" s="31">
        <v>45876</v>
      </c>
      <c r="K3846" s="31">
        <v>45887</v>
      </c>
      <c r="L3846" s="31"/>
      <c r="M3846" s="31"/>
      <c r="N3846" s="31"/>
      <c r="O3846" s="3" t="s">
        <v>749</v>
      </c>
    </row>
    <row r="3847" spans="1:15">
      <c r="A3847" s="3">
        <f t="shared" si="61"/>
        <v>3846</v>
      </c>
      <c r="B3847" s="65" t="s">
        <v>2215</v>
      </c>
      <c r="C3847" s="1">
        <v>7986085548</v>
      </c>
      <c r="E3847" s="17" t="s">
        <v>5773</v>
      </c>
      <c r="F3847" s="65" t="s">
        <v>1312</v>
      </c>
      <c r="G3847" s="3" t="s">
        <v>16</v>
      </c>
      <c r="H3847" s="3" t="s">
        <v>5774</v>
      </c>
      <c r="I3847" s="3" t="s">
        <v>42</v>
      </c>
      <c r="J3847" s="31">
        <v>45876</v>
      </c>
      <c r="K3847" s="31">
        <v>45883</v>
      </c>
      <c r="L3847" s="31">
        <v>45891</v>
      </c>
      <c r="M3847" s="31">
        <v>45919</v>
      </c>
      <c r="N3847" s="31">
        <v>45919</v>
      </c>
      <c r="O3847" s="3" t="s">
        <v>297</v>
      </c>
    </row>
    <row r="3848" spans="1:15">
      <c r="A3848" s="3">
        <f t="shared" si="61"/>
        <v>3847</v>
      </c>
      <c r="B3848" s="65" t="s">
        <v>5785</v>
      </c>
      <c r="C3848" s="1">
        <v>8500008493</v>
      </c>
      <c r="D3848" s="1">
        <v>7036370364</v>
      </c>
      <c r="E3848" s="17" t="s">
        <v>5778</v>
      </c>
      <c r="F3848" s="65" t="s">
        <v>2448</v>
      </c>
      <c r="G3848" s="3" t="s">
        <v>424</v>
      </c>
      <c r="H3848" s="3" t="s">
        <v>5774</v>
      </c>
      <c r="I3848" s="3" t="s">
        <v>42</v>
      </c>
      <c r="J3848" s="31">
        <v>45876</v>
      </c>
      <c r="K3848" s="31">
        <v>45883</v>
      </c>
      <c r="L3848" s="31"/>
      <c r="M3848" s="31"/>
      <c r="N3848" s="31"/>
      <c r="O3848" s="3" t="s">
        <v>425</v>
      </c>
    </row>
    <row r="3849" spans="1:15">
      <c r="A3849" s="3">
        <f t="shared" si="61"/>
        <v>3848</v>
      </c>
      <c r="B3849" s="65" t="s">
        <v>5786</v>
      </c>
      <c r="C3849" s="1">
        <v>9885403339</v>
      </c>
      <c r="D3849" s="1">
        <v>9113904706</v>
      </c>
      <c r="E3849" s="17" t="s">
        <v>5778</v>
      </c>
      <c r="F3849" s="65" t="s">
        <v>2448</v>
      </c>
      <c r="G3849" s="3" t="s">
        <v>16</v>
      </c>
      <c r="H3849" s="3" t="s">
        <v>5774</v>
      </c>
      <c r="I3849" s="3" t="s">
        <v>42</v>
      </c>
      <c r="J3849" s="31">
        <v>45876</v>
      </c>
      <c r="K3849" s="31">
        <v>45883</v>
      </c>
      <c r="L3849" s="31">
        <v>45917</v>
      </c>
      <c r="M3849" s="31">
        <v>45936</v>
      </c>
      <c r="N3849" s="31">
        <v>45936</v>
      </c>
      <c r="O3849" s="3" t="s">
        <v>297</v>
      </c>
    </row>
    <row r="3850" spans="1:15">
      <c r="A3850" s="3">
        <f t="shared" si="61"/>
        <v>3849</v>
      </c>
      <c r="B3850" s="65" t="s">
        <v>5787</v>
      </c>
      <c r="C3850" s="1">
        <v>8950935588</v>
      </c>
      <c r="E3850" s="17" t="s">
        <v>5227</v>
      </c>
      <c r="F3850" s="65" t="s">
        <v>1992</v>
      </c>
      <c r="G3850" s="3" t="s">
        <v>295</v>
      </c>
      <c r="H3850" s="3" t="s">
        <v>674</v>
      </c>
      <c r="I3850" s="3" t="s">
        <v>94</v>
      </c>
      <c r="J3850" s="31">
        <v>45876</v>
      </c>
      <c r="K3850" s="31">
        <v>45876</v>
      </c>
      <c r="L3850" s="31">
        <v>45876</v>
      </c>
      <c r="M3850" s="31">
        <v>45928</v>
      </c>
      <c r="N3850" s="31"/>
      <c r="O3850" s="3" t="s">
        <v>297</v>
      </c>
    </row>
    <row r="3851" spans="1:15">
      <c r="A3851" s="3">
        <f t="shared" si="61"/>
        <v>3850</v>
      </c>
      <c r="B3851" s="65" t="s">
        <v>5788</v>
      </c>
      <c r="C3851" s="1">
        <v>8142171387</v>
      </c>
      <c r="E3851" s="17" t="s">
        <v>5432</v>
      </c>
      <c r="F3851" s="65" t="s">
        <v>2144</v>
      </c>
      <c r="G3851" s="3" t="s">
        <v>16</v>
      </c>
      <c r="H3851" s="3" t="s">
        <v>94</v>
      </c>
      <c r="I3851" s="3" t="s">
        <v>94</v>
      </c>
      <c r="J3851" s="31">
        <v>45876</v>
      </c>
      <c r="K3851" s="31">
        <v>45876</v>
      </c>
      <c r="L3851" s="31">
        <v>45876</v>
      </c>
      <c r="M3851" s="31">
        <v>45915</v>
      </c>
      <c r="N3851" s="31">
        <v>45916</v>
      </c>
      <c r="O3851" s="3" t="s">
        <v>297</v>
      </c>
    </row>
    <row r="3852" spans="1:15">
      <c r="A3852" s="3">
        <f t="shared" si="61"/>
        <v>3851</v>
      </c>
      <c r="B3852" s="65" t="s">
        <v>5789</v>
      </c>
      <c r="C3852" s="1">
        <v>6303658275</v>
      </c>
      <c r="E3852" s="17" t="s">
        <v>2821</v>
      </c>
      <c r="F3852" s="65" t="s">
        <v>2448</v>
      </c>
      <c r="G3852" s="3" t="s">
        <v>424</v>
      </c>
      <c r="H3852" s="3" t="s">
        <v>5774</v>
      </c>
      <c r="I3852" s="3" t="s">
        <v>42</v>
      </c>
      <c r="J3852" s="31">
        <v>45876</v>
      </c>
      <c r="K3852" s="31">
        <v>45883</v>
      </c>
      <c r="L3852" s="31"/>
      <c r="M3852" s="31"/>
      <c r="N3852" s="31"/>
      <c r="O3852" s="3" t="s">
        <v>425</v>
      </c>
    </row>
    <row r="3853" spans="1:15">
      <c r="A3853" s="3">
        <f t="shared" si="61"/>
        <v>3852</v>
      </c>
      <c r="B3853" s="65" t="s">
        <v>5790</v>
      </c>
      <c r="C3853" s="1">
        <v>7989380319</v>
      </c>
      <c r="E3853" s="17" t="s">
        <v>2821</v>
      </c>
      <c r="F3853" s="65" t="s">
        <v>2448</v>
      </c>
      <c r="G3853" s="3" t="s">
        <v>424</v>
      </c>
      <c r="H3853" s="3" t="s">
        <v>5774</v>
      </c>
      <c r="I3853" s="3" t="s">
        <v>42</v>
      </c>
      <c r="J3853" s="31">
        <v>45876</v>
      </c>
      <c r="K3853" s="31">
        <v>45883</v>
      </c>
      <c r="L3853" s="31"/>
      <c r="M3853" s="31"/>
      <c r="N3853" s="31"/>
      <c r="O3853" s="3" t="s">
        <v>425</v>
      </c>
    </row>
    <row r="3854" spans="1:15">
      <c r="A3854" s="3">
        <f t="shared" si="61"/>
        <v>3853</v>
      </c>
      <c r="B3854" s="65" t="s">
        <v>5791</v>
      </c>
      <c r="C3854" s="1">
        <v>9000489045</v>
      </c>
      <c r="E3854" s="17" t="s">
        <v>2821</v>
      </c>
      <c r="F3854" s="65" t="s">
        <v>1663</v>
      </c>
      <c r="G3854" s="3" t="s">
        <v>764</v>
      </c>
      <c r="H3854" s="3" t="s">
        <v>5774</v>
      </c>
      <c r="I3854" s="3" t="s">
        <v>42</v>
      </c>
      <c r="J3854" s="31">
        <v>45876</v>
      </c>
      <c r="K3854" s="31">
        <v>45883</v>
      </c>
      <c r="L3854" s="31"/>
      <c r="M3854" s="31"/>
      <c r="N3854" s="31"/>
      <c r="O3854" s="3" t="s">
        <v>425</v>
      </c>
    </row>
    <row r="3855" spans="1:15">
      <c r="A3855" s="3">
        <f t="shared" si="61"/>
        <v>3854</v>
      </c>
      <c r="B3855" s="65" t="s">
        <v>5792</v>
      </c>
      <c r="C3855" s="1">
        <v>6302779911</v>
      </c>
      <c r="E3855" s="3" t="s">
        <v>5793</v>
      </c>
      <c r="F3855" s="65" t="s">
        <v>543</v>
      </c>
      <c r="G3855" s="3" t="s">
        <v>16</v>
      </c>
      <c r="H3855" s="3" t="s">
        <v>5774</v>
      </c>
      <c r="I3855" s="3" t="s">
        <v>42</v>
      </c>
      <c r="J3855" s="31">
        <v>45876</v>
      </c>
      <c r="K3855" s="31">
        <v>46003</v>
      </c>
      <c r="L3855" s="31">
        <v>46010</v>
      </c>
      <c r="M3855" s="31">
        <v>46024</v>
      </c>
      <c r="N3855" s="31">
        <v>46024</v>
      </c>
      <c r="O3855" s="3" t="s">
        <v>297</v>
      </c>
    </row>
    <row r="3856" spans="1:15">
      <c r="A3856" s="3">
        <f t="shared" si="61"/>
        <v>3855</v>
      </c>
      <c r="B3856" s="65" t="s">
        <v>5794</v>
      </c>
      <c r="C3856" s="1">
        <v>9818856549</v>
      </c>
      <c r="E3856" s="17" t="s">
        <v>2821</v>
      </c>
      <c r="F3856" s="65" t="s">
        <v>5795</v>
      </c>
      <c r="G3856" s="3" t="s">
        <v>424</v>
      </c>
      <c r="H3856" s="3" t="s">
        <v>5774</v>
      </c>
      <c r="I3856" s="3" t="s">
        <v>42</v>
      </c>
      <c r="J3856" s="31">
        <v>45876</v>
      </c>
      <c r="K3856" s="31">
        <v>45889</v>
      </c>
      <c r="L3856" s="31"/>
      <c r="M3856" s="31"/>
      <c r="N3856" s="31"/>
      <c r="O3856" s="3" t="s">
        <v>425</v>
      </c>
    </row>
    <row r="3857" spans="1:15">
      <c r="A3857" s="3">
        <f t="shared" si="61"/>
        <v>3856</v>
      </c>
      <c r="B3857" s="65" t="s">
        <v>5796</v>
      </c>
      <c r="C3857" s="1">
        <v>9492578258</v>
      </c>
      <c r="D3857" s="1">
        <v>9959047709</v>
      </c>
      <c r="E3857" s="17" t="s">
        <v>2821</v>
      </c>
      <c r="F3857" s="65" t="s">
        <v>877</v>
      </c>
      <c r="G3857" s="3" t="s">
        <v>18</v>
      </c>
      <c r="H3857" s="3" t="s">
        <v>5774</v>
      </c>
      <c r="I3857" s="3" t="s">
        <v>42</v>
      </c>
      <c r="J3857" s="31">
        <v>45876</v>
      </c>
      <c r="K3857" s="31"/>
      <c r="L3857" s="31"/>
      <c r="M3857" s="31"/>
      <c r="N3857" s="31"/>
      <c r="O3857" s="3" t="s">
        <v>1004</v>
      </c>
    </row>
    <row r="3858" spans="1:15">
      <c r="A3858" s="3">
        <f t="shared" si="61"/>
        <v>3857</v>
      </c>
      <c r="B3858" s="65" t="s">
        <v>5797</v>
      </c>
      <c r="C3858" s="1">
        <v>8297534816</v>
      </c>
      <c r="E3858" s="17" t="s">
        <v>2821</v>
      </c>
      <c r="F3858" s="65" t="s">
        <v>5798</v>
      </c>
      <c r="G3858" s="3" t="s">
        <v>424</v>
      </c>
      <c r="H3858" s="3" t="s">
        <v>5774</v>
      </c>
      <c r="I3858" s="3" t="s">
        <v>42</v>
      </c>
      <c r="J3858" s="31">
        <v>45876</v>
      </c>
      <c r="K3858" s="31">
        <v>45883</v>
      </c>
      <c r="L3858" s="31"/>
      <c r="M3858" s="31"/>
      <c r="N3858" s="31"/>
      <c r="O3858" s="3" t="s">
        <v>425</v>
      </c>
    </row>
    <row r="3859" spans="1:15">
      <c r="A3859" s="3">
        <f t="shared" si="61"/>
        <v>3858</v>
      </c>
      <c r="B3859" s="65" t="s">
        <v>5799</v>
      </c>
      <c r="C3859" s="1">
        <v>7389009456</v>
      </c>
      <c r="D3859" s="1">
        <v>8766447455</v>
      </c>
      <c r="E3859" s="17" t="s">
        <v>2821</v>
      </c>
      <c r="F3859" s="65" t="s">
        <v>5800</v>
      </c>
      <c r="G3859" s="3" t="s">
        <v>416</v>
      </c>
      <c r="H3859" s="3" t="s">
        <v>5774</v>
      </c>
      <c r="I3859" s="3" t="s">
        <v>42</v>
      </c>
      <c r="J3859" s="31">
        <v>45876</v>
      </c>
      <c r="K3859" s="31">
        <v>45880</v>
      </c>
      <c r="L3859" s="31"/>
      <c r="M3859" s="31"/>
      <c r="N3859" s="31"/>
      <c r="O3859" s="3" t="s">
        <v>297</v>
      </c>
    </row>
    <row r="3860" spans="1:15">
      <c r="A3860" s="3">
        <f t="shared" si="61"/>
        <v>3859</v>
      </c>
      <c r="B3860" s="65" t="s">
        <v>5801</v>
      </c>
      <c r="C3860" s="1">
        <v>9692621019</v>
      </c>
      <c r="E3860" s="17" t="s">
        <v>5802</v>
      </c>
      <c r="F3860" s="65" t="s">
        <v>5803</v>
      </c>
      <c r="G3860" s="2" t="s">
        <v>295</v>
      </c>
      <c r="H3860" s="3" t="s">
        <v>815</v>
      </c>
      <c r="I3860" s="3" t="s">
        <v>88</v>
      </c>
      <c r="J3860" s="31">
        <v>45876</v>
      </c>
      <c r="K3860" s="31">
        <v>45876</v>
      </c>
      <c r="L3860" s="31">
        <v>45876</v>
      </c>
      <c r="M3860" s="31">
        <v>45928</v>
      </c>
      <c r="N3860" s="31"/>
      <c r="O3860" s="3" t="s">
        <v>297</v>
      </c>
    </row>
    <row r="3861" spans="1:15">
      <c r="A3861" s="3">
        <f t="shared" si="61"/>
        <v>3860</v>
      </c>
      <c r="B3861" s="65" t="s">
        <v>5804</v>
      </c>
      <c r="C3861" s="1">
        <v>8179364677</v>
      </c>
      <c r="E3861" s="17" t="s">
        <v>2821</v>
      </c>
      <c r="F3861" s="65"/>
      <c r="G3861" s="3" t="s">
        <v>424</v>
      </c>
      <c r="H3861" s="3" t="s">
        <v>5774</v>
      </c>
      <c r="I3861" s="3" t="s">
        <v>42</v>
      </c>
      <c r="J3861" s="31">
        <v>45876</v>
      </c>
      <c r="K3861" s="31">
        <v>45883</v>
      </c>
      <c r="L3861" s="31"/>
      <c r="M3861" s="31"/>
      <c r="N3861" s="31"/>
      <c r="O3861" s="3" t="s">
        <v>425</v>
      </c>
    </row>
    <row r="3862" spans="1:15">
      <c r="A3862" s="3">
        <f t="shared" si="61"/>
        <v>3861</v>
      </c>
      <c r="B3862" s="65" t="s">
        <v>5805</v>
      </c>
      <c r="C3862" s="1">
        <v>7286003210</v>
      </c>
      <c r="E3862" s="17" t="s">
        <v>2821</v>
      </c>
      <c r="F3862" s="65" t="s">
        <v>5806</v>
      </c>
      <c r="G3862" s="3" t="s">
        <v>424</v>
      </c>
      <c r="H3862" s="3" t="s">
        <v>5774</v>
      </c>
      <c r="I3862" s="3" t="s">
        <v>42</v>
      </c>
      <c r="J3862" s="31">
        <v>45880</v>
      </c>
      <c r="K3862" s="31">
        <v>45897</v>
      </c>
      <c r="L3862" s="31"/>
      <c r="M3862" s="31"/>
      <c r="N3862" s="31"/>
      <c r="O3862" s="3" t="s">
        <v>425</v>
      </c>
    </row>
    <row r="3863" spans="1:15">
      <c r="A3863" s="3">
        <f t="shared" si="61"/>
        <v>3862</v>
      </c>
      <c r="B3863" s="65" t="s">
        <v>5807</v>
      </c>
      <c r="C3863" s="1">
        <v>7626824856</v>
      </c>
      <c r="D3863" s="1">
        <v>7986700973</v>
      </c>
      <c r="E3863" s="17" t="s">
        <v>2821</v>
      </c>
      <c r="F3863" s="65" t="s">
        <v>5806</v>
      </c>
      <c r="G3863" s="3" t="s">
        <v>16</v>
      </c>
      <c r="H3863" s="3" t="s">
        <v>5774</v>
      </c>
      <c r="I3863" s="3" t="s">
        <v>42</v>
      </c>
      <c r="J3863" s="31">
        <v>45880</v>
      </c>
      <c r="K3863" s="31">
        <v>45880</v>
      </c>
      <c r="L3863" s="31">
        <v>45902</v>
      </c>
      <c r="M3863" s="31">
        <v>45972</v>
      </c>
      <c r="N3863" s="31">
        <v>45972</v>
      </c>
      <c r="O3863" s="3" t="s">
        <v>297</v>
      </c>
    </row>
    <row r="3864" spans="1:15">
      <c r="A3864" s="3">
        <f t="shared" si="61"/>
        <v>3863</v>
      </c>
      <c r="B3864" s="65" t="s">
        <v>5808</v>
      </c>
      <c r="C3864" s="1">
        <v>8296425610</v>
      </c>
      <c r="D3864" s="1">
        <v>7847892001</v>
      </c>
      <c r="E3864" s="17" t="s">
        <v>2821</v>
      </c>
      <c r="F3864" s="65" t="s">
        <v>5809</v>
      </c>
      <c r="G3864" s="3" t="s">
        <v>16</v>
      </c>
      <c r="H3864" s="3" t="s">
        <v>5774</v>
      </c>
      <c r="I3864" s="3" t="s">
        <v>42</v>
      </c>
      <c r="J3864" s="31">
        <v>45880</v>
      </c>
      <c r="K3864" s="31">
        <v>45880</v>
      </c>
      <c r="L3864" s="31">
        <v>45887</v>
      </c>
      <c r="M3864" s="31">
        <v>45916</v>
      </c>
      <c r="N3864" s="31">
        <v>45916</v>
      </c>
      <c r="O3864" s="3" t="s">
        <v>297</v>
      </c>
    </row>
    <row r="3865" spans="1:15">
      <c r="A3865" s="3">
        <f t="shared" si="61"/>
        <v>3864</v>
      </c>
      <c r="B3865" s="65" t="s">
        <v>5810</v>
      </c>
      <c r="C3865" s="1">
        <v>9959860673</v>
      </c>
      <c r="E3865" s="17" t="s">
        <v>5811</v>
      </c>
      <c r="F3865" s="65" t="s">
        <v>2630</v>
      </c>
      <c r="G3865" s="3" t="s">
        <v>424</v>
      </c>
      <c r="H3865" s="3" t="s">
        <v>296</v>
      </c>
      <c r="I3865" s="3" t="s">
        <v>94</v>
      </c>
      <c r="J3865" s="31">
        <v>45880</v>
      </c>
      <c r="K3865" s="31">
        <v>45884</v>
      </c>
      <c r="L3865" s="31"/>
      <c r="M3865" s="31"/>
      <c r="N3865" s="31"/>
      <c r="O3865" s="3" t="s">
        <v>425</v>
      </c>
    </row>
    <row r="3866" spans="1:15">
      <c r="A3866" s="3">
        <f t="shared" si="61"/>
        <v>3865</v>
      </c>
      <c r="B3866" s="65" t="s">
        <v>5812</v>
      </c>
      <c r="C3866" s="1">
        <v>9966581398</v>
      </c>
      <c r="E3866" s="17" t="s">
        <v>5266</v>
      </c>
      <c r="F3866" s="65"/>
      <c r="G3866" s="3" t="s">
        <v>16</v>
      </c>
      <c r="H3866" s="3" t="s">
        <v>5163</v>
      </c>
      <c r="I3866" s="3" t="s">
        <v>94</v>
      </c>
      <c r="J3866" s="31">
        <v>45876</v>
      </c>
      <c r="K3866" s="31">
        <v>45876</v>
      </c>
      <c r="L3866" s="31">
        <v>45877</v>
      </c>
      <c r="M3866" s="31">
        <v>45885</v>
      </c>
      <c r="N3866" s="31">
        <v>45887</v>
      </c>
      <c r="O3866" s="3" t="s">
        <v>297</v>
      </c>
    </row>
    <row r="3867" spans="1:15">
      <c r="A3867" s="3">
        <f t="shared" si="61"/>
        <v>3866</v>
      </c>
      <c r="B3867" s="65" t="s">
        <v>5813</v>
      </c>
      <c r="C3867" s="1">
        <v>9558457021</v>
      </c>
      <c r="E3867" s="17" t="s">
        <v>5474</v>
      </c>
      <c r="F3867" s="65"/>
      <c r="G3867" s="3" t="s">
        <v>16</v>
      </c>
      <c r="H3867" s="3" t="s">
        <v>1096</v>
      </c>
      <c r="I3867" s="3" t="s">
        <v>94</v>
      </c>
      <c r="J3867" s="31">
        <v>45876</v>
      </c>
      <c r="K3867" s="31">
        <v>45876</v>
      </c>
      <c r="L3867" s="31">
        <v>45877</v>
      </c>
      <c r="M3867" s="31">
        <v>45908</v>
      </c>
      <c r="N3867" s="31">
        <v>45912</v>
      </c>
      <c r="O3867" s="3" t="s">
        <v>297</v>
      </c>
    </row>
    <row r="3868" spans="1:15">
      <c r="A3868" s="3">
        <f t="shared" si="61"/>
        <v>3867</v>
      </c>
      <c r="B3868" s="65" t="s">
        <v>5814</v>
      </c>
      <c r="C3868" s="1">
        <v>9948910658</v>
      </c>
      <c r="E3868" s="17" t="s">
        <v>1899</v>
      </c>
      <c r="F3868" s="65"/>
      <c r="G3868" s="3" t="s">
        <v>295</v>
      </c>
      <c r="H3868" s="3" t="s">
        <v>1544</v>
      </c>
      <c r="I3868" s="3" t="s">
        <v>42</v>
      </c>
      <c r="J3868" s="31">
        <v>45876</v>
      </c>
      <c r="K3868" s="31">
        <v>45876</v>
      </c>
      <c r="L3868" s="31">
        <v>45877</v>
      </c>
      <c r="M3868" s="31">
        <v>45923</v>
      </c>
      <c r="N3868" s="31"/>
      <c r="O3868" s="3" t="s">
        <v>297</v>
      </c>
    </row>
    <row r="3869" spans="1:15">
      <c r="A3869" s="3">
        <f t="shared" si="61"/>
        <v>3868</v>
      </c>
      <c r="B3869" s="65" t="s">
        <v>5815</v>
      </c>
      <c r="C3869" s="1">
        <v>7266018457</v>
      </c>
      <c r="E3869" s="17" t="s">
        <v>5290</v>
      </c>
      <c r="F3869" s="65" t="s">
        <v>2174</v>
      </c>
      <c r="G3869" s="3" t="s">
        <v>424</v>
      </c>
      <c r="H3869" s="3" t="s">
        <v>88</v>
      </c>
      <c r="I3869" s="3" t="s">
        <v>88</v>
      </c>
      <c r="J3869" s="31">
        <v>45880</v>
      </c>
      <c r="K3869" s="31">
        <v>45897</v>
      </c>
      <c r="L3869" s="31"/>
      <c r="M3869" s="31"/>
      <c r="N3869" s="31"/>
      <c r="O3869" s="3" t="s">
        <v>425</v>
      </c>
    </row>
    <row r="3870" spans="1:15">
      <c r="A3870" s="3">
        <f t="shared" ref="A3870:A3933" si="62">ROW()-1</f>
        <v>3869</v>
      </c>
      <c r="B3870" s="65" t="s">
        <v>5816</v>
      </c>
      <c r="C3870" s="1">
        <v>9424738164</v>
      </c>
      <c r="E3870" s="17" t="s">
        <v>5290</v>
      </c>
      <c r="F3870" s="65" t="s">
        <v>5123</v>
      </c>
      <c r="G3870" s="3" t="s">
        <v>416</v>
      </c>
      <c r="H3870" s="3" t="s">
        <v>88</v>
      </c>
      <c r="I3870" s="3" t="s">
        <v>88</v>
      </c>
      <c r="J3870" s="31">
        <v>45880</v>
      </c>
      <c r="K3870" s="31">
        <v>45897</v>
      </c>
      <c r="L3870" s="31"/>
      <c r="M3870" s="31"/>
      <c r="N3870" s="31"/>
      <c r="O3870" s="3" t="s">
        <v>297</v>
      </c>
    </row>
    <row r="3871" spans="1:15">
      <c r="A3871" s="3">
        <f t="shared" si="62"/>
        <v>3870</v>
      </c>
      <c r="B3871" s="65" t="s">
        <v>5817</v>
      </c>
      <c r="C3871" s="1">
        <v>9933289948</v>
      </c>
      <c r="E3871" s="17" t="s">
        <v>5818</v>
      </c>
      <c r="F3871" s="65" t="s">
        <v>5819</v>
      </c>
      <c r="G3871" s="3" t="s">
        <v>295</v>
      </c>
      <c r="H3871" s="3" t="s">
        <v>679</v>
      </c>
      <c r="I3871" s="3" t="s">
        <v>42</v>
      </c>
      <c r="J3871" s="31">
        <v>45880</v>
      </c>
      <c r="K3871" s="31">
        <v>45887</v>
      </c>
      <c r="L3871" s="31">
        <v>45891</v>
      </c>
      <c r="M3871" s="31">
        <v>45956</v>
      </c>
      <c r="N3871" s="31"/>
      <c r="O3871" s="3" t="s">
        <v>297</v>
      </c>
    </row>
    <row r="3872" spans="1:15">
      <c r="A3872" s="3">
        <f t="shared" si="62"/>
        <v>3871</v>
      </c>
      <c r="B3872" s="65" t="s">
        <v>5820</v>
      </c>
      <c r="C3872" s="1">
        <v>7569005229</v>
      </c>
      <c r="E3872" s="17" t="s">
        <v>5821</v>
      </c>
      <c r="F3872" s="65" t="s">
        <v>3834</v>
      </c>
      <c r="G3872" s="3" t="s">
        <v>424</v>
      </c>
      <c r="H3872" s="3" t="s">
        <v>296</v>
      </c>
      <c r="I3872" s="3" t="s">
        <v>94</v>
      </c>
      <c r="J3872" s="31">
        <v>45880</v>
      </c>
      <c r="K3872" s="31">
        <v>45892</v>
      </c>
      <c r="L3872" s="31"/>
      <c r="M3872" s="31"/>
      <c r="N3872" s="31"/>
      <c r="O3872" s="3" t="s">
        <v>425</v>
      </c>
    </row>
    <row r="3873" spans="1:15">
      <c r="A3873" s="3">
        <f t="shared" si="62"/>
        <v>3872</v>
      </c>
      <c r="B3873" s="65" t="s">
        <v>5822</v>
      </c>
      <c r="C3873" s="1">
        <v>8462824499</v>
      </c>
      <c r="E3873" s="17" t="s">
        <v>5821</v>
      </c>
      <c r="F3873" s="65" t="s">
        <v>471</v>
      </c>
      <c r="G3873" s="3" t="s">
        <v>764</v>
      </c>
      <c r="H3873" s="3" t="s">
        <v>296</v>
      </c>
      <c r="I3873" s="3" t="s">
        <v>94</v>
      </c>
      <c r="J3873" s="31">
        <v>45880</v>
      </c>
      <c r="K3873" s="31">
        <v>45904</v>
      </c>
      <c r="L3873" s="31"/>
      <c r="M3873" s="31"/>
      <c r="N3873" s="31"/>
      <c r="O3873" s="3" t="s">
        <v>425</v>
      </c>
    </row>
    <row r="3874" spans="1:15">
      <c r="A3874" s="3">
        <f t="shared" si="62"/>
        <v>3873</v>
      </c>
      <c r="B3874" s="65" t="s">
        <v>5823</v>
      </c>
      <c r="C3874" s="1">
        <v>9347695246</v>
      </c>
      <c r="E3874" s="17" t="s">
        <v>5821</v>
      </c>
      <c r="F3874" s="65" t="s">
        <v>471</v>
      </c>
      <c r="G3874" s="3" t="s">
        <v>424</v>
      </c>
      <c r="H3874" s="3" t="s">
        <v>296</v>
      </c>
      <c r="I3874" s="3" t="s">
        <v>94</v>
      </c>
      <c r="J3874" s="31">
        <v>45880</v>
      </c>
      <c r="K3874" s="31">
        <v>45892</v>
      </c>
      <c r="L3874" s="31"/>
      <c r="M3874" s="31"/>
      <c r="N3874" s="31"/>
      <c r="O3874" s="3" t="s">
        <v>425</v>
      </c>
    </row>
    <row r="3875" spans="1:15">
      <c r="A3875" s="3">
        <f t="shared" si="62"/>
        <v>3874</v>
      </c>
      <c r="B3875" s="65" t="s">
        <v>5824</v>
      </c>
      <c r="C3875" s="1">
        <v>9140880345</v>
      </c>
      <c r="D3875" s="1">
        <v>8979880345</v>
      </c>
      <c r="E3875" s="17" t="s">
        <v>5825</v>
      </c>
      <c r="F3875" s="65" t="s">
        <v>825</v>
      </c>
      <c r="G3875" s="3" t="s">
        <v>416</v>
      </c>
      <c r="H3875" s="3" t="s">
        <v>815</v>
      </c>
      <c r="I3875" s="3" t="s">
        <v>94</v>
      </c>
      <c r="J3875" s="31">
        <v>45880</v>
      </c>
      <c r="K3875" s="31">
        <v>45892</v>
      </c>
      <c r="L3875" s="31"/>
      <c r="M3875" s="31"/>
      <c r="N3875" s="31"/>
      <c r="O3875" s="3" t="s">
        <v>297</v>
      </c>
    </row>
    <row r="3876" spans="1:15">
      <c r="A3876" s="3">
        <f t="shared" si="62"/>
        <v>3875</v>
      </c>
      <c r="B3876" s="65" t="s">
        <v>5826</v>
      </c>
      <c r="C3876" s="1">
        <v>8795451341</v>
      </c>
      <c r="E3876" s="17" t="s">
        <v>5827</v>
      </c>
      <c r="F3876" s="65" t="s">
        <v>825</v>
      </c>
      <c r="G3876" s="3" t="s">
        <v>16</v>
      </c>
      <c r="H3876" s="3" t="s">
        <v>815</v>
      </c>
      <c r="I3876" s="3" t="s">
        <v>94</v>
      </c>
      <c r="J3876" s="31">
        <v>45880</v>
      </c>
      <c r="K3876" s="31">
        <v>45892</v>
      </c>
      <c r="L3876" s="31">
        <v>45903</v>
      </c>
      <c r="M3876" s="31">
        <v>45918</v>
      </c>
      <c r="N3876" s="31">
        <v>45919</v>
      </c>
      <c r="O3876" s="3" t="s">
        <v>297</v>
      </c>
    </row>
    <row r="3877" spans="1:15">
      <c r="A3877" s="3">
        <f t="shared" si="62"/>
        <v>3876</v>
      </c>
      <c r="B3877" s="120" t="s">
        <v>5828</v>
      </c>
      <c r="C3877" s="1">
        <v>8827367368</v>
      </c>
      <c r="E3877" s="17" t="s">
        <v>5542</v>
      </c>
      <c r="F3877" s="65" t="s">
        <v>4952</v>
      </c>
      <c r="G3877" s="3" t="s">
        <v>16</v>
      </c>
      <c r="H3877" s="3" t="s">
        <v>815</v>
      </c>
      <c r="I3877" s="3" t="s">
        <v>94</v>
      </c>
      <c r="J3877" s="31">
        <v>45880</v>
      </c>
      <c r="K3877" s="31">
        <v>45892</v>
      </c>
      <c r="L3877" s="31">
        <v>45897</v>
      </c>
      <c r="M3877" s="31">
        <v>45929</v>
      </c>
      <c r="N3877" s="31">
        <v>45929</v>
      </c>
      <c r="O3877" s="3" t="s">
        <v>297</v>
      </c>
    </row>
    <row r="3878" spans="1:15">
      <c r="A3878" s="3">
        <f t="shared" si="62"/>
        <v>3877</v>
      </c>
      <c r="B3878" s="65" t="s">
        <v>5829</v>
      </c>
      <c r="C3878" s="1">
        <v>9936127253</v>
      </c>
      <c r="E3878" s="17" t="s">
        <v>2950</v>
      </c>
      <c r="F3878" s="65" t="s">
        <v>4952</v>
      </c>
      <c r="G3878" s="3" t="s">
        <v>764</v>
      </c>
      <c r="H3878" s="3" t="s">
        <v>815</v>
      </c>
      <c r="I3878" s="3" t="s">
        <v>94</v>
      </c>
      <c r="J3878" s="31">
        <v>45880</v>
      </c>
      <c r="K3878" s="31">
        <v>45892</v>
      </c>
      <c r="L3878" s="31"/>
      <c r="M3878" s="31"/>
      <c r="N3878" s="31"/>
      <c r="O3878" s="3" t="s">
        <v>425</v>
      </c>
    </row>
    <row r="3879" spans="1:15">
      <c r="A3879" s="3">
        <f t="shared" si="62"/>
        <v>3878</v>
      </c>
      <c r="B3879" s="65" t="s">
        <v>5830</v>
      </c>
      <c r="C3879" s="1">
        <v>7052299139</v>
      </c>
      <c r="D3879" s="1">
        <v>9284772001</v>
      </c>
      <c r="E3879" s="17" t="s">
        <v>5827</v>
      </c>
      <c r="F3879" s="65" t="s">
        <v>4952</v>
      </c>
      <c r="G3879" s="3" t="s">
        <v>295</v>
      </c>
      <c r="H3879" s="3" t="s">
        <v>815</v>
      </c>
      <c r="I3879" s="3" t="s">
        <v>94</v>
      </c>
      <c r="J3879" s="31">
        <v>45880</v>
      </c>
      <c r="K3879" s="31">
        <v>45892</v>
      </c>
      <c r="L3879" s="31">
        <v>45903</v>
      </c>
      <c r="M3879" s="31">
        <v>45933</v>
      </c>
      <c r="N3879" s="31"/>
      <c r="O3879" s="3" t="s">
        <v>297</v>
      </c>
    </row>
    <row r="3880" spans="1:15">
      <c r="A3880" s="3">
        <f t="shared" si="62"/>
        <v>3879</v>
      </c>
      <c r="B3880" s="65" t="s">
        <v>5831</v>
      </c>
      <c r="C3880" s="1">
        <v>8013450707</v>
      </c>
      <c r="E3880" s="17" t="s">
        <v>5825</v>
      </c>
      <c r="F3880" s="65" t="s">
        <v>4952</v>
      </c>
      <c r="G3880" s="3" t="s">
        <v>18</v>
      </c>
      <c r="H3880" s="3" t="s">
        <v>815</v>
      </c>
      <c r="I3880" s="3" t="s">
        <v>94</v>
      </c>
      <c r="J3880" s="31">
        <v>45880</v>
      </c>
      <c r="K3880" s="31">
        <v>45892</v>
      </c>
      <c r="L3880" s="31"/>
      <c r="M3880" s="31"/>
      <c r="N3880" s="31"/>
      <c r="O3880" s="3" t="s">
        <v>297</v>
      </c>
    </row>
    <row r="3881" spans="1:15">
      <c r="A3881" s="3">
        <f t="shared" si="62"/>
        <v>3880</v>
      </c>
      <c r="B3881" s="65" t="s">
        <v>5832</v>
      </c>
      <c r="C3881" s="1">
        <v>9559905921</v>
      </c>
      <c r="E3881" s="17" t="s">
        <v>5827</v>
      </c>
      <c r="F3881" s="65" t="s">
        <v>4952</v>
      </c>
      <c r="G3881" s="3" t="s">
        <v>295</v>
      </c>
      <c r="H3881" s="3" t="s">
        <v>815</v>
      </c>
      <c r="I3881" s="3" t="s">
        <v>94</v>
      </c>
      <c r="J3881" s="31">
        <v>45880</v>
      </c>
      <c r="K3881" s="31">
        <v>45892</v>
      </c>
      <c r="L3881" s="31">
        <v>45903</v>
      </c>
      <c r="M3881" s="31">
        <v>45933</v>
      </c>
      <c r="N3881" s="31"/>
      <c r="O3881" s="3" t="s">
        <v>297</v>
      </c>
    </row>
    <row r="3882" spans="1:15">
      <c r="A3882" s="3">
        <f t="shared" si="62"/>
        <v>3881</v>
      </c>
      <c r="B3882" s="65" t="s">
        <v>5833</v>
      </c>
      <c r="C3882" s="1">
        <v>9559139006</v>
      </c>
      <c r="E3882" s="17" t="s">
        <v>5825</v>
      </c>
      <c r="F3882" s="65" t="s">
        <v>4952</v>
      </c>
      <c r="G3882" s="3" t="s">
        <v>16</v>
      </c>
      <c r="H3882" s="3" t="s">
        <v>815</v>
      </c>
      <c r="I3882" s="3" t="s">
        <v>94</v>
      </c>
      <c r="J3882" s="31">
        <v>45880</v>
      </c>
      <c r="K3882" s="31">
        <v>45892</v>
      </c>
      <c r="L3882" s="31">
        <v>45897</v>
      </c>
      <c r="M3882" s="31">
        <v>45918</v>
      </c>
      <c r="N3882" s="31">
        <v>45915</v>
      </c>
      <c r="O3882" s="3" t="s">
        <v>297</v>
      </c>
    </row>
    <row r="3883" spans="1:15">
      <c r="A3883" s="3">
        <f t="shared" si="62"/>
        <v>3882</v>
      </c>
      <c r="B3883" s="65" t="s">
        <v>5834</v>
      </c>
      <c r="C3883" s="1">
        <v>9973752399</v>
      </c>
      <c r="E3883" s="17" t="s">
        <v>5542</v>
      </c>
      <c r="F3883" s="65" t="s">
        <v>825</v>
      </c>
      <c r="G3883" s="3" t="s">
        <v>764</v>
      </c>
      <c r="H3883" s="3" t="s">
        <v>815</v>
      </c>
      <c r="I3883" s="3" t="s">
        <v>94</v>
      </c>
      <c r="J3883" s="31">
        <v>45880</v>
      </c>
      <c r="K3883" s="31">
        <v>45892</v>
      </c>
      <c r="L3883" s="31"/>
      <c r="M3883" s="31"/>
      <c r="N3883" s="31"/>
      <c r="O3883" s="3" t="s">
        <v>425</v>
      </c>
    </row>
    <row r="3884" spans="1:15">
      <c r="A3884" s="3">
        <f t="shared" si="62"/>
        <v>3883</v>
      </c>
      <c r="B3884" s="65" t="s">
        <v>5835</v>
      </c>
      <c r="C3884" s="1">
        <v>7903864051</v>
      </c>
      <c r="E3884" s="17" t="s">
        <v>5836</v>
      </c>
      <c r="F3884" s="65" t="s">
        <v>825</v>
      </c>
      <c r="G3884" s="3" t="s">
        <v>295</v>
      </c>
      <c r="H3884" s="3" t="s">
        <v>815</v>
      </c>
      <c r="I3884" s="3" t="s">
        <v>94</v>
      </c>
      <c r="J3884" s="31">
        <v>45880</v>
      </c>
      <c r="K3884" s="31">
        <v>45892</v>
      </c>
      <c r="L3884" s="31">
        <v>45903</v>
      </c>
      <c r="M3884" s="31">
        <v>45933</v>
      </c>
      <c r="N3884" s="31"/>
      <c r="O3884" s="3" t="s">
        <v>297</v>
      </c>
    </row>
    <row r="3885" spans="1:15">
      <c r="A3885" s="3">
        <f t="shared" si="62"/>
        <v>3884</v>
      </c>
      <c r="B3885" s="65" t="s">
        <v>5837</v>
      </c>
      <c r="C3885" s="1">
        <v>8817026413</v>
      </c>
      <c r="E3885" s="17" t="s">
        <v>5838</v>
      </c>
      <c r="F3885" s="65" t="s">
        <v>825</v>
      </c>
      <c r="G3885" s="3" t="s">
        <v>295</v>
      </c>
      <c r="H3885" s="3" t="s">
        <v>815</v>
      </c>
      <c r="I3885" s="3" t="s">
        <v>94</v>
      </c>
      <c r="J3885" s="31">
        <v>45880</v>
      </c>
      <c r="K3885" s="31">
        <v>45892</v>
      </c>
      <c r="L3885" s="31">
        <v>45903</v>
      </c>
      <c r="M3885" s="31">
        <v>45921</v>
      </c>
      <c r="N3885" s="31"/>
      <c r="O3885" s="3" t="s">
        <v>297</v>
      </c>
    </row>
    <row r="3886" spans="1:15">
      <c r="A3886" s="3">
        <f t="shared" si="62"/>
        <v>3885</v>
      </c>
      <c r="B3886" s="65" t="s">
        <v>5839</v>
      </c>
      <c r="C3886" s="1">
        <v>7217571670</v>
      </c>
      <c r="E3886" s="17" t="s">
        <v>2950</v>
      </c>
      <c r="F3886" s="65" t="s">
        <v>821</v>
      </c>
      <c r="G3886" s="3" t="s">
        <v>764</v>
      </c>
      <c r="H3886" s="3" t="s">
        <v>815</v>
      </c>
      <c r="I3886" s="3" t="s">
        <v>94</v>
      </c>
      <c r="J3886" s="31">
        <v>45880</v>
      </c>
      <c r="K3886" s="31">
        <v>45892</v>
      </c>
      <c r="L3886" s="31"/>
      <c r="M3886" s="31"/>
      <c r="N3886" s="31"/>
      <c r="O3886" s="3" t="s">
        <v>425</v>
      </c>
    </row>
    <row r="3887" spans="1:15">
      <c r="A3887" s="3">
        <f t="shared" si="62"/>
        <v>3886</v>
      </c>
      <c r="B3887" s="65" t="s">
        <v>5840</v>
      </c>
      <c r="C3887" s="1">
        <v>9046241633</v>
      </c>
      <c r="E3887" s="17" t="s">
        <v>5838</v>
      </c>
      <c r="F3887" s="65" t="s">
        <v>823</v>
      </c>
      <c r="G3887" s="3" t="s">
        <v>295</v>
      </c>
      <c r="H3887" s="3" t="s">
        <v>815</v>
      </c>
      <c r="I3887" s="3" t="s">
        <v>94</v>
      </c>
      <c r="J3887" s="31">
        <v>45880</v>
      </c>
      <c r="K3887" s="31">
        <v>45892</v>
      </c>
      <c r="L3887" s="31">
        <v>45903</v>
      </c>
      <c r="M3887" s="31">
        <v>45933</v>
      </c>
      <c r="N3887" s="31"/>
      <c r="O3887" s="3" t="s">
        <v>297</v>
      </c>
    </row>
    <row r="3888" spans="1:15">
      <c r="A3888" s="3">
        <f t="shared" si="62"/>
        <v>3887</v>
      </c>
      <c r="B3888" s="65" t="s">
        <v>5841</v>
      </c>
      <c r="C3888" s="1">
        <v>7209440573</v>
      </c>
      <c r="E3888" s="17" t="s">
        <v>5838</v>
      </c>
      <c r="F3888" s="65" t="s">
        <v>1555</v>
      </c>
      <c r="G3888" s="3" t="s">
        <v>416</v>
      </c>
      <c r="H3888" s="3" t="s">
        <v>815</v>
      </c>
      <c r="I3888" s="3" t="s">
        <v>94</v>
      </c>
      <c r="J3888" s="31">
        <v>45880</v>
      </c>
      <c r="K3888" s="31">
        <v>45892</v>
      </c>
      <c r="L3888" s="31"/>
      <c r="M3888" s="31"/>
      <c r="N3888" s="31"/>
      <c r="O3888" s="3" t="s">
        <v>297</v>
      </c>
    </row>
    <row r="3889" spans="1:15">
      <c r="A3889" s="3">
        <f t="shared" si="62"/>
        <v>3888</v>
      </c>
      <c r="B3889" s="65" t="s">
        <v>5842</v>
      </c>
      <c r="C3889" s="1">
        <v>7995923903</v>
      </c>
      <c r="E3889" s="17" t="s">
        <v>5843</v>
      </c>
      <c r="F3889" s="65" t="s">
        <v>5844</v>
      </c>
      <c r="G3889" s="3" t="s">
        <v>18</v>
      </c>
      <c r="H3889" s="3" t="s">
        <v>679</v>
      </c>
      <c r="I3889" s="3" t="s">
        <v>42</v>
      </c>
      <c r="J3889" s="31">
        <v>45880</v>
      </c>
      <c r="K3889" s="31"/>
      <c r="L3889" s="31"/>
      <c r="M3889" s="31"/>
      <c r="N3889" s="31"/>
      <c r="O3889" s="3" t="s">
        <v>1004</v>
      </c>
    </row>
    <row r="3890" spans="1:15">
      <c r="A3890" s="3">
        <f t="shared" si="62"/>
        <v>3889</v>
      </c>
      <c r="B3890" s="65" t="s">
        <v>5845</v>
      </c>
      <c r="C3890" s="1">
        <v>7309637344</v>
      </c>
      <c r="E3890" s="17" t="s">
        <v>1608</v>
      </c>
      <c r="F3890" s="65" t="s">
        <v>5846</v>
      </c>
      <c r="G3890" s="3" t="s">
        <v>764</v>
      </c>
      <c r="H3890" s="3" t="s">
        <v>1605</v>
      </c>
      <c r="I3890" s="3" t="s">
        <v>94</v>
      </c>
      <c r="J3890" s="31">
        <v>45881</v>
      </c>
      <c r="K3890" s="31">
        <v>45883</v>
      </c>
      <c r="L3890" s="31"/>
      <c r="M3890" s="31"/>
      <c r="N3890" s="31"/>
      <c r="O3890" s="3" t="s">
        <v>425</v>
      </c>
    </row>
    <row r="3891" spans="1:15">
      <c r="A3891" s="3">
        <f t="shared" si="62"/>
        <v>3890</v>
      </c>
      <c r="B3891" s="65" t="s">
        <v>5847</v>
      </c>
      <c r="C3891" s="1">
        <v>7999429955</v>
      </c>
      <c r="D3891" s="1">
        <v>8956921169</v>
      </c>
      <c r="E3891" s="17" t="s">
        <v>5848</v>
      </c>
      <c r="F3891" s="65" t="s">
        <v>612</v>
      </c>
      <c r="G3891" s="3" t="s">
        <v>295</v>
      </c>
      <c r="H3891" s="3" t="s">
        <v>1605</v>
      </c>
      <c r="I3891" s="3" t="s">
        <v>94</v>
      </c>
      <c r="J3891" s="31">
        <v>45881</v>
      </c>
      <c r="K3891" s="31">
        <v>45883</v>
      </c>
      <c r="L3891" s="31">
        <v>45897</v>
      </c>
      <c r="M3891" s="31">
        <v>45929</v>
      </c>
      <c r="N3891" s="31"/>
      <c r="O3891" s="3" t="s">
        <v>297</v>
      </c>
    </row>
    <row r="3892" spans="1:15">
      <c r="A3892" s="3">
        <f t="shared" si="62"/>
        <v>3891</v>
      </c>
      <c r="B3892" s="65" t="s">
        <v>5849</v>
      </c>
      <c r="C3892" s="1">
        <v>8085210097</v>
      </c>
      <c r="D3892" s="22">
        <v>7000391415</v>
      </c>
      <c r="E3892" s="17" t="s">
        <v>5701</v>
      </c>
      <c r="F3892" s="65" t="s">
        <v>1312</v>
      </c>
      <c r="G3892" s="3" t="s">
        <v>764</v>
      </c>
      <c r="H3892" s="3" t="s">
        <v>1605</v>
      </c>
      <c r="I3892" s="3" t="s">
        <v>94</v>
      </c>
      <c r="J3892" s="31">
        <v>45881</v>
      </c>
      <c r="K3892" s="31">
        <v>45911</v>
      </c>
      <c r="L3892" s="31"/>
      <c r="M3892" s="31"/>
      <c r="N3892" s="31"/>
      <c r="O3892" s="3" t="s">
        <v>425</v>
      </c>
    </row>
    <row r="3893" spans="1:15">
      <c r="A3893" s="3">
        <f t="shared" si="62"/>
        <v>3892</v>
      </c>
      <c r="B3893" s="65" t="s">
        <v>5850</v>
      </c>
      <c r="C3893" s="1">
        <v>7780908690</v>
      </c>
      <c r="E3893" s="17" t="s">
        <v>5480</v>
      </c>
      <c r="F3893" s="65" t="s">
        <v>5851</v>
      </c>
      <c r="G3893" s="3" t="s">
        <v>295</v>
      </c>
      <c r="H3893" s="3" t="s">
        <v>1605</v>
      </c>
      <c r="I3893" s="3" t="s">
        <v>94</v>
      </c>
      <c r="J3893" s="31">
        <v>45881</v>
      </c>
      <c r="K3893" s="31">
        <v>45883</v>
      </c>
      <c r="L3893" s="31">
        <v>45897</v>
      </c>
      <c r="M3893" s="31">
        <v>45929</v>
      </c>
      <c r="N3893" s="31"/>
      <c r="O3893" s="3" t="s">
        <v>297</v>
      </c>
    </row>
    <row r="3894" spans="1:15">
      <c r="A3894" s="3">
        <f t="shared" si="62"/>
        <v>3893</v>
      </c>
      <c r="B3894" s="65" t="s">
        <v>5852</v>
      </c>
      <c r="C3894" s="1">
        <v>7415855393</v>
      </c>
      <c r="E3894" s="17" t="s">
        <v>5853</v>
      </c>
      <c r="F3894" s="65" t="s">
        <v>1769</v>
      </c>
      <c r="G3894" s="3" t="s">
        <v>424</v>
      </c>
      <c r="H3894" s="3" t="s">
        <v>368</v>
      </c>
      <c r="I3894" s="3" t="s">
        <v>94</v>
      </c>
      <c r="J3894" s="31">
        <v>45881</v>
      </c>
      <c r="K3894" s="31">
        <v>45889</v>
      </c>
      <c r="L3894" s="31"/>
      <c r="M3894" s="31"/>
      <c r="N3894" s="31"/>
      <c r="O3894" s="3" t="s">
        <v>425</v>
      </c>
    </row>
    <row r="3895" spans="1:15">
      <c r="A3895" s="3">
        <f t="shared" si="62"/>
        <v>3894</v>
      </c>
      <c r="B3895" s="65" t="s">
        <v>5854</v>
      </c>
      <c r="C3895" s="1">
        <v>7415974017</v>
      </c>
      <c r="E3895" s="17" t="s">
        <v>5853</v>
      </c>
      <c r="F3895" s="65" t="s">
        <v>1769</v>
      </c>
      <c r="G3895" s="3" t="s">
        <v>424</v>
      </c>
      <c r="H3895" s="3" t="s">
        <v>368</v>
      </c>
      <c r="I3895" s="3" t="s">
        <v>94</v>
      </c>
      <c r="J3895" s="31">
        <v>45881</v>
      </c>
      <c r="K3895" s="31">
        <v>45889</v>
      </c>
      <c r="L3895" s="31"/>
      <c r="M3895" s="31"/>
      <c r="N3895" s="31"/>
      <c r="O3895" s="3" t="s">
        <v>425</v>
      </c>
    </row>
    <row r="3896" spans="1:15">
      <c r="A3896" s="3">
        <f t="shared" si="62"/>
        <v>3895</v>
      </c>
      <c r="B3896" s="65" t="s">
        <v>5855</v>
      </c>
      <c r="C3896" s="1">
        <v>9340579809</v>
      </c>
      <c r="E3896" s="17" t="s">
        <v>5856</v>
      </c>
      <c r="F3896" s="65" t="s">
        <v>1772</v>
      </c>
      <c r="G3896" s="3" t="s">
        <v>295</v>
      </c>
      <c r="H3896" s="3" t="s">
        <v>368</v>
      </c>
      <c r="I3896" s="3" t="s">
        <v>94</v>
      </c>
      <c r="J3896" s="31">
        <v>45881</v>
      </c>
      <c r="K3896" s="31">
        <v>45890</v>
      </c>
      <c r="L3896" s="31">
        <v>45903</v>
      </c>
      <c r="M3896" s="31">
        <v>45933</v>
      </c>
      <c r="N3896" s="31"/>
      <c r="O3896" s="3" t="s">
        <v>297</v>
      </c>
    </row>
    <row r="3897" spans="1:15">
      <c r="A3897" s="3">
        <f t="shared" si="62"/>
        <v>3896</v>
      </c>
      <c r="B3897" s="65" t="s">
        <v>5857</v>
      </c>
      <c r="C3897" s="1">
        <v>8328818378</v>
      </c>
      <c r="E3897" s="17" t="s">
        <v>5856</v>
      </c>
      <c r="F3897" s="65" t="s">
        <v>1772</v>
      </c>
      <c r="G3897" s="3" t="s">
        <v>424</v>
      </c>
      <c r="H3897" s="3" t="s">
        <v>368</v>
      </c>
      <c r="I3897" s="3" t="s">
        <v>94</v>
      </c>
      <c r="J3897" s="31">
        <v>45881</v>
      </c>
      <c r="K3897" s="31">
        <v>45890</v>
      </c>
      <c r="L3897" s="31"/>
      <c r="M3897" s="31"/>
      <c r="N3897" s="31"/>
      <c r="O3897" s="3" t="s">
        <v>425</v>
      </c>
    </row>
    <row r="3898" spans="1:15">
      <c r="A3898" s="3">
        <f t="shared" si="62"/>
        <v>3897</v>
      </c>
      <c r="B3898" s="65" t="s">
        <v>5858</v>
      </c>
      <c r="C3898" s="1">
        <v>7382406245</v>
      </c>
      <c r="E3898" s="17" t="s">
        <v>5859</v>
      </c>
      <c r="F3898" s="65" t="s">
        <v>1772</v>
      </c>
      <c r="G3898" s="3" t="s">
        <v>764</v>
      </c>
      <c r="H3898" s="3" t="s">
        <v>368</v>
      </c>
      <c r="I3898" s="3" t="s">
        <v>94</v>
      </c>
      <c r="J3898" s="31">
        <v>45881</v>
      </c>
      <c r="K3898" s="31">
        <v>45890</v>
      </c>
      <c r="L3898" s="31"/>
      <c r="M3898" s="31"/>
      <c r="N3898" s="31"/>
      <c r="O3898" s="3" t="s">
        <v>425</v>
      </c>
    </row>
    <row r="3899" spans="1:15">
      <c r="A3899" s="3">
        <f t="shared" si="62"/>
        <v>3898</v>
      </c>
      <c r="B3899" s="65" t="s">
        <v>5860</v>
      </c>
      <c r="C3899" s="1">
        <v>9871576993</v>
      </c>
      <c r="E3899" s="17" t="s">
        <v>5859</v>
      </c>
      <c r="F3899" s="65" t="s">
        <v>1772</v>
      </c>
      <c r="G3899" s="3" t="s">
        <v>416</v>
      </c>
      <c r="H3899" s="3" t="s">
        <v>368</v>
      </c>
      <c r="I3899" s="3" t="s">
        <v>94</v>
      </c>
      <c r="J3899" s="31">
        <v>45881</v>
      </c>
      <c r="K3899" s="31">
        <v>45890</v>
      </c>
      <c r="L3899" s="31"/>
      <c r="M3899" s="31"/>
      <c r="N3899" s="31"/>
      <c r="O3899" s="3" t="s">
        <v>297</v>
      </c>
    </row>
    <row r="3900" spans="1:15">
      <c r="A3900" s="3">
        <f t="shared" si="62"/>
        <v>3899</v>
      </c>
      <c r="B3900" s="65" t="s">
        <v>5861</v>
      </c>
      <c r="C3900" s="1">
        <v>8962215674</v>
      </c>
      <c r="E3900" s="17" t="s">
        <v>5862</v>
      </c>
      <c r="F3900" s="65" t="s">
        <v>1772</v>
      </c>
      <c r="G3900" s="3" t="s">
        <v>424</v>
      </c>
      <c r="H3900" s="3" t="s">
        <v>368</v>
      </c>
      <c r="I3900" s="3" t="s">
        <v>94</v>
      </c>
      <c r="J3900" s="31">
        <v>45881</v>
      </c>
      <c r="K3900" s="31">
        <v>45891</v>
      </c>
      <c r="L3900" s="31"/>
      <c r="M3900" s="31"/>
      <c r="N3900" s="31"/>
      <c r="O3900" s="3" t="s">
        <v>425</v>
      </c>
    </row>
    <row r="3901" spans="1:15">
      <c r="A3901" s="3">
        <f t="shared" si="62"/>
        <v>3900</v>
      </c>
      <c r="B3901" s="65" t="s">
        <v>422</v>
      </c>
      <c r="C3901" s="1">
        <v>7979030647</v>
      </c>
      <c r="E3901" s="17" t="s">
        <v>5863</v>
      </c>
      <c r="F3901" s="65" t="s">
        <v>388</v>
      </c>
      <c r="G3901" s="3" t="s">
        <v>18</v>
      </c>
      <c r="H3901" s="3" t="s">
        <v>357</v>
      </c>
      <c r="I3901" s="3" t="s">
        <v>94</v>
      </c>
      <c r="J3901" s="31">
        <v>45881</v>
      </c>
      <c r="K3901" s="31">
        <v>45882</v>
      </c>
      <c r="L3901" s="31"/>
      <c r="M3901" s="31"/>
      <c r="N3901" s="31"/>
      <c r="O3901" s="3" t="s">
        <v>297</v>
      </c>
    </row>
    <row r="3902" spans="1:15">
      <c r="A3902" s="3">
        <f t="shared" si="62"/>
        <v>3901</v>
      </c>
      <c r="B3902" s="65" t="s">
        <v>5864</v>
      </c>
      <c r="C3902" s="1">
        <v>7999887544</v>
      </c>
      <c r="E3902" s="17" t="s">
        <v>5863</v>
      </c>
      <c r="F3902" s="65" t="s">
        <v>388</v>
      </c>
      <c r="G3902" s="3" t="s">
        <v>295</v>
      </c>
      <c r="H3902" s="3" t="s">
        <v>357</v>
      </c>
      <c r="I3902" s="3" t="s">
        <v>94</v>
      </c>
      <c r="J3902" s="31">
        <v>45881</v>
      </c>
      <c r="K3902" s="31">
        <v>45882</v>
      </c>
      <c r="L3902" s="31">
        <v>45889</v>
      </c>
      <c r="M3902" s="31">
        <v>45930</v>
      </c>
      <c r="N3902" s="31"/>
      <c r="O3902" s="3" t="s">
        <v>297</v>
      </c>
    </row>
    <row r="3903" spans="1:15">
      <c r="A3903" s="3">
        <f t="shared" si="62"/>
        <v>3902</v>
      </c>
      <c r="B3903" s="65" t="s">
        <v>2992</v>
      </c>
      <c r="C3903" s="1">
        <v>8653782915</v>
      </c>
      <c r="E3903" s="17" t="s">
        <v>5865</v>
      </c>
      <c r="F3903" s="65" t="s">
        <v>388</v>
      </c>
      <c r="G3903" s="3" t="s">
        <v>16</v>
      </c>
      <c r="H3903" s="3" t="s">
        <v>357</v>
      </c>
      <c r="I3903" s="3" t="s">
        <v>94</v>
      </c>
      <c r="J3903" s="31">
        <v>45881</v>
      </c>
      <c r="K3903" s="31">
        <v>45882</v>
      </c>
      <c r="L3903" s="31">
        <v>45889</v>
      </c>
      <c r="M3903" s="31">
        <v>45930</v>
      </c>
      <c r="N3903" s="31">
        <v>45923</v>
      </c>
      <c r="O3903" s="3" t="s">
        <v>297</v>
      </c>
    </row>
    <row r="3904" spans="1:15">
      <c r="A3904" s="3">
        <f t="shared" si="62"/>
        <v>3903</v>
      </c>
      <c r="B3904" s="65" t="s">
        <v>5866</v>
      </c>
      <c r="C3904" s="1">
        <v>6261439033</v>
      </c>
      <c r="D3904" s="1">
        <v>7073427529</v>
      </c>
      <c r="E3904" s="17" t="s">
        <v>5865</v>
      </c>
      <c r="F3904" s="65" t="s">
        <v>388</v>
      </c>
      <c r="G3904" s="3" t="s">
        <v>764</v>
      </c>
      <c r="H3904" s="3" t="s">
        <v>357</v>
      </c>
      <c r="I3904" s="3" t="s">
        <v>94</v>
      </c>
      <c r="J3904" s="31">
        <v>45881</v>
      </c>
      <c r="K3904" s="31">
        <v>45882</v>
      </c>
      <c r="L3904" s="31"/>
      <c r="M3904" s="31"/>
      <c r="N3904" s="31"/>
      <c r="O3904" s="3" t="s">
        <v>425</v>
      </c>
    </row>
    <row r="3905" spans="1:15">
      <c r="A3905" s="3">
        <f t="shared" si="62"/>
        <v>3904</v>
      </c>
      <c r="B3905" s="65" t="s">
        <v>5867</v>
      </c>
      <c r="C3905" s="1">
        <v>9617820201</v>
      </c>
      <c r="E3905" s="17" t="s">
        <v>5865</v>
      </c>
      <c r="F3905" s="65" t="s">
        <v>388</v>
      </c>
      <c r="G3905" s="3" t="s">
        <v>764</v>
      </c>
      <c r="H3905" s="3" t="s">
        <v>357</v>
      </c>
      <c r="I3905" s="3" t="s">
        <v>94</v>
      </c>
      <c r="J3905" s="31">
        <v>45881</v>
      </c>
      <c r="K3905" s="31">
        <v>45882</v>
      </c>
      <c r="L3905" s="31"/>
      <c r="M3905" s="31"/>
      <c r="N3905" s="31"/>
      <c r="O3905" s="3" t="s">
        <v>425</v>
      </c>
    </row>
    <row r="3906" spans="1:15">
      <c r="A3906" s="3">
        <f t="shared" si="62"/>
        <v>3905</v>
      </c>
      <c r="B3906" s="65" t="s">
        <v>5868</v>
      </c>
      <c r="C3906" s="1">
        <v>8839553157</v>
      </c>
      <c r="E3906" s="17" t="s">
        <v>5869</v>
      </c>
      <c r="F3906" s="65" t="s">
        <v>268</v>
      </c>
      <c r="G3906" s="3" t="s">
        <v>16</v>
      </c>
      <c r="H3906" s="3" t="s">
        <v>357</v>
      </c>
      <c r="I3906" s="3" t="s">
        <v>94</v>
      </c>
      <c r="J3906" s="31">
        <v>45881</v>
      </c>
      <c r="K3906" s="31">
        <v>45883</v>
      </c>
      <c r="L3906" s="31">
        <v>45889</v>
      </c>
      <c r="M3906" s="31">
        <v>45930</v>
      </c>
      <c r="N3906" s="31">
        <v>45936</v>
      </c>
      <c r="O3906" s="3" t="s">
        <v>297</v>
      </c>
    </row>
    <row r="3907" spans="1:15">
      <c r="A3907" s="3">
        <f t="shared" si="62"/>
        <v>3906</v>
      </c>
      <c r="B3907" s="65" t="s">
        <v>5870</v>
      </c>
      <c r="C3907" s="1">
        <v>9368601696</v>
      </c>
      <c r="E3907" s="17" t="s">
        <v>5871</v>
      </c>
      <c r="F3907" s="65" t="s">
        <v>268</v>
      </c>
      <c r="G3907" s="3" t="s">
        <v>16</v>
      </c>
      <c r="H3907" s="3" t="s">
        <v>357</v>
      </c>
      <c r="I3907" s="3" t="s">
        <v>94</v>
      </c>
      <c r="J3907" s="31">
        <v>45881</v>
      </c>
      <c r="K3907" s="31">
        <v>45883</v>
      </c>
      <c r="L3907" s="31">
        <v>45889</v>
      </c>
      <c r="M3907" s="31">
        <v>45930</v>
      </c>
      <c r="N3907" s="31">
        <v>45937</v>
      </c>
      <c r="O3907" s="3" t="s">
        <v>297</v>
      </c>
    </row>
    <row r="3908" spans="1:15">
      <c r="A3908" s="3">
        <f t="shared" si="62"/>
        <v>3907</v>
      </c>
      <c r="B3908" s="65" t="s">
        <v>5872</v>
      </c>
      <c r="C3908" s="1">
        <v>7827848980</v>
      </c>
      <c r="D3908" s="1">
        <v>8127311528</v>
      </c>
      <c r="E3908" s="17" t="s">
        <v>5871</v>
      </c>
      <c r="F3908" s="65" t="s">
        <v>268</v>
      </c>
      <c r="G3908" s="3" t="s">
        <v>295</v>
      </c>
      <c r="H3908" s="3" t="s">
        <v>357</v>
      </c>
      <c r="I3908" s="3" t="s">
        <v>94</v>
      </c>
      <c r="J3908" s="31">
        <v>45881</v>
      </c>
      <c r="K3908" s="31">
        <v>45883</v>
      </c>
      <c r="L3908" s="31">
        <v>45889</v>
      </c>
      <c r="M3908" s="31">
        <v>45945</v>
      </c>
      <c r="N3908" s="31"/>
      <c r="O3908" s="3" t="s">
        <v>297</v>
      </c>
    </row>
    <row r="3909" spans="1:15">
      <c r="A3909" s="3">
        <f t="shared" si="62"/>
        <v>3908</v>
      </c>
      <c r="B3909" s="65" t="s">
        <v>5873</v>
      </c>
      <c r="C3909" s="1">
        <v>8933944903</v>
      </c>
      <c r="D3909" s="1">
        <v>7666841943</v>
      </c>
      <c r="E3909" s="17" t="s">
        <v>5874</v>
      </c>
      <c r="F3909" s="65" t="s">
        <v>268</v>
      </c>
      <c r="G3909" s="2" t="s">
        <v>295</v>
      </c>
      <c r="H3909" s="3" t="s">
        <v>357</v>
      </c>
      <c r="I3909" s="3" t="s">
        <v>94</v>
      </c>
      <c r="J3909" s="31">
        <v>45881</v>
      </c>
      <c r="K3909" s="31">
        <v>45883</v>
      </c>
      <c r="L3909" s="31">
        <v>45889</v>
      </c>
      <c r="M3909" s="31">
        <v>45930</v>
      </c>
      <c r="N3909" s="31"/>
      <c r="O3909" s="3" t="s">
        <v>297</v>
      </c>
    </row>
    <row r="3910" spans="1:15">
      <c r="A3910" s="3">
        <f t="shared" si="62"/>
        <v>3909</v>
      </c>
      <c r="B3910" s="65" t="s">
        <v>5875</v>
      </c>
      <c r="C3910" s="1">
        <v>8928693923</v>
      </c>
      <c r="E3910" s="17" t="s">
        <v>5876</v>
      </c>
      <c r="F3910" s="65" t="s">
        <v>268</v>
      </c>
      <c r="G3910" s="3" t="s">
        <v>16</v>
      </c>
      <c r="H3910" s="3" t="s">
        <v>357</v>
      </c>
      <c r="I3910" s="3" t="s">
        <v>94</v>
      </c>
      <c r="J3910" s="31">
        <v>45881</v>
      </c>
      <c r="K3910" s="31">
        <v>45882</v>
      </c>
      <c r="L3910" s="31">
        <v>45889</v>
      </c>
      <c r="M3910" s="31">
        <v>45930</v>
      </c>
      <c r="N3910" s="31">
        <v>45933</v>
      </c>
      <c r="O3910" s="3" t="s">
        <v>297</v>
      </c>
    </row>
    <row r="3911" spans="1:15">
      <c r="A3911" s="3">
        <f t="shared" si="62"/>
        <v>3910</v>
      </c>
      <c r="B3911" s="65" t="s">
        <v>5877</v>
      </c>
      <c r="C3911" s="1">
        <v>8533947816</v>
      </c>
      <c r="E3911" s="17" t="s">
        <v>5874</v>
      </c>
      <c r="F3911" s="65" t="s">
        <v>268</v>
      </c>
      <c r="G3911" s="3" t="s">
        <v>16</v>
      </c>
      <c r="H3911" s="3" t="s">
        <v>357</v>
      </c>
      <c r="I3911" s="3" t="s">
        <v>94</v>
      </c>
      <c r="J3911" s="31">
        <v>45881</v>
      </c>
      <c r="K3911" s="31">
        <v>45882</v>
      </c>
      <c r="L3911" s="31">
        <v>45889</v>
      </c>
      <c r="M3911" s="31">
        <v>45930</v>
      </c>
      <c r="N3911" s="31">
        <v>45929</v>
      </c>
      <c r="O3911" s="3" t="s">
        <v>297</v>
      </c>
    </row>
    <row r="3912" spans="1:15">
      <c r="A3912" s="3">
        <f t="shared" si="62"/>
        <v>3911</v>
      </c>
      <c r="B3912" s="65" t="s">
        <v>5878</v>
      </c>
      <c r="C3912" s="1">
        <v>9992221883</v>
      </c>
      <c r="E3912" s="17" t="s">
        <v>5874</v>
      </c>
      <c r="F3912" s="65" t="s">
        <v>268</v>
      </c>
      <c r="G3912" s="3" t="s">
        <v>18</v>
      </c>
      <c r="H3912" s="3" t="s">
        <v>357</v>
      </c>
      <c r="I3912" s="3" t="s">
        <v>94</v>
      </c>
      <c r="J3912" s="31">
        <v>45881</v>
      </c>
      <c r="K3912" s="31">
        <v>45882</v>
      </c>
      <c r="L3912" s="31"/>
      <c r="M3912" s="31"/>
      <c r="N3912" s="31"/>
      <c r="O3912" s="3" t="s">
        <v>297</v>
      </c>
    </row>
    <row r="3913" spans="1:15">
      <c r="A3913" s="3">
        <f t="shared" si="62"/>
        <v>3912</v>
      </c>
      <c r="B3913" s="65" t="s">
        <v>5879</v>
      </c>
      <c r="C3913" s="1">
        <v>9977224590</v>
      </c>
      <c r="D3913" s="1">
        <v>9098599986</v>
      </c>
      <c r="E3913" s="17" t="s">
        <v>5874</v>
      </c>
      <c r="F3913" s="65" t="s">
        <v>268</v>
      </c>
      <c r="G3913" s="3" t="s">
        <v>416</v>
      </c>
      <c r="H3913" s="3" t="s">
        <v>357</v>
      </c>
      <c r="I3913" s="3" t="s">
        <v>94</v>
      </c>
      <c r="J3913" s="31">
        <v>45881</v>
      </c>
      <c r="K3913" s="31">
        <v>45883</v>
      </c>
      <c r="L3913" s="31"/>
      <c r="M3913" s="31"/>
      <c r="N3913" s="31"/>
      <c r="O3913" s="3" t="s">
        <v>297</v>
      </c>
    </row>
    <row r="3914" spans="1:15">
      <c r="A3914" s="3">
        <f t="shared" si="62"/>
        <v>3913</v>
      </c>
      <c r="B3914" s="65" t="s">
        <v>5880</v>
      </c>
      <c r="C3914" s="1">
        <v>7439121398</v>
      </c>
      <c r="E3914" s="17" t="s">
        <v>1771</v>
      </c>
      <c r="F3914" s="65" t="s">
        <v>4536</v>
      </c>
      <c r="G3914" s="3" t="s">
        <v>764</v>
      </c>
      <c r="H3914" s="3" t="s">
        <v>785</v>
      </c>
      <c r="I3914" s="3" t="s">
        <v>88</v>
      </c>
      <c r="J3914" s="31">
        <v>45881</v>
      </c>
      <c r="K3914" s="31">
        <v>45911</v>
      </c>
      <c r="L3914" s="31"/>
      <c r="M3914" s="31"/>
      <c r="N3914" s="31"/>
      <c r="O3914" s="3" t="s">
        <v>425</v>
      </c>
    </row>
    <row r="3915" spans="1:15">
      <c r="A3915" s="3">
        <f t="shared" si="62"/>
        <v>3914</v>
      </c>
      <c r="B3915" s="65" t="s">
        <v>5881</v>
      </c>
      <c r="C3915" s="1">
        <v>7569817650</v>
      </c>
      <c r="E3915" s="17" t="s">
        <v>1440</v>
      </c>
      <c r="F3915" s="65" t="s">
        <v>4533</v>
      </c>
      <c r="G3915" s="3" t="s">
        <v>416</v>
      </c>
      <c r="H3915" s="3" t="s">
        <v>785</v>
      </c>
      <c r="I3915" s="3" t="s">
        <v>88</v>
      </c>
      <c r="J3915" s="31">
        <v>45881</v>
      </c>
      <c r="K3915" s="31">
        <v>45911</v>
      </c>
      <c r="L3915" s="31"/>
      <c r="M3915" s="31"/>
      <c r="N3915" s="31"/>
      <c r="O3915" s="3" t="s">
        <v>297</v>
      </c>
    </row>
    <row r="3916" spans="1:15">
      <c r="A3916" s="3">
        <f t="shared" si="62"/>
        <v>3915</v>
      </c>
      <c r="B3916" s="65" t="s">
        <v>5882</v>
      </c>
      <c r="C3916" s="1">
        <v>7985759753</v>
      </c>
      <c r="E3916" s="17" t="s">
        <v>1440</v>
      </c>
      <c r="F3916" s="65" t="s">
        <v>4533</v>
      </c>
      <c r="G3916" s="3" t="s">
        <v>424</v>
      </c>
      <c r="H3916" s="3" t="s">
        <v>785</v>
      </c>
      <c r="I3916" s="3" t="s">
        <v>88</v>
      </c>
      <c r="J3916" s="31">
        <v>45881</v>
      </c>
      <c r="K3916" s="31">
        <v>45911</v>
      </c>
      <c r="L3916" s="31"/>
      <c r="M3916" s="31"/>
      <c r="N3916" s="31"/>
      <c r="O3916" s="3" t="s">
        <v>425</v>
      </c>
    </row>
    <row r="3917" spans="1:15">
      <c r="A3917" s="3">
        <f t="shared" si="62"/>
        <v>3916</v>
      </c>
      <c r="B3917" s="65" t="s">
        <v>5883</v>
      </c>
      <c r="C3917" s="1">
        <v>9727931789</v>
      </c>
      <c r="E3917" s="17" t="s">
        <v>1440</v>
      </c>
      <c r="F3917" s="65" t="s">
        <v>4533</v>
      </c>
      <c r="G3917" s="3" t="s">
        <v>295</v>
      </c>
      <c r="H3917" s="3" t="s">
        <v>785</v>
      </c>
      <c r="I3917" s="3" t="s">
        <v>88</v>
      </c>
      <c r="J3917" s="31">
        <v>45881</v>
      </c>
      <c r="K3917" s="31">
        <v>45911</v>
      </c>
      <c r="L3917" s="31">
        <v>45927</v>
      </c>
      <c r="M3917" s="31">
        <v>45959</v>
      </c>
      <c r="N3917" s="31"/>
      <c r="O3917" s="3" t="s">
        <v>297</v>
      </c>
    </row>
    <row r="3918" spans="1:15">
      <c r="A3918" s="3">
        <f t="shared" si="62"/>
        <v>3917</v>
      </c>
      <c r="B3918" s="65" t="s">
        <v>5884</v>
      </c>
      <c r="C3918" s="1">
        <v>8498852447</v>
      </c>
      <c r="D3918" s="1">
        <v>6302515833</v>
      </c>
      <c r="E3918" s="17" t="s">
        <v>5778</v>
      </c>
      <c r="F3918" s="65" t="s">
        <v>5885</v>
      </c>
      <c r="G3918" s="3" t="s">
        <v>16</v>
      </c>
      <c r="H3918" s="3" t="s">
        <v>5774</v>
      </c>
      <c r="I3918" s="3" t="s">
        <v>42</v>
      </c>
      <c r="J3918" s="31">
        <v>45881</v>
      </c>
      <c r="K3918" s="31">
        <v>45887</v>
      </c>
      <c r="L3918" s="31">
        <v>45887</v>
      </c>
      <c r="M3918" s="31">
        <v>45933</v>
      </c>
      <c r="N3918" s="31">
        <v>45933</v>
      </c>
      <c r="O3918" s="3" t="s">
        <v>297</v>
      </c>
    </row>
    <row r="3919" spans="1:15">
      <c r="A3919" s="3">
        <f t="shared" si="62"/>
        <v>3918</v>
      </c>
      <c r="B3919" s="65" t="s">
        <v>5886</v>
      </c>
      <c r="C3919" s="1">
        <v>7522924344</v>
      </c>
      <c r="E3919" s="17" t="s">
        <v>5887</v>
      </c>
      <c r="F3919" s="65" t="s">
        <v>5885</v>
      </c>
      <c r="G3919" s="3" t="s">
        <v>295</v>
      </c>
      <c r="H3919" s="3" t="s">
        <v>5774</v>
      </c>
      <c r="I3919" s="3" t="s">
        <v>42</v>
      </c>
      <c r="J3919" s="31">
        <v>45881</v>
      </c>
      <c r="K3919" s="31">
        <v>45887</v>
      </c>
      <c r="L3919" s="31">
        <v>45889</v>
      </c>
      <c r="M3919" s="31">
        <v>45943</v>
      </c>
      <c r="N3919" s="31"/>
      <c r="O3919" s="3" t="s">
        <v>297</v>
      </c>
    </row>
    <row r="3920" spans="1:15">
      <c r="A3920" s="3">
        <f t="shared" si="62"/>
        <v>3919</v>
      </c>
      <c r="B3920" s="65" t="s">
        <v>755</v>
      </c>
      <c r="C3920" s="1">
        <v>7989864712</v>
      </c>
      <c r="E3920" s="17" t="s">
        <v>5773</v>
      </c>
      <c r="F3920" s="65" t="s">
        <v>5885</v>
      </c>
      <c r="G3920" s="3" t="s">
        <v>764</v>
      </c>
      <c r="H3920" s="3" t="s">
        <v>5774</v>
      </c>
      <c r="I3920" s="3" t="s">
        <v>42</v>
      </c>
      <c r="J3920" s="31">
        <v>45881</v>
      </c>
      <c r="K3920" s="31">
        <v>45947</v>
      </c>
      <c r="L3920" s="31"/>
      <c r="M3920" s="31"/>
      <c r="N3920" s="31"/>
      <c r="O3920" s="3" t="s">
        <v>425</v>
      </c>
    </row>
    <row r="3921" spans="1:15">
      <c r="A3921" s="3">
        <f t="shared" si="62"/>
        <v>3920</v>
      </c>
      <c r="B3921" s="65" t="s">
        <v>5888</v>
      </c>
      <c r="C3921" s="1">
        <v>7674889463</v>
      </c>
      <c r="E3921" s="17" t="s">
        <v>2821</v>
      </c>
      <c r="F3921" s="65" t="s">
        <v>5889</v>
      </c>
      <c r="G3921" s="3" t="s">
        <v>424</v>
      </c>
      <c r="H3921" s="3" t="s">
        <v>5774</v>
      </c>
      <c r="I3921" s="3" t="s">
        <v>42</v>
      </c>
      <c r="J3921" s="31">
        <v>45881</v>
      </c>
      <c r="K3921" s="31">
        <v>45887</v>
      </c>
      <c r="L3921" s="31"/>
      <c r="M3921" s="31"/>
      <c r="N3921" s="31"/>
      <c r="O3921" s="3" t="s">
        <v>425</v>
      </c>
    </row>
    <row r="3922" spans="1:15">
      <c r="A3922" s="3">
        <f t="shared" si="62"/>
        <v>3921</v>
      </c>
      <c r="B3922" s="65" t="s">
        <v>5890</v>
      </c>
      <c r="C3922" s="1">
        <v>8328428263</v>
      </c>
      <c r="E3922" s="17" t="s">
        <v>5773</v>
      </c>
      <c r="F3922" s="65" t="s">
        <v>5885</v>
      </c>
      <c r="G3922" s="3" t="s">
        <v>16</v>
      </c>
      <c r="H3922" s="3" t="s">
        <v>5774</v>
      </c>
      <c r="I3922" s="3" t="s">
        <v>42</v>
      </c>
      <c r="J3922" s="31">
        <v>45881</v>
      </c>
      <c r="K3922" s="31">
        <v>45887</v>
      </c>
      <c r="L3922" s="31">
        <v>45889</v>
      </c>
      <c r="M3922" s="31">
        <v>45917</v>
      </c>
      <c r="N3922" s="31">
        <v>45917</v>
      </c>
      <c r="O3922" s="3" t="s">
        <v>297</v>
      </c>
    </row>
    <row r="3923" spans="1:15">
      <c r="A3923" s="3">
        <f t="shared" si="62"/>
        <v>3922</v>
      </c>
      <c r="B3923" s="65" t="s">
        <v>5891</v>
      </c>
      <c r="C3923" s="1">
        <v>9912398263</v>
      </c>
      <c r="E3923" s="17" t="s">
        <v>5773</v>
      </c>
      <c r="F3923" s="65" t="s">
        <v>5892</v>
      </c>
      <c r="G3923" s="2" t="s">
        <v>16</v>
      </c>
      <c r="H3923" s="3" t="s">
        <v>5774</v>
      </c>
      <c r="I3923" s="3" t="s">
        <v>42</v>
      </c>
      <c r="J3923" s="31">
        <v>45881</v>
      </c>
      <c r="K3923" s="31">
        <v>45887</v>
      </c>
      <c r="L3923" s="31">
        <v>45908</v>
      </c>
      <c r="M3923" s="31">
        <v>45938</v>
      </c>
      <c r="N3923" s="31">
        <v>45939</v>
      </c>
      <c r="O3923" s="3" t="s">
        <v>297</v>
      </c>
    </row>
    <row r="3924" spans="1:15">
      <c r="A3924" s="3">
        <f t="shared" si="62"/>
        <v>3923</v>
      </c>
      <c r="B3924" s="65" t="s">
        <v>5893</v>
      </c>
      <c r="C3924" s="1">
        <v>7047262240</v>
      </c>
      <c r="E3924" s="17" t="s">
        <v>5125</v>
      </c>
      <c r="F3924" s="65" t="s">
        <v>2002</v>
      </c>
      <c r="G3924" s="3" t="s">
        <v>416</v>
      </c>
      <c r="H3924" s="3" t="s">
        <v>487</v>
      </c>
      <c r="I3924" s="3" t="s">
        <v>88</v>
      </c>
      <c r="J3924" s="31">
        <v>45881</v>
      </c>
      <c r="K3924" s="31">
        <v>45890</v>
      </c>
      <c r="L3924" s="31"/>
      <c r="M3924" s="31"/>
      <c r="N3924" s="31"/>
      <c r="O3924" s="3" t="s">
        <v>297</v>
      </c>
    </row>
    <row r="3925" spans="1:15">
      <c r="A3925" s="3">
        <f t="shared" si="62"/>
        <v>3924</v>
      </c>
      <c r="B3925" s="65" t="s">
        <v>5894</v>
      </c>
      <c r="C3925" s="1">
        <v>9129990999</v>
      </c>
      <c r="E3925" s="17" t="s">
        <v>3295</v>
      </c>
      <c r="F3925" s="65" t="s">
        <v>5895</v>
      </c>
      <c r="G3925" s="3" t="s">
        <v>16</v>
      </c>
      <c r="H3925" s="3" t="s">
        <v>487</v>
      </c>
      <c r="I3925" s="3" t="s">
        <v>88</v>
      </c>
      <c r="J3925" s="31">
        <v>45881</v>
      </c>
      <c r="K3925" s="31">
        <v>45890</v>
      </c>
      <c r="L3925" s="31">
        <v>45898</v>
      </c>
      <c r="M3925" s="31">
        <v>45929</v>
      </c>
      <c r="N3925" s="31">
        <v>45929</v>
      </c>
      <c r="O3925" s="3" t="s">
        <v>297</v>
      </c>
    </row>
    <row r="3926" spans="1:15">
      <c r="A3926" s="3">
        <f t="shared" si="62"/>
        <v>3925</v>
      </c>
      <c r="B3926" s="65" t="s">
        <v>5896</v>
      </c>
      <c r="C3926" s="1">
        <v>7018571366</v>
      </c>
      <c r="E3926" s="17" t="s">
        <v>5125</v>
      </c>
      <c r="F3926" s="65" t="s">
        <v>5897</v>
      </c>
      <c r="G3926" s="3" t="s">
        <v>424</v>
      </c>
      <c r="H3926" s="3" t="s">
        <v>487</v>
      </c>
      <c r="I3926" s="3" t="s">
        <v>88</v>
      </c>
      <c r="J3926" s="31">
        <v>45881</v>
      </c>
      <c r="K3926" s="31">
        <v>45890</v>
      </c>
      <c r="L3926" s="31"/>
      <c r="M3926" s="31"/>
      <c r="N3926" s="31"/>
      <c r="O3926" s="3" t="s">
        <v>425</v>
      </c>
    </row>
    <row r="3927" spans="1:15">
      <c r="A3927" s="3">
        <f t="shared" si="62"/>
        <v>3926</v>
      </c>
      <c r="B3927" s="65" t="s">
        <v>5898</v>
      </c>
      <c r="C3927" s="1">
        <v>8894654702</v>
      </c>
      <c r="E3927" s="17" t="s">
        <v>5313</v>
      </c>
      <c r="F3927" s="65" t="s">
        <v>569</v>
      </c>
      <c r="G3927" s="3" t="s">
        <v>416</v>
      </c>
      <c r="H3927" s="3" t="s">
        <v>487</v>
      </c>
      <c r="I3927" s="3" t="s">
        <v>88</v>
      </c>
      <c r="J3927" s="31">
        <v>45881</v>
      </c>
      <c r="K3927" s="31">
        <v>45890</v>
      </c>
      <c r="L3927" s="31"/>
      <c r="M3927" s="31"/>
      <c r="N3927" s="31"/>
      <c r="O3927" s="3" t="s">
        <v>297</v>
      </c>
    </row>
    <row r="3928" spans="1:15">
      <c r="A3928" s="3">
        <f t="shared" si="62"/>
        <v>3927</v>
      </c>
      <c r="B3928" s="65" t="s">
        <v>5899</v>
      </c>
      <c r="C3928" s="1">
        <v>8628870489</v>
      </c>
      <c r="D3928" s="1">
        <v>8219690738</v>
      </c>
      <c r="E3928" s="17" t="s">
        <v>5313</v>
      </c>
      <c r="F3928" s="65" t="s">
        <v>2113</v>
      </c>
      <c r="G3928" s="3" t="s">
        <v>16</v>
      </c>
      <c r="H3928" s="3" t="s">
        <v>487</v>
      </c>
      <c r="I3928" s="3" t="s">
        <v>88</v>
      </c>
      <c r="J3928" s="31">
        <v>45881</v>
      </c>
      <c r="K3928" s="31">
        <v>45890</v>
      </c>
      <c r="L3928" s="31">
        <v>45898</v>
      </c>
      <c r="M3928" s="31">
        <v>45929</v>
      </c>
      <c r="N3928" s="31">
        <v>45929</v>
      </c>
      <c r="O3928" s="3" t="s">
        <v>297</v>
      </c>
    </row>
    <row r="3929" spans="1:15">
      <c r="A3929" s="3">
        <f t="shared" si="62"/>
        <v>3928</v>
      </c>
      <c r="B3929" s="65" t="s">
        <v>1217</v>
      </c>
      <c r="C3929" s="1">
        <v>9199222697</v>
      </c>
      <c r="E3929" s="17" t="s">
        <v>5900</v>
      </c>
      <c r="F3929" s="65" t="s">
        <v>471</v>
      </c>
      <c r="G3929" s="3" t="s">
        <v>18</v>
      </c>
      <c r="H3929" s="3" t="s">
        <v>296</v>
      </c>
      <c r="I3929" s="3" t="s">
        <v>94</v>
      </c>
      <c r="J3929" s="31">
        <v>45882</v>
      </c>
      <c r="K3929" s="31"/>
      <c r="L3929" s="31"/>
      <c r="M3929" s="31"/>
      <c r="N3929" s="31"/>
      <c r="O3929" s="3" t="s">
        <v>297</v>
      </c>
    </row>
    <row r="3930" spans="1:15">
      <c r="A3930" s="3">
        <f t="shared" si="62"/>
        <v>3929</v>
      </c>
      <c r="B3930" s="65" t="s">
        <v>5901</v>
      </c>
      <c r="C3930" s="1">
        <v>7036264434</v>
      </c>
      <c r="E3930" s="17" t="s">
        <v>5900</v>
      </c>
      <c r="F3930" s="65" t="s">
        <v>3837</v>
      </c>
      <c r="G3930" s="3" t="s">
        <v>16</v>
      </c>
      <c r="H3930" s="3" t="s">
        <v>296</v>
      </c>
      <c r="I3930" s="3" t="s">
        <v>94</v>
      </c>
      <c r="J3930" s="31">
        <v>45882</v>
      </c>
      <c r="K3930" s="31">
        <v>45895</v>
      </c>
      <c r="L3930" s="31">
        <v>45909</v>
      </c>
      <c r="M3930" s="31">
        <v>45945</v>
      </c>
      <c r="N3930" s="31">
        <v>45954</v>
      </c>
      <c r="O3930" s="3" t="s">
        <v>297</v>
      </c>
    </row>
    <row r="3931" spans="1:15">
      <c r="A3931" s="3">
        <f t="shared" si="62"/>
        <v>3930</v>
      </c>
      <c r="B3931" s="65" t="s">
        <v>5902</v>
      </c>
      <c r="C3931" s="1">
        <v>7406326343</v>
      </c>
      <c r="D3931" s="1">
        <v>6302946139</v>
      </c>
      <c r="E3931" s="17" t="s">
        <v>5900</v>
      </c>
      <c r="F3931" s="65" t="s">
        <v>5064</v>
      </c>
      <c r="G3931" s="3" t="s">
        <v>424</v>
      </c>
      <c r="H3931" s="3" t="s">
        <v>296</v>
      </c>
      <c r="I3931" s="3" t="s">
        <v>94</v>
      </c>
      <c r="J3931" s="31">
        <v>45882</v>
      </c>
      <c r="K3931" s="31">
        <v>45892</v>
      </c>
      <c r="L3931" s="31"/>
      <c r="M3931" s="31"/>
      <c r="N3931" s="31"/>
      <c r="O3931" s="3" t="s">
        <v>749</v>
      </c>
    </row>
    <row r="3932" spans="1:15">
      <c r="A3932" s="3">
        <f t="shared" si="62"/>
        <v>3931</v>
      </c>
      <c r="B3932" s="65" t="s">
        <v>1717</v>
      </c>
      <c r="C3932" s="1">
        <v>9666040854</v>
      </c>
      <c r="D3932" s="1">
        <v>8848261123</v>
      </c>
      <c r="E3932" s="17" t="s">
        <v>5773</v>
      </c>
      <c r="F3932" s="65" t="s">
        <v>3249</v>
      </c>
      <c r="G3932" s="3" t="s">
        <v>16</v>
      </c>
      <c r="H3932" s="3" t="s">
        <v>5774</v>
      </c>
      <c r="I3932" s="3" t="s">
        <v>42</v>
      </c>
      <c r="J3932" s="31">
        <v>45882</v>
      </c>
      <c r="K3932" s="31">
        <v>45947</v>
      </c>
      <c r="L3932" s="31">
        <v>45954</v>
      </c>
      <c r="M3932" s="31">
        <v>45986</v>
      </c>
      <c r="N3932" s="31">
        <v>45981</v>
      </c>
      <c r="O3932" s="3" t="s">
        <v>297</v>
      </c>
    </row>
    <row r="3933" spans="1:15">
      <c r="A3933" s="3">
        <f t="shared" si="62"/>
        <v>3932</v>
      </c>
      <c r="B3933" s="65" t="s">
        <v>5903</v>
      </c>
      <c r="C3933" s="1">
        <v>7569964634</v>
      </c>
      <c r="E3933" s="17" t="s">
        <v>5904</v>
      </c>
      <c r="F3933" s="65" t="s">
        <v>748</v>
      </c>
      <c r="G3933" s="3" t="s">
        <v>416</v>
      </c>
      <c r="H3933" s="3" t="s">
        <v>5774</v>
      </c>
      <c r="I3933" s="3" t="s">
        <v>42</v>
      </c>
      <c r="J3933" s="31">
        <v>45882</v>
      </c>
      <c r="K3933" s="31">
        <v>45947</v>
      </c>
      <c r="L3933" s="31"/>
      <c r="M3933" s="31"/>
      <c r="N3933" s="31"/>
      <c r="O3933" s="3" t="s">
        <v>297</v>
      </c>
    </row>
    <row r="3934" spans="1:15">
      <c r="A3934" s="3">
        <f t="shared" ref="A3934:A3997" si="63">ROW()-1</f>
        <v>3933</v>
      </c>
      <c r="B3934" s="65" t="s">
        <v>5905</v>
      </c>
      <c r="C3934" s="1">
        <v>9110316291</v>
      </c>
      <c r="E3934" s="17" t="s">
        <v>5904</v>
      </c>
      <c r="F3934" s="65" t="s">
        <v>5906</v>
      </c>
      <c r="G3934" s="3" t="s">
        <v>1175</v>
      </c>
      <c r="H3934" s="3" t="s">
        <v>5774</v>
      </c>
      <c r="I3934" s="3" t="s">
        <v>42</v>
      </c>
      <c r="J3934" s="31">
        <v>45882</v>
      </c>
      <c r="K3934" s="31"/>
      <c r="L3934" s="31"/>
      <c r="M3934" s="31"/>
      <c r="N3934" s="31"/>
      <c r="O3934" s="3" t="s">
        <v>1004</v>
      </c>
    </row>
    <row r="3935" spans="1:15">
      <c r="A3935" s="3">
        <f t="shared" si="63"/>
        <v>3934</v>
      </c>
      <c r="B3935" s="65" t="s">
        <v>5907</v>
      </c>
      <c r="C3935" s="1">
        <v>9640401323</v>
      </c>
      <c r="E3935" s="17" t="s">
        <v>5778</v>
      </c>
      <c r="F3935" s="65" t="s">
        <v>5908</v>
      </c>
      <c r="G3935" s="3" t="s">
        <v>424</v>
      </c>
      <c r="H3935" s="3" t="s">
        <v>5774</v>
      </c>
      <c r="I3935" s="3" t="s">
        <v>42</v>
      </c>
      <c r="J3935" s="31">
        <v>45882</v>
      </c>
      <c r="K3935" s="31">
        <v>45888</v>
      </c>
      <c r="L3935" s="31"/>
      <c r="M3935" s="31"/>
      <c r="N3935" s="31"/>
      <c r="O3935" s="3" t="s">
        <v>425</v>
      </c>
    </row>
    <row r="3936" spans="1:15">
      <c r="A3936" s="3">
        <f t="shared" si="63"/>
        <v>3935</v>
      </c>
      <c r="B3936" s="65" t="s">
        <v>5909</v>
      </c>
      <c r="C3936" s="1">
        <v>9505511625</v>
      </c>
      <c r="E3936" s="17" t="s">
        <v>5773</v>
      </c>
      <c r="F3936" s="65" t="s">
        <v>5906</v>
      </c>
      <c r="G3936" s="3" t="s">
        <v>424</v>
      </c>
      <c r="H3936" s="3" t="s">
        <v>5774</v>
      </c>
      <c r="I3936" s="3" t="s">
        <v>42</v>
      </c>
      <c r="J3936" s="31">
        <v>45882</v>
      </c>
      <c r="K3936" s="31">
        <v>45888</v>
      </c>
      <c r="L3936" s="31"/>
      <c r="M3936" s="31"/>
      <c r="N3936" s="31"/>
      <c r="O3936" s="3" t="s">
        <v>749</v>
      </c>
    </row>
    <row r="3937" spans="1:15">
      <c r="A3937" s="3">
        <f t="shared" si="63"/>
        <v>3936</v>
      </c>
      <c r="B3937" s="65" t="s">
        <v>5910</v>
      </c>
      <c r="C3937" s="1">
        <v>9814382793</v>
      </c>
      <c r="E3937" s="17" t="s">
        <v>5904</v>
      </c>
      <c r="F3937" s="65" t="s">
        <v>748</v>
      </c>
      <c r="G3937" s="3" t="s">
        <v>16</v>
      </c>
      <c r="H3937" s="3" t="s">
        <v>5774</v>
      </c>
      <c r="I3937" s="3" t="s">
        <v>42</v>
      </c>
      <c r="J3937" s="31">
        <v>45882</v>
      </c>
      <c r="K3937" s="31">
        <v>45947</v>
      </c>
      <c r="L3937" s="31">
        <v>45954</v>
      </c>
      <c r="M3937" s="31">
        <v>45976</v>
      </c>
      <c r="N3937" s="31">
        <v>45975</v>
      </c>
      <c r="O3937" s="3" t="s">
        <v>297</v>
      </c>
    </row>
    <row r="3938" spans="1:15">
      <c r="A3938" s="3">
        <f t="shared" si="63"/>
        <v>3937</v>
      </c>
      <c r="B3938" s="65" t="s">
        <v>5911</v>
      </c>
      <c r="C3938" s="1">
        <v>9927024878</v>
      </c>
      <c r="E3938" s="17" t="s">
        <v>5776</v>
      </c>
      <c r="F3938" s="65" t="s">
        <v>748</v>
      </c>
      <c r="G3938" s="3" t="s">
        <v>416</v>
      </c>
      <c r="H3938" s="3" t="s">
        <v>5774</v>
      </c>
      <c r="I3938" s="3" t="s">
        <v>42</v>
      </c>
      <c r="J3938" s="31">
        <v>45882</v>
      </c>
      <c r="K3938" s="31">
        <v>45947</v>
      </c>
      <c r="L3938" s="31"/>
      <c r="M3938" s="31"/>
      <c r="N3938" s="31"/>
      <c r="O3938" s="3" t="s">
        <v>297</v>
      </c>
    </row>
    <row r="3939" spans="1:15">
      <c r="A3939" s="3">
        <f t="shared" si="63"/>
        <v>3938</v>
      </c>
      <c r="B3939" s="65" t="s">
        <v>5912</v>
      </c>
      <c r="C3939" s="1">
        <v>9492687365</v>
      </c>
      <c r="D3939" s="1">
        <v>8555932165</v>
      </c>
      <c r="E3939" s="17" t="s">
        <v>5778</v>
      </c>
      <c r="F3939" s="65" t="s">
        <v>5913</v>
      </c>
      <c r="G3939" s="3" t="s">
        <v>18</v>
      </c>
      <c r="H3939" s="3" t="s">
        <v>5774</v>
      </c>
      <c r="I3939" s="3" t="s">
        <v>42</v>
      </c>
      <c r="J3939" s="31">
        <v>45882</v>
      </c>
      <c r="K3939" s="31">
        <v>45887</v>
      </c>
      <c r="L3939" s="31">
        <v>45887</v>
      </c>
      <c r="M3939" s="31">
        <v>45943</v>
      </c>
      <c r="N3939" s="31"/>
      <c r="O3939" s="3" t="s">
        <v>297</v>
      </c>
    </row>
    <row r="3940" spans="1:15">
      <c r="A3940" s="3">
        <f t="shared" si="63"/>
        <v>3939</v>
      </c>
      <c r="B3940" s="65" t="s">
        <v>5914</v>
      </c>
      <c r="C3940" s="1">
        <v>9666931096</v>
      </c>
      <c r="E3940" s="3" t="s">
        <v>5915</v>
      </c>
      <c r="F3940" s="65" t="s">
        <v>5916</v>
      </c>
      <c r="G3940" s="3" t="s">
        <v>15</v>
      </c>
      <c r="H3940" s="3" t="s">
        <v>5774</v>
      </c>
      <c r="I3940" s="3" t="s">
        <v>42</v>
      </c>
      <c r="J3940" s="31">
        <v>45882</v>
      </c>
      <c r="K3940" s="31">
        <v>45888</v>
      </c>
      <c r="L3940" s="31">
        <v>46031</v>
      </c>
      <c r="M3940" s="31">
        <v>46138</v>
      </c>
      <c r="N3940" s="31"/>
      <c r="O3940" s="3" t="s">
        <v>297</v>
      </c>
    </row>
    <row r="3941" spans="1:15">
      <c r="A3941" s="3">
        <f t="shared" si="63"/>
        <v>3940</v>
      </c>
      <c r="B3941" s="65" t="s">
        <v>5917</v>
      </c>
      <c r="C3941" s="1">
        <v>8464993128</v>
      </c>
      <c r="E3941" s="17" t="s">
        <v>5887</v>
      </c>
      <c r="F3941" s="65" t="s">
        <v>5918</v>
      </c>
      <c r="G3941" s="3" t="s">
        <v>295</v>
      </c>
      <c r="H3941" s="3" t="s">
        <v>5774</v>
      </c>
      <c r="I3941" s="3" t="s">
        <v>42</v>
      </c>
      <c r="J3941" s="31">
        <v>45882</v>
      </c>
      <c r="K3941" s="31">
        <v>45887</v>
      </c>
      <c r="L3941" s="31">
        <v>45889</v>
      </c>
      <c r="M3941" s="31">
        <v>46006</v>
      </c>
      <c r="N3941" s="31"/>
      <c r="O3941" s="3" t="s">
        <v>297</v>
      </c>
    </row>
    <row r="3942" spans="1:15">
      <c r="A3942" s="3">
        <f t="shared" si="63"/>
        <v>3941</v>
      </c>
      <c r="B3942" s="65" t="s">
        <v>5919</v>
      </c>
      <c r="C3942" s="1">
        <v>9040666357</v>
      </c>
      <c r="E3942" s="17" t="s">
        <v>5778</v>
      </c>
      <c r="F3942" s="65" t="s">
        <v>5920</v>
      </c>
      <c r="G3942" s="3" t="s">
        <v>1175</v>
      </c>
      <c r="H3942" s="3" t="s">
        <v>5774</v>
      </c>
      <c r="I3942" s="3" t="s">
        <v>42</v>
      </c>
      <c r="J3942" s="31">
        <v>45882</v>
      </c>
      <c r="K3942" s="31"/>
      <c r="L3942" s="31"/>
      <c r="M3942" s="31"/>
      <c r="N3942" s="31"/>
      <c r="O3942" s="3" t="s">
        <v>1004</v>
      </c>
    </row>
    <row r="3943" spans="1:15">
      <c r="A3943" s="3">
        <f t="shared" si="63"/>
        <v>3942</v>
      </c>
      <c r="B3943" s="65" t="s">
        <v>5921</v>
      </c>
      <c r="C3943" s="1">
        <v>9010937537</v>
      </c>
      <c r="D3943" s="1">
        <v>9966837537</v>
      </c>
      <c r="E3943" s="17" t="s">
        <v>5904</v>
      </c>
      <c r="F3943" s="65" t="s">
        <v>2438</v>
      </c>
      <c r="G3943" s="3" t="s">
        <v>16</v>
      </c>
      <c r="H3943" s="3" t="s">
        <v>5774</v>
      </c>
      <c r="I3943" s="3" t="s">
        <v>42</v>
      </c>
      <c r="J3943" s="31">
        <v>45882</v>
      </c>
      <c r="K3943" s="31">
        <v>45947</v>
      </c>
      <c r="L3943" s="31">
        <v>45954</v>
      </c>
      <c r="M3943" s="31">
        <v>45966</v>
      </c>
      <c r="N3943" s="31">
        <v>45966</v>
      </c>
      <c r="O3943" s="3" t="s">
        <v>297</v>
      </c>
    </row>
    <row r="3944" spans="1:15">
      <c r="A3944" s="3">
        <f t="shared" si="63"/>
        <v>3943</v>
      </c>
      <c r="B3944" s="65" t="s">
        <v>5922</v>
      </c>
      <c r="C3944" s="1">
        <v>9985215222</v>
      </c>
      <c r="E3944" s="17" t="s">
        <v>5776</v>
      </c>
      <c r="F3944" s="65" t="s">
        <v>313</v>
      </c>
      <c r="G3944" s="3" t="s">
        <v>16</v>
      </c>
      <c r="H3944" s="3" t="s">
        <v>5774</v>
      </c>
      <c r="I3944" s="3" t="s">
        <v>42</v>
      </c>
      <c r="J3944" s="31">
        <v>45882</v>
      </c>
      <c r="K3944" s="31">
        <v>45947</v>
      </c>
      <c r="L3944" s="31">
        <v>45959</v>
      </c>
      <c r="M3944" s="31">
        <v>45996</v>
      </c>
      <c r="N3944" s="31">
        <v>45996</v>
      </c>
      <c r="O3944" s="3" t="s">
        <v>297</v>
      </c>
    </row>
    <row r="3945" spans="1:15">
      <c r="A3945" s="3">
        <f t="shared" si="63"/>
        <v>3944</v>
      </c>
      <c r="B3945" s="65" t="s">
        <v>5923</v>
      </c>
      <c r="C3945" s="1">
        <v>9908526862</v>
      </c>
      <c r="E3945" s="17" t="s">
        <v>5503</v>
      </c>
      <c r="F3945" s="65" t="s">
        <v>1174</v>
      </c>
      <c r="G3945" s="3" t="s">
        <v>416</v>
      </c>
      <c r="H3945" s="3" t="s">
        <v>788</v>
      </c>
      <c r="I3945" s="3" t="s">
        <v>88</v>
      </c>
      <c r="J3945" s="31">
        <v>45883</v>
      </c>
      <c r="K3945" s="31">
        <v>45894</v>
      </c>
      <c r="L3945" s="31"/>
      <c r="M3945" s="31"/>
      <c r="N3945" s="31"/>
      <c r="O3945" s="3" t="s">
        <v>297</v>
      </c>
    </row>
    <row r="3946" spans="1:15">
      <c r="A3946" s="3">
        <f t="shared" si="63"/>
        <v>3945</v>
      </c>
      <c r="B3946" s="65" t="s">
        <v>5924</v>
      </c>
      <c r="C3946" s="1">
        <v>7353605327</v>
      </c>
      <c r="D3946" s="1">
        <v>9493326186</v>
      </c>
      <c r="E3946" s="17" t="s">
        <v>5503</v>
      </c>
      <c r="F3946" s="65" t="s">
        <v>2199</v>
      </c>
      <c r="G3946" s="3" t="s">
        <v>416</v>
      </c>
      <c r="H3946" s="3" t="s">
        <v>788</v>
      </c>
      <c r="I3946" s="3" t="s">
        <v>88</v>
      </c>
      <c r="J3946" s="31">
        <v>45883</v>
      </c>
      <c r="K3946" s="31">
        <v>45897</v>
      </c>
      <c r="L3946" s="31"/>
      <c r="M3946" s="31"/>
      <c r="N3946" s="31"/>
      <c r="O3946" s="3" t="s">
        <v>297</v>
      </c>
    </row>
    <row r="3947" spans="1:15">
      <c r="A3947" s="3">
        <f t="shared" si="63"/>
        <v>3946</v>
      </c>
      <c r="B3947" s="65" t="s">
        <v>5925</v>
      </c>
      <c r="C3947" s="1">
        <v>9604949361</v>
      </c>
      <c r="E3947" s="17" t="s">
        <v>5926</v>
      </c>
      <c r="F3947" s="65" t="s">
        <v>5927</v>
      </c>
      <c r="G3947" s="3" t="s">
        <v>764</v>
      </c>
      <c r="H3947" s="3" t="s">
        <v>815</v>
      </c>
      <c r="I3947" s="3" t="s">
        <v>88</v>
      </c>
      <c r="J3947" s="31">
        <v>45883</v>
      </c>
      <c r="K3947" s="31">
        <v>45905</v>
      </c>
      <c r="L3947" s="31"/>
      <c r="M3947" s="31"/>
      <c r="N3947" s="31"/>
      <c r="O3947" s="3" t="s">
        <v>425</v>
      </c>
    </row>
    <row r="3948" spans="1:15">
      <c r="A3948" s="3">
        <f t="shared" si="63"/>
        <v>3947</v>
      </c>
      <c r="B3948" s="65" t="s">
        <v>5928</v>
      </c>
      <c r="C3948" s="1">
        <v>7204617460</v>
      </c>
      <c r="E3948" s="17" t="s">
        <v>5926</v>
      </c>
      <c r="F3948" s="65" t="s">
        <v>5927</v>
      </c>
      <c r="G3948" s="3" t="s">
        <v>416</v>
      </c>
      <c r="H3948" s="3" t="s">
        <v>815</v>
      </c>
      <c r="I3948" s="3" t="s">
        <v>88</v>
      </c>
      <c r="J3948" s="31">
        <v>45883</v>
      </c>
      <c r="K3948" s="31">
        <v>45905</v>
      </c>
      <c r="L3948" s="31"/>
      <c r="M3948" s="31"/>
      <c r="N3948" s="31"/>
      <c r="O3948" s="3" t="s">
        <v>297</v>
      </c>
    </row>
    <row r="3949" spans="1:15">
      <c r="A3949" s="3">
        <f t="shared" si="63"/>
        <v>3948</v>
      </c>
      <c r="B3949" s="65" t="s">
        <v>5929</v>
      </c>
      <c r="C3949" s="1">
        <v>7209847525</v>
      </c>
      <c r="E3949" s="17" t="s">
        <v>5926</v>
      </c>
      <c r="F3949" s="65" t="s">
        <v>5927</v>
      </c>
      <c r="G3949" s="3" t="s">
        <v>16</v>
      </c>
      <c r="H3949" s="3" t="s">
        <v>815</v>
      </c>
      <c r="I3949" s="3" t="s">
        <v>88</v>
      </c>
      <c r="J3949" s="31">
        <v>45883</v>
      </c>
      <c r="K3949" s="31">
        <v>45905</v>
      </c>
      <c r="L3949" s="31">
        <v>45913</v>
      </c>
      <c r="M3949" s="31">
        <v>45954</v>
      </c>
      <c r="N3949" s="31">
        <v>45954</v>
      </c>
      <c r="O3949" s="3" t="s">
        <v>297</v>
      </c>
    </row>
    <row r="3950" spans="1:15">
      <c r="A3950" s="3">
        <f t="shared" si="63"/>
        <v>3949</v>
      </c>
      <c r="B3950" s="65" t="s">
        <v>5930</v>
      </c>
      <c r="C3950" s="1">
        <v>9390485093</v>
      </c>
      <c r="E3950" s="17" t="s">
        <v>3954</v>
      </c>
      <c r="F3950" s="65" t="s">
        <v>4550</v>
      </c>
      <c r="G3950" s="3" t="s">
        <v>16</v>
      </c>
      <c r="H3950" s="3" t="s">
        <v>5774</v>
      </c>
      <c r="I3950" s="3" t="s">
        <v>42</v>
      </c>
      <c r="J3950" s="31">
        <v>45883</v>
      </c>
      <c r="K3950" s="31">
        <v>46050</v>
      </c>
      <c r="L3950" s="31">
        <v>46052</v>
      </c>
      <c r="M3950" s="31">
        <v>46062</v>
      </c>
      <c r="N3950" s="31">
        <v>46062</v>
      </c>
      <c r="O3950" s="3" t="s">
        <v>297</v>
      </c>
    </row>
    <row r="3951" spans="1:15">
      <c r="A3951" s="3">
        <f t="shared" si="63"/>
        <v>3950</v>
      </c>
      <c r="B3951" s="65" t="s">
        <v>5931</v>
      </c>
      <c r="C3951" s="1">
        <v>9030656103</v>
      </c>
      <c r="E3951" s="17" t="s">
        <v>4946</v>
      </c>
      <c r="F3951" s="65" t="s">
        <v>1721</v>
      </c>
      <c r="G3951" s="3" t="s">
        <v>424</v>
      </c>
      <c r="H3951" s="3" t="s">
        <v>5774</v>
      </c>
      <c r="I3951" s="3" t="s">
        <v>42</v>
      </c>
      <c r="J3951" s="31">
        <v>45883</v>
      </c>
      <c r="K3951" s="31">
        <v>45887</v>
      </c>
      <c r="L3951" s="31"/>
      <c r="M3951" s="31"/>
      <c r="N3951" s="31"/>
      <c r="O3951" s="3" t="s">
        <v>425</v>
      </c>
    </row>
    <row r="3952" spans="1:15">
      <c r="A3952" s="3">
        <f t="shared" si="63"/>
        <v>3951</v>
      </c>
      <c r="B3952" s="65" t="s">
        <v>5932</v>
      </c>
      <c r="C3952" s="1">
        <v>7702239087</v>
      </c>
      <c r="E3952" s="17" t="s">
        <v>4946</v>
      </c>
      <c r="F3952" s="65" t="s">
        <v>5933</v>
      </c>
      <c r="G3952" s="3" t="s">
        <v>424</v>
      </c>
      <c r="H3952" s="3" t="s">
        <v>5774</v>
      </c>
      <c r="I3952" s="3" t="s">
        <v>42</v>
      </c>
      <c r="J3952" s="31">
        <v>45883</v>
      </c>
      <c r="K3952" s="31">
        <v>45887</v>
      </c>
      <c r="L3952" s="31"/>
      <c r="M3952" s="31"/>
      <c r="N3952" s="31"/>
      <c r="O3952" s="3" t="s">
        <v>425</v>
      </c>
    </row>
    <row r="3953" spans="1:15">
      <c r="A3953" s="3">
        <f t="shared" si="63"/>
        <v>3952</v>
      </c>
      <c r="B3953" s="65" t="s">
        <v>5934</v>
      </c>
      <c r="C3953" s="1">
        <v>7013334826</v>
      </c>
      <c r="E3953" s="17" t="s">
        <v>2821</v>
      </c>
      <c r="F3953" s="65" t="s">
        <v>5935</v>
      </c>
      <c r="G3953" s="3" t="s">
        <v>295</v>
      </c>
      <c r="H3953" s="3" t="s">
        <v>5774</v>
      </c>
      <c r="I3953" s="3" t="s">
        <v>42</v>
      </c>
      <c r="J3953" s="31">
        <v>45883</v>
      </c>
      <c r="K3953" s="31">
        <v>45889</v>
      </c>
      <c r="L3953" s="31">
        <v>45909</v>
      </c>
      <c r="M3953" s="31">
        <v>45943</v>
      </c>
      <c r="N3953" s="31"/>
      <c r="O3953" s="3" t="s">
        <v>297</v>
      </c>
    </row>
    <row r="3954" spans="1:15">
      <c r="A3954" s="3">
        <f t="shared" si="63"/>
        <v>3953</v>
      </c>
      <c r="B3954" s="65" t="s">
        <v>5936</v>
      </c>
      <c r="C3954" s="1">
        <v>9505828396</v>
      </c>
      <c r="E3954" s="17" t="s">
        <v>2821</v>
      </c>
      <c r="F3954" s="65" t="s">
        <v>5937</v>
      </c>
      <c r="G3954" s="3" t="s">
        <v>16</v>
      </c>
      <c r="H3954" s="3" t="s">
        <v>5774</v>
      </c>
      <c r="I3954" s="3" t="s">
        <v>42</v>
      </c>
      <c r="J3954" s="31">
        <v>45883</v>
      </c>
      <c r="K3954" s="31">
        <v>45889</v>
      </c>
      <c r="L3954" s="31">
        <v>45891</v>
      </c>
      <c r="M3954" s="31">
        <v>45975</v>
      </c>
      <c r="N3954" s="31">
        <v>45976</v>
      </c>
      <c r="O3954" s="3" t="s">
        <v>297</v>
      </c>
    </row>
    <row r="3955" spans="1:15">
      <c r="A3955" s="3">
        <f t="shared" si="63"/>
        <v>3954</v>
      </c>
      <c r="B3955" s="65" t="s">
        <v>5938</v>
      </c>
      <c r="C3955" s="1">
        <v>7032608993</v>
      </c>
      <c r="D3955" s="1">
        <v>9340857320</v>
      </c>
      <c r="E3955" s="17" t="s">
        <v>2821</v>
      </c>
      <c r="F3955" s="65" t="s">
        <v>5939</v>
      </c>
      <c r="G3955" s="3" t="s">
        <v>295</v>
      </c>
      <c r="H3955" s="3" t="s">
        <v>5774</v>
      </c>
      <c r="I3955" s="3" t="s">
        <v>42</v>
      </c>
      <c r="J3955" s="31">
        <v>45883</v>
      </c>
      <c r="K3955" s="31">
        <v>45902</v>
      </c>
      <c r="L3955" s="31">
        <v>45917</v>
      </c>
      <c r="M3955" s="31">
        <v>45947</v>
      </c>
      <c r="N3955" s="31"/>
      <c r="O3955" s="3" t="s">
        <v>297</v>
      </c>
    </row>
    <row r="3956" spans="1:15" ht="15.6">
      <c r="A3956" s="3">
        <f t="shared" si="63"/>
        <v>3955</v>
      </c>
      <c r="B3956" s="65" t="s">
        <v>5940</v>
      </c>
      <c r="C3956" s="96">
        <v>6300881982</v>
      </c>
      <c r="E3956" s="3" t="s">
        <v>5904</v>
      </c>
      <c r="F3956" s="65" t="s">
        <v>654</v>
      </c>
      <c r="G3956" s="3" t="s">
        <v>16</v>
      </c>
      <c r="H3956" s="3" t="s">
        <v>999</v>
      </c>
      <c r="I3956" s="3" t="s">
        <v>88</v>
      </c>
      <c r="J3956" s="31">
        <v>45880</v>
      </c>
      <c r="K3956" s="31">
        <v>45881</v>
      </c>
      <c r="L3956" s="31">
        <v>45882</v>
      </c>
      <c r="M3956" s="31">
        <v>45913</v>
      </c>
      <c r="N3956" s="31">
        <v>45901</v>
      </c>
      <c r="O3956" s="3" t="s">
        <v>297</v>
      </c>
    </row>
    <row r="3957" spans="1:15">
      <c r="A3957" s="3">
        <f t="shared" si="63"/>
        <v>3956</v>
      </c>
      <c r="B3957" s="65" t="s">
        <v>1058</v>
      </c>
      <c r="C3957" s="1">
        <v>7286021757</v>
      </c>
      <c r="E3957" s="17" t="s">
        <v>5941</v>
      </c>
      <c r="F3957" s="65" t="s">
        <v>5942</v>
      </c>
      <c r="G3957" s="3" t="s">
        <v>16</v>
      </c>
      <c r="H3957" s="3" t="s">
        <v>5943</v>
      </c>
      <c r="I3957" s="3" t="s">
        <v>88</v>
      </c>
      <c r="J3957" s="31">
        <v>45880</v>
      </c>
      <c r="K3957" s="31">
        <v>45881</v>
      </c>
      <c r="L3957" s="31">
        <v>45882</v>
      </c>
      <c r="M3957" s="31">
        <v>45913</v>
      </c>
      <c r="N3957" s="31">
        <v>45914</v>
      </c>
      <c r="O3957" s="3" t="s">
        <v>297</v>
      </c>
    </row>
    <row r="3958" spans="1:15">
      <c r="A3958" s="3">
        <f t="shared" si="63"/>
        <v>3957</v>
      </c>
      <c r="B3958" s="65" t="s">
        <v>5944</v>
      </c>
      <c r="C3958" s="1">
        <v>9989101366</v>
      </c>
      <c r="D3958" s="1">
        <v>9492441777</v>
      </c>
      <c r="E3958" s="17" t="s">
        <v>5173</v>
      </c>
      <c r="F3958" s="65" t="s">
        <v>5945</v>
      </c>
      <c r="G3958" s="3" t="s">
        <v>424</v>
      </c>
      <c r="H3958" s="3" t="s">
        <v>3240</v>
      </c>
      <c r="I3958" s="3" t="s">
        <v>42</v>
      </c>
      <c r="J3958" s="31">
        <v>45884</v>
      </c>
      <c r="K3958" s="31">
        <v>45892</v>
      </c>
      <c r="L3958" s="31"/>
      <c r="M3958" s="31"/>
      <c r="N3958" s="31"/>
      <c r="O3958" s="3" t="s">
        <v>425</v>
      </c>
    </row>
    <row r="3959" spans="1:15">
      <c r="A3959" s="3">
        <f t="shared" si="63"/>
        <v>3958</v>
      </c>
      <c r="B3959" s="65" t="s">
        <v>5946</v>
      </c>
      <c r="C3959" s="1">
        <v>9608484482</v>
      </c>
      <c r="D3959" s="1">
        <v>8340608014</v>
      </c>
      <c r="E3959" s="17" t="s">
        <v>5173</v>
      </c>
      <c r="F3959" s="65" t="s">
        <v>303</v>
      </c>
      <c r="G3959" s="3" t="s">
        <v>424</v>
      </c>
      <c r="H3959" s="3" t="s">
        <v>3240</v>
      </c>
      <c r="I3959" s="3" t="s">
        <v>42</v>
      </c>
      <c r="J3959" s="31">
        <v>45884</v>
      </c>
      <c r="K3959" s="31">
        <v>45892</v>
      </c>
      <c r="L3959" s="31"/>
      <c r="M3959" s="31"/>
      <c r="N3959" s="31"/>
      <c r="O3959" s="3" t="s">
        <v>425</v>
      </c>
    </row>
    <row r="3960" spans="1:15">
      <c r="A3960" s="3">
        <f t="shared" si="63"/>
        <v>3959</v>
      </c>
      <c r="B3960" s="65" t="s">
        <v>5947</v>
      </c>
      <c r="C3960" s="1">
        <v>9580808745</v>
      </c>
      <c r="D3960" s="1">
        <v>9415408874</v>
      </c>
      <c r="E3960" s="17" t="s">
        <v>5173</v>
      </c>
      <c r="F3960" s="65" t="s">
        <v>303</v>
      </c>
      <c r="G3960" s="3" t="s">
        <v>424</v>
      </c>
      <c r="H3960" s="3" t="s">
        <v>3240</v>
      </c>
      <c r="I3960" s="3" t="s">
        <v>42</v>
      </c>
      <c r="J3960" s="31">
        <v>45884</v>
      </c>
      <c r="K3960" s="31">
        <v>45887</v>
      </c>
      <c r="L3960" s="31"/>
      <c r="M3960" s="31"/>
      <c r="N3960" s="31"/>
      <c r="O3960" s="3" t="s">
        <v>425</v>
      </c>
    </row>
    <row r="3961" spans="1:15">
      <c r="A3961" s="3">
        <f t="shared" si="63"/>
        <v>3960</v>
      </c>
      <c r="B3961" s="65" t="s">
        <v>5948</v>
      </c>
      <c r="C3961" s="1">
        <v>7032731465</v>
      </c>
      <c r="D3961" s="1">
        <v>8639919396</v>
      </c>
      <c r="E3961" s="17" t="s">
        <v>5173</v>
      </c>
      <c r="F3961" s="65" t="s">
        <v>5945</v>
      </c>
      <c r="G3961" s="3" t="s">
        <v>416</v>
      </c>
      <c r="H3961" s="3" t="s">
        <v>3240</v>
      </c>
      <c r="I3961" s="3" t="s">
        <v>42</v>
      </c>
      <c r="J3961" s="31">
        <v>45884</v>
      </c>
      <c r="K3961" s="31">
        <v>45887</v>
      </c>
      <c r="L3961" s="31"/>
      <c r="M3961" s="31"/>
      <c r="N3961" s="31"/>
      <c r="O3961" s="3" t="s">
        <v>297</v>
      </c>
    </row>
    <row r="3962" spans="1:15">
      <c r="A3962" s="3">
        <f t="shared" si="63"/>
        <v>3961</v>
      </c>
      <c r="B3962" s="65" t="s">
        <v>5949</v>
      </c>
      <c r="C3962" s="1">
        <v>6206706074</v>
      </c>
      <c r="E3962" s="17" t="s">
        <v>5173</v>
      </c>
      <c r="F3962" s="65" t="s">
        <v>612</v>
      </c>
      <c r="G3962" s="3" t="s">
        <v>416</v>
      </c>
      <c r="H3962" s="3" t="s">
        <v>3240</v>
      </c>
      <c r="I3962" s="3" t="s">
        <v>42</v>
      </c>
      <c r="J3962" s="31">
        <v>45884</v>
      </c>
      <c r="K3962" s="31">
        <v>45887</v>
      </c>
      <c r="L3962" s="31"/>
      <c r="M3962" s="31"/>
      <c r="N3962" s="31"/>
      <c r="O3962" s="3" t="s">
        <v>297</v>
      </c>
    </row>
    <row r="3963" spans="1:15">
      <c r="A3963" s="3">
        <f t="shared" si="63"/>
        <v>3962</v>
      </c>
      <c r="B3963" s="65" t="s">
        <v>5950</v>
      </c>
      <c r="C3963" s="1">
        <v>8707852021</v>
      </c>
      <c r="D3963" s="1">
        <v>8224919131</v>
      </c>
      <c r="E3963" s="17" t="s">
        <v>5173</v>
      </c>
      <c r="F3963" s="65" t="s">
        <v>5951</v>
      </c>
      <c r="G3963" s="3" t="s">
        <v>424</v>
      </c>
      <c r="H3963" s="3" t="s">
        <v>3240</v>
      </c>
      <c r="I3963" s="3" t="s">
        <v>42</v>
      </c>
      <c r="J3963" s="31">
        <v>45884</v>
      </c>
      <c r="K3963" s="31">
        <v>45892</v>
      </c>
      <c r="L3963" s="31"/>
      <c r="M3963" s="31"/>
      <c r="N3963" s="31"/>
      <c r="O3963" s="3" t="s">
        <v>425</v>
      </c>
    </row>
    <row r="3964" spans="1:15">
      <c r="A3964" s="3">
        <f t="shared" si="63"/>
        <v>3963</v>
      </c>
      <c r="B3964" s="65" t="s">
        <v>5952</v>
      </c>
      <c r="C3964" s="1">
        <v>9113425064</v>
      </c>
      <c r="D3964" s="1">
        <v>6232901531</v>
      </c>
      <c r="E3964" s="17" t="s">
        <v>5173</v>
      </c>
      <c r="F3964" s="65" t="s">
        <v>3648</v>
      </c>
      <c r="G3964" s="3" t="s">
        <v>424</v>
      </c>
      <c r="H3964" s="3" t="s">
        <v>3240</v>
      </c>
      <c r="I3964" s="3" t="s">
        <v>42</v>
      </c>
      <c r="J3964" s="31">
        <v>45884</v>
      </c>
      <c r="K3964" s="31">
        <v>45887</v>
      </c>
      <c r="L3964" s="31"/>
      <c r="M3964" s="31"/>
      <c r="N3964" s="31"/>
      <c r="O3964" s="3" t="s">
        <v>425</v>
      </c>
    </row>
    <row r="3965" spans="1:15">
      <c r="A3965" s="3">
        <f t="shared" si="63"/>
        <v>3964</v>
      </c>
      <c r="B3965" s="65" t="s">
        <v>5953</v>
      </c>
      <c r="C3965" s="1">
        <v>7702344928</v>
      </c>
      <c r="E3965" s="17" t="s">
        <v>5173</v>
      </c>
      <c r="F3965" s="65" t="s">
        <v>5954</v>
      </c>
      <c r="G3965" s="3" t="s">
        <v>18</v>
      </c>
      <c r="H3965" s="3" t="s">
        <v>3240</v>
      </c>
      <c r="I3965" s="3" t="s">
        <v>42</v>
      </c>
      <c r="J3965" s="31">
        <v>45884</v>
      </c>
      <c r="K3965" s="31">
        <v>45887</v>
      </c>
      <c r="L3965" s="31"/>
      <c r="M3965" s="31"/>
      <c r="N3965" s="31"/>
      <c r="O3965" s="3" t="s">
        <v>297</v>
      </c>
    </row>
    <row r="3966" spans="1:15">
      <c r="A3966" s="3">
        <f t="shared" si="63"/>
        <v>3965</v>
      </c>
      <c r="B3966" s="65" t="s">
        <v>5955</v>
      </c>
      <c r="C3966" s="1">
        <v>8726403206</v>
      </c>
      <c r="D3966" s="1">
        <v>9026957637</v>
      </c>
      <c r="E3966" s="17" t="s">
        <v>5173</v>
      </c>
      <c r="F3966" s="65" t="s">
        <v>303</v>
      </c>
      <c r="G3966" s="3" t="s">
        <v>424</v>
      </c>
      <c r="H3966" s="3" t="s">
        <v>3240</v>
      </c>
      <c r="I3966" s="3" t="s">
        <v>42</v>
      </c>
      <c r="J3966" s="31">
        <v>45888</v>
      </c>
      <c r="K3966" s="31">
        <v>45892</v>
      </c>
      <c r="L3966" s="31"/>
      <c r="M3966" s="31"/>
      <c r="N3966" s="31"/>
      <c r="O3966" s="3" t="s">
        <v>425</v>
      </c>
    </row>
    <row r="3967" spans="1:15">
      <c r="A3967" s="3">
        <f t="shared" si="63"/>
        <v>3966</v>
      </c>
      <c r="B3967" s="65" t="s">
        <v>5956</v>
      </c>
      <c r="C3967" s="1">
        <v>7080866563</v>
      </c>
      <c r="E3967" s="17" t="s">
        <v>5173</v>
      </c>
      <c r="F3967" s="65" t="s">
        <v>3648</v>
      </c>
      <c r="G3967" s="3" t="s">
        <v>295</v>
      </c>
      <c r="H3967" s="3" t="s">
        <v>3240</v>
      </c>
      <c r="I3967" s="3" t="s">
        <v>42</v>
      </c>
      <c r="J3967" s="31">
        <v>45884</v>
      </c>
      <c r="K3967" s="31">
        <v>45887</v>
      </c>
      <c r="L3967" s="31">
        <v>45917</v>
      </c>
      <c r="M3967" s="31">
        <v>45943</v>
      </c>
      <c r="N3967" s="31"/>
      <c r="O3967" s="3" t="s">
        <v>297</v>
      </c>
    </row>
    <row r="3968" spans="1:15">
      <c r="A3968" s="3">
        <f t="shared" si="63"/>
        <v>3967</v>
      </c>
      <c r="B3968" s="65" t="s">
        <v>5470</v>
      </c>
      <c r="C3968" s="1">
        <v>8887672754</v>
      </c>
      <c r="E3968" s="17" t="s">
        <v>5904</v>
      </c>
      <c r="F3968" s="65" t="s">
        <v>5957</v>
      </c>
      <c r="G3968" s="3" t="s">
        <v>416</v>
      </c>
      <c r="H3968" s="3" t="s">
        <v>5774</v>
      </c>
      <c r="I3968" s="3" t="s">
        <v>42</v>
      </c>
      <c r="J3968" s="31">
        <v>45884</v>
      </c>
      <c r="K3968" s="31">
        <v>45888</v>
      </c>
      <c r="L3968" s="31"/>
      <c r="M3968" s="31"/>
      <c r="N3968" s="31"/>
      <c r="O3968" s="3" t="s">
        <v>297</v>
      </c>
    </row>
    <row r="3969" spans="1:15">
      <c r="A3969" s="3">
        <f t="shared" si="63"/>
        <v>3968</v>
      </c>
      <c r="B3969" s="65" t="s">
        <v>5958</v>
      </c>
      <c r="C3969" s="1">
        <v>8299369207</v>
      </c>
      <c r="D3969" s="1">
        <v>9451975816</v>
      </c>
      <c r="E3969" s="17" t="s">
        <v>5904</v>
      </c>
      <c r="F3969" s="65" t="s">
        <v>5957</v>
      </c>
      <c r="G3969" s="3" t="s">
        <v>18</v>
      </c>
      <c r="H3969" s="3" t="s">
        <v>5774</v>
      </c>
      <c r="I3969" s="3" t="s">
        <v>42</v>
      </c>
      <c r="J3969" s="31">
        <v>45884</v>
      </c>
      <c r="K3969" s="31">
        <v>45947</v>
      </c>
      <c r="L3969" s="31">
        <v>45954</v>
      </c>
      <c r="M3969" s="31">
        <v>45986</v>
      </c>
      <c r="N3969" s="31"/>
      <c r="O3969" s="3" t="s">
        <v>297</v>
      </c>
    </row>
    <row r="3970" spans="1:15">
      <c r="A3970" s="3">
        <f t="shared" si="63"/>
        <v>3969</v>
      </c>
      <c r="B3970" s="65" t="s">
        <v>5959</v>
      </c>
      <c r="C3970" s="1">
        <v>7569039358</v>
      </c>
      <c r="E3970" s="17" t="s">
        <v>5773</v>
      </c>
      <c r="F3970" s="65" t="s">
        <v>569</v>
      </c>
      <c r="G3970" s="3" t="s">
        <v>16</v>
      </c>
      <c r="H3970" s="3" t="s">
        <v>5774</v>
      </c>
      <c r="I3970" s="3" t="s">
        <v>42</v>
      </c>
      <c r="J3970" s="31">
        <v>45884</v>
      </c>
      <c r="K3970" s="31">
        <v>45947</v>
      </c>
      <c r="L3970" s="31">
        <v>45954</v>
      </c>
      <c r="M3970" s="31">
        <v>45986</v>
      </c>
      <c r="N3970" s="31">
        <v>45987</v>
      </c>
      <c r="O3970" s="3" t="s">
        <v>297</v>
      </c>
    </row>
    <row r="3971" spans="1:15">
      <c r="A3971" s="3">
        <f t="shared" si="63"/>
        <v>3970</v>
      </c>
      <c r="B3971" s="65" t="s">
        <v>5960</v>
      </c>
      <c r="C3971" s="1">
        <v>8886335787</v>
      </c>
      <c r="E3971" s="17" t="s">
        <v>5776</v>
      </c>
      <c r="F3971" s="65" t="s">
        <v>569</v>
      </c>
      <c r="G3971" s="3" t="s">
        <v>18</v>
      </c>
      <c r="H3971" s="3" t="s">
        <v>5774</v>
      </c>
      <c r="I3971" s="3" t="s">
        <v>42</v>
      </c>
      <c r="J3971" s="31">
        <v>45884</v>
      </c>
      <c r="K3971" s="31">
        <v>45947</v>
      </c>
      <c r="L3971" s="31"/>
      <c r="M3971" s="31"/>
      <c r="N3971" s="31"/>
      <c r="O3971" s="3" t="s">
        <v>297</v>
      </c>
    </row>
    <row r="3972" spans="1:15">
      <c r="A3972" s="3">
        <f t="shared" si="63"/>
        <v>3971</v>
      </c>
      <c r="B3972" s="65" t="s">
        <v>5961</v>
      </c>
      <c r="C3972" s="1">
        <v>8919185089</v>
      </c>
      <c r="E3972" s="17" t="s">
        <v>5773</v>
      </c>
      <c r="F3972" s="65" t="s">
        <v>5962</v>
      </c>
      <c r="G3972" s="3" t="s">
        <v>1175</v>
      </c>
      <c r="H3972" s="3" t="s">
        <v>5774</v>
      </c>
      <c r="I3972" s="3" t="s">
        <v>42</v>
      </c>
      <c r="J3972" s="31">
        <v>45884</v>
      </c>
      <c r="K3972" s="31"/>
      <c r="L3972" s="31"/>
      <c r="M3972" s="31"/>
      <c r="N3972" s="31"/>
      <c r="O3972" s="3" t="s">
        <v>1004</v>
      </c>
    </row>
    <row r="3973" spans="1:15">
      <c r="A3973" s="3">
        <f t="shared" si="63"/>
        <v>3972</v>
      </c>
      <c r="B3973" s="65" t="s">
        <v>5963</v>
      </c>
      <c r="C3973" s="1">
        <v>7569334325</v>
      </c>
      <c r="E3973" s="17" t="s">
        <v>5773</v>
      </c>
      <c r="F3973" s="65" t="s">
        <v>5964</v>
      </c>
      <c r="G3973" s="3" t="s">
        <v>1175</v>
      </c>
      <c r="H3973" s="3" t="s">
        <v>5774</v>
      </c>
      <c r="I3973" s="3" t="s">
        <v>42</v>
      </c>
      <c r="J3973" s="31">
        <v>45884</v>
      </c>
      <c r="K3973" s="31"/>
      <c r="L3973" s="31"/>
      <c r="M3973" s="31"/>
      <c r="N3973" s="31"/>
      <c r="O3973" s="3" t="s">
        <v>1004</v>
      </c>
    </row>
    <row r="3974" spans="1:15">
      <c r="A3974" s="3">
        <f t="shared" si="63"/>
        <v>3973</v>
      </c>
      <c r="B3974" s="65" t="s">
        <v>5965</v>
      </c>
      <c r="C3974" s="1">
        <v>8009337703</v>
      </c>
      <c r="E3974" s="17" t="s">
        <v>5966</v>
      </c>
      <c r="F3974" s="65" t="s">
        <v>5967</v>
      </c>
      <c r="G3974" s="3" t="s">
        <v>16</v>
      </c>
      <c r="H3974" s="3" t="s">
        <v>5774</v>
      </c>
      <c r="I3974" s="3" t="s">
        <v>42</v>
      </c>
      <c r="J3974" s="31">
        <v>45884</v>
      </c>
      <c r="K3974" s="31">
        <v>45947</v>
      </c>
      <c r="L3974" s="31">
        <v>45968</v>
      </c>
      <c r="M3974" s="31">
        <v>46020</v>
      </c>
      <c r="N3974" s="31">
        <v>46006</v>
      </c>
      <c r="O3974" s="3" t="s">
        <v>297</v>
      </c>
    </row>
    <row r="3975" spans="1:15">
      <c r="A3975" s="3">
        <f t="shared" si="63"/>
        <v>3974</v>
      </c>
      <c r="B3975" s="65" t="s">
        <v>5968</v>
      </c>
      <c r="C3975" s="1">
        <v>9360825003</v>
      </c>
      <c r="D3975" s="1">
        <v>8333825011</v>
      </c>
      <c r="E3975" s="17" t="s">
        <v>5904</v>
      </c>
      <c r="F3975" s="65" t="s">
        <v>5969</v>
      </c>
      <c r="G3975" s="3" t="s">
        <v>416</v>
      </c>
      <c r="H3975" s="3" t="s">
        <v>5774</v>
      </c>
      <c r="I3975" s="3" t="s">
        <v>42</v>
      </c>
      <c r="J3975" s="31">
        <v>45884</v>
      </c>
      <c r="K3975" s="31">
        <v>45947</v>
      </c>
      <c r="L3975" s="31"/>
      <c r="M3975" s="31"/>
      <c r="N3975" s="31"/>
      <c r="O3975" s="3" t="s">
        <v>297</v>
      </c>
    </row>
    <row r="3976" spans="1:15">
      <c r="A3976" s="3">
        <f t="shared" si="63"/>
        <v>3975</v>
      </c>
      <c r="B3976" s="65" t="s">
        <v>5970</v>
      </c>
      <c r="C3976" s="1">
        <v>9701492344</v>
      </c>
      <c r="E3976" s="17" t="s">
        <v>5778</v>
      </c>
      <c r="F3976" s="65" t="s">
        <v>5971</v>
      </c>
      <c r="G3976" s="3" t="s">
        <v>16</v>
      </c>
      <c r="H3976" s="3" t="s">
        <v>5774</v>
      </c>
      <c r="I3976" s="3" t="s">
        <v>42</v>
      </c>
      <c r="J3976" s="31">
        <v>45884</v>
      </c>
      <c r="K3976" s="31">
        <v>45888</v>
      </c>
      <c r="L3976" s="31">
        <v>45902</v>
      </c>
      <c r="M3976" s="31">
        <v>45936</v>
      </c>
      <c r="N3976" s="31">
        <v>45936</v>
      </c>
      <c r="O3976" s="3" t="s">
        <v>297</v>
      </c>
    </row>
    <row r="3977" spans="1:15">
      <c r="A3977" s="3">
        <f t="shared" si="63"/>
        <v>3976</v>
      </c>
      <c r="B3977" s="65" t="s">
        <v>5972</v>
      </c>
      <c r="C3977" s="1">
        <v>9131775773</v>
      </c>
      <c r="D3977" s="1">
        <v>8817497133</v>
      </c>
      <c r="E3977" s="17" t="s">
        <v>5778</v>
      </c>
      <c r="F3977" s="65" t="s">
        <v>5973</v>
      </c>
      <c r="G3977" s="3" t="s">
        <v>16</v>
      </c>
      <c r="H3977" s="3" t="s">
        <v>5774</v>
      </c>
      <c r="I3977" s="3" t="s">
        <v>42</v>
      </c>
      <c r="J3977" s="31">
        <v>45884</v>
      </c>
      <c r="K3977" s="31">
        <v>45888</v>
      </c>
      <c r="L3977" s="31">
        <v>45891</v>
      </c>
      <c r="M3977" s="31">
        <v>45918</v>
      </c>
      <c r="N3977" s="31">
        <v>45919</v>
      </c>
      <c r="O3977" s="3" t="s">
        <v>297</v>
      </c>
    </row>
    <row r="3978" spans="1:15">
      <c r="A3978" s="3">
        <f t="shared" si="63"/>
        <v>3977</v>
      </c>
      <c r="B3978" s="65" t="s">
        <v>5974</v>
      </c>
      <c r="C3978" s="1">
        <v>7003915193</v>
      </c>
      <c r="E3978" s="17" t="s">
        <v>5975</v>
      </c>
      <c r="F3978" s="65"/>
      <c r="G3978" s="3" t="s">
        <v>295</v>
      </c>
      <c r="H3978" s="3" t="s">
        <v>296</v>
      </c>
      <c r="I3978" s="3" t="s">
        <v>94</v>
      </c>
      <c r="J3978" s="31">
        <v>45880</v>
      </c>
      <c r="K3978" s="31">
        <v>45881</v>
      </c>
      <c r="L3978" s="31">
        <v>45883</v>
      </c>
      <c r="M3978" s="31">
        <v>45914</v>
      </c>
      <c r="N3978" s="31"/>
      <c r="O3978" s="3" t="s">
        <v>297</v>
      </c>
    </row>
    <row r="3979" spans="1:15">
      <c r="A3979" s="3">
        <f t="shared" si="63"/>
        <v>3978</v>
      </c>
      <c r="B3979" s="65" t="s">
        <v>5976</v>
      </c>
      <c r="C3979" s="1">
        <v>7039227144</v>
      </c>
      <c r="E3979" s="17" t="s">
        <v>5977</v>
      </c>
      <c r="F3979" s="65" t="s">
        <v>5144</v>
      </c>
      <c r="G3979" s="3" t="s">
        <v>16</v>
      </c>
      <c r="H3979" s="3" t="s">
        <v>487</v>
      </c>
      <c r="I3979" s="3" t="s">
        <v>88</v>
      </c>
      <c r="J3979" s="31">
        <v>45887</v>
      </c>
      <c r="K3979" s="31">
        <v>45905</v>
      </c>
      <c r="L3979" s="31">
        <v>45911</v>
      </c>
      <c r="M3979" s="31">
        <v>45941</v>
      </c>
      <c r="N3979" s="31">
        <v>45938</v>
      </c>
      <c r="O3979" s="3" t="s">
        <v>297</v>
      </c>
    </row>
    <row r="3980" spans="1:15">
      <c r="A3980" s="3">
        <f t="shared" si="63"/>
        <v>3979</v>
      </c>
      <c r="B3980" s="65" t="s">
        <v>2540</v>
      </c>
      <c r="C3980" s="1">
        <v>9565872771</v>
      </c>
      <c r="E3980" s="17" t="s">
        <v>5977</v>
      </c>
      <c r="F3980" s="3" t="s">
        <v>5144</v>
      </c>
      <c r="G3980" s="3" t="s">
        <v>416</v>
      </c>
      <c r="H3980" s="31" t="s">
        <v>487</v>
      </c>
      <c r="I3980" s="3" t="s">
        <v>88</v>
      </c>
      <c r="J3980" s="31">
        <v>45887</v>
      </c>
      <c r="K3980" s="31">
        <v>45905</v>
      </c>
      <c r="L3980" s="31"/>
      <c r="M3980" s="3"/>
      <c r="N3980" s="3"/>
      <c r="O3980" s="31" t="s">
        <v>297</v>
      </c>
    </row>
    <row r="3981" spans="1:15">
      <c r="A3981" s="3">
        <f t="shared" si="63"/>
        <v>3980</v>
      </c>
      <c r="B3981" s="65" t="s">
        <v>5978</v>
      </c>
      <c r="C3981" s="1">
        <v>9984651537</v>
      </c>
      <c r="E3981" s="17" t="s">
        <v>5977</v>
      </c>
      <c r="F3981" s="65" t="s">
        <v>5144</v>
      </c>
      <c r="G3981" s="3" t="s">
        <v>295</v>
      </c>
      <c r="H3981" s="3" t="s">
        <v>487</v>
      </c>
      <c r="I3981" s="3" t="s">
        <v>88</v>
      </c>
      <c r="J3981" s="31">
        <v>45887</v>
      </c>
      <c r="K3981" s="31">
        <v>45905</v>
      </c>
      <c r="L3981" s="31">
        <v>45911</v>
      </c>
      <c r="M3981" s="31">
        <v>45941</v>
      </c>
      <c r="N3981" s="31"/>
      <c r="O3981" s="3" t="s">
        <v>297</v>
      </c>
    </row>
    <row r="3982" spans="1:15">
      <c r="A3982" s="3">
        <f t="shared" si="63"/>
        <v>3981</v>
      </c>
      <c r="B3982" s="65" t="s">
        <v>5979</v>
      </c>
      <c r="C3982" s="1">
        <v>8240530972</v>
      </c>
      <c r="E3982" s="17" t="s">
        <v>5980</v>
      </c>
      <c r="F3982" s="65" t="s">
        <v>612</v>
      </c>
      <c r="G3982" s="3" t="s">
        <v>16</v>
      </c>
      <c r="H3982" s="3" t="s">
        <v>1605</v>
      </c>
      <c r="I3982" s="3" t="s">
        <v>94</v>
      </c>
      <c r="J3982" s="31">
        <v>45887</v>
      </c>
      <c r="K3982" s="31">
        <v>45891</v>
      </c>
      <c r="L3982" s="31">
        <v>45897</v>
      </c>
      <c r="M3982" s="31">
        <v>45929</v>
      </c>
      <c r="N3982" s="31">
        <v>45934</v>
      </c>
      <c r="O3982" s="3" t="s">
        <v>297</v>
      </c>
    </row>
    <row r="3983" spans="1:15">
      <c r="A3983" s="3">
        <f t="shared" si="63"/>
        <v>3982</v>
      </c>
      <c r="B3983" s="65" t="s">
        <v>5981</v>
      </c>
      <c r="C3983" s="1">
        <v>9852484117</v>
      </c>
      <c r="E3983" s="17" t="s">
        <v>4984</v>
      </c>
      <c r="F3983" s="65" t="s">
        <v>4938</v>
      </c>
      <c r="G3983" s="3" t="s">
        <v>16</v>
      </c>
      <c r="H3983" s="3" t="s">
        <v>1605</v>
      </c>
      <c r="I3983" s="3" t="s">
        <v>94</v>
      </c>
      <c r="J3983" s="31">
        <v>45887</v>
      </c>
      <c r="K3983" s="31">
        <v>45891</v>
      </c>
      <c r="L3983" s="31">
        <v>45909</v>
      </c>
      <c r="M3983" s="31">
        <v>45939</v>
      </c>
      <c r="N3983" s="31">
        <v>45941</v>
      </c>
      <c r="O3983" s="3" t="s">
        <v>297</v>
      </c>
    </row>
    <row r="3984" spans="1:15">
      <c r="A3984" s="3">
        <f t="shared" si="63"/>
        <v>3983</v>
      </c>
      <c r="B3984" s="65" t="s">
        <v>5982</v>
      </c>
      <c r="C3984" s="1">
        <v>8085325951</v>
      </c>
      <c r="E3984" s="17" t="s">
        <v>4984</v>
      </c>
      <c r="F3984" s="65" t="s">
        <v>4938</v>
      </c>
      <c r="G3984" s="3" t="s">
        <v>764</v>
      </c>
      <c r="H3984" s="3" t="s">
        <v>1605</v>
      </c>
      <c r="I3984" s="3" t="s">
        <v>94</v>
      </c>
      <c r="J3984" s="31">
        <v>45887</v>
      </c>
      <c r="K3984" s="31">
        <v>45891</v>
      </c>
      <c r="L3984" s="31"/>
      <c r="M3984" s="31"/>
      <c r="N3984" s="31"/>
      <c r="O3984" s="3" t="s">
        <v>425</v>
      </c>
    </row>
    <row r="3985" spans="1:15">
      <c r="A3985" s="3">
        <f t="shared" si="63"/>
        <v>3984</v>
      </c>
      <c r="B3985" s="65" t="s">
        <v>5983</v>
      </c>
      <c r="C3985" s="1">
        <v>9437729648</v>
      </c>
      <c r="E3985" s="17" t="s">
        <v>5580</v>
      </c>
      <c r="F3985" s="65" t="s">
        <v>569</v>
      </c>
      <c r="G3985" s="3" t="s">
        <v>764</v>
      </c>
      <c r="H3985" s="3" t="s">
        <v>1605</v>
      </c>
      <c r="I3985" s="3" t="s">
        <v>94</v>
      </c>
      <c r="J3985" s="31">
        <v>45887</v>
      </c>
      <c r="K3985" s="31">
        <v>45891</v>
      </c>
      <c r="L3985" s="31"/>
      <c r="M3985" s="31"/>
      <c r="N3985" s="31"/>
      <c r="O3985" s="3" t="s">
        <v>425</v>
      </c>
    </row>
    <row r="3986" spans="1:15">
      <c r="A3986" s="3">
        <f t="shared" si="63"/>
        <v>3985</v>
      </c>
      <c r="B3986" s="65" t="s">
        <v>5984</v>
      </c>
      <c r="C3986" s="1">
        <v>9382135081</v>
      </c>
      <c r="E3986" s="17" t="s">
        <v>5985</v>
      </c>
      <c r="F3986" s="65"/>
      <c r="G3986" s="3" t="s">
        <v>16</v>
      </c>
      <c r="H3986" s="3" t="s">
        <v>1605</v>
      </c>
      <c r="I3986" s="3" t="s">
        <v>94</v>
      </c>
      <c r="J3986" s="31">
        <v>45887</v>
      </c>
      <c r="K3986" s="31">
        <v>45891</v>
      </c>
      <c r="L3986" s="31">
        <v>45909</v>
      </c>
      <c r="M3986" s="31">
        <v>45917</v>
      </c>
      <c r="N3986" s="31">
        <v>45915</v>
      </c>
      <c r="O3986" s="3" t="s">
        <v>297</v>
      </c>
    </row>
    <row r="3987" spans="1:15">
      <c r="A3987" s="3">
        <f t="shared" si="63"/>
        <v>3986</v>
      </c>
      <c r="B3987" s="65" t="s">
        <v>5986</v>
      </c>
      <c r="C3987" s="1">
        <v>8808971292</v>
      </c>
      <c r="D3987" s="1">
        <v>9180047106</v>
      </c>
      <c r="E3987" s="17" t="s">
        <v>5987</v>
      </c>
      <c r="F3987" s="65" t="s">
        <v>5988</v>
      </c>
      <c r="G3987" s="3" t="s">
        <v>16</v>
      </c>
      <c r="H3987" s="3" t="s">
        <v>1605</v>
      </c>
      <c r="I3987" s="3" t="s">
        <v>94</v>
      </c>
      <c r="J3987" s="31">
        <v>45887</v>
      </c>
      <c r="K3987" s="31">
        <v>45895</v>
      </c>
      <c r="L3987" s="31">
        <v>45903</v>
      </c>
      <c r="M3987" s="31">
        <v>45915</v>
      </c>
      <c r="N3987" s="31">
        <v>45911</v>
      </c>
      <c r="O3987" s="3" t="s">
        <v>297</v>
      </c>
    </row>
    <row r="3988" spans="1:15">
      <c r="A3988" s="3">
        <f t="shared" si="63"/>
        <v>3987</v>
      </c>
      <c r="B3988" s="65" t="s">
        <v>5989</v>
      </c>
      <c r="C3988" s="1">
        <v>8919020968</v>
      </c>
      <c r="D3988" s="1">
        <v>8500393780</v>
      </c>
      <c r="E3988" s="17" t="s">
        <v>2821</v>
      </c>
      <c r="F3988" s="65" t="s">
        <v>5990</v>
      </c>
      <c r="G3988" s="3" t="s">
        <v>16</v>
      </c>
      <c r="H3988" s="3" t="s">
        <v>5774</v>
      </c>
      <c r="I3988" s="3" t="s">
        <v>42</v>
      </c>
      <c r="J3988" s="31">
        <v>45888</v>
      </c>
      <c r="K3988" s="31">
        <v>45889</v>
      </c>
      <c r="L3988" s="31">
        <v>45891</v>
      </c>
      <c r="M3988" s="31">
        <v>45903</v>
      </c>
      <c r="N3988" s="31">
        <v>45903</v>
      </c>
      <c r="O3988" s="3" t="s">
        <v>297</v>
      </c>
    </row>
    <row r="3989" spans="1:15">
      <c r="A3989" s="3">
        <f t="shared" si="63"/>
        <v>3988</v>
      </c>
      <c r="B3989" s="65" t="s">
        <v>5991</v>
      </c>
      <c r="C3989" s="1">
        <v>9006525999</v>
      </c>
      <c r="D3989" s="1">
        <v>9100832155</v>
      </c>
      <c r="E3989" s="17" t="s">
        <v>2821</v>
      </c>
      <c r="F3989" s="65" t="s">
        <v>5992</v>
      </c>
      <c r="G3989" s="3" t="s">
        <v>330</v>
      </c>
      <c r="H3989" s="3" t="s">
        <v>5774</v>
      </c>
      <c r="I3989" s="3" t="s">
        <v>42</v>
      </c>
      <c r="J3989" s="31">
        <v>45888</v>
      </c>
      <c r="K3989" s="31">
        <v>45889</v>
      </c>
      <c r="L3989" s="31">
        <v>45945</v>
      </c>
      <c r="M3989" s="31">
        <v>45985</v>
      </c>
      <c r="N3989" s="31">
        <v>45994</v>
      </c>
      <c r="O3989" s="3" t="s">
        <v>297</v>
      </c>
    </row>
    <row r="3990" spans="1:15">
      <c r="A3990" s="3">
        <f t="shared" si="63"/>
        <v>3989</v>
      </c>
      <c r="B3990" s="65" t="s">
        <v>5993</v>
      </c>
      <c r="C3990" s="1">
        <v>7382216534</v>
      </c>
      <c r="E3990" s="17" t="s">
        <v>4609</v>
      </c>
      <c r="F3990" s="65" t="s">
        <v>972</v>
      </c>
      <c r="G3990" s="3" t="s">
        <v>424</v>
      </c>
      <c r="H3990" s="3" t="s">
        <v>5774</v>
      </c>
      <c r="I3990" s="3" t="s">
        <v>42</v>
      </c>
      <c r="J3990" s="31">
        <v>45888</v>
      </c>
      <c r="K3990" s="31">
        <v>45902</v>
      </c>
      <c r="L3990" s="31"/>
      <c r="M3990" s="31"/>
      <c r="N3990" s="31"/>
      <c r="O3990" s="3" t="s">
        <v>425</v>
      </c>
    </row>
    <row r="3991" spans="1:15">
      <c r="A3991" s="3">
        <f t="shared" si="63"/>
        <v>3990</v>
      </c>
      <c r="B3991" s="65" t="s">
        <v>5994</v>
      </c>
      <c r="C3991" s="1">
        <v>9848259969</v>
      </c>
      <c r="E3991" s="17" t="s">
        <v>2821</v>
      </c>
      <c r="F3991" s="65" t="s">
        <v>5809</v>
      </c>
      <c r="G3991" s="3" t="s">
        <v>18</v>
      </c>
      <c r="H3991" s="17" t="s">
        <v>679</v>
      </c>
      <c r="I3991" s="3" t="s">
        <v>42</v>
      </c>
      <c r="J3991" s="31">
        <v>45888</v>
      </c>
      <c r="K3991" s="31"/>
      <c r="L3991" s="31"/>
      <c r="M3991" s="31"/>
      <c r="N3991" s="31"/>
      <c r="O3991" s="3" t="s">
        <v>1004</v>
      </c>
    </row>
    <row r="3992" spans="1:15">
      <c r="A3992" s="3">
        <f t="shared" si="63"/>
        <v>3991</v>
      </c>
      <c r="B3992" s="65" t="s">
        <v>5995</v>
      </c>
      <c r="C3992" s="1">
        <v>7989512770</v>
      </c>
      <c r="E3992" s="17" t="s">
        <v>2821</v>
      </c>
      <c r="F3992" s="65" t="s">
        <v>5996</v>
      </c>
      <c r="G3992" s="3" t="s">
        <v>16</v>
      </c>
      <c r="H3992" s="17" t="s">
        <v>679</v>
      </c>
      <c r="I3992" s="3" t="s">
        <v>42</v>
      </c>
      <c r="J3992" s="31">
        <v>45888</v>
      </c>
      <c r="K3992" s="31">
        <v>45901</v>
      </c>
      <c r="L3992" s="31">
        <v>45909</v>
      </c>
      <c r="M3992" s="31">
        <v>45924</v>
      </c>
      <c r="N3992" s="31">
        <v>45916</v>
      </c>
      <c r="O3992" s="3" t="s">
        <v>297</v>
      </c>
    </row>
    <row r="3993" spans="1:15">
      <c r="A3993" s="3">
        <f t="shared" si="63"/>
        <v>3992</v>
      </c>
      <c r="B3993" s="65" t="s">
        <v>5997</v>
      </c>
      <c r="C3993" s="1">
        <v>9801989671</v>
      </c>
      <c r="E3993" s="17" t="s">
        <v>5173</v>
      </c>
      <c r="F3993" s="65" t="s">
        <v>5998</v>
      </c>
      <c r="G3993" s="3" t="s">
        <v>16</v>
      </c>
      <c r="H3993" s="3" t="s">
        <v>3240</v>
      </c>
      <c r="I3993" s="3" t="s">
        <v>42</v>
      </c>
      <c r="J3993" s="31">
        <v>45888</v>
      </c>
      <c r="K3993" s="31">
        <v>45892</v>
      </c>
      <c r="L3993" s="31">
        <v>45902</v>
      </c>
      <c r="M3993" s="31">
        <v>45936</v>
      </c>
      <c r="N3993" s="31">
        <v>45936</v>
      </c>
      <c r="O3993" s="3" t="s">
        <v>297</v>
      </c>
    </row>
    <row r="3994" spans="1:15">
      <c r="A3994" s="3">
        <f t="shared" si="63"/>
        <v>3993</v>
      </c>
      <c r="B3994" s="65" t="s">
        <v>5999</v>
      </c>
      <c r="C3994" s="1">
        <v>7989335244</v>
      </c>
      <c r="E3994" s="17" t="s">
        <v>5173</v>
      </c>
      <c r="F3994" s="65" t="s">
        <v>6000</v>
      </c>
      <c r="G3994" s="3" t="s">
        <v>16</v>
      </c>
      <c r="H3994" s="3" t="s">
        <v>3240</v>
      </c>
      <c r="I3994" s="3" t="s">
        <v>42</v>
      </c>
      <c r="J3994" s="31">
        <v>45888</v>
      </c>
      <c r="K3994" s="31">
        <v>45892</v>
      </c>
      <c r="L3994" s="31">
        <v>45902</v>
      </c>
      <c r="M3994" s="31">
        <v>45936</v>
      </c>
      <c r="N3994" s="31">
        <v>45933</v>
      </c>
      <c r="O3994" s="3" t="s">
        <v>297</v>
      </c>
    </row>
    <row r="3995" spans="1:15">
      <c r="A3995" s="3">
        <f t="shared" si="63"/>
        <v>3994</v>
      </c>
      <c r="B3995" s="65" t="s">
        <v>6001</v>
      </c>
      <c r="C3995" s="1">
        <v>6394948841</v>
      </c>
      <c r="D3995" s="1">
        <v>7079023316</v>
      </c>
      <c r="E3995" s="17" t="s">
        <v>5173</v>
      </c>
      <c r="F3995" s="65" t="s">
        <v>1011</v>
      </c>
      <c r="G3995" s="3" t="s">
        <v>424</v>
      </c>
      <c r="H3995" s="3" t="s">
        <v>3240</v>
      </c>
      <c r="I3995" s="3" t="s">
        <v>42</v>
      </c>
      <c r="J3995" s="31">
        <v>45888</v>
      </c>
      <c r="K3995" s="31">
        <v>45926</v>
      </c>
      <c r="L3995" s="31"/>
      <c r="M3995" s="31"/>
      <c r="N3995" s="31"/>
      <c r="O3995" s="3" t="s">
        <v>425</v>
      </c>
    </row>
    <row r="3996" spans="1:15">
      <c r="A3996" s="3">
        <f t="shared" si="63"/>
        <v>3995</v>
      </c>
      <c r="B3996" s="65" t="s">
        <v>6002</v>
      </c>
      <c r="C3996" s="1">
        <v>7379155638</v>
      </c>
      <c r="E3996" s="17" t="s">
        <v>5173</v>
      </c>
      <c r="F3996" s="65" t="s">
        <v>1011</v>
      </c>
      <c r="G3996" s="3" t="s">
        <v>424</v>
      </c>
      <c r="H3996" s="3" t="s">
        <v>3240</v>
      </c>
      <c r="I3996" s="3" t="s">
        <v>42</v>
      </c>
      <c r="J3996" s="31">
        <v>45888</v>
      </c>
      <c r="K3996" s="31">
        <v>45939</v>
      </c>
      <c r="L3996" s="31"/>
      <c r="M3996" s="31"/>
      <c r="N3996" s="31"/>
      <c r="O3996" s="3" t="s">
        <v>425</v>
      </c>
    </row>
    <row r="3997" spans="1:15">
      <c r="A3997" s="3">
        <f t="shared" si="63"/>
        <v>3996</v>
      </c>
      <c r="B3997" s="65" t="s">
        <v>6003</v>
      </c>
      <c r="C3997" s="1">
        <v>8186902552</v>
      </c>
      <c r="E3997" s="17" t="s">
        <v>5173</v>
      </c>
      <c r="F3997" s="65" t="s">
        <v>6004</v>
      </c>
      <c r="G3997" s="3" t="s">
        <v>424</v>
      </c>
      <c r="H3997" s="3" t="s">
        <v>3240</v>
      </c>
      <c r="I3997" s="3" t="s">
        <v>42</v>
      </c>
      <c r="J3997" s="31">
        <v>45888</v>
      </c>
      <c r="K3997" s="31">
        <v>45939</v>
      </c>
      <c r="L3997" s="31"/>
      <c r="M3997" s="31"/>
      <c r="N3997" s="31"/>
      <c r="O3997" s="3" t="s">
        <v>425</v>
      </c>
    </row>
    <row r="3998" spans="1:15">
      <c r="A3998" s="3">
        <f t="shared" ref="A3998:A4061" si="64">ROW()-1</f>
        <v>3997</v>
      </c>
      <c r="B3998" s="65" t="s">
        <v>6005</v>
      </c>
      <c r="C3998" s="1">
        <v>7863942660</v>
      </c>
      <c r="E3998" s="17" t="s">
        <v>5173</v>
      </c>
      <c r="F3998" s="65" t="s">
        <v>612</v>
      </c>
      <c r="G3998" s="3" t="s">
        <v>16</v>
      </c>
      <c r="H3998" s="3" t="s">
        <v>3240</v>
      </c>
      <c r="I3998" s="3" t="s">
        <v>42</v>
      </c>
      <c r="J3998" s="31">
        <v>45888</v>
      </c>
      <c r="K3998" s="31">
        <v>45892</v>
      </c>
      <c r="L3998" s="31">
        <v>45946</v>
      </c>
      <c r="M3998" s="31">
        <v>45991</v>
      </c>
      <c r="N3998" s="31">
        <v>45992</v>
      </c>
      <c r="O3998" s="3" t="s">
        <v>297</v>
      </c>
    </row>
    <row r="3999" spans="1:15">
      <c r="A3999" s="3">
        <f t="shared" si="64"/>
        <v>3998</v>
      </c>
      <c r="B3999" s="65" t="s">
        <v>6006</v>
      </c>
      <c r="C3999" s="1">
        <v>7997152478</v>
      </c>
      <c r="E3999" s="17" t="s">
        <v>5173</v>
      </c>
      <c r="F3999" s="65" t="s">
        <v>612</v>
      </c>
      <c r="G3999" s="3" t="s">
        <v>18</v>
      </c>
      <c r="H3999" s="3" t="s">
        <v>3240</v>
      </c>
      <c r="I3999" s="3" t="s">
        <v>42</v>
      </c>
      <c r="J3999" s="31">
        <v>45888</v>
      </c>
      <c r="K3999" s="31">
        <v>45926</v>
      </c>
      <c r="L3999" s="31"/>
      <c r="M3999" s="31"/>
      <c r="N3999" s="31"/>
      <c r="O3999" s="3" t="s">
        <v>297</v>
      </c>
    </row>
    <row r="4000" spans="1:15">
      <c r="A4000" s="3">
        <f t="shared" si="64"/>
        <v>3999</v>
      </c>
      <c r="B4000" s="65" t="s">
        <v>6007</v>
      </c>
      <c r="C4000" s="1">
        <v>9993325839</v>
      </c>
      <c r="D4000" s="1">
        <v>7987411764</v>
      </c>
      <c r="E4000" s="17" t="s">
        <v>5173</v>
      </c>
      <c r="F4000" s="65" t="s">
        <v>6008</v>
      </c>
      <c r="G4000" s="3" t="s">
        <v>416</v>
      </c>
      <c r="H4000" s="3" t="s">
        <v>3240</v>
      </c>
      <c r="I4000" s="3" t="s">
        <v>42</v>
      </c>
      <c r="J4000" s="31">
        <v>45888</v>
      </c>
      <c r="K4000" s="31">
        <v>45926</v>
      </c>
      <c r="L4000" s="31"/>
      <c r="M4000" s="31"/>
      <c r="N4000" s="31"/>
      <c r="O4000" s="3" t="s">
        <v>297</v>
      </c>
    </row>
    <row r="4001" spans="1:15">
      <c r="A4001" s="3">
        <f t="shared" si="64"/>
        <v>4000</v>
      </c>
      <c r="B4001" s="65" t="s">
        <v>6009</v>
      </c>
      <c r="C4001" s="1">
        <v>6263053109</v>
      </c>
      <c r="E4001" s="17" t="s">
        <v>5583</v>
      </c>
      <c r="F4001" s="65" t="s">
        <v>5486</v>
      </c>
      <c r="G4001" s="3" t="s">
        <v>764</v>
      </c>
      <c r="H4001" s="3" t="s">
        <v>1605</v>
      </c>
      <c r="I4001" s="3" t="s">
        <v>94</v>
      </c>
      <c r="J4001" s="31">
        <v>45889</v>
      </c>
      <c r="K4001" s="31">
        <v>45891</v>
      </c>
      <c r="L4001" s="31"/>
      <c r="M4001" s="31"/>
      <c r="N4001" s="31"/>
      <c r="O4001" s="3" t="s">
        <v>425</v>
      </c>
    </row>
    <row r="4002" spans="1:15">
      <c r="A4002" s="3">
        <f t="shared" si="64"/>
        <v>4001</v>
      </c>
      <c r="B4002" s="65" t="s">
        <v>6010</v>
      </c>
      <c r="C4002" s="1">
        <v>7018214182</v>
      </c>
      <c r="D4002" s="1">
        <v>8091282618</v>
      </c>
      <c r="E4002" s="17" t="s">
        <v>6011</v>
      </c>
      <c r="F4002" s="65" t="s">
        <v>2002</v>
      </c>
      <c r="G4002" s="3" t="s">
        <v>16</v>
      </c>
      <c r="H4002" s="3" t="s">
        <v>1605</v>
      </c>
      <c r="I4002" s="3" t="s">
        <v>94</v>
      </c>
      <c r="J4002" s="31">
        <v>45889</v>
      </c>
      <c r="K4002" s="31">
        <v>45891</v>
      </c>
      <c r="L4002" s="31">
        <v>45903</v>
      </c>
      <c r="M4002" s="31">
        <v>45918</v>
      </c>
      <c r="N4002" s="31">
        <v>45920</v>
      </c>
      <c r="O4002" s="3" t="s">
        <v>297</v>
      </c>
    </row>
    <row r="4003" spans="1:15">
      <c r="A4003" s="3">
        <f t="shared" si="64"/>
        <v>4002</v>
      </c>
      <c r="B4003" s="65" t="s">
        <v>6012</v>
      </c>
      <c r="C4003" s="1">
        <v>9564360798</v>
      </c>
      <c r="D4003" s="1">
        <v>7063746758</v>
      </c>
      <c r="E4003" s="17" t="s">
        <v>5980</v>
      </c>
      <c r="F4003" s="65" t="s">
        <v>5486</v>
      </c>
      <c r="G4003" s="3" t="s">
        <v>416</v>
      </c>
      <c r="H4003" s="3" t="s">
        <v>1605</v>
      </c>
      <c r="I4003" s="3" t="s">
        <v>94</v>
      </c>
      <c r="J4003" s="31">
        <v>45889</v>
      </c>
      <c r="K4003" s="31">
        <v>45895</v>
      </c>
      <c r="L4003" s="31"/>
      <c r="M4003" s="31"/>
      <c r="N4003" s="31"/>
      <c r="O4003" s="3" t="s">
        <v>297</v>
      </c>
    </row>
    <row r="4004" spans="1:15">
      <c r="A4004" s="3">
        <f t="shared" si="64"/>
        <v>4003</v>
      </c>
      <c r="B4004" s="65" t="s">
        <v>6013</v>
      </c>
      <c r="C4004" s="1">
        <v>9157605862</v>
      </c>
      <c r="E4004" s="17" t="s">
        <v>6011</v>
      </c>
      <c r="F4004" s="65" t="s">
        <v>987</v>
      </c>
      <c r="G4004" s="3" t="s">
        <v>16</v>
      </c>
      <c r="H4004" s="3" t="s">
        <v>1605</v>
      </c>
      <c r="I4004" s="3" t="s">
        <v>94</v>
      </c>
      <c r="J4004" s="31">
        <v>45889</v>
      </c>
      <c r="K4004" s="31">
        <v>45891</v>
      </c>
      <c r="L4004" s="31">
        <v>45897</v>
      </c>
      <c r="M4004" s="31">
        <v>45929</v>
      </c>
      <c r="N4004" s="31">
        <v>45936</v>
      </c>
      <c r="O4004" s="3" t="s">
        <v>297</v>
      </c>
    </row>
    <row r="4005" spans="1:15">
      <c r="A4005" s="3">
        <f t="shared" si="64"/>
        <v>4004</v>
      </c>
      <c r="B4005" s="65" t="s">
        <v>6014</v>
      </c>
      <c r="C4005" s="1">
        <v>7080789840</v>
      </c>
      <c r="D4005" s="1">
        <v>7898401808</v>
      </c>
      <c r="E4005" s="17" t="s">
        <v>5980</v>
      </c>
      <c r="F4005" s="65" t="s">
        <v>5486</v>
      </c>
      <c r="G4005" s="3" t="s">
        <v>16</v>
      </c>
      <c r="H4005" s="3" t="s">
        <v>1605</v>
      </c>
      <c r="I4005" s="3" t="s">
        <v>94</v>
      </c>
      <c r="J4005" s="31">
        <v>45889</v>
      </c>
      <c r="K4005" s="31">
        <v>45891</v>
      </c>
      <c r="L4005" s="31">
        <v>45909</v>
      </c>
      <c r="M4005" s="31">
        <v>45939</v>
      </c>
      <c r="N4005" s="31">
        <v>45941</v>
      </c>
      <c r="O4005" s="3" t="s">
        <v>297</v>
      </c>
    </row>
    <row r="4006" spans="1:15">
      <c r="A4006" s="3">
        <f t="shared" si="64"/>
        <v>4005</v>
      </c>
      <c r="B4006" s="65" t="s">
        <v>340</v>
      </c>
      <c r="C4006" s="1">
        <v>7807470866</v>
      </c>
      <c r="E4006" s="17" t="s">
        <v>6015</v>
      </c>
      <c r="F4006" s="65" t="s">
        <v>6016</v>
      </c>
      <c r="G4006" s="3" t="s">
        <v>424</v>
      </c>
      <c r="H4006" s="3" t="s">
        <v>1096</v>
      </c>
      <c r="I4006" s="3" t="s">
        <v>94</v>
      </c>
      <c r="J4006" s="31">
        <v>45889</v>
      </c>
      <c r="K4006" s="31">
        <v>45892</v>
      </c>
      <c r="L4006" s="31"/>
      <c r="M4006" s="31"/>
      <c r="N4006" s="31"/>
      <c r="O4006" s="3" t="s">
        <v>749</v>
      </c>
    </row>
    <row r="4007" spans="1:15">
      <c r="A4007" s="3">
        <f t="shared" si="64"/>
        <v>4006</v>
      </c>
      <c r="B4007" s="65" t="s">
        <v>6017</v>
      </c>
      <c r="C4007" s="1">
        <v>7389549878</v>
      </c>
      <c r="E4007" s="17" t="s">
        <v>5580</v>
      </c>
      <c r="F4007" s="65" t="s">
        <v>569</v>
      </c>
      <c r="G4007" s="3" t="s">
        <v>295</v>
      </c>
      <c r="H4007" s="3" t="s">
        <v>1096</v>
      </c>
      <c r="I4007" s="3" t="s">
        <v>94</v>
      </c>
      <c r="J4007" s="31">
        <v>45889</v>
      </c>
      <c r="K4007" s="31">
        <v>45892</v>
      </c>
      <c r="L4007" s="31">
        <v>45903</v>
      </c>
      <c r="M4007" s="31">
        <v>45933</v>
      </c>
      <c r="N4007" s="31"/>
      <c r="O4007" s="3" t="s">
        <v>297</v>
      </c>
    </row>
    <row r="4008" spans="1:15">
      <c r="A4008" s="3">
        <f t="shared" si="64"/>
        <v>4007</v>
      </c>
      <c r="B4008" s="65" t="s">
        <v>6018</v>
      </c>
      <c r="C4008" s="1">
        <v>8077781330</v>
      </c>
      <c r="E4008" s="17" t="s">
        <v>6019</v>
      </c>
      <c r="F4008" s="65" t="s">
        <v>569</v>
      </c>
      <c r="G4008" s="3" t="s">
        <v>424</v>
      </c>
      <c r="H4008" s="3" t="s">
        <v>1096</v>
      </c>
      <c r="I4008" s="3" t="s">
        <v>94</v>
      </c>
      <c r="J4008" s="31">
        <v>45889</v>
      </c>
      <c r="K4008" s="31">
        <v>45892</v>
      </c>
      <c r="L4008" s="31"/>
      <c r="M4008" s="31"/>
      <c r="N4008" s="31"/>
      <c r="O4008" s="3" t="s">
        <v>425</v>
      </c>
    </row>
    <row r="4009" spans="1:15">
      <c r="A4009" s="3">
        <f t="shared" si="64"/>
        <v>4008</v>
      </c>
      <c r="B4009" s="65" t="s">
        <v>1073</v>
      </c>
      <c r="C4009" s="1">
        <v>9966563285</v>
      </c>
      <c r="E4009" s="17" t="s">
        <v>2821</v>
      </c>
      <c r="F4009" s="65" t="s">
        <v>6020</v>
      </c>
      <c r="G4009" s="3" t="s">
        <v>424</v>
      </c>
      <c r="H4009" s="17" t="s">
        <v>679</v>
      </c>
      <c r="I4009" s="3" t="s">
        <v>42</v>
      </c>
      <c r="J4009" s="31">
        <v>45890</v>
      </c>
      <c r="K4009" s="31">
        <v>45902</v>
      </c>
      <c r="L4009" s="31"/>
      <c r="M4009" s="31"/>
      <c r="N4009" s="31"/>
      <c r="O4009" s="3" t="s">
        <v>425</v>
      </c>
    </row>
    <row r="4010" spans="1:15">
      <c r="A4010" s="3">
        <f t="shared" si="64"/>
        <v>4009</v>
      </c>
      <c r="B4010" s="65" t="s">
        <v>6021</v>
      </c>
      <c r="C4010" s="1">
        <v>9603925799</v>
      </c>
      <c r="E4010" s="17" t="s">
        <v>4609</v>
      </c>
      <c r="F4010" s="65" t="s">
        <v>5014</v>
      </c>
      <c r="G4010" s="3" t="s">
        <v>424</v>
      </c>
      <c r="H4010" s="17" t="s">
        <v>679</v>
      </c>
      <c r="I4010" s="3" t="s">
        <v>42</v>
      </c>
      <c r="J4010" s="31">
        <v>45890</v>
      </c>
      <c r="K4010" s="31">
        <v>45901</v>
      </c>
      <c r="L4010" s="31"/>
      <c r="M4010" s="31"/>
      <c r="N4010" s="31"/>
      <c r="O4010" s="3" t="s">
        <v>425</v>
      </c>
    </row>
    <row r="4011" spans="1:15">
      <c r="A4011" s="3">
        <f t="shared" si="64"/>
        <v>4010</v>
      </c>
      <c r="B4011" s="65" t="s">
        <v>6022</v>
      </c>
      <c r="C4011" s="1">
        <v>9082342486</v>
      </c>
      <c r="E4011" s="17" t="s">
        <v>4609</v>
      </c>
      <c r="F4011" s="65" t="s">
        <v>6023</v>
      </c>
      <c r="G4011" s="3" t="s">
        <v>424</v>
      </c>
      <c r="H4011" s="3" t="s">
        <v>5774</v>
      </c>
      <c r="I4011" s="3" t="s">
        <v>42</v>
      </c>
      <c r="J4011" s="31">
        <v>45890</v>
      </c>
      <c r="K4011" s="31">
        <v>45923</v>
      </c>
      <c r="L4011" s="31"/>
      <c r="M4011" s="31"/>
      <c r="N4011" s="31"/>
      <c r="O4011" s="3" t="s">
        <v>749</v>
      </c>
    </row>
    <row r="4012" spans="1:15">
      <c r="A4012" s="3">
        <f t="shared" si="64"/>
        <v>4011</v>
      </c>
      <c r="B4012" s="65" t="s">
        <v>6024</v>
      </c>
      <c r="C4012" s="1">
        <v>8627874528</v>
      </c>
      <c r="E4012" s="17" t="s">
        <v>6025</v>
      </c>
      <c r="F4012" s="65" t="s">
        <v>308</v>
      </c>
      <c r="G4012" s="3" t="s">
        <v>18</v>
      </c>
      <c r="H4012" s="3" t="s">
        <v>1605</v>
      </c>
      <c r="I4012" s="3" t="s">
        <v>94</v>
      </c>
      <c r="J4012" s="31">
        <v>45891</v>
      </c>
      <c r="K4012" s="31">
        <v>45918</v>
      </c>
      <c r="L4012" s="31"/>
      <c r="M4012" s="31"/>
      <c r="N4012" s="31"/>
      <c r="O4012" s="3" t="s">
        <v>297</v>
      </c>
    </row>
    <row r="4013" spans="1:15">
      <c r="A4013" s="3">
        <f t="shared" si="64"/>
        <v>4012</v>
      </c>
      <c r="B4013" s="65" t="s">
        <v>6026</v>
      </c>
      <c r="C4013" s="1">
        <v>9381683261</v>
      </c>
      <c r="E4013" s="17" t="s">
        <v>6019</v>
      </c>
      <c r="F4013" s="65" t="s">
        <v>333</v>
      </c>
      <c r="G4013" s="3" t="s">
        <v>764</v>
      </c>
      <c r="H4013" s="3" t="s">
        <v>1605</v>
      </c>
      <c r="I4013" s="3" t="s">
        <v>94</v>
      </c>
      <c r="J4013" s="31">
        <v>45891</v>
      </c>
      <c r="K4013" s="31">
        <v>45892</v>
      </c>
      <c r="L4013" s="31"/>
      <c r="M4013" s="31"/>
      <c r="N4013" s="31"/>
      <c r="O4013" s="3" t="s">
        <v>425</v>
      </c>
    </row>
    <row r="4014" spans="1:15">
      <c r="A4014" s="3">
        <f t="shared" si="64"/>
        <v>4013</v>
      </c>
      <c r="B4014" s="65" t="s">
        <v>6027</v>
      </c>
      <c r="C4014" s="1">
        <v>8249109529</v>
      </c>
      <c r="E4014" s="17" t="s">
        <v>6019</v>
      </c>
      <c r="F4014" s="65" t="s">
        <v>543</v>
      </c>
      <c r="G4014" s="3" t="s">
        <v>764</v>
      </c>
      <c r="H4014" s="3" t="s">
        <v>1605</v>
      </c>
      <c r="I4014" s="3" t="s">
        <v>94</v>
      </c>
      <c r="J4014" s="31">
        <v>45891</v>
      </c>
      <c r="K4014" s="31">
        <v>45892</v>
      </c>
      <c r="L4014" s="31"/>
      <c r="M4014" s="31"/>
      <c r="N4014" s="31"/>
      <c r="O4014" s="3" t="s">
        <v>425</v>
      </c>
    </row>
    <row r="4015" spans="1:15">
      <c r="A4015" s="3">
        <f t="shared" si="64"/>
        <v>4014</v>
      </c>
      <c r="B4015" s="65" t="s">
        <v>6028</v>
      </c>
      <c r="C4015" s="1">
        <v>7037780845</v>
      </c>
      <c r="E4015" s="17" t="s">
        <v>6025</v>
      </c>
      <c r="F4015" s="65" t="s">
        <v>308</v>
      </c>
      <c r="G4015" s="3" t="s">
        <v>416</v>
      </c>
      <c r="H4015" s="3" t="s">
        <v>1605</v>
      </c>
      <c r="I4015" s="3" t="s">
        <v>94</v>
      </c>
      <c r="J4015" s="31">
        <v>45891</v>
      </c>
      <c r="K4015" s="31">
        <v>45911</v>
      </c>
      <c r="L4015" s="31"/>
      <c r="M4015" s="31"/>
      <c r="N4015" s="31"/>
      <c r="O4015" s="3" t="s">
        <v>297</v>
      </c>
    </row>
    <row r="4016" spans="1:15">
      <c r="A4016" s="3">
        <f t="shared" si="64"/>
        <v>4015</v>
      </c>
      <c r="B4016" s="65" t="s">
        <v>6029</v>
      </c>
      <c r="C4016" s="1">
        <v>9721915488</v>
      </c>
      <c r="E4016" s="17" t="s">
        <v>6025</v>
      </c>
      <c r="F4016" s="65" t="s">
        <v>308</v>
      </c>
      <c r="G4016" s="3" t="s">
        <v>18</v>
      </c>
      <c r="H4016" s="3" t="s">
        <v>1605</v>
      </c>
      <c r="I4016" s="3" t="s">
        <v>94</v>
      </c>
      <c r="J4016" s="31">
        <v>45891</v>
      </c>
      <c r="K4016" s="31">
        <v>45892</v>
      </c>
      <c r="L4016" s="31"/>
      <c r="M4016" s="31"/>
      <c r="N4016" s="31"/>
      <c r="O4016" s="3" t="s">
        <v>297</v>
      </c>
    </row>
    <row r="4017" spans="1:15">
      <c r="A4017" s="3">
        <f t="shared" si="64"/>
        <v>4016</v>
      </c>
      <c r="B4017" s="65" t="s">
        <v>6030</v>
      </c>
      <c r="C4017" s="1">
        <v>6395346143</v>
      </c>
      <c r="E4017" s="17" t="s">
        <v>6025</v>
      </c>
      <c r="F4017" s="65" t="s">
        <v>419</v>
      </c>
      <c r="G4017" s="3" t="s">
        <v>295</v>
      </c>
      <c r="H4017" s="3" t="s">
        <v>1605</v>
      </c>
      <c r="I4017" s="3" t="s">
        <v>94</v>
      </c>
      <c r="J4017" s="31">
        <v>45891</v>
      </c>
      <c r="K4017" s="31">
        <v>45892</v>
      </c>
      <c r="L4017" s="31">
        <v>45897</v>
      </c>
      <c r="M4017" s="31">
        <v>45929</v>
      </c>
      <c r="N4017" s="31"/>
      <c r="O4017" s="3" t="s">
        <v>297</v>
      </c>
    </row>
    <row r="4018" spans="1:15">
      <c r="A4018" s="3">
        <f t="shared" si="64"/>
        <v>4017</v>
      </c>
      <c r="B4018" s="65" t="s">
        <v>6031</v>
      </c>
      <c r="C4018" s="1">
        <v>7755887979</v>
      </c>
      <c r="E4018" s="17" t="s">
        <v>5209</v>
      </c>
      <c r="F4018" s="65" t="s">
        <v>569</v>
      </c>
      <c r="G4018" s="3" t="s">
        <v>416</v>
      </c>
      <c r="H4018" s="3" t="s">
        <v>674</v>
      </c>
      <c r="I4018" s="3" t="s">
        <v>94</v>
      </c>
      <c r="J4018" s="31">
        <v>45891</v>
      </c>
      <c r="K4018" s="31">
        <v>45951</v>
      </c>
      <c r="L4018" s="31"/>
      <c r="M4018" s="31"/>
      <c r="N4018" s="31"/>
      <c r="O4018" s="3" t="s">
        <v>297</v>
      </c>
    </row>
    <row r="4019" spans="1:15">
      <c r="A4019" s="3">
        <f t="shared" si="64"/>
        <v>4018</v>
      </c>
      <c r="B4019" s="65" t="s">
        <v>6032</v>
      </c>
      <c r="C4019" s="1">
        <v>8967954006</v>
      </c>
      <c r="E4019" s="17" t="s">
        <v>5209</v>
      </c>
      <c r="F4019" s="65" t="s">
        <v>569</v>
      </c>
      <c r="G4019" s="3" t="s">
        <v>416</v>
      </c>
      <c r="H4019" s="3" t="s">
        <v>674</v>
      </c>
      <c r="I4019" s="3" t="s">
        <v>94</v>
      </c>
      <c r="J4019" s="31">
        <v>45891</v>
      </c>
      <c r="K4019" s="31">
        <v>45951</v>
      </c>
      <c r="L4019" s="31"/>
      <c r="M4019" s="31"/>
      <c r="N4019" s="31"/>
      <c r="O4019" s="3" t="s">
        <v>297</v>
      </c>
    </row>
    <row r="4020" spans="1:15">
      <c r="A4020" s="3">
        <f t="shared" si="64"/>
        <v>4019</v>
      </c>
      <c r="B4020" s="65" t="s">
        <v>6033</v>
      </c>
      <c r="C4020" s="1">
        <v>8931859735</v>
      </c>
      <c r="E4020" s="17" t="s">
        <v>5221</v>
      </c>
      <c r="F4020" s="65" t="s">
        <v>308</v>
      </c>
      <c r="G4020" s="3" t="s">
        <v>16</v>
      </c>
      <c r="H4020" s="3" t="s">
        <v>674</v>
      </c>
      <c r="I4020" s="3" t="s">
        <v>94</v>
      </c>
      <c r="J4020" s="31">
        <v>45891</v>
      </c>
      <c r="K4020" s="31">
        <v>45954</v>
      </c>
      <c r="L4020" s="31">
        <v>45968</v>
      </c>
      <c r="M4020" s="31">
        <v>45981</v>
      </c>
      <c r="N4020" s="31">
        <v>45984</v>
      </c>
      <c r="O4020" s="3" t="s">
        <v>297</v>
      </c>
    </row>
    <row r="4021" spans="1:15">
      <c r="A4021" s="3">
        <f t="shared" si="64"/>
        <v>4020</v>
      </c>
      <c r="B4021" s="65" t="s">
        <v>5368</v>
      </c>
      <c r="C4021" s="1">
        <v>8009784114</v>
      </c>
      <c r="E4021" s="17" t="s">
        <v>5218</v>
      </c>
      <c r="F4021" s="65" t="s">
        <v>308</v>
      </c>
      <c r="G4021" s="3" t="s">
        <v>416</v>
      </c>
      <c r="H4021" s="3" t="s">
        <v>674</v>
      </c>
      <c r="I4021" s="3" t="s">
        <v>94</v>
      </c>
      <c r="J4021" s="31">
        <v>45891</v>
      </c>
      <c r="K4021" s="31">
        <v>45951</v>
      </c>
      <c r="L4021" s="31"/>
      <c r="M4021" s="31"/>
      <c r="N4021" s="31"/>
      <c r="O4021" s="3" t="s">
        <v>297</v>
      </c>
    </row>
    <row r="4022" spans="1:15">
      <c r="A4022" s="3">
        <f t="shared" si="64"/>
        <v>4021</v>
      </c>
      <c r="B4022" s="65" t="s">
        <v>6034</v>
      </c>
      <c r="C4022" s="1">
        <v>8899224219</v>
      </c>
      <c r="E4022" s="17" t="s">
        <v>5221</v>
      </c>
      <c r="F4022" s="65" t="s">
        <v>308</v>
      </c>
      <c r="G4022" s="3" t="s">
        <v>18</v>
      </c>
      <c r="H4022" s="3" t="s">
        <v>674</v>
      </c>
      <c r="I4022" s="3" t="s">
        <v>94</v>
      </c>
      <c r="J4022" s="31">
        <v>45891</v>
      </c>
      <c r="K4022" s="31">
        <v>45963</v>
      </c>
      <c r="L4022" s="31">
        <v>45972</v>
      </c>
      <c r="M4022" s="31">
        <v>46002</v>
      </c>
      <c r="N4022" s="31"/>
      <c r="O4022" s="3" t="s">
        <v>297</v>
      </c>
    </row>
    <row r="4023" spans="1:15">
      <c r="A4023" s="3">
        <f t="shared" si="64"/>
        <v>4022</v>
      </c>
      <c r="B4023" s="65" t="s">
        <v>6035</v>
      </c>
      <c r="C4023" s="1">
        <v>8171411205</v>
      </c>
      <c r="E4023" s="17" t="s">
        <v>5223</v>
      </c>
      <c r="F4023" s="65" t="s">
        <v>364</v>
      </c>
      <c r="G4023" s="3" t="s">
        <v>424</v>
      </c>
      <c r="H4023" s="3" t="s">
        <v>674</v>
      </c>
      <c r="I4023" s="3" t="s">
        <v>94</v>
      </c>
      <c r="J4023" s="31">
        <v>45891</v>
      </c>
      <c r="K4023" s="31">
        <v>45904</v>
      </c>
      <c r="L4023" s="31"/>
      <c r="M4023" s="31"/>
      <c r="N4023" s="31"/>
      <c r="O4023" s="3" t="s">
        <v>425</v>
      </c>
    </row>
    <row r="4024" spans="1:15">
      <c r="A4024" s="3">
        <f t="shared" si="64"/>
        <v>4023</v>
      </c>
      <c r="B4024" s="65" t="s">
        <v>6036</v>
      </c>
      <c r="C4024" s="1">
        <v>7633822249</v>
      </c>
      <c r="E4024" s="17" t="s">
        <v>5223</v>
      </c>
      <c r="F4024" s="65" t="s">
        <v>364</v>
      </c>
      <c r="G4024" s="3" t="s">
        <v>416</v>
      </c>
      <c r="H4024" s="3" t="s">
        <v>674</v>
      </c>
      <c r="I4024" s="3" t="s">
        <v>94</v>
      </c>
      <c r="J4024" s="31">
        <v>45891</v>
      </c>
      <c r="K4024" s="31">
        <v>45904</v>
      </c>
      <c r="L4024" s="31"/>
      <c r="M4024" s="31"/>
      <c r="N4024" s="31"/>
      <c r="O4024" s="3" t="s">
        <v>297</v>
      </c>
    </row>
    <row r="4025" spans="1:15">
      <c r="A4025" s="3">
        <f t="shared" si="64"/>
        <v>4024</v>
      </c>
      <c r="B4025" s="65" t="s">
        <v>6037</v>
      </c>
      <c r="C4025" s="1">
        <v>9829670744</v>
      </c>
      <c r="D4025" s="1">
        <v>8005865937</v>
      </c>
      <c r="E4025" s="17" t="s">
        <v>5229</v>
      </c>
      <c r="F4025" s="65" t="s">
        <v>569</v>
      </c>
      <c r="G4025" s="3" t="s">
        <v>424</v>
      </c>
      <c r="H4025" s="3" t="s">
        <v>674</v>
      </c>
      <c r="I4025" s="3" t="s">
        <v>94</v>
      </c>
      <c r="J4025" s="31">
        <v>45891</v>
      </c>
      <c r="K4025" s="31">
        <v>45904</v>
      </c>
      <c r="L4025" s="31"/>
      <c r="M4025" s="31"/>
      <c r="N4025" s="31"/>
      <c r="O4025" s="3" t="s">
        <v>425</v>
      </c>
    </row>
    <row r="4026" spans="1:15">
      <c r="A4026" s="3">
        <f t="shared" si="64"/>
        <v>4025</v>
      </c>
      <c r="B4026" s="65" t="s">
        <v>6038</v>
      </c>
      <c r="C4026" s="1">
        <v>8250035287</v>
      </c>
      <c r="E4026" s="17" t="s">
        <v>5331</v>
      </c>
      <c r="F4026" s="65" t="s">
        <v>569</v>
      </c>
      <c r="G4026" s="3" t="s">
        <v>18</v>
      </c>
      <c r="H4026" s="3" t="s">
        <v>674</v>
      </c>
      <c r="I4026" s="3" t="s">
        <v>94</v>
      </c>
      <c r="J4026" s="31">
        <v>45891</v>
      </c>
      <c r="K4026" s="31">
        <v>45904</v>
      </c>
      <c r="L4026" s="31">
        <v>45911</v>
      </c>
      <c r="M4026" s="31">
        <v>45983</v>
      </c>
      <c r="N4026" s="31"/>
      <c r="O4026" s="3" t="s">
        <v>297</v>
      </c>
    </row>
    <row r="4027" spans="1:15">
      <c r="A4027" s="3">
        <f t="shared" si="64"/>
        <v>4026</v>
      </c>
      <c r="B4027" s="65" t="s">
        <v>6039</v>
      </c>
      <c r="C4027" s="1">
        <v>8601677473</v>
      </c>
      <c r="D4027" s="1">
        <v>7907507415</v>
      </c>
      <c r="E4027" s="17" t="s">
        <v>5328</v>
      </c>
      <c r="F4027" s="65" t="s">
        <v>308</v>
      </c>
      <c r="G4027" s="3" t="s">
        <v>424</v>
      </c>
      <c r="H4027" s="3" t="s">
        <v>674</v>
      </c>
      <c r="I4027" s="3" t="s">
        <v>94</v>
      </c>
      <c r="J4027" s="31">
        <v>45891</v>
      </c>
      <c r="K4027" s="31">
        <v>45904</v>
      </c>
      <c r="L4027" s="31"/>
      <c r="M4027" s="31"/>
      <c r="N4027" s="31"/>
      <c r="O4027" s="3" t="s">
        <v>749</v>
      </c>
    </row>
    <row r="4028" spans="1:15">
      <c r="A4028" s="3">
        <f t="shared" si="64"/>
        <v>4027</v>
      </c>
      <c r="B4028" s="65" t="s">
        <v>6040</v>
      </c>
      <c r="C4028" s="1">
        <v>9467372700</v>
      </c>
      <c r="D4028" s="1">
        <v>9485524700</v>
      </c>
      <c r="E4028" s="17" t="s">
        <v>5328</v>
      </c>
      <c r="F4028" s="65" t="s">
        <v>308</v>
      </c>
      <c r="G4028" s="3" t="s">
        <v>416</v>
      </c>
      <c r="H4028" s="3" t="s">
        <v>674</v>
      </c>
      <c r="I4028" s="3" t="s">
        <v>94</v>
      </c>
      <c r="J4028" s="31">
        <v>45891</v>
      </c>
      <c r="K4028" s="31">
        <v>45954</v>
      </c>
      <c r="L4028" s="31"/>
      <c r="M4028" s="31"/>
      <c r="N4028" s="31"/>
      <c r="O4028" s="3" t="s">
        <v>297</v>
      </c>
    </row>
    <row r="4029" spans="1:15">
      <c r="A4029" s="3">
        <f t="shared" si="64"/>
        <v>4028</v>
      </c>
      <c r="B4029" s="65" t="s">
        <v>6041</v>
      </c>
      <c r="C4029" s="1">
        <v>8400148263</v>
      </c>
      <c r="E4029" s="17" t="s">
        <v>5763</v>
      </c>
      <c r="F4029" s="65" t="s">
        <v>364</v>
      </c>
      <c r="G4029" s="3" t="s">
        <v>18</v>
      </c>
      <c r="H4029" s="3" t="s">
        <v>674</v>
      </c>
      <c r="I4029" s="3" t="s">
        <v>94</v>
      </c>
      <c r="J4029" s="31">
        <v>45891</v>
      </c>
      <c r="K4029" s="31"/>
      <c r="L4029" s="31"/>
      <c r="M4029" s="31"/>
      <c r="N4029" s="31"/>
      <c r="O4029" s="3" t="s">
        <v>297</v>
      </c>
    </row>
    <row r="4030" spans="1:15">
      <c r="A4030" s="3">
        <f t="shared" si="64"/>
        <v>4029</v>
      </c>
      <c r="B4030" s="65" t="s">
        <v>6042</v>
      </c>
      <c r="C4030" s="1">
        <v>8318442620</v>
      </c>
      <c r="E4030" s="17" t="s">
        <v>5764</v>
      </c>
      <c r="F4030" s="65" t="s">
        <v>364</v>
      </c>
      <c r="G4030" s="3" t="s">
        <v>16</v>
      </c>
      <c r="H4030" s="3" t="s">
        <v>674</v>
      </c>
      <c r="I4030" s="3" t="s">
        <v>94</v>
      </c>
      <c r="J4030" s="31">
        <v>45891</v>
      </c>
      <c r="K4030" s="31">
        <v>45904</v>
      </c>
      <c r="L4030" s="31">
        <v>45909</v>
      </c>
      <c r="M4030" s="31">
        <v>45951</v>
      </c>
      <c r="N4030" s="31">
        <v>45956</v>
      </c>
      <c r="O4030" s="3" t="s">
        <v>297</v>
      </c>
    </row>
    <row r="4031" spans="1:15">
      <c r="A4031" s="3">
        <f t="shared" si="64"/>
        <v>4030</v>
      </c>
      <c r="B4031" s="65" t="s">
        <v>881</v>
      </c>
      <c r="C4031" s="1">
        <v>7858967783</v>
      </c>
      <c r="E4031" s="17" t="s">
        <v>5764</v>
      </c>
      <c r="F4031" s="65" t="s">
        <v>364</v>
      </c>
      <c r="G4031" s="3" t="s">
        <v>424</v>
      </c>
      <c r="H4031" s="3" t="s">
        <v>674</v>
      </c>
      <c r="I4031" s="3" t="s">
        <v>94</v>
      </c>
      <c r="J4031" s="31">
        <v>45891</v>
      </c>
      <c r="K4031" s="31">
        <v>45904</v>
      </c>
      <c r="L4031" s="31"/>
      <c r="M4031" s="31"/>
      <c r="N4031" s="31"/>
      <c r="O4031" s="3" t="s">
        <v>425</v>
      </c>
    </row>
    <row r="4032" spans="1:15">
      <c r="A4032" s="3">
        <f t="shared" si="64"/>
        <v>4031</v>
      </c>
      <c r="B4032" s="65" t="s">
        <v>6043</v>
      </c>
      <c r="C4032" s="1">
        <v>7013401301</v>
      </c>
      <c r="D4032" s="1">
        <v>9907274044</v>
      </c>
      <c r="E4032" s="17" t="s">
        <v>6044</v>
      </c>
      <c r="F4032" s="65" t="s">
        <v>6045</v>
      </c>
      <c r="G4032" s="3" t="s">
        <v>16</v>
      </c>
      <c r="H4032" s="3" t="s">
        <v>296</v>
      </c>
      <c r="I4032" s="3" t="s">
        <v>94</v>
      </c>
      <c r="J4032" s="31">
        <v>45891</v>
      </c>
      <c r="K4032" s="31">
        <v>45897</v>
      </c>
      <c r="L4032" s="31">
        <v>45909</v>
      </c>
      <c r="M4032" s="31">
        <v>45967</v>
      </c>
      <c r="N4032" s="31">
        <v>45937</v>
      </c>
      <c r="O4032" s="3" t="s">
        <v>297</v>
      </c>
    </row>
    <row r="4033" spans="1:15">
      <c r="A4033" s="3">
        <f t="shared" si="64"/>
        <v>4032</v>
      </c>
      <c r="B4033" s="65" t="s">
        <v>6046</v>
      </c>
      <c r="C4033" s="1">
        <v>8171171157</v>
      </c>
      <c r="E4033" s="17" t="s">
        <v>6044</v>
      </c>
      <c r="F4033" s="65" t="s">
        <v>6045</v>
      </c>
      <c r="G4033" s="3" t="s">
        <v>18</v>
      </c>
      <c r="H4033" s="3" t="s">
        <v>296</v>
      </c>
      <c r="I4033" s="3" t="s">
        <v>94</v>
      </c>
      <c r="J4033" s="31">
        <v>45891</v>
      </c>
      <c r="K4033" s="31"/>
      <c r="L4033" s="31"/>
      <c r="M4033" s="31"/>
      <c r="N4033" s="31"/>
      <c r="O4033" s="3" t="s">
        <v>297</v>
      </c>
    </row>
    <row r="4034" spans="1:15">
      <c r="A4034" s="3">
        <f t="shared" si="64"/>
        <v>4033</v>
      </c>
      <c r="B4034" s="65" t="s">
        <v>6047</v>
      </c>
      <c r="C4034" s="1">
        <v>8924003197</v>
      </c>
      <c r="E4034" s="17" t="s">
        <v>5173</v>
      </c>
      <c r="F4034" s="65" t="s">
        <v>6048</v>
      </c>
      <c r="G4034" s="3" t="s">
        <v>18</v>
      </c>
      <c r="H4034" s="3" t="s">
        <v>3240</v>
      </c>
      <c r="I4034" s="3" t="s">
        <v>42</v>
      </c>
      <c r="J4034" s="31">
        <v>45891</v>
      </c>
      <c r="K4034" s="31">
        <v>45897</v>
      </c>
      <c r="L4034" s="31"/>
      <c r="M4034" s="31"/>
      <c r="N4034" s="31"/>
      <c r="O4034" s="3" t="s">
        <v>297</v>
      </c>
    </row>
    <row r="4035" spans="1:15">
      <c r="A4035" s="3">
        <f t="shared" si="64"/>
        <v>4034</v>
      </c>
      <c r="B4035" s="65" t="s">
        <v>6049</v>
      </c>
      <c r="C4035" s="1">
        <v>9777093827</v>
      </c>
      <c r="D4035" s="1">
        <v>7848989389</v>
      </c>
      <c r="E4035" s="17" t="s">
        <v>5173</v>
      </c>
      <c r="F4035" s="65" t="s">
        <v>6048</v>
      </c>
      <c r="G4035" s="3" t="s">
        <v>424</v>
      </c>
      <c r="H4035" s="3" t="s">
        <v>3240</v>
      </c>
      <c r="I4035" s="3" t="s">
        <v>42</v>
      </c>
      <c r="J4035" s="31">
        <v>45891</v>
      </c>
      <c r="K4035" s="31">
        <v>45897</v>
      </c>
      <c r="L4035" s="31"/>
      <c r="M4035" s="31"/>
      <c r="N4035" s="31"/>
      <c r="O4035" s="3" t="s">
        <v>425</v>
      </c>
    </row>
    <row r="4036" spans="1:15">
      <c r="A4036" s="3">
        <f t="shared" si="64"/>
        <v>4035</v>
      </c>
      <c r="B4036" s="65" t="s">
        <v>6050</v>
      </c>
      <c r="C4036" s="1">
        <v>7987554687</v>
      </c>
      <c r="D4036" s="1">
        <v>8349757598</v>
      </c>
      <c r="E4036" s="17" t="s">
        <v>5173</v>
      </c>
      <c r="F4036" s="65" t="s">
        <v>6051</v>
      </c>
      <c r="G4036" s="3" t="s">
        <v>16</v>
      </c>
      <c r="H4036" s="3" t="s">
        <v>3240</v>
      </c>
      <c r="I4036" s="3" t="s">
        <v>42</v>
      </c>
      <c r="J4036" s="31">
        <v>45891</v>
      </c>
      <c r="K4036" s="31">
        <v>45897</v>
      </c>
      <c r="L4036" s="31">
        <v>45946</v>
      </c>
      <c r="M4036" s="31">
        <v>45983</v>
      </c>
      <c r="N4036" s="31">
        <v>45989</v>
      </c>
      <c r="O4036" s="3" t="s">
        <v>297</v>
      </c>
    </row>
    <row r="4037" spans="1:15">
      <c r="A4037" s="3">
        <f t="shared" si="64"/>
        <v>4036</v>
      </c>
      <c r="B4037" s="65" t="s">
        <v>6052</v>
      </c>
      <c r="C4037" s="1">
        <v>9908687076</v>
      </c>
      <c r="E4037" s="17" t="s">
        <v>5173</v>
      </c>
      <c r="F4037" s="65" t="s">
        <v>6053</v>
      </c>
      <c r="G4037" s="3" t="s">
        <v>18</v>
      </c>
      <c r="H4037" s="3" t="s">
        <v>3240</v>
      </c>
      <c r="I4037" s="3" t="s">
        <v>42</v>
      </c>
      <c r="J4037" s="31">
        <v>45891</v>
      </c>
      <c r="K4037" s="31">
        <v>45897</v>
      </c>
      <c r="L4037" s="31"/>
      <c r="M4037" s="31"/>
      <c r="N4037" s="31"/>
      <c r="O4037" s="3" t="s">
        <v>297</v>
      </c>
    </row>
    <row r="4038" spans="1:15">
      <c r="A4038" s="3">
        <f t="shared" si="64"/>
        <v>4037</v>
      </c>
      <c r="B4038" s="65" t="s">
        <v>6054</v>
      </c>
      <c r="C4038" s="1">
        <v>8935835548</v>
      </c>
      <c r="E4038" s="17" t="s">
        <v>5173</v>
      </c>
      <c r="F4038" s="65" t="s">
        <v>6055</v>
      </c>
      <c r="G4038" s="3" t="s">
        <v>18</v>
      </c>
      <c r="H4038" s="3" t="s">
        <v>3240</v>
      </c>
      <c r="I4038" s="3" t="s">
        <v>42</v>
      </c>
      <c r="J4038" s="31">
        <v>45891</v>
      </c>
      <c r="K4038" s="31">
        <v>45897</v>
      </c>
      <c r="L4038" s="31"/>
      <c r="M4038" s="31"/>
      <c r="N4038" s="31"/>
      <c r="O4038" s="3" t="s">
        <v>297</v>
      </c>
    </row>
    <row r="4039" spans="1:15">
      <c r="A4039" s="3">
        <f t="shared" si="64"/>
        <v>4038</v>
      </c>
      <c r="B4039" s="65" t="s">
        <v>6056</v>
      </c>
      <c r="C4039" s="1">
        <v>7730929230</v>
      </c>
      <c r="D4039" s="1">
        <v>9381230902</v>
      </c>
      <c r="E4039" s="17" t="s">
        <v>5771</v>
      </c>
      <c r="F4039" s="65"/>
      <c r="G4039" s="3" t="s">
        <v>16</v>
      </c>
      <c r="H4039" s="3" t="s">
        <v>296</v>
      </c>
      <c r="I4039" s="3" t="s">
        <v>94</v>
      </c>
      <c r="J4039" s="31">
        <v>45871</v>
      </c>
      <c r="K4039" s="31">
        <v>45871</v>
      </c>
      <c r="L4039" s="31">
        <v>45889</v>
      </c>
      <c r="M4039" s="31">
        <v>45923</v>
      </c>
      <c r="N4039" s="31">
        <v>45932</v>
      </c>
      <c r="O4039" s="3" t="s">
        <v>297</v>
      </c>
    </row>
    <row r="4040" spans="1:15">
      <c r="A4040" s="3">
        <f t="shared" si="64"/>
        <v>4039</v>
      </c>
      <c r="B4040" s="65" t="s">
        <v>422</v>
      </c>
      <c r="C4040" s="1">
        <v>8840995485</v>
      </c>
      <c r="E4040" s="17" t="s">
        <v>4691</v>
      </c>
      <c r="F4040" s="65" t="s">
        <v>6057</v>
      </c>
      <c r="G4040" s="3" t="s">
        <v>424</v>
      </c>
      <c r="H4040" s="3" t="s">
        <v>4693</v>
      </c>
      <c r="I4040" s="3" t="s">
        <v>42</v>
      </c>
      <c r="J4040" s="31">
        <v>45891</v>
      </c>
      <c r="K4040" s="31">
        <v>45909</v>
      </c>
      <c r="L4040" s="31"/>
      <c r="M4040" s="31"/>
      <c r="N4040" s="31"/>
      <c r="O4040" s="3" t="s">
        <v>425</v>
      </c>
    </row>
    <row r="4041" spans="1:15">
      <c r="A4041" s="3">
        <f t="shared" si="64"/>
        <v>4040</v>
      </c>
      <c r="B4041" s="65" t="s">
        <v>6058</v>
      </c>
      <c r="C4041" s="1">
        <v>9991412482</v>
      </c>
      <c r="E4041" s="17" t="s">
        <v>4691</v>
      </c>
      <c r="F4041" s="65" t="s">
        <v>6059</v>
      </c>
      <c r="G4041" s="3" t="s">
        <v>424</v>
      </c>
      <c r="H4041" s="3" t="s">
        <v>4693</v>
      </c>
      <c r="I4041" s="3" t="s">
        <v>42</v>
      </c>
      <c r="J4041" s="31">
        <v>45891</v>
      </c>
      <c r="K4041" s="31">
        <v>45909</v>
      </c>
      <c r="L4041" s="31"/>
      <c r="M4041" s="31"/>
      <c r="N4041" s="31"/>
      <c r="O4041" s="3" t="s">
        <v>425</v>
      </c>
    </row>
    <row r="4042" spans="1:15">
      <c r="A4042" s="3">
        <f t="shared" si="64"/>
        <v>4041</v>
      </c>
      <c r="B4042" s="65" t="s">
        <v>6060</v>
      </c>
      <c r="C4042" s="1">
        <v>7082595709</v>
      </c>
      <c r="E4042" s="17" t="s">
        <v>4691</v>
      </c>
      <c r="F4042" s="65" t="s">
        <v>6061</v>
      </c>
      <c r="G4042" s="3" t="s">
        <v>424</v>
      </c>
      <c r="H4042" s="3" t="s">
        <v>4693</v>
      </c>
      <c r="I4042" s="3" t="s">
        <v>42</v>
      </c>
      <c r="J4042" s="31">
        <v>45891</v>
      </c>
      <c r="K4042" s="31">
        <v>45909</v>
      </c>
      <c r="L4042" s="31"/>
      <c r="M4042" s="31"/>
      <c r="N4042" s="31"/>
      <c r="O4042" s="3" t="s">
        <v>425</v>
      </c>
    </row>
    <row r="4043" spans="1:15">
      <c r="A4043" s="3">
        <f t="shared" si="64"/>
        <v>4042</v>
      </c>
      <c r="B4043" s="65" t="s">
        <v>6062</v>
      </c>
      <c r="C4043" s="1">
        <v>7814213905</v>
      </c>
      <c r="E4043" s="17" t="s">
        <v>4691</v>
      </c>
      <c r="F4043" s="65" t="s">
        <v>6063</v>
      </c>
      <c r="G4043" s="3" t="s">
        <v>708</v>
      </c>
      <c r="H4043" s="3" t="s">
        <v>4693</v>
      </c>
      <c r="I4043" s="3" t="s">
        <v>42</v>
      </c>
      <c r="J4043" s="31">
        <v>45891</v>
      </c>
      <c r="K4043" s="31">
        <v>45909</v>
      </c>
      <c r="L4043" s="31"/>
      <c r="M4043" s="31"/>
      <c r="N4043" s="31"/>
      <c r="O4043" s="3" t="s">
        <v>297</v>
      </c>
    </row>
    <row r="4044" spans="1:15">
      <c r="A4044" s="3">
        <f t="shared" si="64"/>
        <v>4043</v>
      </c>
      <c r="B4044" s="65" t="s">
        <v>6064</v>
      </c>
      <c r="C4044" s="1">
        <v>6397982207</v>
      </c>
      <c r="E4044" s="17" t="s">
        <v>4691</v>
      </c>
      <c r="F4044" s="65" t="s">
        <v>6065</v>
      </c>
      <c r="G4044" s="3" t="s">
        <v>424</v>
      </c>
      <c r="H4044" s="3" t="s">
        <v>4693</v>
      </c>
      <c r="I4044" s="3" t="s">
        <v>42</v>
      </c>
      <c r="J4044" s="31">
        <v>45891</v>
      </c>
      <c r="K4044" s="31">
        <v>45909</v>
      </c>
      <c r="L4044" s="31"/>
      <c r="M4044" s="31"/>
      <c r="N4044" s="31"/>
      <c r="O4044" s="3" t="s">
        <v>425</v>
      </c>
    </row>
    <row r="4045" spans="1:15">
      <c r="A4045" s="3">
        <f t="shared" si="64"/>
        <v>4044</v>
      </c>
      <c r="B4045" s="65" t="s">
        <v>6066</v>
      </c>
      <c r="C4045" s="1">
        <v>7077126059</v>
      </c>
      <c r="D4045" s="1">
        <v>9348732894</v>
      </c>
      <c r="E4045" s="17" t="s">
        <v>5313</v>
      </c>
      <c r="F4045" s="65" t="s">
        <v>1467</v>
      </c>
      <c r="G4045" s="3" t="s">
        <v>424</v>
      </c>
      <c r="H4045" s="3" t="s">
        <v>487</v>
      </c>
      <c r="I4045" s="3" t="s">
        <v>88</v>
      </c>
      <c r="J4045" s="31">
        <v>45891</v>
      </c>
      <c r="K4045" s="31">
        <v>45905</v>
      </c>
      <c r="L4045" s="31"/>
      <c r="M4045" s="31"/>
      <c r="N4045" s="31"/>
      <c r="O4045" s="3" t="s">
        <v>425</v>
      </c>
    </row>
    <row r="4046" spans="1:15">
      <c r="A4046" s="3">
        <f t="shared" si="64"/>
        <v>4045</v>
      </c>
      <c r="B4046" s="65" t="s">
        <v>6067</v>
      </c>
      <c r="C4046" s="1">
        <v>9083263022</v>
      </c>
      <c r="D4046" s="1">
        <v>9563052950</v>
      </c>
      <c r="E4046" s="17" t="s">
        <v>5313</v>
      </c>
      <c r="F4046" s="65" t="s">
        <v>1467</v>
      </c>
      <c r="G4046" s="3" t="s">
        <v>424</v>
      </c>
      <c r="H4046" s="3" t="s">
        <v>487</v>
      </c>
      <c r="I4046" s="3" t="s">
        <v>88</v>
      </c>
      <c r="J4046" s="31">
        <v>45891</v>
      </c>
      <c r="K4046" s="31">
        <v>45905</v>
      </c>
      <c r="L4046" s="31"/>
      <c r="M4046" s="31"/>
      <c r="N4046" s="31"/>
      <c r="O4046" s="3" t="s">
        <v>425</v>
      </c>
    </row>
    <row r="4047" spans="1:15">
      <c r="A4047" s="3">
        <f t="shared" si="64"/>
        <v>4046</v>
      </c>
      <c r="B4047" s="65" t="s">
        <v>6068</v>
      </c>
      <c r="C4047" s="1">
        <v>9182679535</v>
      </c>
      <c r="D4047" s="1">
        <v>8474026006</v>
      </c>
      <c r="E4047" s="17" t="s">
        <v>3295</v>
      </c>
      <c r="F4047" s="65" t="s">
        <v>6069</v>
      </c>
      <c r="G4047" s="3" t="s">
        <v>424</v>
      </c>
      <c r="H4047" s="3" t="s">
        <v>487</v>
      </c>
      <c r="I4047" s="3" t="s">
        <v>88</v>
      </c>
      <c r="J4047" s="31">
        <v>45891</v>
      </c>
      <c r="K4047" s="31">
        <v>45905</v>
      </c>
      <c r="L4047" s="31"/>
      <c r="M4047" s="31"/>
      <c r="N4047" s="31"/>
      <c r="O4047" s="3" t="s">
        <v>425</v>
      </c>
    </row>
    <row r="4048" spans="1:15">
      <c r="A4048" s="3">
        <f t="shared" si="64"/>
        <v>4047</v>
      </c>
      <c r="B4048" s="65" t="s">
        <v>6070</v>
      </c>
      <c r="C4048" s="1">
        <v>7081214306</v>
      </c>
      <c r="E4048" s="17" t="s">
        <v>3295</v>
      </c>
      <c r="F4048" s="65" t="s">
        <v>6069</v>
      </c>
      <c r="G4048" s="3" t="s">
        <v>424</v>
      </c>
      <c r="H4048" s="3" t="s">
        <v>487</v>
      </c>
      <c r="I4048" s="3" t="s">
        <v>88</v>
      </c>
      <c r="J4048" s="31">
        <v>45891</v>
      </c>
      <c r="K4048" s="31">
        <v>45905</v>
      </c>
      <c r="L4048" s="31"/>
      <c r="M4048" s="31"/>
      <c r="N4048" s="31"/>
      <c r="O4048" s="3" t="s">
        <v>425</v>
      </c>
    </row>
    <row r="4049" spans="1:15">
      <c r="A4049" s="3">
        <f t="shared" si="64"/>
        <v>4048</v>
      </c>
      <c r="B4049" s="65" t="s">
        <v>6071</v>
      </c>
      <c r="C4049" s="1">
        <v>8626913207</v>
      </c>
      <c r="E4049" s="17" t="s">
        <v>3295</v>
      </c>
      <c r="F4049" s="65" t="s">
        <v>6069</v>
      </c>
      <c r="G4049" s="3" t="s">
        <v>764</v>
      </c>
      <c r="H4049" s="3" t="s">
        <v>487</v>
      </c>
      <c r="I4049" s="3" t="s">
        <v>88</v>
      </c>
      <c r="J4049" s="31">
        <v>45891</v>
      </c>
      <c r="K4049" s="31">
        <v>45905</v>
      </c>
      <c r="L4049" s="31"/>
      <c r="M4049" s="31"/>
      <c r="N4049" s="31"/>
      <c r="O4049" s="3" t="s">
        <v>425</v>
      </c>
    </row>
    <row r="4050" spans="1:15">
      <c r="A4050" s="3">
        <f t="shared" si="64"/>
        <v>4049</v>
      </c>
      <c r="B4050" s="65" t="s">
        <v>6072</v>
      </c>
      <c r="C4050" s="1">
        <v>7060363058</v>
      </c>
      <c r="E4050" s="17" t="s">
        <v>3295</v>
      </c>
      <c r="F4050" s="65" t="s">
        <v>6069</v>
      </c>
      <c r="G4050" s="3" t="s">
        <v>416</v>
      </c>
      <c r="H4050" s="3" t="s">
        <v>487</v>
      </c>
      <c r="I4050" s="3" t="s">
        <v>88</v>
      </c>
      <c r="J4050" s="31">
        <v>45891</v>
      </c>
      <c r="K4050" s="31">
        <v>45905</v>
      </c>
      <c r="L4050" s="31"/>
      <c r="M4050" s="31"/>
      <c r="N4050" s="31"/>
      <c r="O4050" s="3" t="s">
        <v>297</v>
      </c>
    </row>
    <row r="4051" spans="1:15">
      <c r="A4051" s="3">
        <f t="shared" si="64"/>
        <v>4050</v>
      </c>
      <c r="B4051" s="65" t="s">
        <v>6073</v>
      </c>
      <c r="C4051" s="1">
        <v>8260668556</v>
      </c>
      <c r="E4051" s="17" t="s">
        <v>3295</v>
      </c>
      <c r="F4051" s="65" t="s">
        <v>6069</v>
      </c>
      <c r="G4051" s="3" t="s">
        <v>424</v>
      </c>
      <c r="H4051" s="3" t="s">
        <v>487</v>
      </c>
      <c r="I4051" s="3" t="s">
        <v>88</v>
      </c>
      <c r="J4051" s="31">
        <v>45891</v>
      </c>
      <c r="K4051" s="31">
        <v>45905</v>
      </c>
      <c r="L4051" s="31"/>
      <c r="M4051" s="31"/>
      <c r="N4051" s="31"/>
      <c r="O4051" s="3" t="s">
        <v>425</v>
      </c>
    </row>
    <row r="4052" spans="1:15">
      <c r="A4052" s="3">
        <f t="shared" si="64"/>
        <v>4051</v>
      </c>
      <c r="B4052" s="65" t="s">
        <v>6074</v>
      </c>
      <c r="C4052" s="1">
        <v>9123196285</v>
      </c>
      <c r="E4052" s="17" t="s">
        <v>3295</v>
      </c>
      <c r="F4052" s="65" t="s">
        <v>6069</v>
      </c>
      <c r="G4052" s="3" t="s">
        <v>424</v>
      </c>
      <c r="H4052" s="3" t="s">
        <v>487</v>
      </c>
      <c r="I4052" s="3" t="s">
        <v>88</v>
      </c>
      <c r="J4052" s="31">
        <v>45891</v>
      </c>
      <c r="K4052" s="31">
        <v>45905</v>
      </c>
      <c r="L4052" s="31"/>
      <c r="M4052" s="31"/>
      <c r="N4052" s="31"/>
      <c r="O4052" s="3" t="s">
        <v>425</v>
      </c>
    </row>
    <row r="4053" spans="1:15">
      <c r="A4053" s="3">
        <f t="shared" si="64"/>
        <v>4052</v>
      </c>
      <c r="B4053" s="65" t="s">
        <v>6075</v>
      </c>
      <c r="C4053" s="1">
        <v>7749891033</v>
      </c>
      <c r="E4053" s="17" t="s">
        <v>6076</v>
      </c>
      <c r="F4053" s="65"/>
      <c r="G4053" s="3" t="s">
        <v>295</v>
      </c>
      <c r="H4053" s="3" t="s">
        <v>999</v>
      </c>
      <c r="I4053" s="3" t="s">
        <v>88</v>
      </c>
      <c r="J4053" s="31">
        <v>45887</v>
      </c>
      <c r="K4053" s="31">
        <v>45889</v>
      </c>
      <c r="L4053" s="31">
        <v>45891</v>
      </c>
      <c r="M4053" s="31">
        <v>45934</v>
      </c>
      <c r="N4053" s="31"/>
      <c r="O4053" s="3" t="s">
        <v>297</v>
      </c>
    </row>
    <row r="4054" spans="1:15">
      <c r="A4054" s="3">
        <f t="shared" si="64"/>
        <v>4053</v>
      </c>
      <c r="B4054" s="65" t="s">
        <v>6077</v>
      </c>
      <c r="C4054" s="1">
        <v>9573250593</v>
      </c>
      <c r="E4054" s="17" t="s">
        <v>6076</v>
      </c>
      <c r="F4054" s="65"/>
      <c r="G4054" s="3" t="s">
        <v>16</v>
      </c>
      <c r="H4054" s="3" t="s">
        <v>999</v>
      </c>
      <c r="I4054" s="3" t="s">
        <v>88</v>
      </c>
      <c r="J4054" s="31">
        <v>45887</v>
      </c>
      <c r="K4054" s="31">
        <v>45889</v>
      </c>
      <c r="L4054" s="31">
        <v>45891</v>
      </c>
      <c r="M4054" s="31">
        <v>45931</v>
      </c>
      <c r="N4054" s="31">
        <v>45931</v>
      </c>
      <c r="O4054" s="3" t="s">
        <v>297</v>
      </c>
    </row>
    <row r="4055" spans="1:15">
      <c r="A4055" s="3">
        <f t="shared" si="64"/>
        <v>4054</v>
      </c>
      <c r="B4055" s="65" t="s">
        <v>6078</v>
      </c>
      <c r="C4055" s="1">
        <v>8985343166</v>
      </c>
      <c r="E4055" s="17" t="s">
        <v>1189</v>
      </c>
      <c r="F4055" s="65"/>
      <c r="G4055" s="3" t="s">
        <v>16</v>
      </c>
      <c r="H4055" s="3" t="s">
        <v>1186</v>
      </c>
      <c r="I4055" s="3" t="s">
        <v>88</v>
      </c>
      <c r="J4055" s="31">
        <v>45887</v>
      </c>
      <c r="K4055" s="31">
        <v>45889</v>
      </c>
      <c r="L4055" s="31">
        <v>45891</v>
      </c>
      <c r="M4055" s="31">
        <v>45922</v>
      </c>
      <c r="N4055" s="31">
        <v>45894</v>
      </c>
      <c r="O4055" s="3" t="s">
        <v>297</v>
      </c>
    </row>
    <row r="4056" spans="1:15">
      <c r="A4056" s="3">
        <f t="shared" si="64"/>
        <v>4055</v>
      </c>
      <c r="B4056" s="65" t="s">
        <v>6079</v>
      </c>
      <c r="C4056" s="1">
        <v>7396484681</v>
      </c>
      <c r="E4056" s="17" t="s">
        <v>6080</v>
      </c>
      <c r="F4056" s="65"/>
      <c r="G4056" s="3" t="s">
        <v>16</v>
      </c>
      <c r="H4056" s="3" t="s">
        <v>527</v>
      </c>
      <c r="I4056" s="3" t="s">
        <v>88</v>
      </c>
      <c r="J4056" s="31">
        <v>45889</v>
      </c>
      <c r="K4056" s="31">
        <v>45890</v>
      </c>
      <c r="L4056" s="31">
        <v>45891</v>
      </c>
      <c r="M4056" s="31">
        <v>45922</v>
      </c>
      <c r="N4056" s="31">
        <v>45901</v>
      </c>
      <c r="O4056" s="3" t="s">
        <v>297</v>
      </c>
    </row>
    <row r="4057" spans="1:15">
      <c r="A4057" s="3">
        <f t="shared" si="64"/>
        <v>4056</v>
      </c>
      <c r="B4057" s="65" t="s">
        <v>6081</v>
      </c>
      <c r="C4057" s="1">
        <v>7702196304</v>
      </c>
      <c r="E4057" s="17" t="s">
        <v>6082</v>
      </c>
      <c r="F4057" s="65"/>
      <c r="G4057" s="3" t="s">
        <v>295</v>
      </c>
      <c r="H4057" s="3" t="s">
        <v>815</v>
      </c>
      <c r="I4057" s="3" t="s">
        <v>88</v>
      </c>
      <c r="J4057" s="31">
        <v>45889</v>
      </c>
      <c r="K4057" s="31">
        <v>45890</v>
      </c>
      <c r="L4057" s="31">
        <v>45891</v>
      </c>
      <c r="M4057" s="31">
        <v>45922</v>
      </c>
      <c r="N4057" s="31"/>
      <c r="O4057" s="3" t="s">
        <v>297</v>
      </c>
    </row>
    <row r="4058" spans="1:15">
      <c r="A4058" s="3">
        <f t="shared" si="64"/>
        <v>4057</v>
      </c>
      <c r="B4058" s="65" t="s">
        <v>6083</v>
      </c>
      <c r="C4058" s="1">
        <v>9966598328</v>
      </c>
      <c r="E4058" s="17" t="s">
        <v>6084</v>
      </c>
      <c r="F4058" s="65"/>
      <c r="G4058" s="3" t="s">
        <v>16</v>
      </c>
      <c r="H4058" s="3" t="s">
        <v>2368</v>
      </c>
      <c r="I4058" s="3" t="s">
        <v>88</v>
      </c>
      <c r="J4058" s="31">
        <v>45889</v>
      </c>
      <c r="K4058" s="31">
        <v>45890</v>
      </c>
      <c r="L4058" s="31">
        <v>45891</v>
      </c>
      <c r="M4058" s="31">
        <v>45922</v>
      </c>
      <c r="N4058" s="31">
        <v>45903</v>
      </c>
      <c r="O4058" s="3" t="s">
        <v>297</v>
      </c>
    </row>
    <row r="4059" spans="1:15">
      <c r="A4059" s="3">
        <f t="shared" si="64"/>
        <v>4058</v>
      </c>
      <c r="B4059" s="65" t="s">
        <v>6085</v>
      </c>
      <c r="C4059" s="1">
        <v>9948582777</v>
      </c>
      <c r="E4059" s="17" t="s">
        <v>3767</v>
      </c>
      <c r="F4059" s="65"/>
      <c r="G4059" s="3" t="s">
        <v>16</v>
      </c>
      <c r="H4059" s="3" t="s">
        <v>42</v>
      </c>
      <c r="I4059" s="3" t="s">
        <v>42</v>
      </c>
      <c r="J4059" s="31">
        <v>45886</v>
      </c>
      <c r="K4059" s="31">
        <v>45887</v>
      </c>
      <c r="L4059" s="31">
        <v>45887</v>
      </c>
      <c r="M4059" s="31">
        <v>45918</v>
      </c>
      <c r="N4059" s="31">
        <v>45901</v>
      </c>
      <c r="O4059" s="3" t="s">
        <v>297</v>
      </c>
    </row>
    <row r="4060" spans="1:15">
      <c r="A4060" s="3">
        <f t="shared" si="64"/>
        <v>4059</v>
      </c>
      <c r="B4060" s="65" t="s">
        <v>6086</v>
      </c>
      <c r="C4060" s="1">
        <v>6201830539</v>
      </c>
      <c r="E4060" s="17" t="s">
        <v>5361</v>
      </c>
      <c r="F4060" s="65" t="s">
        <v>6087</v>
      </c>
      <c r="G4060" s="3" t="s">
        <v>416</v>
      </c>
      <c r="H4060" s="3" t="s">
        <v>815</v>
      </c>
      <c r="I4060" s="3" t="s">
        <v>94</v>
      </c>
      <c r="J4060" s="31">
        <v>45892</v>
      </c>
      <c r="K4060" s="31">
        <v>45894</v>
      </c>
      <c r="O4060" s="3" t="s">
        <v>297</v>
      </c>
    </row>
    <row r="4061" spans="1:15">
      <c r="A4061" s="3">
        <f t="shared" si="64"/>
        <v>4060</v>
      </c>
      <c r="B4061" s="65" t="s">
        <v>5604</v>
      </c>
      <c r="C4061" s="1">
        <v>9044468515</v>
      </c>
      <c r="D4061" s="1">
        <v>9794986729</v>
      </c>
      <c r="E4061" s="17" t="s">
        <v>5361</v>
      </c>
      <c r="F4061" s="65" t="s">
        <v>4786</v>
      </c>
      <c r="G4061" s="3" t="s">
        <v>764</v>
      </c>
      <c r="H4061" s="3" t="s">
        <v>815</v>
      </c>
      <c r="I4061" s="3" t="s">
        <v>94</v>
      </c>
      <c r="J4061" s="31">
        <v>45892</v>
      </c>
      <c r="K4061" s="31">
        <v>45894</v>
      </c>
      <c r="O4061" s="3" t="s">
        <v>425</v>
      </c>
    </row>
    <row r="4062" spans="1:15">
      <c r="A4062" s="3">
        <f t="shared" ref="A4062:A4125" si="65">ROW()-1</f>
        <v>4061</v>
      </c>
      <c r="B4062" s="65" t="s">
        <v>6088</v>
      </c>
      <c r="C4062" s="1">
        <v>7752852063</v>
      </c>
      <c r="E4062" s="17" t="s">
        <v>5361</v>
      </c>
      <c r="F4062" s="65" t="s">
        <v>4786</v>
      </c>
      <c r="G4062" s="3" t="s">
        <v>416</v>
      </c>
      <c r="H4062" s="3" t="s">
        <v>815</v>
      </c>
      <c r="I4062" s="3" t="s">
        <v>94</v>
      </c>
      <c r="J4062" s="31">
        <v>45892</v>
      </c>
      <c r="K4062" s="31">
        <v>45894</v>
      </c>
      <c r="O4062" s="3" t="s">
        <v>297</v>
      </c>
    </row>
    <row r="4063" spans="1:15">
      <c r="A4063" s="3">
        <f t="shared" si="65"/>
        <v>4062</v>
      </c>
      <c r="B4063" s="65" t="s">
        <v>6089</v>
      </c>
      <c r="C4063" s="1">
        <v>9536357743</v>
      </c>
      <c r="D4063" s="1">
        <v>8868973543</v>
      </c>
      <c r="E4063" s="17" t="s">
        <v>5361</v>
      </c>
      <c r="F4063" s="65" t="s">
        <v>4786</v>
      </c>
      <c r="G4063" s="3" t="s">
        <v>416</v>
      </c>
      <c r="H4063" s="3" t="s">
        <v>815</v>
      </c>
      <c r="I4063" s="3" t="s">
        <v>94</v>
      </c>
      <c r="J4063" s="31">
        <v>45892</v>
      </c>
      <c r="K4063" s="31">
        <v>45894</v>
      </c>
      <c r="O4063" s="3" t="s">
        <v>297</v>
      </c>
    </row>
    <row r="4064" spans="1:15">
      <c r="A4064" s="3">
        <f t="shared" si="65"/>
        <v>4063</v>
      </c>
      <c r="B4064" s="65" t="s">
        <v>6090</v>
      </c>
      <c r="C4064" s="1">
        <v>8859654815</v>
      </c>
      <c r="E4064" s="17" t="s">
        <v>6091</v>
      </c>
      <c r="F4064" s="65" t="s">
        <v>4786</v>
      </c>
      <c r="G4064" s="3" t="s">
        <v>764</v>
      </c>
      <c r="H4064" s="3" t="s">
        <v>815</v>
      </c>
      <c r="I4064" s="3" t="s">
        <v>94</v>
      </c>
      <c r="J4064" s="31">
        <v>45892</v>
      </c>
      <c r="K4064" s="31">
        <v>45894</v>
      </c>
      <c r="O4064" s="3" t="s">
        <v>425</v>
      </c>
    </row>
    <row r="4065" spans="1:15">
      <c r="A4065" s="3">
        <f t="shared" si="65"/>
        <v>4064</v>
      </c>
      <c r="B4065" s="65" t="s">
        <v>6092</v>
      </c>
      <c r="C4065" s="1">
        <v>7598841685</v>
      </c>
      <c r="E4065" s="17" t="s">
        <v>148</v>
      </c>
      <c r="F4065" s="65"/>
      <c r="G4065" s="3" t="s">
        <v>16</v>
      </c>
      <c r="H4065" s="3" t="s">
        <v>42</v>
      </c>
      <c r="I4065" s="3" t="s">
        <v>42</v>
      </c>
      <c r="J4065" s="31">
        <v>45887</v>
      </c>
      <c r="K4065" s="31">
        <v>45889</v>
      </c>
      <c r="L4065" s="31">
        <v>45889</v>
      </c>
      <c r="M4065" s="31">
        <v>45920</v>
      </c>
      <c r="N4065" s="31">
        <v>45905</v>
      </c>
      <c r="O4065" s="3" t="s">
        <v>297</v>
      </c>
    </row>
    <row r="4066" spans="1:15">
      <c r="A4066" s="3">
        <f t="shared" si="65"/>
        <v>4065</v>
      </c>
      <c r="B4066" s="65" t="s">
        <v>6093</v>
      </c>
      <c r="C4066" s="1">
        <v>8299148371</v>
      </c>
      <c r="D4066" s="1">
        <v>9984641979</v>
      </c>
      <c r="E4066" s="17" t="s">
        <v>5648</v>
      </c>
      <c r="F4066" s="65" t="s">
        <v>569</v>
      </c>
      <c r="G4066" s="3" t="s">
        <v>18</v>
      </c>
      <c r="H4066" s="3" t="s">
        <v>296</v>
      </c>
      <c r="I4066" s="3" t="s">
        <v>94</v>
      </c>
      <c r="J4066" s="31">
        <v>45892</v>
      </c>
      <c r="K4066" s="31">
        <v>45904</v>
      </c>
      <c r="L4066" s="31">
        <v>45911</v>
      </c>
      <c r="M4066" s="31">
        <v>45971</v>
      </c>
      <c r="N4066" s="31"/>
      <c r="O4066" s="3" t="s">
        <v>297</v>
      </c>
    </row>
    <row r="4067" spans="1:15">
      <c r="A4067" s="3">
        <f t="shared" si="65"/>
        <v>4066</v>
      </c>
      <c r="B4067" s="65" t="s">
        <v>6094</v>
      </c>
      <c r="C4067" s="1">
        <v>9131336872</v>
      </c>
      <c r="E4067" s="17" t="s">
        <v>5648</v>
      </c>
      <c r="F4067" s="65" t="s">
        <v>792</v>
      </c>
      <c r="G4067" s="3" t="s">
        <v>416</v>
      </c>
      <c r="H4067" s="3" t="s">
        <v>296</v>
      </c>
      <c r="I4067" s="3" t="s">
        <v>94</v>
      </c>
      <c r="J4067" s="31">
        <v>45892</v>
      </c>
      <c r="K4067" s="31">
        <v>45904</v>
      </c>
      <c r="O4067" s="3" t="s">
        <v>297</v>
      </c>
    </row>
    <row r="4068" spans="1:15">
      <c r="A4068" s="3">
        <f t="shared" si="65"/>
        <v>4067</v>
      </c>
      <c r="B4068" s="65" t="s">
        <v>6095</v>
      </c>
      <c r="C4068" s="1">
        <v>7805889814</v>
      </c>
      <c r="E4068" s="17" t="s">
        <v>5985</v>
      </c>
      <c r="F4068" s="65" t="s">
        <v>329</v>
      </c>
      <c r="G4068" s="3" t="s">
        <v>295</v>
      </c>
      <c r="H4068" s="3" t="s">
        <v>1096</v>
      </c>
      <c r="I4068" s="3" t="s">
        <v>94</v>
      </c>
      <c r="J4068" s="31">
        <v>45892</v>
      </c>
      <c r="K4068" s="31">
        <v>45894</v>
      </c>
      <c r="L4068" s="31">
        <v>45959</v>
      </c>
      <c r="M4068" s="31">
        <v>45974</v>
      </c>
      <c r="N4068" s="31"/>
      <c r="O4068" s="3" t="s">
        <v>297</v>
      </c>
    </row>
    <row r="4069" spans="1:15">
      <c r="A4069" s="3">
        <f t="shared" si="65"/>
        <v>4068</v>
      </c>
      <c r="B4069" s="65" t="s">
        <v>558</v>
      </c>
      <c r="C4069" s="1">
        <v>8528226971</v>
      </c>
      <c r="D4069" s="1">
        <v>7024257753</v>
      </c>
      <c r="E4069" s="17" t="s">
        <v>5987</v>
      </c>
      <c r="F4069" s="65" t="s">
        <v>569</v>
      </c>
      <c r="G4069" s="3" t="s">
        <v>16</v>
      </c>
      <c r="H4069" s="3" t="s">
        <v>1096</v>
      </c>
      <c r="I4069" s="3" t="s">
        <v>94</v>
      </c>
      <c r="J4069" s="31">
        <v>45892</v>
      </c>
      <c r="K4069" s="31">
        <v>45894</v>
      </c>
      <c r="L4069" s="31">
        <v>45926</v>
      </c>
      <c r="M4069" s="31">
        <v>45957</v>
      </c>
      <c r="N4069" s="31">
        <v>45959</v>
      </c>
      <c r="O4069" s="3" t="s">
        <v>297</v>
      </c>
    </row>
    <row r="4070" spans="1:15">
      <c r="A4070" s="3">
        <f t="shared" si="65"/>
        <v>4069</v>
      </c>
      <c r="B4070" s="65" t="s">
        <v>5866</v>
      </c>
      <c r="C4070" s="1">
        <v>8109648717</v>
      </c>
      <c r="E4070" s="17" t="s">
        <v>5987</v>
      </c>
      <c r="F4070" s="65" t="s">
        <v>569</v>
      </c>
      <c r="G4070" s="3" t="s">
        <v>416</v>
      </c>
      <c r="H4070" s="3" t="s">
        <v>1096</v>
      </c>
      <c r="I4070" s="3" t="s">
        <v>94</v>
      </c>
      <c r="J4070" s="31">
        <v>45892</v>
      </c>
      <c r="K4070" s="31">
        <v>45894</v>
      </c>
      <c r="O4070" s="3" t="s">
        <v>297</v>
      </c>
    </row>
    <row r="4071" spans="1:15">
      <c r="A4071" s="3">
        <f t="shared" si="65"/>
        <v>4070</v>
      </c>
      <c r="B4071" s="65" t="s">
        <v>6096</v>
      </c>
      <c r="C4071" s="1">
        <v>9742310150</v>
      </c>
      <c r="E4071" s="17" t="s">
        <v>3999</v>
      </c>
      <c r="F4071" s="65" t="s">
        <v>6097</v>
      </c>
      <c r="G4071" s="3" t="s">
        <v>16</v>
      </c>
      <c r="H4071" s="3" t="s">
        <v>42</v>
      </c>
      <c r="I4071" s="3" t="s">
        <v>42</v>
      </c>
      <c r="J4071" s="31">
        <v>45892</v>
      </c>
      <c r="K4071" s="31">
        <v>45895</v>
      </c>
      <c r="L4071" s="31">
        <v>45897</v>
      </c>
      <c r="M4071" s="31">
        <v>45917</v>
      </c>
      <c r="N4071" s="31">
        <v>45909</v>
      </c>
      <c r="O4071" s="3" t="s">
        <v>297</v>
      </c>
    </row>
    <row r="4072" spans="1:15">
      <c r="A4072" s="3">
        <f t="shared" si="65"/>
        <v>4071</v>
      </c>
      <c r="B4072" s="65" t="s">
        <v>6098</v>
      </c>
      <c r="C4072" s="1">
        <v>8341876566</v>
      </c>
      <c r="E4072" s="17" t="s">
        <v>6099</v>
      </c>
      <c r="F4072" s="65" t="s">
        <v>6100</v>
      </c>
      <c r="G4072" s="3" t="s">
        <v>424</v>
      </c>
      <c r="H4072" s="3" t="s">
        <v>5774</v>
      </c>
      <c r="I4072" s="3" t="s">
        <v>42</v>
      </c>
      <c r="J4072" s="31">
        <v>45892</v>
      </c>
      <c r="K4072" s="31">
        <v>45895</v>
      </c>
      <c r="O4072" s="3" t="s">
        <v>425</v>
      </c>
    </row>
    <row r="4073" spans="1:15">
      <c r="A4073" s="3">
        <f t="shared" si="65"/>
        <v>4072</v>
      </c>
      <c r="B4073" s="65" t="s">
        <v>6101</v>
      </c>
      <c r="C4073" s="1">
        <v>9440148491</v>
      </c>
      <c r="E4073" s="17" t="s">
        <v>6099</v>
      </c>
      <c r="F4073" s="65" t="s">
        <v>6102</v>
      </c>
      <c r="G4073" s="3" t="s">
        <v>16</v>
      </c>
      <c r="H4073" s="3" t="s">
        <v>5774</v>
      </c>
      <c r="I4073" s="3" t="s">
        <v>42</v>
      </c>
      <c r="J4073" s="31">
        <v>45892</v>
      </c>
      <c r="K4073" s="31">
        <v>45904</v>
      </c>
      <c r="L4073" s="31">
        <v>45909</v>
      </c>
      <c r="M4073" s="31">
        <v>45916</v>
      </c>
      <c r="N4073" s="31">
        <v>45915</v>
      </c>
      <c r="O4073" s="3" t="s">
        <v>297</v>
      </c>
    </row>
    <row r="4074" spans="1:15">
      <c r="A4074" s="3">
        <f t="shared" si="65"/>
        <v>4073</v>
      </c>
      <c r="B4074" s="65" t="s">
        <v>6103</v>
      </c>
      <c r="C4074" s="1">
        <v>6300312197</v>
      </c>
      <c r="E4074" s="17" t="s">
        <v>6099</v>
      </c>
      <c r="F4074" s="65" t="s">
        <v>2697</v>
      </c>
      <c r="G4074" s="3" t="s">
        <v>16</v>
      </c>
      <c r="H4074" s="3" t="s">
        <v>5774</v>
      </c>
      <c r="I4074" s="3" t="s">
        <v>42</v>
      </c>
      <c r="J4074" s="31">
        <v>45892</v>
      </c>
      <c r="K4074" s="31">
        <v>45904</v>
      </c>
      <c r="L4074" s="31">
        <v>45909</v>
      </c>
      <c r="M4074" s="31">
        <v>45916</v>
      </c>
      <c r="N4074" s="31">
        <v>45915</v>
      </c>
      <c r="O4074" s="3" t="s">
        <v>297</v>
      </c>
    </row>
    <row r="4075" spans="1:15">
      <c r="A4075" s="3">
        <f t="shared" si="65"/>
        <v>4074</v>
      </c>
      <c r="B4075" s="65" t="s">
        <v>6104</v>
      </c>
      <c r="C4075" s="1">
        <v>7906385610</v>
      </c>
      <c r="E4075" s="17" t="s">
        <v>6105</v>
      </c>
      <c r="F4075" s="65" t="s">
        <v>6106</v>
      </c>
      <c r="G4075" s="2" t="s">
        <v>424</v>
      </c>
      <c r="H4075" s="3" t="s">
        <v>6107</v>
      </c>
      <c r="I4075" s="3" t="s">
        <v>42</v>
      </c>
      <c r="J4075" s="31">
        <v>45894</v>
      </c>
      <c r="K4075" s="31">
        <v>45936</v>
      </c>
      <c r="O4075" s="2" t="s">
        <v>425</v>
      </c>
    </row>
    <row r="4076" spans="1:15">
      <c r="A4076" s="3">
        <f t="shared" si="65"/>
        <v>4075</v>
      </c>
      <c r="B4076" s="65" t="s">
        <v>6108</v>
      </c>
      <c r="C4076" s="1">
        <v>9582224491</v>
      </c>
      <c r="E4076" s="17" t="s">
        <v>6105</v>
      </c>
      <c r="F4076" s="65" t="s">
        <v>6109</v>
      </c>
      <c r="G4076" s="2" t="s">
        <v>424</v>
      </c>
      <c r="H4076" s="3" t="s">
        <v>6107</v>
      </c>
      <c r="I4076" s="3" t="s">
        <v>42</v>
      </c>
      <c r="J4076" s="31">
        <v>45894</v>
      </c>
      <c r="K4076" s="31">
        <v>45936</v>
      </c>
      <c r="O4076" s="2" t="s">
        <v>425</v>
      </c>
    </row>
    <row r="4077" spans="1:15">
      <c r="A4077" s="3">
        <f t="shared" si="65"/>
        <v>4076</v>
      </c>
      <c r="B4077" s="65" t="s">
        <v>6110</v>
      </c>
      <c r="C4077" s="1">
        <v>9772050509</v>
      </c>
      <c r="E4077" s="17" t="s">
        <v>6105</v>
      </c>
      <c r="F4077" s="65" t="s">
        <v>6111</v>
      </c>
      <c r="G4077" s="3" t="s">
        <v>424</v>
      </c>
      <c r="H4077" s="3" t="s">
        <v>6107</v>
      </c>
      <c r="I4077" s="3" t="s">
        <v>42</v>
      </c>
      <c r="J4077" s="31">
        <v>45894</v>
      </c>
      <c r="K4077" s="31">
        <v>45940</v>
      </c>
      <c r="O4077" s="3" t="s">
        <v>425</v>
      </c>
    </row>
    <row r="4078" spans="1:15">
      <c r="A4078" s="3">
        <f t="shared" si="65"/>
        <v>4077</v>
      </c>
      <c r="B4078" s="65" t="s">
        <v>6112</v>
      </c>
      <c r="C4078" s="1">
        <v>9919848024</v>
      </c>
      <c r="E4078" s="17" t="s">
        <v>5655</v>
      </c>
      <c r="F4078" s="65" t="s">
        <v>989</v>
      </c>
      <c r="G4078" s="3" t="s">
        <v>16</v>
      </c>
      <c r="H4078" s="3" t="s">
        <v>361</v>
      </c>
      <c r="I4078" s="3" t="s">
        <v>94</v>
      </c>
      <c r="J4078" s="31">
        <v>45894</v>
      </c>
      <c r="K4078" s="31">
        <v>45904</v>
      </c>
      <c r="L4078" s="31">
        <v>45911</v>
      </c>
      <c r="M4078" s="31">
        <v>45946</v>
      </c>
      <c r="N4078" s="31">
        <v>45946</v>
      </c>
      <c r="O4078" s="3" t="s">
        <v>297</v>
      </c>
    </row>
    <row r="4079" spans="1:15">
      <c r="A4079" s="3">
        <f t="shared" si="65"/>
        <v>4078</v>
      </c>
      <c r="B4079" s="65" t="s">
        <v>6113</v>
      </c>
      <c r="C4079" s="1">
        <v>8318624914</v>
      </c>
      <c r="D4079" s="1">
        <v>8081210000</v>
      </c>
      <c r="E4079" s="17" t="s">
        <v>6114</v>
      </c>
      <c r="F4079" s="65" t="s">
        <v>989</v>
      </c>
      <c r="G4079" s="3" t="s">
        <v>424</v>
      </c>
      <c r="H4079" s="3" t="s">
        <v>361</v>
      </c>
      <c r="I4079" s="3" t="s">
        <v>94</v>
      </c>
      <c r="J4079" s="31">
        <v>45894</v>
      </c>
      <c r="K4079" s="31">
        <v>45904</v>
      </c>
      <c r="O4079" s="3" t="s">
        <v>425</v>
      </c>
    </row>
    <row r="4080" spans="1:15">
      <c r="A4080" s="3">
        <f t="shared" si="65"/>
        <v>4079</v>
      </c>
      <c r="B4080" s="65" t="s">
        <v>6115</v>
      </c>
      <c r="C4080" s="1">
        <v>7317407766</v>
      </c>
      <c r="E4080" s="17" t="s">
        <v>6116</v>
      </c>
      <c r="F4080" s="65" t="s">
        <v>989</v>
      </c>
      <c r="G4080" s="3" t="s">
        <v>16</v>
      </c>
      <c r="H4080" s="3" t="s">
        <v>361</v>
      </c>
      <c r="I4080" s="3" t="s">
        <v>94</v>
      </c>
      <c r="J4080" s="31">
        <v>45894</v>
      </c>
      <c r="K4080" s="31">
        <v>45904</v>
      </c>
      <c r="L4080" s="31">
        <v>45909</v>
      </c>
      <c r="M4080" s="31">
        <v>45924</v>
      </c>
      <c r="N4080" s="31">
        <v>45924</v>
      </c>
      <c r="O4080" s="3" t="s">
        <v>297</v>
      </c>
    </row>
    <row r="4081" spans="1:15">
      <c r="A4081" s="3">
        <f t="shared" si="65"/>
        <v>4080</v>
      </c>
      <c r="B4081" s="65" t="s">
        <v>6117</v>
      </c>
      <c r="C4081" s="1">
        <v>7071900501</v>
      </c>
      <c r="E4081" s="17" t="s">
        <v>6116</v>
      </c>
      <c r="F4081" s="65" t="s">
        <v>989</v>
      </c>
      <c r="G4081" s="3" t="s">
        <v>424</v>
      </c>
      <c r="H4081" s="3" t="s">
        <v>361</v>
      </c>
      <c r="I4081" s="3" t="s">
        <v>94</v>
      </c>
      <c r="J4081" s="31">
        <v>45894</v>
      </c>
      <c r="K4081" s="31">
        <v>45904</v>
      </c>
      <c r="O4081" s="3" t="s">
        <v>425</v>
      </c>
    </row>
    <row r="4082" spans="1:15">
      <c r="A4082" s="3">
        <f t="shared" si="65"/>
        <v>4081</v>
      </c>
      <c r="B4082" s="65" t="s">
        <v>6118</v>
      </c>
      <c r="C4082" s="1">
        <v>9918566783</v>
      </c>
      <c r="E4082" s="17" t="s">
        <v>6119</v>
      </c>
      <c r="F4082" s="65" t="s">
        <v>6120</v>
      </c>
      <c r="G4082" s="3" t="s">
        <v>764</v>
      </c>
      <c r="H4082" s="3" t="s">
        <v>361</v>
      </c>
      <c r="I4082" s="3" t="s">
        <v>94</v>
      </c>
      <c r="J4082" s="31">
        <v>45894</v>
      </c>
      <c r="K4082" s="31">
        <v>45904</v>
      </c>
      <c r="O4082" s="3" t="s">
        <v>425</v>
      </c>
    </row>
    <row r="4083" spans="1:15">
      <c r="A4083" s="3">
        <f t="shared" si="65"/>
        <v>4082</v>
      </c>
      <c r="B4083" s="65" t="s">
        <v>6121</v>
      </c>
      <c r="C4083" s="1">
        <v>6200901173</v>
      </c>
      <c r="E4083" s="17" t="s">
        <v>6119</v>
      </c>
      <c r="F4083" s="65" t="s">
        <v>6120</v>
      </c>
      <c r="G4083" s="3" t="s">
        <v>16</v>
      </c>
      <c r="H4083" s="3" t="s">
        <v>361</v>
      </c>
      <c r="I4083" s="3" t="s">
        <v>94</v>
      </c>
      <c r="J4083" s="31">
        <v>45894</v>
      </c>
      <c r="K4083" s="31">
        <v>45904</v>
      </c>
      <c r="L4083" s="31">
        <v>45911</v>
      </c>
      <c r="M4083" s="31">
        <v>45946</v>
      </c>
      <c r="N4083" s="31">
        <v>45946</v>
      </c>
      <c r="O4083" s="3" t="s">
        <v>297</v>
      </c>
    </row>
    <row r="4084" spans="1:15">
      <c r="A4084" s="3">
        <f t="shared" si="65"/>
        <v>4083</v>
      </c>
      <c r="B4084" s="65" t="s">
        <v>6122</v>
      </c>
      <c r="C4084" s="1">
        <v>9693054872</v>
      </c>
      <c r="E4084" s="17" t="s">
        <v>5514</v>
      </c>
      <c r="F4084" s="65" t="s">
        <v>989</v>
      </c>
      <c r="G4084" s="3" t="s">
        <v>416</v>
      </c>
      <c r="H4084" s="3" t="s">
        <v>361</v>
      </c>
      <c r="I4084" s="3" t="s">
        <v>94</v>
      </c>
      <c r="J4084" s="31">
        <v>45894</v>
      </c>
      <c r="K4084" s="31">
        <v>45904</v>
      </c>
      <c r="O4084" s="3" t="s">
        <v>297</v>
      </c>
    </row>
    <row r="4085" spans="1:15">
      <c r="A4085" s="3">
        <f t="shared" si="65"/>
        <v>4084</v>
      </c>
      <c r="B4085" s="65" t="s">
        <v>881</v>
      </c>
      <c r="C4085" s="1">
        <v>8127435312</v>
      </c>
      <c r="E4085" s="17" t="s">
        <v>6114</v>
      </c>
      <c r="F4085" s="65" t="s">
        <v>989</v>
      </c>
      <c r="G4085" s="3" t="s">
        <v>16</v>
      </c>
      <c r="H4085" s="3" t="s">
        <v>361</v>
      </c>
      <c r="I4085" s="3" t="s">
        <v>94</v>
      </c>
      <c r="J4085" s="31">
        <v>45894</v>
      </c>
      <c r="K4085" s="31">
        <v>45904</v>
      </c>
      <c r="L4085" s="31">
        <v>45909</v>
      </c>
      <c r="M4085" s="31">
        <v>45924</v>
      </c>
      <c r="N4085" s="31">
        <v>45926</v>
      </c>
      <c r="O4085" s="3" t="s">
        <v>297</v>
      </c>
    </row>
    <row r="4086" spans="1:15">
      <c r="A4086" s="3">
        <f t="shared" si="65"/>
        <v>4085</v>
      </c>
      <c r="B4086" s="65" t="s">
        <v>6123</v>
      </c>
      <c r="C4086" s="1">
        <v>9672729825</v>
      </c>
      <c r="E4086" s="17" t="s">
        <v>4857</v>
      </c>
      <c r="F4086" s="65" t="s">
        <v>989</v>
      </c>
      <c r="G4086" s="3" t="s">
        <v>18</v>
      </c>
      <c r="H4086" s="3" t="s">
        <v>361</v>
      </c>
      <c r="I4086" s="3" t="s">
        <v>94</v>
      </c>
      <c r="J4086" s="31">
        <v>45894</v>
      </c>
      <c r="K4086" s="31">
        <v>45904</v>
      </c>
      <c r="O4086" s="3" t="s">
        <v>297</v>
      </c>
    </row>
    <row r="4087" spans="1:15">
      <c r="A4087" s="3">
        <f t="shared" si="65"/>
        <v>4086</v>
      </c>
      <c r="B4087" s="65" t="s">
        <v>6124</v>
      </c>
      <c r="C4087" s="1">
        <v>6202569885</v>
      </c>
      <c r="E4087" s="17" t="s">
        <v>5522</v>
      </c>
      <c r="F4087" s="65" t="s">
        <v>6120</v>
      </c>
      <c r="G4087" s="3" t="s">
        <v>16</v>
      </c>
      <c r="H4087" s="3" t="s">
        <v>361</v>
      </c>
      <c r="I4087" s="3" t="s">
        <v>94</v>
      </c>
      <c r="J4087" s="31">
        <v>45894</v>
      </c>
      <c r="K4087" s="31">
        <v>45904</v>
      </c>
      <c r="L4087" s="31">
        <v>45909</v>
      </c>
      <c r="M4087" s="31">
        <v>45924</v>
      </c>
      <c r="N4087" s="31">
        <v>45924</v>
      </c>
      <c r="O4087" s="3" t="s">
        <v>297</v>
      </c>
    </row>
    <row r="4088" spans="1:15">
      <c r="A4088" s="3">
        <f t="shared" si="65"/>
        <v>4087</v>
      </c>
      <c r="B4088" s="65" t="s">
        <v>6125</v>
      </c>
      <c r="C4088" s="1">
        <v>6397973394</v>
      </c>
      <c r="E4088" s="17" t="s">
        <v>5522</v>
      </c>
      <c r="F4088" s="65" t="s">
        <v>6120</v>
      </c>
      <c r="G4088" s="3" t="s">
        <v>416</v>
      </c>
      <c r="H4088" s="3" t="s">
        <v>361</v>
      </c>
      <c r="I4088" s="3" t="s">
        <v>94</v>
      </c>
      <c r="J4088" s="31">
        <v>45894</v>
      </c>
      <c r="K4088" s="31">
        <v>45904</v>
      </c>
      <c r="O4088" s="3" t="s">
        <v>297</v>
      </c>
    </row>
    <row r="4089" spans="1:15">
      <c r="A4089" s="3">
        <f t="shared" si="65"/>
        <v>4088</v>
      </c>
      <c r="B4089" s="65" t="s">
        <v>6126</v>
      </c>
      <c r="C4089" s="1">
        <v>7398829564</v>
      </c>
      <c r="E4089" s="17" t="s">
        <v>5653</v>
      </c>
      <c r="F4089" s="65" t="s">
        <v>989</v>
      </c>
      <c r="G4089" s="3" t="s">
        <v>16</v>
      </c>
      <c r="H4089" s="3" t="s">
        <v>361</v>
      </c>
      <c r="I4089" s="3" t="s">
        <v>94</v>
      </c>
      <c r="J4089" s="31">
        <v>45894</v>
      </c>
      <c r="K4089" s="31">
        <v>45925</v>
      </c>
      <c r="L4089" s="31">
        <v>45926</v>
      </c>
      <c r="M4089" s="31">
        <v>45941</v>
      </c>
      <c r="N4089" s="31">
        <v>45946</v>
      </c>
      <c r="O4089" s="3" t="s">
        <v>297</v>
      </c>
    </row>
    <row r="4090" spans="1:15">
      <c r="A4090" s="3">
        <f t="shared" si="65"/>
        <v>4089</v>
      </c>
      <c r="B4090" s="65" t="s">
        <v>4720</v>
      </c>
      <c r="C4090" s="1">
        <v>8709814937</v>
      </c>
      <c r="E4090" s="17" t="s">
        <v>5173</v>
      </c>
      <c r="F4090" s="65" t="s">
        <v>6127</v>
      </c>
      <c r="G4090" s="3" t="s">
        <v>764</v>
      </c>
      <c r="H4090" s="3" t="s">
        <v>3240</v>
      </c>
      <c r="I4090" s="3" t="s">
        <v>42</v>
      </c>
      <c r="J4090" s="31">
        <v>45894</v>
      </c>
      <c r="K4090" s="31">
        <v>45954</v>
      </c>
      <c r="O4090" s="3" t="s">
        <v>425</v>
      </c>
    </row>
    <row r="4091" spans="1:15">
      <c r="A4091" s="3">
        <f t="shared" si="65"/>
        <v>4090</v>
      </c>
      <c r="B4091" s="65" t="s">
        <v>6128</v>
      </c>
      <c r="C4091" s="1">
        <v>9550819064</v>
      </c>
      <c r="E4091" s="17" t="s">
        <v>5173</v>
      </c>
      <c r="F4091" s="65" t="s">
        <v>303</v>
      </c>
      <c r="G4091" s="3" t="s">
        <v>16</v>
      </c>
      <c r="H4091" s="3" t="s">
        <v>3240</v>
      </c>
      <c r="I4091" s="3" t="s">
        <v>42</v>
      </c>
      <c r="J4091" s="31">
        <v>45894</v>
      </c>
      <c r="K4091" s="31">
        <v>45897</v>
      </c>
      <c r="L4091" s="31">
        <v>45917</v>
      </c>
      <c r="M4091" s="31">
        <v>45924</v>
      </c>
      <c r="N4091" s="31">
        <v>45923</v>
      </c>
      <c r="O4091" s="3" t="s">
        <v>297</v>
      </c>
    </row>
    <row r="4092" spans="1:15">
      <c r="A4092" s="3">
        <f t="shared" si="65"/>
        <v>4091</v>
      </c>
      <c r="B4092" s="65" t="s">
        <v>6129</v>
      </c>
      <c r="C4092" s="1">
        <v>9931482904</v>
      </c>
      <c r="E4092" s="17" t="s">
        <v>5173</v>
      </c>
      <c r="F4092" s="65" t="s">
        <v>6130</v>
      </c>
      <c r="G4092" s="3" t="s">
        <v>424</v>
      </c>
      <c r="H4092" s="3" t="s">
        <v>3240</v>
      </c>
      <c r="I4092" s="3" t="s">
        <v>42</v>
      </c>
      <c r="J4092" s="31">
        <v>45894</v>
      </c>
      <c r="K4092" s="31">
        <v>45897</v>
      </c>
      <c r="O4092" s="3" t="s">
        <v>425</v>
      </c>
    </row>
    <row r="4093" spans="1:15">
      <c r="A4093" s="3">
        <f t="shared" si="65"/>
        <v>4092</v>
      </c>
      <c r="B4093" s="65" t="s">
        <v>6131</v>
      </c>
      <c r="C4093" s="1">
        <v>8381809511</v>
      </c>
      <c r="D4093" s="1">
        <v>7678978390</v>
      </c>
      <c r="E4093" s="17" t="s">
        <v>5173</v>
      </c>
      <c r="F4093" s="65" t="s">
        <v>1011</v>
      </c>
      <c r="G4093" s="3" t="s">
        <v>16</v>
      </c>
      <c r="H4093" s="3" t="s">
        <v>3240</v>
      </c>
      <c r="I4093" s="3" t="s">
        <v>42</v>
      </c>
      <c r="J4093" s="31">
        <v>45894</v>
      </c>
      <c r="K4093" s="31">
        <v>45897</v>
      </c>
      <c r="L4093" s="31">
        <v>45917</v>
      </c>
      <c r="M4093" s="31">
        <v>45968</v>
      </c>
      <c r="N4093" s="31">
        <v>45968</v>
      </c>
      <c r="O4093" s="3" t="s">
        <v>297</v>
      </c>
    </row>
    <row r="4094" spans="1:15">
      <c r="A4094" s="3">
        <f t="shared" si="65"/>
        <v>4093</v>
      </c>
      <c r="B4094" s="65" t="s">
        <v>6132</v>
      </c>
      <c r="C4094" s="1">
        <v>7849075287</v>
      </c>
      <c r="E4094" s="17" t="s">
        <v>5173</v>
      </c>
      <c r="F4094" s="65"/>
      <c r="G4094" s="3" t="s">
        <v>16</v>
      </c>
      <c r="H4094" s="3" t="s">
        <v>3240</v>
      </c>
      <c r="I4094" s="3" t="s">
        <v>42</v>
      </c>
      <c r="J4094" s="31">
        <v>45894</v>
      </c>
      <c r="K4094" s="31">
        <v>45897</v>
      </c>
      <c r="L4094" s="31">
        <v>45909</v>
      </c>
      <c r="M4094" s="31">
        <v>45924</v>
      </c>
      <c r="N4094" s="31">
        <v>45917</v>
      </c>
      <c r="O4094" s="3" t="s">
        <v>297</v>
      </c>
    </row>
    <row r="4095" spans="1:15">
      <c r="A4095" s="3">
        <f t="shared" si="65"/>
        <v>4094</v>
      </c>
      <c r="B4095" s="65" t="s">
        <v>6133</v>
      </c>
      <c r="C4095" s="1">
        <v>9591890727</v>
      </c>
      <c r="E4095" s="17" t="s">
        <v>6134</v>
      </c>
      <c r="F4095" s="65" t="s">
        <v>142</v>
      </c>
      <c r="G4095" s="3" t="s">
        <v>16</v>
      </c>
      <c r="H4095" s="3" t="s">
        <v>94</v>
      </c>
      <c r="I4095" s="3" t="s">
        <v>94</v>
      </c>
      <c r="J4095" s="31">
        <v>45895</v>
      </c>
      <c r="K4095" s="31">
        <v>45895</v>
      </c>
      <c r="L4095" s="31">
        <v>45897</v>
      </c>
      <c r="M4095" s="31">
        <v>45918</v>
      </c>
      <c r="N4095" s="31">
        <v>45915</v>
      </c>
      <c r="O4095" s="3" t="s">
        <v>297</v>
      </c>
    </row>
    <row r="4096" spans="1:15">
      <c r="A4096" s="3">
        <f t="shared" si="65"/>
        <v>4095</v>
      </c>
      <c r="B4096" s="65" t="s">
        <v>6135</v>
      </c>
      <c r="C4096" s="1">
        <v>7985671729</v>
      </c>
      <c r="E4096" s="17" t="s">
        <v>6136</v>
      </c>
      <c r="F4096" s="65" t="s">
        <v>6137</v>
      </c>
      <c r="G4096" s="3" t="s">
        <v>16</v>
      </c>
      <c r="H4096" s="3" t="s">
        <v>94</v>
      </c>
      <c r="I4096" s="3" t="s">
        <v>94</v>
      </c>
      <c r="J4096" s="31">
        <v>45895</v>
      </c>
      <c r="K4096" s="31">
        <v>45895</v>
      </c>
      <c r="L4096" s="31">
        <v>45897</v>
      </c>
      <c r="M4096" s="31">
        <v>45918</v>
      </c>
      <c r="N4096" s="31">
        <v>45915</v>
      </c>
      <c r="O4096" s="3" t="s">
        <v>297</v>
      </c>
    </row>
    <row r="4097" spans="1:15">
      <c r="A4097" s="3">
        <f t="shared" si="65"/>
        <v>4096</v>
      </c>
      <c r="B4097" s="65" t="s">
        <v>6138</v>
      </c>
      <c r="C4097" s="1">
        <v>9390802077</v>
      </c>
      <c r="E4097" s="17" t="s">
        <v>6139</v>
      </c>
      <c r="F4097" s="65" t="s">
        <v>6137</v>
      </c>
      <c r="G4097" s="3" t="s">
        <v>16</v>
      </c>
      <c r="H4097" s="3" t="s">
        <v>94</v>
      </c>
      <c r="I4097" s="3" t="s">
        <v>94</v>
      </c>
      <c r="J4097" s="31">
        <v>45895</v>
      </c>
      <c r="K4097" s="31">
        <v>45895</v>
      </c>
      <c r="L4097" s="31">
        <v>45897</v>
      </c>
      <c r="M4097" s="31">
        <v>45918</v>
      </c>
      <c r="N4097" s="31">
        <v>45918</v>
      </c>
      <c r="O4097" s="3" t="s">
        <v>297</v>
      </c>
    </row>
    <row r="4098" spans="1:15">
      <c r="A4098" s="3">
        <f t="shared" si="65"/>
        <v>4097</v>
      </c>
      <c r="B4098" s="65" t="s">
        <v>6140</v>
      </c>
      <c r="C4098" s="1">
        <v>9098924372</v>
      </c>
      <c r="E4098" s="17" t="s">
        <v>6025</v>
      </c>
      <c r="F4098" s="65" t="s">
        <v>308</v>
      </c>
      <c r="G4098" s="3" t="s">
        <v>424</v>
      </c>
      <c r="H4098" s="3" t="s">
        <v>1096</v>
      </c>
      <c r="I4098" s="3" t="s">
        <v>94</v>
      </c>
      <c r="J4098" s="31">
        <v>45895</v>
      </c>
      <c r="K4098" s="31">
        <v>45899</v>
      </c>
      <c r="O4098" s="3" t="s">
        <v>425</v>
      </c>
    </row>
    <row r="4099" spans="1:15">
      <c r="A4099" s="3">
        <f t="shared" si="65"/>
        <v>4098</v>
      </c>
      <c r="B4099" s="65" t="s">
        <v>6141</v>
      </c>
      <c r="C4099" s="1">
        <v>8917234103</v>
      </c>
      <c r="E4099" s="17" t="s">
        <v>6025</v>
      </c>
      <c r="F4099" s="65" t="s">
        <v>308</v>
      </c>
      <c r="G4099" s="3" t="s">
        <v>16</v>
      </c>
      <c r="H4099" s="3" t="s">
        <v>1096</v>
      </c>
      <c r="I4099" s="3" t="s">
        <v>94</v>
      </c>
      <c r="J4099" s="31">
        <v>45895</v>
      </c>
      <c r="K4099" s="31">
        <v>45899</v>
      </c>
      <c r="L4099" s="31">
        <v>45909</v>
      </c>
      <c r="M4099" s="31">
        <v>45929</v>
      </c>
      <c r="N4099" s="31">
        <v>45923</v>
      </c>
      <c r="O4099" s="3" t="s">
        <v>297</v>
      </c>
    </row>
    <row r="4100" spans="1:15">
      <c r="A4100" s="3">
        <f t="shared" si="65"/>
        <v>4099</v>
      </c>
      <c r="B4100" s="65" t="s">
        <v>6142</v>
      </c>
      <c r="C4100" s="1">
        <v>8500886090</v>
      </c>
      <c r="E4100" s="17" t="s">
        <v>6019</v>
      </c>
      <c r="F4100" s="65" t="s">
        <v>333</v>
      </c>
      <c r="G4100" s="3" t="s">
        <v>16</v>
      </c>
      <c r="H4100" s="3" t="s">
        <v>1096</v>
      </c>
      <c r="I4100" s="3" t="s">
        <v>94</v>
      </c>
      <c r="J4100" s="31">
        <v>45895</v>
      </c>
      <c r="K4100" s="31">
        <v>45899</v>
      </c>
      <c r="L4100" s="31">
        <v>45909</v>
      </c>
      <c r="M4100" s="31">
        <v>45939</v>
      </c>
      <c r="N4100" s="31">
        <v>45958</v>
      </c>
      <c r="O4100" s="3" t="s">
        <v>297</v>
      </c>
    </row>
    <row r="4101" spans="1:15">
      <c r="A4101" s="3">
        <f t="shared" si="65"/>
        <v>4100</v>
      </c>
      <c r="B4101" s="65" t="s">
        <v>6143</v>
      </c>
      <c r="C4101" s="1">
        <v>9389741893</v>
      </c>
      <c r="E4101" s="17" t="s">
        <v>6025</v>
      </c>
      <c r="F4101" s="65" t="s">
        <v>308</v>
      </c>
      <c r="G4101" s="3" t="s">
        <v>416</v>
      </c>
      <c r="H4101" s="3" t="s">
        <v>1096</v>
      </c>
      <c r="I4101" s="3" t="s">
        <v>94</v>
      </c>
      <c r="J4101" s="31">
        <v>45895</v>
      </c>
      <c r="K4101" s="31">
        <v>45899</v>
      </c>
      <c r="O4101" s="3" t="s">
        <v>297</v>
      </c>
    </row>
    <row r="4102" spans="1:15">
      <c r="A4102" s="3">
        <f t="shared" si="65"/>
        <v>4101</v>
      </c>
      <c r="B4102" s="65" t="s">
        <v>493</v>
      </c>
      <c r="C4102" s="1">
        <v>9508802296</v>
      </c>
      <c r="E4102" s="17" t="s">
        <v>6144</v>
      </c>
      <c r="F4102" s="65" t="s">
        <v>6145</v>
      </c>
      <c r="G4102" s="3" t="s">
        <v>16</v>
      </c>
      <c r="H4102" s="3" t="s">
        <v>815</v>
      </c>
      <c r="I4102" s="3" t="s">
        <v>88</v>
      </c>
      <c r="J4102" s="31">
        <v>45897</v>
      </c>
      <c r="K4102" s="31">
        <v>45903</v>
      </c>
      <c r="L4102" s="31">
        <v>45911</v>
      </c>
      <c r="M4102" s="31">
        <v>45941</v>
      </c>
      <c r="N4102" s="31">
        <v>45938</v>
      </c>
      <c r="O4102" s="3" t="s">
        <v>297</v>
      </c>
    </row>
    <row r="4103" spans="1:15">
      <c r="A4103" s="3">
        <f t="shared" si="65"/>
        <v>4102</v>
      </c>
      <c r="B4103" s="65" t="s">
        <v>549</v>
      </c>
      <c r="C4103" s="1">
        <v>8207670746</v>
      </c>
      <c r="E4103" s="17" t="s">
        <v>6144</v>
      </c>
      <c r="F4103" s="65" t="s">
        <v>6146</v>
      </c>
      <c r="G4103" s="3" t="s">
        <v>16</v>
      </c>
      <c r="H4103" s="3" t="s">
        <v>815</v>
      </c>
      <c r="I4103" s="3" t="s">
        <v>88</v>
      </c>
      <c r="J4103" s="31">
        <v>45897</v>
      </c>
      <c r="K4103" s="31">
        <v>45903</v>
      </c>
      <c r="L4103" s="31">
        <v>45911</v>
      </c>
      <c r="M4103" s="31">
        <v>45941</v>
      </c>
      <c r="N4103" s="31">
        <v>45938</v>
      </c>
      <c r="O4103" s="3" t="s">
        <v>297</v>
      </c>
    </row>
    <row r="4104" spans="1:15">
      <c r="A4104" s="3">
        <f t="shared" si="65"/>
        <v>4103</v>
      </c>
      <c r="B4104" s="65" t="s">
        <v>6147</v>
      </c>
      <c r="C4104" s="1">
        <v>6388511894</v>
      </c>
      <c r="E4104" s="17" t="s">
        <v>6144</v>
      </c>
      <c r="F4104" s="65" t="s">
        <v>6148</v>
      </c>
      <c r="G4104" s="3" t="s">
        <v>416</v>
      </c>
      <c r="H4104" s="3" t="s">
        <v>815</v>
      </c>
      <c r="I4104" s="3" t="s">
        <v>88</v>
      </c>
      <c r="J4104" s="31">
        <v>45897</v>
      </c>
      <c r="K4104" s="31">
        <v>45898</v>
      </c>
      <c r="O4104" s="3" t="s">
        <v>297</v>
      </c>
    </row>
    <row r="4105" spans="1:15">
      <c r="A4105" s="3">
        <f t="shared" si="65"/>
        <v>4104</v>
      </c>
      <c r="B4105" s="65" t="s">
        <v>6149</v>
      </c>
      <c r="C4105" s="1">
        <v>9000743086</v>
      </c>
      <c r="E4105" s="17" t="s">
        <v>2821</v>
      </c>
      <c r="F4105" s="65" t="s">
        <v>6150</v>
      </c>
      <c r="G4105" s="3" t="s">
        <v>330</v>
      </c>
      <c r="H4105" s="3" t="s">
        <v>679</v>
      </c>
      <c r="I4105" s="3" t="s">
        <v>42</v>
      </c>
      <c r="J4105" s="31">
        <v>45897</v>
      </c>
      <c r="K4105" s="31">
        <v>45901</v>
      </c>
      <c r="L4105" s="31">
        <v>45902</v>
      </c>
      <c r="M4105" s="31">
        <v>45912</v>
      </c>
      <c r="N4105" s="31">
        <v>45910</v>
      </c>
      <c r="O4105" s="3" t="s">
        <v>297</v>
      </c>
    </row>
    <row r="4106" spans="1:15">
      <c r="A4106" s="3">
        <f t="shared" si="65"/>
        <v>4105</v>
      </c>
      <c r="B4106" s="65" t="s">
        <v>6151</v>
      </c>
      <c r="C4106" s="1">
        <v>8985621682</v>
      </c>
      <c r="E4106" s="17" t="s">
        <v>5195</v>
      </c>
      <c r="F4106" s="65" t="s">
        <v>5196</v>
      </c>
      <c r="G4106" s="3" t="s">
        <v>16</v>
      </c>
      <c r="H4106" s="3" t="s">
        <v>788</v>
      </c>
      <c r="I4106" s="3" t="s">
        <v>88</v>
      </c>
      <c r="J4106" s="31">
        <v>45897</v>
      </c>
      <c r="K4106" s="31">
        <v>45897</v>
      </c>
      <c r="L4106" s="31">
        <v>45908</v>
      </c>
      <c r="M4106" s="31">
        <v>45934</v>
      </c>
      <c r="N4106" s="31">
        <v>45934</v>
      </c>
      <c r="O4106" s="3" t="s">
        <v>297</v>
      </c>
    </row>
    <row r="4107" spans="1:15">
      <c r="A4107" s="3">
        <f t="shared" si="65"/>
        <v>4106</v>
      </c>
      <c r="B4107" s="65" t="s">
        <v>6152</v>
      </c>
      <c r="C4107" s="1">
        <v>9142329552</v>
      </c>
      <c r="E4107" s="17" t="s">
        <v>6153</v>
      </c>
      <c r="F4107" s="65"/>
      <c r="G4107" s="3" t="s">
        <v>295</v>
      </c>
      <c r="H4107" s="3" t="s">
        <v>815</v>
      </c>
      <c r="I4107" s="3" t="s">
        <v>94</v>
      </c>
      <c r="J4107" s="31">
        <v>45895</v>
      </c>
      <c r="K4107" s="31">
        <v>45895</v>
      </c>
      <c r="L4107" s="31">
        <v>45897</v>
      </c>
      <c r="M4107" s="31">
        <v>45918</v>
      </c>
      <c r="O4107" s="3" t="s">
        <v>297</v>
      </c>
    </row>
    <row r="4108" spans="1:15">
      <c r="A4108" s="3">
        <f t="shared" si="65"/>
        <v>4107</v>
      </c>
      <c r="B4108" s="65" t="s">
        <v>6154</v>
      </c>
      <c r="C4108" s="1">
        <v>8286821980</v>
      </c>
      <c r="E4108" s="17" t="s">
        <v>5532</v>
      </c>
      <c r="F4108" s="65"/>
      <c r="G4108" s="3" t="s">
        <v>16</v>
      </c>
      <c r="H4108" s="3" t="s">
        <v>815</v>
      </c>
      <c r="I4108" s="3" t="s">
        <v>94</v>
      </c>
      <c r="J4108" s="31">
        <v>45895</v>
      </c>
      <c r="K4108" s="31">
        <v>45895</v>
      </c>
      <c r="L4108" s="31">
        <v>45897</v>
      </c>
      <c r="M4108" s="31">
        <v>45929</v>
      </c>
      <c r="N4108" s="31">
        <v>45929</v>
      </c>
      <c r="O4108" s="3" t="s">
        <v>297</v>
      </c>
    </row>
    <row r="4109" spans="1:15">
      <c r="A4109" s="3">
        <f t="shared" si="65"/>
        <v>4108</v>
      </c>
      <c r="B4109" s="65" t="s">
        <v>6155</v>
      </c>
      <c r="C4109" s="1">
        <v>9398631191</v>
      </c>
      <c r="E4109" s="17" t="s">
        <v>3226</v>
      </c>
      <c r="F4109" s="65" t="s">
        <v>5408</v>
      </c>
      <c r="G4109" s="3" t="s">
        <v>16</v>
      </c>
      <c r="H4109" s="3" t="s">
        <v>2425</v>
      </c>
      <c r="I4109" s="3" t="s">
        <v>42</v>
      </c>
      <c r="J4109" s="31">
        <v>45897</v>
      </c>
      <c r="K4109" s="31">
        <v>45897</v>
      </c>
      <c r="L4109" s="31">
        <v>45903</v>
      </c>
      <c r="M4109" s="31">
        <v>45908</v>
      </c>
      <c r="N4109" s="31">
        <v>45904</v>
      </c>
      <c r="O4109" s="3" t="s">
        <v>297</v>
      </c>
    </row>
    <row r="4110" spans="1:15">
      <c r="A4110" s="3">
        <f t="shared" si="65"/>
        <v>4109</v>
      </c>
      <c r="B4110" s="65" t="s">
        <v>6156</v>
      </c>
      <c r="C4110" s="1">
        <v>9963364223</v>
      </c>
      <c r="E4110" s="17" t="s">
        <v>6099</v>
      </c>
      <c r="F4110" s="65" t="s">
        <v>6157</v>
      </c>
      <c r="G4110" s="3" t="s">
        <v>1175</v>
      </c>
      <c r="H4110" s="3" t="s">
        <v>6158</v>
      </c>
      <c r="I4110" s="3" t="s">
        <v>42</v>
      </c>
      <c r="J4110" s="31">
        <v>45897</v>
      </c>
      <c r="K4110" s="31"/>
      <c r="L4110" s="31"/>
      <c r="M4110" s="31"/>
      <c r="O4110" s="3" t="s">
        <v>1004</v>
      </c>
    </row>
    <row r="4111" spans="1:15">
      <c r="A4111" s="3">
        <f t="shared" si="65"/>
        <v>4110</v>
      </c>
      <c r="B4111" s="65" t="s">
        <v>6159</v>
      </c>
      <c r="C4111" s="1">
        <v>8179556210</v>
      </c>
      <c r="E4111" s="17" t="s">
        <v>6099</v>
      </c>
      <c r="F4111" s="65" t="s">
        <v>6160</v>
      </c>
      <c r="G4111" s="3" t="s">
        <v>1175</v>
      </c>
      <c r="H4111" s="3" t="s">
        <v>6158</v>
      </c>
      <c r="I4111" s="3" t="s">
        <v>42</v>
      </c>
      <c r="J4111" s="31">
        <v>45897</v>
      </c>
      <c r="K4111" s="31"/>
      <c r="L4111" s="31"/>
      <c r="M4111" s="31"/>
      <c r="O4111" s="3" t="s">
        <v>1004</v>
      </c>
    </row>
    <row r="4112" spans="1:15">
      <c r="A4112" s="3">
        <f t="shared" si="65"/>
        <v>4111</v>
      </c>
      <c r="B4112" s="65" t="s">
        <v>6161</v>
      </c>
      <c r="C4112" s="1">
        <v>8094093836</v>
      </c>
      <c r="E4112" s="17" t="s">
        <v>5701</v>
      </c>
      <c r="F4112" s="65" t="s">
        <v>308</v>
      </c>
      <c r="G4112" s="3" t="s">
        <v>295</v>
      </c>
      <c r="H4112" s="3" t="s">
        <v>1096</v>
      </c>
      <c r="I4112" s="3" t="s">
        <v>94</v>
      </c>
      <c r="J4112" s="31">
        <v>45898</v>
      </c>
      <c r="K4112" s="31">
        <v>45899</v>
      </c>
      <c r="L4112" s="31">
        <v>45909</v>
      </c>
      <c r="M4112" s="31">
        <v>45939</v>
      </c>
      <c r="O4112" s="3" t="s">
        <v>297</v>
      </c>
    </row>
    <row r="4113" spans="1:15">
      <c r="A4113" s="3">
        <f t="shared" si="65"/>
        <v>4112</v>
      </c>
      <c r="B4113" s="65" t="s">
        <v>363</v>
      </c>
      <c r="C4113" s="1">
        <v>7571074290</v>
      </c>
      <c r="D4113" s="1">
        <v>8423247323</v>
      </c>
      <c r="E4113" s="17" t="s">
        <v>5701</v>
      </c>
      <c r="F4113" s="65" t="s">
        <v>1999</v>
      </c>
      <c r="G4113" s="3" t="s">
        <v>16</v>
      </c>
      <c r="H4113" s="3" t="s">
        <v>1096</v>
      </c>
      <c r="I4113" s="3" t="s">
        <v>94</v>
      </c>
      <c r="J4113" s="31">
        <v>45898</v>
      </c>
      <c r="K4113" s="31">
        <v>45899</v>
      </c>
      <c r="L4113" s="31">
        <v>45909</v>
      </c>
      <c r="M4113" s="31">
        <v>45939</v>
      </c>
      <c r="N4113" s="31">
        <v>45934</v>
      </c>
      <c r="O4113" s="3" t="s">
        <v>297</v>
      </c>
    </row>
    <row r="4114" spans="1:15">
      <c r="A4114" s="3">
        <f t="shared" si="65"/>
        <v>4113</v>
      </c>
      <c r="B4114" s="65" t="s">
        <v>6162</v>
      </c>
      <c r="C4114" s="1">
        <v>9473158707</v>
      </c>
      <c r="E4114" s="17" t="s">
        <v>1608</v>
      </c>
      <c r="F4114" s="65" t="s">
        <v>379</v>
      </c>
      <c r="G4114" s="3" t="s">
        <v>416</v>
      </c>
      <c r="H4114" s="3" t="s">
        <v>1096</v>
      </c>
      <c r="I4114" s="3" t="s">
        <v>94</v>
      </c>
      <c r="J4114" s="31">
        <v>45898</v>
      </c>
      <c r="K4114" s="31">
        <v>45899</v>
      </c>
      <c r="L4114" s="31"/>
      <c r="M4114" s="31"/>
      <c r="O4114" s="3" t="s">
        <v>297</v>
      </c>
    </row>
    <row r="4115" spans="1:15">
      <c r="A4115" s="3">
        <f t="shared" si="65"/>
        <v>4114</v>
      </c>
      <c r="B4115" s="65" t="s">
        <v>6163</v>
      </c>
      <c r="C4115" s="1">
        <v>8210415955</v>
      </c>
      <c r="E4115" s="17" t="s">
        <v>6164</v>
      </c>
      <c r="F4115" s="65" t="s">
        <v>278</v>
      </c>
      <c r="G4115" s="3" t="s">
        <v>424</v>
      </c>
      <c r="H4115" s="3" t="s">
        <v>296</v>
      </c>
      <c r="I4115" s="3" t="s">
        <v>94</v>
      </c>
      <c r="J4115" s="31">
        <v>45898</v>
      </c>
      <c r="K4115" s="31">
        <v>45901</v>
      </c>
      <c r="O4115" s="3" t="s">
        <v>425</v>
      </c>
    </row>
    <row r="4116" spans="1:15">
      <c r="A4116" s="3">
        <f t="shared" si="65"/>
        <v>4115</v>
      </c>
      <c r="B4116" s="65" t="s">
        <v>6165</v>
      </c>
      <c r="C4116" s="1">
        <v>7004981602</v>
      </c>
      <c r="E4116" s="17" t="s">
        <v>6164</v>
      </c>
      <c r="F4116" s="65" t="s">
        <v>6166</v>
      </c>
      <c r="G4116" s="3" t="s">
        <v>18</v>
      </c>
      <c r="H4116" s="3" t="s">
        <v>296</v>
      </c>
      <c r="I4116" s="3" t="s">
        <v>94</v>
      </c>
      <c r="J4116" s="31">
        <v>45898</v>
      </c>
      <c r="K4116" s="31"/>
      <c r="O4116" s="3" t="s">
        <v>297</v>
      </c>
    </row>
    <row r="4117" spans="1:15">
      <c r="A4117" s="3">
        <f t="shared" si="65"/>
        <v>4116</v>
      </c>
      <c r="B4117" s="65" t="s">
        <v>6167</v>
      </c>
      <c r="C4117" s="1">
        <v>9347225699</v>
      </c>
      <c r="E4117" s="17" t="s">
        <v>2084</v>
      </c>
      <c r="F4117" s="65"/>
      <c r="G4117" s="3" t="s">
        <v>16</v>
      </c>
      <c r="H4117" s="3" t="s">
        <v>999</v>
      </c>
      <c r="I4117" s="3" t="s">
        <v>88</v>
      </c>
      <c r="J4117" s="31">
        <v>45895</v>
      </c>
      <c r="K4117" s="31">
        <v>45896</v>
      </c>
      <c r="L4117" s="31">
        <v>45898</v>
      </c>
      <c r="M4117" s="31">
        <v>45929</v>
      </c>
      <c r="N4117" s="31">
        <v>45929</v>
      </c>
      <c r="O4117" s="3" t="s">
        <v>297</v>
      </c>
    </row>
    <row r="4118" spans="1:15">
      <c r="A4118" s="3">
        <f t="shared" si="65"/>
        <v>4117</v>
      </c>
      <c r="B4118" s="65" t="s">
        <v>6168</v>
      </c>
      <c r="C4118" s="1">
        <v>9392425310</v>
      </c>
      <c r="E4118" s="17" t="s">
        <v>2084</v>
      </c>
      <c r="F4118" s="65"/>
      <c r="G4118" s="3" t="s">
        <v>16</v>
      </c>
      <c r="H4118" s="3" t="s">
        <v>999</v>
      </c>
      <c r="I4118" s="3" t="s">
        <v>88</v>
      </c>
      <c r="J4118" s="31">
        <v>45895</v>
      </c>
      <c r="K4118" s="31">
        <v>45896</v>
      </c>
      <c r="L4118" s="31">
        <v>45898</v>
      </c>
      <c r="M4118" s="31">
        <v>45929</v>
      </c>
      <c r="N4118" s="31">
        <v>45929</v>
      </c>
      <c r="O4118" s="3" t="s">
        <v>297</v>
      </c>
    </row>
    <row r="4119" spans="1:15">
      <c r="A4119" s="3">
        <f t="shared" si="65"/>
        <v>4118</v>
      </c>
      <c r="B4119" s="65" t="s">
        <v>6169</v>
      </c>
      <c r="C4119" s="1">
        <v>7396962732</v>
      </c>
      <c r="E4119" s="17" t="s">
        <v>2084</v>
      </c>
      <c r="F4119" s="65"/>
      <c r="G4119" s="3" t="s">
        <v>295</v>
      </c>
      <c r="H4119" s="3" t="s">
        <v>999</v>
      </c>
      <c r="I4119" s="3" t="s">
        <v>88</v>
      </c>
      <c r="J4119" s="31">
        <v>45895</v>
      </c>
      <c r="K4119" s="31">
        <v>45896</v>
      </c>
      <c r="L4119" s="31">
        <v>45898</v>
      </c>
      <c r="M4119" s="31">
        <v>45929</v>
      </c>
      <c r="O4119" s="3" t="s">
        <v>297</v>
      </c>
    </row>
    <row r="4120" spans="1:15">
      <c r="A4120" s="3">
        <f t="shared" si="65"/>
        <v>4119</v>
      </c>
      <c r="B4120" s="65" t="s">
        <v>6170</v>
      </c>
      <c r="C4120" s="1">
        <v>9989988710</v>
      </c>
      <c r="E4120" s="17" t="s">
        <v>6171</v>
      </c>
      <c r="F4120" s="65"/>
      <c r="G4120" s="3" t="s">
        <v>16</v>
      </c>
      <c r="H4120" s="3" t="s">
        <v>999</v>
      </c>
      <c r="I4120" s="3" t="s">
        <v>88</v>
      </c>
      <c r="J4120" s="31">
        <v>45894</v>
      </c>
      <c r="K4120" s="31">
        <v>45895</v>
      </c>
      <c r="L4120" s="31">
        <v>45898</v>
      </c>
      <c r="M4120" s="31">
        <v>45929</v>
      </c>
      <c r="N4120" s="31">
        <v>45929</v>
      </c>
      <c r="O4120" s="3" t="s">
        <v>297</v>
      </c>
    </row>
    <row r="4121" spans="1:15">
      <c r="A4121" s="3">
        <f t="shared" si="65"/>
        <v>4120</v>
      </c>
      <c r="B4121" s="65" t="s">
        <v>6172</v>
      </c>
      <c r="C4121" s="1">
        <v>8083920104</v>
      </c>
      <c r="D4121" s="1">
        <v>7492000000</v>
      </c>
      <c r="E4121" s="17" t="s">
        <v>6173</v>
      </c>
      <c r="F4121" s="65"/>
      <c r="G4121" s="3" t="s">
        <v>295</v>
      </c>
      <c r="H4121" s="2" t="s">
        <v>4201</v>
      </c>
      <c r="I4121" s="3" t="s">
        <v>88</v>
      </c>
      <c r="J4121" s="31">
        <v>45894</v>
      </c>
      <c r="K4121" s="31">
        <v>45895</v>
      </c>
      <c r="L4121" s="31">
        <v>45898</v>
      </c>
      <c r="M4121" s="31">
        <v>45929</v>
      </c>
      <c r="O4121" s="3" t="s">
        <v>297</v>
      </c>
    </row>
    <row r="4122" spans="1:15">
      <c r="A4122" s="3">
        <f t="shared" si="65"/>
        <v>4121</v>
      </c>
      <c r="B4122" s="65" t="s">
        <v>6174</v>
      </c>
      <c r="C4122" s="1">
        <v>7999920435</v>
      </c>
      <c r="E4122" s="17" t="s">
        <v>6175</v>
      </c>
      <c r="F4122" s="65"/>
      <c r="G4122" s="3" t="s">
        <v>295</v>
      </c>
      <c r="H4122" s="2" t="s">
        <v>4201</v>
      </c>
      <c r="I4122" s="3" t="s">
        <v>88</v>
      </c>
      <c r="J4122" s="31">
        <v>45894</v>
      </c>
      <c r="K4122" s="31">
        <v>45895</v>
      </c>
      <c r="L4122" s="31">
        <v>45898</v>
      </c>
      <c r="M4122" s="31">
        <v>45929</v>
      </c>
      <c r="O4122" s="3" t="s">
        <v>297</v>
      </c>
    </row>
    <row r="4123" spans="1:15">
      <c r="A4123" s="3">
        <f t="shared" si="65"/>
        <v>4122</v>
      </c>
      <c r="B4123" s="65" t="s">
        <v>363</v>
      </c>
      <c r="C4123" s="1">
        <v>8295705251</v>
      </c>
      <c r="E4123" s="17" t="s">
        <v>4691</v>
      </c>
      <c r="F4123" s="65" t="s">
        <v>6176</v>
      </c>
      <c r="G4123" s="2" t="s">
        <v>424</v>
      </c>
      <c r="H4123" s="2" t="s">
        <v>4693</v>
      </c>
      <c r="I4123" s="3" t="s">
        <v>42</v>
      </c>
      <c r="J4123" s="31">
        <v>45901</v>
      </c>
      <c r="K4123" s="31">
        <v>45936</v>
      </c>
      <c r="L4123" s="31"/>
      <c r="M4123" s="31"/>
      <c r="O4123" s="2" t="s">
        <v>425</v>
      </c>
    </row>
    <row r="4124" spans="1:15">
      <c r="A4124" s="3">
        <f t="shared" si="65"/>
        <v>4123</v>
      </c>
      <c r="B4124" s="65" t="s">
        <v>6177</v>
      </c>
      <c r="C4124" s="1">
        <v>7088879920</v>
      </c>
      <c r="E4124" s="17" t="s">
        <v>4691</v>
      </c>
      <c r="F4124" s="65" t="s">
        <v>5112</v>
      </c>
      <c r="G4124" s="2" t="s">
        <v>424</v>
      </c>
      <c r="H4124" s="2" t="s">
        <v>4693</v>
      </c>
      <c r="I4124" s="3" t="s">
        <v>42</v>
      </c>
      <c r="J4124" s="31">
        <v>45901</v>
      </c>
      <c r="K4124" s="31">
        <v>45936</v>
      </c>
      <c r="L4124" s="31"/>
      <c r="M4124" s="31"/>
      <c r="O4124" s="2" t="s">
        <v>425</v>
      </c>
    </row>
    <row r="4125" spans="1:15">
      <c r="A4125" s="3">
        <f t="shared" si="65"/>
        <v>4124</v>
      </c>
      <c r="B4125" s="65" t="s">
        <v>6178</v>
      </c>
      <c r="C4125" s="1">
        <v>8050033861</v>
      </c>
      <c r="E4125" s="17" t="s">
        <v>6179</v>
      </c>
      <c r="F4125" s="65" t="s">
        <v>2340</v>
      </c>
      <c r="G4125" s="3" t="s">
        <v>16</v>
      </c>
      <c r="H4125" s="2" t="s">
        <v>3943</v>
      </c>
      <c r="I4125" s="3" t="s">
        <v>88</v>
      </c>
      <c r="J4125" s="31">
        <v>45901</v>
      </c>
      <c r="K4125" s="31">
        <v>45904</v>
      </c>
      <c r="L4125" s="31">
        <v>45908</v>
      </c>
      <c r="M4125" s="31">
        <v>45917</v>
      </c>
      <c r="N4125" s="31">
        <v>45917</v>
      </c>
      <c r="O4125" s="3" t="s">
        <v>297</v>
      </c>
    </row>
    <row r="4126" spans="1:15">
      <c r="A4126" s="3">
        <f t="shared" ref="A4126:A4189" si="66">ROW()-1</f>
        <v>4125</v>
      </c>
      <c r="B4126" s="65" t="s">
        <v>6180</v>
      </c>
      <c r="C4126" s="1">
        <v>7373811222</v>
      </c>
      <c r="E4126" s="17" t="s">
        <v>6181</v>
      </c>
      <c r="F4126" s="65" t="s">
        <v>6182</v>
      </c>
      <c r="G4126" s="3" t="s">
        <v>424</v>
      </c>
      <c r="H4126" s="2" t="s">
        <v>5774</v>
      </c>
      <c r="I4126" s="3" t="s">
        <v>42</v>
      </c>
      <c r="J4126" s="31">
        <v>45902</v>
      </c>
      <c r="K4126" s="31">
        <v>45939</v>
      </c>
      <c r="L4126" s="31"/>
      <c r="M4126" s="31"/>
      <c r="O4126" s="3" t="s">
        <v>749</v>
      </c>
    </row>
    <row r="4127" spans="1:15">
      <c r="A4127" s="3">
        <f t="shared" si="66"/>
        <v>4126</v>
      </c>
      <c r="B4127" s="65" t="s">
        <v>6183</v>
      </c>
      <c r="C4127" s="1">
        <v>8684881827</v>
      </c>
      <c r="E4127" s="17" t="s">
        <v>6181</v>
      </c>
      <c r="F4127" s="65" t="s">
        <v>6184</v>
      </c>
      <c r="G4127" s="3" t="s">
        <v>424</v>
      </c>
      <c r="H4127" s="2" t="s">
        <v>5774</v>
      </c>
      <c r="I4127" s="3" t="s">
        <v>42</v>
      </c>
      <c r="J4127" s="31">
        <v>45902</v>
      </c>
      <c r="K4127" s="31">
        <v>45926</v>
      </c>
      <c r="L4127" s="31"/>
      <c r="M4127" s="31"/>
      <c r="O4127" s="3" t="s">
        <v>425</v>
      </c>
    </row>
    <row r="4128" spans="1:15">
      <c r="A4128" s="3">
        <f t="shared" si="66"/>
        <v>4127</v>
      </c>
      <c r="B4128" s="65" t="s">
        <v>6185</v>
      </c>
      <c r="C4128" s="1">
        <v>7675941491</v>
      </c>
      <c r="E4128" s="17" t="s">
        <v>5778</v>
      </c>
      <c r="F4128" s="65" t="s">
        <v>6186</v>
      </c>
      <c r="G4128" s="3" t="s">
        <v>16</v>
      </c>
      <c r="H4128" s="2" t="s">
        <v>296</v>
      </c>
      <c r="I4128" s="3" t="s">
        <v>42</v>
      </c>
      <c r="J4128" s="31">
        <v>45899</v>
      </c>
      <c r="K4128" s="31">
        <v>45901</v>
      </c>
      <c r="L4128" s="31">
        <v>45902</v>
      </c>
      <c r="M4128" s="31">
        <v>45932</v>
      </c>
      <c r="N4128" s="31">
        <v>45927</v>
      </c>
      <c r="O4128" s="3" t="s">
        <v>297</v>
      </c>
    </row>
    <row r="4129" spans="1:15">
      <c r="A4129" s="3">
        <f t="shared" si="66"/>
        <v>4128</v>
      </c>
      <c r="B4129" s="65" t="s">
        <v>6187</v>
      </c>
      <c r="C4129" s="1">
        <v>9866262753</v>
      </c>
      <c r="E4129" s="17" t="s">
        <v>5778</v>
      </c>
      <c r="F4129" s="65" t="s">
        <v>6188</v>
      </c>
      <c r="G4129" s="3" t="s">
        <v>16</v>
      </c>
      <c r="H4129" s="2" t="s">
        <v>296</v>
      </c>
      <c r="I4129" s="3" t="s">
        <v>42</v>
      </c>
      <c r="J4129" s="31">
        <v>45899</v>
      </c>
      <c r="K4129" s="31">
        <v>45901</v>
      </c>
      <c r="L4129" s="31">
        <v>45902</v>
      </c>
      <c r="M4129" s="31">
        <v>45936</v>
      </c>
      <c r="N4129" s="31">
        <v>45938</v>
      </c>
      <c r="O4129" s="3" t="s">
        <v>297</v>
      </c>
    </row>
    <row r="4130" spans="1:15">
      <c r="A4130" s="3">
        <f t="shared" si="66"/>
        <v>4129</v>
      </c>
      <c r="B4130" s="65" t="s">
        <v>6189</v>
      </c>
      <c r="C4130" s="1">
        <v>9515568847</v>
      </c>
      <c r="E4130" s="17" t="s">
        <v>6181</v>
      </c>
      <c r="F4130" s="65" t="s">
        <v>6190</v>
      </c>
      <c r="G4130" s="3" t="s">
        <v>424</v>
      </c>
      <c r="H4130" s="2" t="s">
        <v>5774</v>
      </c>
      <c r="I4130" s="3" t="s">
        <v>42</v>
      </c>
      <c r="J4130" s="31">
        <v>45902</v>
      </c>
      <c r="K4130" s="31">
        <v>45926</v>
      </c>
      <c r="L4130" s="31"/>
      <c r="M4130" s="31"/>
      <c r="O4130" s="3" t="s">
        <v>425</v>
      </c>
    </row>
    <row r="4131" spans="1:15">
      <c r="A4131" s="3">
        <f t="shared" si="66"/>
        <v>4130</v>
      </c>
      <c r="B4131" s="65" t="s">
        <v>6191</v>
      </c>
      <c r="C4131" s="1">
        <v>9963923288</v>
      </c>
      <c r="E4131" s="17" t="s">
        <v>6192</v>
      </c>
      <c r="F4131" s="65" t="s">
        <v>6193</v>
      </c>
      <c r="G4131" s="3" t="s">
        <v>16</v>
      </c>
      <c r="H4131" s="2" t="s">
        <v>88</v>
      </c>
      <c r="I4131" s="3" t="s">
        <v>88</v>
      </c>
      <c r="J4131" s="31">
        <v>45904</v>
      </c>
      <c r="K4131" s="31">
        <v>45904</v>
      </c>
      <c r="L4131" s="31">
        <v>45908</v>
      </c>
      <c r="M4131" s="31">
        <v>45934</v>
      </c>
      <c r="N4131" s="31">
        <v>45934</v>
      </c>
      <c r="O4131" s="3" t="s">
        <v>297</v>
      </c>
    </row>
    <row r="4132" spans="1:15">
      <c r="A4132" s="3">
        <f t="shared" si="66"/>
        <v>4131</v>
      </c>
      <c r="B4132" s="65" t="s">
        <v>6194</v>
      </c>
      <c r="C4132" s="1">
        <v>7978525028</v>
      </c>
      <c r="E4132" s="17" t="s">
        <v>4597</v>
      </c>
      <c r="F4132" s="65"/>
      <c r="G4132" s="3" t="s">
        <v>295</v>
      </c>
      <c r="H4132" s="2" t="s">
        <v>296</v>
      </c>
      <c r="I4132" s="3" t="s">
        <v>94</v>
      </c>
      <c r="J4132" s="31">
        <v>45901</v>
      </c>
      <c r="K4132" s="31">
        <v>45902</v>
      </c>
      <c r="L4132" s="31">
        <v>45903</v>
      </c>
      <c r="M4132" s="31">
        <v>45933</v>
      </c>
      <c r="O4132" s="3" t="s">
        <v>297</v>
      </c>
    </row>
    <row r="4133" spans="1:15">
      <c r="A4133" s="3">
        <f t="shared" si="66"/>
        <v>4132</v>
      </c>
      <c r="B4133" s="65" t="s">
        <v>6195</v>
      </c>
      <c r="C4133" s="1">
        <v>8303471265</v>
      </c>
      <c r="E4133" s="17" t="s">
        <v>5173</v>
      </c>
      <c r="F4133" s="65" t="s">
        <v>303</v>
      </c>
      <c r="G4133" s="3" t="s">
        <v>424</v>
      </c>
      <c r="H4133" s="2" t="s">
        <v>3240</v>
      </c>
      <c r="I4133" s="3" t="s">
        <v>42</v>
      </c>
      <c r="J4133" s="31">
        <v>45905</v>
      </c>
      <c r="K4133" s="31">
        <v>45908</v>
      </c>
      <c r="L4133" s="31"/>
      <c r="M4133" s="31"/>
      <c r="O4133" s="3" t="s">
        <v>425</v>
      </c>
    </row>
    <row r="4134" spans="1:15">
      <c r="A4134" s="3">
        <f t="shared" si="66"/>
        <v>4133</v>
      </c>
      <c r="B4134" s="65" t="s">
        <v>6196</v>
      </c>
      <c r="C4134" s="1">
        <v>6306144116</v>
      </c>
      <c r="E4134" s="17" t="s">
        <v>5173</v>
      </c>
      <c r="F4134" s="65" t="s">
        <v>303</v>
      </c>
      <c r="G4134" s="3" t="s">
        <v>16</v>
      </c>
      <c r="H4134" s="2" t="s">
        <v>3240</v>
      </c>
      <c r="I4134" s="3" t="s">
        <v>42</v>
      </c>
      <c r="J4134" s="31">
        <v>45905</v>
      </c>
      <c r="K4134" s="31">
        <v>45908</v>
      </c>
      <c r="L4134" s="31">
        <v>45945</v>
      </c>
      <c r="M4134" s="31">
        <v>45976</v>
      </c>
      <c r="N4134" s="31">
        <v>45961</v>
      </c>
      <c r="O4134" s="3" t="s">
        <v>297</v>
      </c>
    </row>
    <row r="4135" spans="1:15">
      <c r="A4135" s="3">
        <f t="shared" si="66"/>
        <v>4134</v>
      </c>
      <c r="B4135" s="65" t="s">
        <v>6197</v>
      </c>
      <c r="C4135" s="1">
        <v>9695981003</v>
      </c>
      <c r="E4135" s="17" t="s">
        <v>5173</v>
      </c>
      <c r="F4135" s="65" t="s">
        <v>303</v>
      </c>
      <c r="G4135" s="3" t="s">
        <v>424</v>
      </c>
      <c r="H4135" s="2" t="s">
        <v>3240</v>
      </c>
      <c r="I4135" s="3" t="s">
        <v>42</v>
      </c>
      <c r="J4135" s="31">
        <v>45905</v>
      </c>
      <c r="K4135" s="31">
        <v>45908</v>
      </c>
      <c r="L4135" s="31"/>
      <c r="M4135" s="31"/>
      <c r="O4135" s="3" t="s">
        <v>425</v>
      </c>
    </row>
    <row r="4136" spans="1:15">
      <c r="A4136" s="3">
        <f t="shared" si="66"/>
        <v>4135</v>
      </c>
      <c r="B4136" s="65" t="s">
        <v>6198</v>
      </c>
      <c r="C4136" s="1">
        <v>8689848240</v>
      </c>
      <c r="E4136" s="3" t="s">
        <v>6199</v>
      </c>
      <c r="F4136" s="65" t="s">
        <v>303</v>
      </c>
      <c r="G4136" s="3" t="s">
        <v>18</v>
      </c>
      <c r="H4136" s="2" t="s">
        <v>3240</v>
      </c>
      <c r="I4136" s="3" t="s">
        <v>42</v>
      </c>
      <c r="J4136" s="31">
        <v>45905</v>
      </c>
      <c r="K4136" s="31">
        <v>45908</v>
      </c>
      <c r="L4136" s="31">
        <v>45946</v>
      </c>
      <c r="M4136" s="31">
        <v>45978</v>
      </c>
      <c r="O4136" s="3" t="s">
        <v>297</v>
      </c>
    </row>
    <row r="4137" spans="1:15">
      <c r="A4137" s="3">
        <f t="shared" si="66"/>
        <v>4136</v>
      </c>
      <c r="B4137" s="65" t="s">
        <v>6200</v>
      </c>
      <c r="C4137" s="1">
        <v>9939912669</v>
      </c>
      <c r="E4137" s="17" t="s">
        <v>5763</v>
      </c>
      <c r="F4137" s="65" t="s">
        <v>364</v>
      </c>
      <c r="G4137" s="3" t="s">
        <v>16</v>
      </c>
      <c r="H4137" s="2" t="s">
        <v>674</v>
      </c>
      <c r="I4137" s="3" t="s">
        <v>94</v>
      </c>
      <c r="J4137" s="31">
        <v>45905</v>
      </c>
      <c r="K4137" s="31">
        <v>45931</v>
      </c>
      <c r="L4137" s="31">
        <v>45941</v>
      </c>
      <c r="M4137" s="31">
        <v>45953</v>
      </c>
      <c r="N4137" s="31">
        <v>45962</v>
      </c>
      <c r="O4137" s="3" t="s">
        <v>297</v>
      </c>
    </row>
    <row r="4138" spans="1:15">
      <c r="A4138" s="3">
        <f t="shared" si="66"/>
        <v>4137</v>
      </c>
      <c r="B4138" s="65" t="s">
        <v>6201</v>
      </c>
      <c r="C4138" s="1">
        <v>6297596224</v>
      </c>
      <c r="E4138" s="17" t="s">
        <v>5331</v>
      </c>
      <c r="F4138" s="65" t="s">
        <v>569</v>
      </c>
      <c r="G4138" s="3" t="s">
        <v>764</v>
      </c>
      <c r="H4138" s="2" t="s">
        <v>674</v>
      </c>
      <c r="I4138" s="3" t="s">
        <v>94</v>
      </c>
      <c r="J4138" s="31">
        <v>45905</v>
      </c>
      <c r="K4138" s="31">
        <v>45941</v>
      </c>
      <c r="L4138" s="31"/>
      <c r="M4138" s="31"/>
      <c r="O4138" s="3" t="s">
        <v>425</v>
      </c>
    </row>
    <row r="4139" spans="1:15">
      <c r="A4139" s="3">
        <f t="shared" si="66"/>
        <v>4138</v>
      </c>
      <c r="B4139" s="65" t="s">
        <v>943</v>
      </c>
      <c r="C4139" s="1">
        <v>9966048388</v>
      </c>
      <c r="E4139" s="17" t="s">
        <v>5209</v>
      </c>
      <c r="F4139" s="65" t="s">
        <v>569</v>
      </c>
      <c r="G4139" s="3" t="s">
        <v>16</v>
      </c>
      <c r="H4139" s="2" t="s">
        <v>674</v>
      </c>
      <c r="I4139" s="3" t="s">
        <v>94</v>
      </c>
      <c r="J4139" s="31">
        <v>45905</v>
      </c>
      <c r="K4139" s="31">
        <v>45941</v>
      </c>
      <c r="L4139" s="31">
        <v>45954</v>
      </c>
      <c r="M4139" s="31">
        <v>45989</v>
      </c>
      <c r="N4139" s="31">
        <v>45995</v>
      </c>
      <c r="O4139" s="3" t="s">
        <v>297</v>
      </c>
    </row>
    <row r="4140" spans="1:15">
      <c r="A4140" s="3">
        <f t="shared" si="66"/>
        <v>4139</v>
      </c>
      <c r="B4140" s="65" t="s">
        <v>6202</v>
      </c>
      <c r="C4140" s="1">
        <v>8830612532</v>
      </c>
      <c r="D4140" s="1">
        <v>8007410269</v>
      </c>
      <c r="E4140" s="17" t="s">
        <v>5214</v>
      </c>
      <c r="F4140" s="65" t="s">
        <v>308</v>
      </c>
      <c r="G4140" s="3" t="s">
        <v>764</v>
      </c>
      <c r="H4140" s="2" t="s">
        <v>674</v>
      </c>
      <c r="I4140" s="3" t="s">
        <v>94</v>
      </c>
      <c r="J4140" s="31">
        <v>45905</v>
      </c>
      <c r="K4140" s="31">
        <v>45941</v>
      </c>
      <c r="L4140" s="31"/>
      <c r="M4140" s="31"/>
      <c r="O4140" s="3" t="s">
        <v>425</v>
      </c>
    </row>
    <row r="4141" spans="1:15">
      <c r="A4141" s="3">
        <f t="shared" si="66"/>
        <v>4140</v>
      </c>
      <c r="B4141" s="65" t="s">
        <v>6203</v>
      </c>
      <c r="C4141" s="1">
        <v>7409795829</v>
      </c>
      <c r="D4141" s="1">
        <v>9587948241</v>
      </c>
      <c r="E4141" s="17" t="s">
        <v>5214</v>
      </c>
      <c r="F4141" s="65" t="s">
        <v>308</v>
      </c>
      <c r="G4141" s="3" t="s">
        <v>18</v>
      </c>
      <c r="H4141" s="2" t="s">
        <v>674</v>
      </c>
      <c r="I4141" s="3" t="s">
        <v>94</v>
      </c>
      <c r="J4141" s="31">
        <v>45905</v>
      </c>
      <c r="K4141" s="31">
        <v>45963</v>
      </c>
      <c r="L4141" s="31"/>
      <c r="M4141" s="31"/>
      <c r="O4141" s="3" t="s">
        <v>297</v>
      </c>
    </row>
    <row r="4142" spans="1:15">
      <c r="A4142" s="3">
        <f t="shared" si="66"/>
        <v>4141</v>
      </c>
      <c r="B4142" s="65" t="s">
        <v>6204</v>
      </c>
      <c r="C4142" s="1">
        <v>7906986125</v>
      </c>
      <c r="E4142" s="17" t="s">
        <v>5211</v>
      </c>
      <c r="F4142" s="65" t="s">
        <v>569</v>
      </c>
      <c r="G4142" s="3" t="s">
        <v>16</v>
      </c>
      <c r="H4142" s="2" t="s">
        <v>674</v>
      </c>
      <c r="I4142" s="3" t="s">
        <v>94</v>
      </c>
      <c r="J4142" s="31">
        <v>45905</v>
      </c>
      <c r="K4142" s="31">
        <v>45941</v>
      </c>
      <c r="L4142" s="31">
        <v>45947</v>
      </c>
      <c r="M4142" s="31">
        <v>45983</v>
      </c>
      <c r="N4142" s="31">
        <v>45979</v>
      </c>
      <c r="O4142" s="3" t="s">
        <v>297</v>
      </c>
    </row>
    <row r="4143" spans="1:15">
      <c r="A4143" s="3">
        <f t="shared" si="66"/>
        <v>4142</v>
      </c>
      <c r="B4143" s="65" t="s">
        <v>6205</v>
      </c>
      <c r="C4143" s="1">
        <v>7505315348</v>
      </c>
      <c r="E4143" s="17" t="s">
        <v>5211</v>
      </c>
      <c r="F4143" s="65" t="s">
        <v>569</v>
      </c>
      <c r="G4143" s="3" t="s">
        <v>764</v>
      </c>
      <c r="H4143" s="2" t="s">
        <v>674</v>
      </c>
      <c r="I4143" s="3" t="s">
        <v>94</v>
      </c>
      <c r="J4143" s="31">
        <v>45905</v>
      </c>
      <c r="K4143" s="31">
        <v>45941</v>
      </c>
      <c r="L4143" s="31"/>
      <c r="M4143" s="31"/>
      <c r="O4143" s="3" t="s">
        <v>425</v>
      </c>
    </row>
    <row r="4144" spans="1:15">
      <c r="A4144" s="3">
        <f t="shared" si="66"/>
        <v>4143</v>
      </c>
      <c r="B4144" s="65" t="s">
        <v>6206</v>
      </c>
      <c r="C4144" s="1">
        <v>8576881017</v>
      </c>
      <c r="E4144" s="17" t="s">
        <v>5685</v>
      </c>
      <c r="F4144" s="65" t="s">
        <v>364</v>
      </c>
      <c r="G4144" s="3" t="s">
        <v>16</v>
      </c>
      <c r="H4144" s="2" t="s">
        <v>674</v>
      </c>
      <c r="I4144" s="3" t="s">
        <v>94</v>
      </c>
      <c r="J4144" s="31">
        <v>45905</v>
      </c>
      <c r="K4144" s="31">
        <v>45941</v>
      </c>
      <c r="L4144" s="31">
        <v>45945</v>
      </c>
      <c r="M4144" s="31">
        <v>45960</v>
      </c>
      <c r="N4144" s="31">
        <v>45956</v>
      </c>
      <c r="O4144" s="3" t="s">
        <v>297</v>
      </c>
    </row>
    <row r="4145" spans="1:15">
      <c r="A4145" s="3">
        <f t="shared" si="66"/>
        <v>4144</v>
      </c>
      <c r="B4145" s="65" t="s">
        <v>6207</v>
      </c>
      <c r="C4145" s="1">
        <v>9749968149</v>
      </c>
      <c r="E4145" s="17" t="s">
        <v>5583</v>
      </c>
      <c r="F4145" s="65" t="s">
        <v>364</v>
      </c>
      <c r="G4145" s="3" t="s">
        <v>295</v>
      </c>
      <c r="H4145" s="3" t="s">
        <v>1605</v>
      </c>
      <c r="I4145" s="3" t="s">
        <v>94</v>
      </c>
      <c r="J4145" s="31">
        <v>45905</v>
      </c>
      <c r="K4145" s="31">
        <v>45908</v>
      </c>
      <c r="L4145" s="31">
        <v>45918</v>
      </c>
      <c r="M4145" s="31">
        <v>45933</v>
      </c>
      <c r="O4145" s="3" t="s">
        <v>297</v>
      </c>
    </row>
    <row r="4146" spans="1:15">
      <c r="A4146" s="3">
        <f t="shared" si="66"/>
        <v>4145</v>
      </c>
      <c r="B4146" s="65" t="s">
        <v>6208</v>
      </c>
      <c r="C4146" s="1">
        <v>7383615287</v>
      </c>
      <c r="E4146" s="17" t="s">
        <v>5583</v>
      </c>
      <c r="F4146" s="65" t="s">
        <v>364</v>
      </c>
      <c r="G4146" s="3" t="s">
        <v>764</v>
      </c>
      <c r="H4146" s="3" t="s">
        <v>1605</v>
      </c>
      <c r="I4146" s="3" t="s">
        <v>94</v>
      </c>
      <c r="J4146" s="31">
        <v>45905</v>
      </c>
      <c r="K4146" s="31">
        <v>45908</v>
      </c>
      <c r="L4146" s="31"/>
      <c r="M4146" s="31"/>
      <c r="O4146" s="3" t="s">
        <v>425</v>
      </c>
    </row>
    <row r="4147" spans="1:15">
      <c r="A4147" s="3">
        <f t="shared" si="66"/>
        <v>4146</v>
      </c>
      <c r="B4147" s="65" t="s">
        <v>6209</v>
      </c>
      <c r="C4147" s="1">
        <v>6353137267</v>
      </c>
      <c r="E4147" s="17" t="s">
        <v>5583</v>
      </c>
      <c r="F4147" s="65" t="s">
        <v>364</v>
      </c>
      <c r="G4147" s="3" t="s">
        <v>416</v>
      </c>
      <c r="H4147" s="3" t="s">
        <v>1605</v>
      </c>
      <c r="I4147" s="3" t="s">
        <v>94</v>
      </c>
      <c r="J4147" s="31">
        <v>45905</v>
      </c>
      <c r="K4147" s="31">
        <v>45908</v>
      </c>
      <c r="L4147" s="31"/>
      <c r="M4147" s="31"/>
      <c r="O4147" s="3" t="s">
        <v>297</v>
      </c>
    </row>
    <row r="4148" spans="1:15">
      <c r="A4148" s="3">
        <f t="shared" si="66"/>
        <v>4147</v>
      </c>
      <c r="B4148" s="65" t="s">
        <v>6210</v>
      </c>
      <c r="C4148" s="1">
        <v>6370925498</v>
      </c>
      <c r="E4148" s="17" t="s">
        <v>5583</v>
      </c>
      <c r="F4148" s="65" t="s">
        <v>364</v>
      </c>
      <c r="G4148" s="3" t="s">
        <v>16</v>
      </c>
      <c r="H4148" s="3" t="s">
        <v>1605</v>
      </c>
      <c r="I4148" s="3" t="s">
        <v>94</v>
      </c>
      <c r="J4148" s="31">
        <v>45905</v>
      </c>
      <c r="K4148" s="31">
        <v>45908</v>
      </c>
      <c r="L4148" s="31">
        <v>45911</v>
      </c>
      <c r="M4148" s="31">
        <v>45946</v>
      </c>
      <c r="N4148" s="31">
        <v>45946</v>
      </c>
      <c r="O4148" s="3" t="s">
        <v>297</v>
      </c>
    </row>
    <row r="4149" spans="1:15">
      <c r="A4149" s="3">
        <f t="shared" si="66"/>
        <v>4148</v>
      </c>
      <c r="B4149" s="65" t="s">
        <v>6211</v>
      </c>
      <c r="C4149" s="1">
        <v>8374707059</v>
      </c>
      <c r="E4149" s="17" t="s">
        <v>5811</v>
      </c>
      <c r="F4149" s="65" t="s">
        <v>6212</v>
      </c>
      <c r="G4149" s="3" t="s">
        <v>424</v>
      </c>
      <c r="H4149" s="3" t="s">
        <v>296</v>
      </c>
      <c r="I4149" s="3" t="s">
        <v>94</v>
      </c>
      <c r="J4149" s="31">
        <v>45905</v>
      </c>
      <c r="K4149" s="31">
        <v>45911</v>
      </c>
      <c r="L4149" s="31"/>
      <c r="M4149" s="31"/>
      <c r="O4149" s="3" t="s">
        <v>425</v>
      </c>
    </row>
    <row r="4150" spans="1:15">
      <c r="A4150" s="3">
        <f t="shared" si="66"/>
        <v>4149</v>
      </c>
      <c r="B4150" s="65" t="s">
        <v>6213</v>
      </c>
      <c r="C4150" s="1">
        <v>8096006362</v>
      </c>
      <c r="E4150" s="17" t="s">
        <v>4054</v>
      </c>
      <c r="F4150" s="65" t="s">
        <v>6214</v>
      </c>
      <c r="G4150" s="3" t="s">
        <v>424</v>
      </c>
      <c r="H4150" s="3" t="s">
        <v>296</v>
      </c>
      <c r="I4150" s="3" t="s">
        <v>94</v>
      </c>
      <c r="J4150" s="31">
        <v>45905</v>
      </c>
      <c r="K4150" s="31">
        <v>45909</v>
      </c>
      <c r="L4150" s="31"/>
      <c r="M4150" s="31"/>
      <c r="O4150" s="3" t="s">
        <v>749</v>
      </c>
    </row>
    <row r="4151" spans="1:15">
      <c r="A4151" s="3">
        <f t="shared" si="66"/>
        <v>4150</v>
      </c>
      <c r="B4151" s="65" t="s">
        <v>1524</v>
      </c>
      <c r="C4151" s="1">
        <v>9494786638</v>
      </c>
      <c r="E4151" s="17" t="s">
        <v>445</v>
      </c>
      <c r="F4151" s="65" t="s">
        <v>792</v>
      </c>
      <c r="G4151" s="3" t="s">
        <v>424</v>
      </c>
      <c r="H4151" s="3" t="s">
        <v>296</v>
      </c>
      <c r="I4151" s="3" t="s">
        <v>94</v>
      </c>
      <c r="J4151" s="31">
        <v>45905</v>
      </c>
      <c r="K4151" s="31">
        <v>45911</v>
      </c>
      <c r="L4151" s="31"/>
      <c r="M4151" s="31"/>
      <c r="O4151" s="3" t="s">
        <v>749</v>
      </c>
    </row>
    <row r="4152" spans="1:15">
      <c r="A4152" s="3">
        <f t="shared" si="66"/>
        <v>4151</v>
      </c>
      <c r="B4152" s="65" t="s">
        <v>6215</v>
      </c>
      <c r="C4152" s="1">
        <v>9177906208</v>
      </c>
      <c r="E4152" s="17" t="s">
        <v>5773</v>
      </c>
      <c r="F4152" s="65"/>
      <c r="G4152" s="3" t="s">
        <v>16</v>
      </c>
      <c r="H4152" s="3" t="s">
        <v>3240</v>
      </c>
      <c r="I4152" s="3" t="s">
        <v>42</v>
      </c>
      <c r="J4152" s="31">
        <v>45889</v>
      </c>
      <c r="K4152" s="31">
        <v>45890</v>
      </c>
      <c r="L4152" s="31">
        <v>45892</v>
      </c>
      <c r="M4152" s="31">
        <v>45903</v>
      </c>
      <c r="N4152" s="31">
        <v>45903</v>
      </c>
      <c r="O4152" s="3" t="s">
        <v>297</v>
      </c>
    </row>
    <row r="4153" spans="1:15">
      <c r="A4153" s="3">
        <f t="shared" si="66"/>
        <v>4152</v>
      </c>
      <c r="B4153" s="65" t="s">
        <v>6216</v>
      </c>
      <c r="C4153" s="1">
        <v>7050211957</v>
      </c>
      <c r="E4153" s="17" t="s">
        <v>6217</v>
      </c>
      <c r="F4153" s="65" t="s">
        <v>6218</v>
      </c>
      <c r="G4153" s="3" t="s">
        <v>416</v>
      </c>
      <c r="H4153" s="3" t="s">
        <v>361</v>
      </c>
      <c r="I4153" s="3" t="s">
        <v>88</v>
      </c>
      <c r="J4153" s="31">
        <v>45908</v>
      </c>
      <c r="K4153" s="31">
        <v>45918</v>
      </c>
      <c r="L4153" s="31"/>
      <c r="M4153" s="31"/>
      <c r="O4153" s="3" t="s">
        <v>297</v>
      </c>
    </row>
    <row r="4154" spans="1:15">
      <c r="A4154" s="3">
        <f t="shared" si="66"/>
        <v>4153</v>
      </c>
      <c r="B4154" s="65" t="s">
        <v>6219</v>
      </c>
      <c r="C4154" s="1">
        <v>8707466486</v>
      </c>
      <c r="E4154" s="17" t="s">
        <v>6220</v>
      </c>
      <c r="F4154" s="65" t="s">
        <v>294</v>
      </c>
      <c r="G4154" s="3" t="s">
        <v>18</v>
      </c>
      <c r="H4154" s="3" t="s">
        <v>296</v>
      </c>
      <c r="I4154" s="3" t="s">
        <v>94</v>
      </c>
      <c r="J4154" s="31">
        <v>45908</v>
      </c>
      <c r="K4154" s="31">
        <v>45911</v>
      </c>
      <c r="L4154" s="31">
        <v>45924</v>
      </c>
      <c r="M4154" s="31">
        <v>45939</v>
      </c>
      <c r="O4154" s="3" t="s">
        <v>297</v>
      </c>
    </row>
    <row r="4155" spans="1:15">
      <c r="A4155" s="3">
        <f t="shared" si="66"/>
        <v>4154</v>
      </c>
      <c r="B4155" s="65" t="s">
        <v>6221</v>
      </c>
      <c r="C4155" s="1">
        <v>9993686685</v>
      </c>
      <c r="E4155" s="17" t="s">
        <v>6220</v>
      </c>
      <c r="F4155" s="65" t="s">
        <v>294</v>
      </c>
      <c r="G4155" s="3" t="s">
        <v>424</v>
      </c>
      <c r="H4155" s="3" t="s">
        <v>296</v>
      </c>
      <c r="I4155" s="3" t="s">
        <v>94</v>
      </c>
      <c r="J4155" s="31">
        <v>45908</v>
      </c>
      <c r="K4155" s="31">
        <v>45909</v>
      </c>
      <c r="L4155" s="31"/>
      <c r="M4155" s="31"/>
      <c r="O4155" s="3" t="s">
        <v>425</v>
      </c>
    </row>
    <row r="4156" spans="1:15">
      <c r="A4156" s="3">
        <f t="shared" si="66"/>
        <v>4155</v>
      </c>
      <c r="B4156" s="65" t="s">
        <v>1945</v>
      </c>
      <c r="C4156" s="1">
        <v>7071180208</v>
      </c>
      <c r="E4156" s="17" t="s">
        <v>6222</v>
      </c>
      <c r="F4156" s="65" t="s">
        <v>277</v>
      </c>
      <c r="G4156" s="3" t="s">
        <v>295</v>
      </c>
      <c r="H4156" s="3" t="s">
        <v>296</v>
      </c>
      <c r="I4156" s="3" t="s">
        <v>94</v>
      </c>
      <c r="J4156" s="31">
        <v>45908</v>
      </c>
      <c r="K4156" s="31">
        <v>45909</v>
      </c>
      <c r="L4156" s="31">
        <v>45911</v>
      </c>
      <c r="M4156" s="31">
        <v>45941</v>
      </c>
      <c r="O4156" s="3" t="s">
        <v>297</v>
      </c>
    </row>
    <row r="4157" spans="1:15">
      <c r="A4157" s="3">
        <f t="shared" si="66"/>
        <v>4156</v>
      </c>
      <c r="B4157" s="65" t="s">
        <v>6223</v>
      </c>
      <c r="C4157" s="1">
        <v>9755908513</v>
      </c>
      <c r="E4157" s="17" t="s">
        <v>5874</v>
      </c>
      <c r="F4157" s="65" t="s">
        <v>308</v>
      </c>
      <c r="G4157" s="3" t="s">
        <v>16</v>
      </c>
      <c r="H4157" s="3" t="s">
        <v>1096</v>
      </c>
      <c r="I4157" s="3" t="s">
        <v>94</v>
      </c>
      <c r="J4157" s="31">
        <v>45908</v>
      </c>
      <c r="K4157" s="31">
        <v>45912</v>
      </c>
      <c r="L4157" s="31">
        <v>45961</v>
      </c>
      <c r="M4157" s="31">
        <v>46001</v>
      </c>
      <c r="N4157" s="31">
        <v>46004</v>
      </c>
      <c r="O4157" s="3" t="s">
        <v>297</v>
      </c>
    </row>
    <row r="4158" spans="1:15">
      <c r="A4158" s="3">
        <f t="shared" si="66"/>
        <v>4157</v>
      </c>
      <c r="B4158" s="65" t="s">
        <v>6224</v>
      </c>
      <c r="C4158" s="1">
        <v>9557630719</v>
      </c>
      <c r="E4158" s="17" t="s">
        <v>5985</v>
      </c>
      <c r="F4158" s="65" t="s">
        <v>920</v>
      </c>
      <c r="G4158" s="3" t="s">
        <v>18</v>
      </c>
      <c r="H4158" s="3" t="s">
        <v>1096</v>
      </c>
      <c r="I4158" s="3" t="s">
        <v>94</v>
      </c>
      <c r="J4158" s="31">
        <v>45908</v>
      </c>
      <c r="K4158" s="31">
        <v>45914</v>
      </c>
      <c r="L4158" s="31"/>
      <c r="M4158" s="31"/>
      <c r="O4158" s="3" t="s">
        <v>297</v>
      </c>
    </row>
    <row r="4159" spans="1:15">
      <c r="A4159" s="3">
        <f t="shared" si="66"/>
        <v>4158</v>
      </c>
      <c r="B4159" s="65" t="s">
        <v>6225</v>
      </c>
      <c r="C4159" s="1">
        <v>9179663198</v>
      </c>
      <c r="E4159" s="17" t="s">
        <v>5173</v>
      </c>
      <c r="F4159" s="65" t="s">
        <v>614</v>
      </c>
      <c r="G4159" s="3" t="s">
        <v>764</v>
      </c>
      <c r="H4159" s="3" t="s">
        <v>3240</v>
      </c>
      <c r="I4159" s="3" t="s">
        <v>42</v>
      </c>
      <c r="J4159" s="31">
        <v>45908</v>
      </c>
      <c r="K4159" s="31">
        <v>45916</v>
      </c>
      <c r="L4159" s="31"/>
      <c r="M4159" s="31"/>
      <c r="O4159" s="3" t="s">
        <v>425</v>
      </c>
    </row>
    <row r="4160" spans="1:15">
      <c r="A4160" s="3">
        <f t="shared" si="66"/>
        <v>4159</v>
      </c>
      <c r="B4160" s="65" t="s">
        <v>4409</v>
      </c>
      <c r="C4160" s="1">
        <v>7277275123</v>
      </c>
      <c r="E4160" s="17" t="s">
        <v>5173</v>
      </c>
      <c r="F4160" s="65" t="s">
        <v>3594</v>
      </c>
      <c r="G4160" s="3" t="s">
        <v>16</v>
      </c>
      <c r="H4160" s="3" t="s">
        <v>3240</v>
      </c>
      <c r="I4160" s="3" t="s">
        <v>42</v>
      </c>
      <c r="J4160" s="31">
        <v>45908</v>
      </c>
      <c r="K4160" s="31">
        <v>45916</v>
      </c>
      <c r="L4160" s="31">
        <v>45945</v>
      </c>
      <c r="M4160" s="31">
        <v>45976</v>
      </c>
      <c r="N4160" s="31">
        <v>45961</v>
      </c>
      <c r="O4160" s="3" t="s">
        <v>297</v>
      </c>
    </row>
    <row r="4161" spans="1:15">
      <c r="A4161" s="3">
        <f t="shared" si="66"/>
        <v>4160</v>
      </c>
      <c r="B4161" s="65" t="s">
        <v>5732</v>
      </c>
      <c r="C4161" s="1">
        <v>8433366240</v>
      </c>
      <c r="E4161" s="17" t="s">
        <v>5173</v>
      </c>
      <c r="F4161" s="65" t="s">
        <v>6226</v>
      </c>
      <c r="G4161" s="3" t="s">
        <v>764</v>
      </c>
      <c r="H4161" s="3" t="s">
        <v>3240</v>
      </c>
      <c r="I4161" s="3" t="s">
        <v>42</v>
      </c>
      <c r="J4161" s="31">
        <v>45908</v>
      </c>
      <c r="K4161" s="31">
        <v>45916</v>
      </c>
      <c r="L4161" s="31"/>
      <c r="M4161" s="31"/>
      <c r="O4161" s="3" t="s">
        <v>425</v>
      </c>
    </row>
    <row r="4162" spans="1:15">
      <c r="A4162" s="3">
        <f t="shared" si="66"/>
        <v>4161</v>
      </c>
      <c r="B4162" s="65" t="s">
        <v>6227</v>
      </c>
      <c r="C4162" s="1">
        <v>9458594349</v>
      </c>
      <c r="D4162" s="1">
        <v>9113188158</v>
      </c>
      <c r="E4162" s="17" t="s">
        <v>5173</v>
      </c>
      <c r="F4162" s="65" t="s">
        <v>6228</v>
      </c>
      <c r="G4162" s="3" t="s">
        <v>16</v>
      </c>
      <c r="H4162" s="3" t="s">
        <v>3240</v>
      </c>
      <c r="I4162" s="3" t="s">
        <v>42</v>
      </c>
      <c r="J4162" s="31">
        <v>45908</v>
      </c>
      <c r="K4162" s="31">
        <v>45916</v>
      </c>
      <c r="L4162" s="31">
        <v>45945</v>
      </c>
      <c r="M4162" s="31">
        <v>45976</v>
      </c>
      <c r="N4162" s="31">
        <v>45985</v>
      </c>
      <c r="O4162" s="3" t="s">
        <v>297</v>
      </c>
    </row>
    <row r="4163" spans="1:15">
      <c r="A4163" s="3">
        <f t="shared" si="66"/>
        <v>4162</v>
      </c>
      <c r="B4163" s="65" t="s">
        <v>6229</v>
      </c>
      <c r="C4163" s="1">
        <v>8870637428</v>
      </c>
      <c r="D4163" s="1">
        <v>9003549452</v>
      </c>
      <c r="E4163" s="17" t="s">
        <v>2821</v>
      </c>
      <c r="F4163" s="65" t="s">
        <v>6230</v>
      </c>
      <c r="G4163" s="3" t="s">
        <v>16</v>
      </c>
      <c r="H4163" s="3" t="s">
        <v>5774</v>
      </c>
      <c r="I4163" s="3" t="s">
        <v>42</v>
      </c>
      <c r="J4163" s="31">
        <v>45910</v>
      </c>
      <c r="K4163" s="31">
        <v>45923</v>
      </c>
      <c r="L4163" s="31">
        <v>45925</v>
      </c>
      <c r="M4163" s="31">
        <v>45966</v>
      </c>
      <c r="N4163" s="31">
        <v>45966</v>
      </c>
      <c r="O4163" s="3" t="s">
        <v>297</v>
      </c>
    </row>
    <row r="4164" spans="1:15">
      <c r="A4164" s="3">
        <f t="shared" si="66"/>
        <v>4163</v>
      </c>
      <c r="B4164" s="65" t="s">
        <v>6231</v>
      </c>
      <c r="C4164" s="1">
        <v>9492955551</v>
      </c>
      <c r="E4164" s="17" t="s">
        <v>2821</v>
      </c>
      <c r="F4164" s="65" t="s">
        <v>6232</v>
      </c>
      <c r="G4164" s="3" t="s">
        <v>16</v>
      </c>
      <c r="H4164" s="3" t="s">
        <v>5774</v>
      </c>
      <c r="I4164" s="3" t="s">
        <v>42</v>
      </c>
      <c r="J4164" s="31">
        <v>45910</v>
      </c>
      <c r="K4164" s="31">
        <v>45923</v>
      </c>
      <c r="L4164" s="31">
        <v>45925</v>
      </c>
      <c r="M4164" s="31">
        <v>45964</v>
      </c>
      <c r="N4164" s="31">
        <v>45964</v>
      </c>
      <c r="O4164" s="3" t="s">
        <v>297</v>
      </c>
    </row>
    <row r="4165" spans="1:15">
      <c r="A4165" s="3">
        <f t="shared" si="66"/>
        <v>4164</v>
      </c>
      <c r="B4165" s="65" t="s">
        <v>6233</v>
      </c>
      <c r="C4165" s="1">
        <v>9398877403</v>
      </c>
      <c r="E4165" s="17" t="s">
        <v>4539</v>
      </c>
      <c r="F4165" s="65" t="s">
        <v>451</v>
      </c>
      <c r="G4165" s="3" t="s">
        <v>16</v>
      </c>
      <c r="H4165" s="3" t="s">
        <v>3943</v>
      </c>
      <c r="I4165" s="3" t="s">
        <v>88</v>
      </c>
      <c r="J4165" s="31">
        <v>45910</v>
      </c>
      <c r="K4165" s="31">
        <v>45911</v>
      </c>
      <c r="L4165" s="31">
        <v>45911</v>
      </c>
      <c r="M4165" s="31">
        <v>45941</v>
      </c>
      <c r="N4165" s="31">
        <v>45938</v>
      </c>
      <c r="O4165" s="3" t="s">
        <v>297</v>
      </c>
    </row>
    <row r="4166" spans="1:15">
      <c r="A4166" s="3">
        <f t="shared" si="66"/>
        <v>4165</v>
      </c>
      <c r="B4166" s="65" t="s">
        <v>6234</v>
      </c>
      <c r="C4166" s="1">
        <v>7008300804</v>
      </c>
      <c r="E4166" s="17" t="s">
        <v>5173</v>
      </c>
      <c r="F4166" s="65" t="s">
        <v>1011</v>
      </c>
      <c r="G4166" s="3" t="s">
        <v>764</v>
      </c>
      <c r="H4166" s="3" t="s">
        <v>3240</v>
      </c>
      <c r="I4166" s="3" t="s">
        <v>42</v>
      </c>
      <c r="J4166" s="31">
        <v>45910</v>
      </c>
      <c r="K4166" s="31">
        <v>45916</v>
      </c>
      <c r="L4166" s="31"/>
      <c r="M4166" s="31"/>
      <c r="O4166" s="3" t="s">
        <v>425</v>
      </c>
    </row>
    <row r="4167" spans="1:15">
      <c r="A4167" s="3">
        <f t="shared" si="66"/>
        <v>4166</v>
      </c>
      <c r="B4167" s="65" t="s">
        <v>6235</v>
      </c>
      <c r="C4167" s="1">
        <v>9588513360</v>
      </c>
      <c r="E4167" s="17" t="s">
        <v>6236</v>
      </c>
      <c r="F4167" s="65" t="s">
        <v>6237</v>
      </c>
      <c r="G4167" s="3" t="s">
        <v>16</v>
      </c>
      <c r="H4167" s="3" t="s">
        <v>3240</v>
      </c>
      <c r="I4167" s="3" t="s">
        <v>42</v>
      </c>
      <c r="J4167" s="31">
        <v>45910</v>
      </c>
      <c r="K4167" s="31">
        <v>45916</v>
      </c>
      <c r="L4167" s="31">
        <v>45945</v>
      </c>
      <c r="M4167" s="31">
        <v>46043</v>
      </c>
      <c r="N4167" s="31">
        <v>45978</v>
      </c>
      <c r="O4167" s="3" t="s">
        <v>297</v>
      </c>
    </row>
    <row r="4168" spans="1:15">
      <c r="A4168" s="3">
        <f t="shared" si="66"/>
        <v>4167</v>
      </c>
      <c r="B4168" s="65" t="s">
        <v>6238</v>
      </c>
      <c r="C4168" s="1">
        <v>9912406456</v>
      </c>
      <c r="E4168" s="17" t="s">
        <v>5173</v>
      </c>
      <c r="F4168" s="65" t="s">
        <v>303</v>
      </c>
      <c r="G4168" s="3" t="s">
        <v>16</v>
      </c>
      <c r="H4168" s="3" t="s">
        <v>3240</v>
      </c>
      <c r="I4168" s="3" t="s">
        <v>42</v>
      </c>
      <c r="J4168" s="31">
        <v>45910</v>
      </c>
      <c r="K4168" s="31">
        <v>45916</v>
      </c>
      <c r="L4168" s="31">
        <v>45945</v>
      </c>
      <c r="M4168" s="31">
        <v>45976</v>
      </c>
      <c r="N4168" s="31">
        <v>45948</v>
      </c>
      <c r="O4168" s="3" t="s">
        <v>297</v>
      </c>
    </row>
    <row r="4169" spans="1:15">
      <c r="A4169" s="3">
        <f t="shared" si="66"/>
        <v>4168</v>
      </c>
      <c r="B4169" s="65" t="s">
        <v>3912</v>
      </c>
      <c r="C4169" s="1">
        <v>7973259739</v>
      </c>
      <c r="E4169" s="17" t="s">
        <v>5173</v>
      </c>
      <c r="F4169" s="65" t="s">
        <v>612</v>
      </c>
      <c r="G4169" s="3" t="s">
        <v>16</v>
      </c>
      <c r="H4169" s="3" t="s">
        <v>3240</v>
      </c>
      <c r="I4169" s="3" t="s">
        <v>42</v>
      </c>
      <c r="J4169" s="31">
        <v>45910</v>
      </c>
      <c r="K4169" s="31">
        <v>45913</v>
      </c>
      <c r="L4169" s="31">
        <v>45916</v>
      </c>
      <c r="M4169" s="31">
        <v>45955</v>
      </c>
      <c r="N4169" s="31">
        <v>45955</v>
      </c>
      <c r="O4169" s="3" t="s">
        <v>297</v>
      </c>
    </row>
    <row r="4170" spans="1:15">
      <c r="A4170" s="3">
        <f t="shared" si="66"/>
        <v>4169</v>
      </c>
      <c r="B4170" s="65" t="s">
        <v>6239</v>
      </c>
      <c r="C4170" s="1">
        <v>9492298777</v>
      </c>
      <c r="E4170" s="17" t="s">
        <v>104</v>
      </c>
      <c r="F4170" s="65" t="s">
        <v>6240</v>
      </c>
      <c r="G4170" s="3" t="s">
        <v>16</v>
      </c>
      <c r="H4170" s="3" t="s">
        <v>6158</v>
      </c>
      <c r="I4170" s="3" t="s">
        <v>42</v>
      </c>
      <c r="J4170" s="31">
        <v>45910</v>
      </c>
      <c r="K4170" s="31">
        <v>45915</v>
      </c>
      <c r="L4170" s="31">
        <v>45923</v>
      </c>
      <c r="M4170" s="31">
        <v>45936</v>
      </c>
      <c r="N4170" s="31">
        <v>45936</v>
      </c>
      <c r="O4170" s="3" t="s">
        <v>297</v>
      </c>
    </row>
    <row r="4171" spans="1:15">
      <c r="A4171" s="3">
        <f t="shared" si="66"/>
        <v>4170</v>
      </c>
      <c r="B4171" s="65" t="s">
        <v>6241</v>
      </c>
      <c r="C4171" s="1">
        <v>8977079843</v>
      </c>
      <c r="E4171" s="17" t="s">
        <v>2366</v>
      </c>
      <c r="F4171" s="65" t="s">
        <v>6242</v>
      </c>
      <c r="G4171" s="3" t="s">
        <v>424</v>
      </c>
      <c r="H4171" s="3" t="s">
        <v>2597</v>
      </c>
      <c r="I4171" s="3" t="s">
        <v>88</v>
      </c>
      <c r="J4171" s="31">
        <v>45911</v>
      </c>
      <c r="K4171" s="31">
        <v>45926</v>
      </c>
      <c r="L4171" s="31"/>
      <c r="M4171" s="31"/>
      <c r="O4171" s="3" t="s">
        <v>749</v>
      </c>
    </row>
    <row r="4172" spans="1:15">
      <c r="A4172" s="3">
        <f t="shared" si="66"/>
        <v>4171</v>
      </c>
      <c r="B4172" s="65" t="s">
        <v>6243</v>
      </c>
      <c r="C4172" s="1">
        <v>8074729364</v>
      </c>
      <c r="E4172" s="17" t="s">
        <v>2366</v>
      </c>
      <c r="F4172" s="65" t="s">
        <v>5408</v>
      </c>
      <c r="G4172" s="3" t="s">
        <v>18</v>
      </c>
      <c r="H4172" s="3" t="s">
        <v>2597</v>
      </c>
      <c r="I4172" s="3" t="s">
        <v>88</v>
      </c>
      <c r="J4172" s="31">
        <v>45911</v>
      </c>
      <c r="K4172" s="31">
        <v>45926</v>
      </c>
      <c r="L4172" s="31"/>
      <c r="M4172" s="31"/>
      <c r="O4172" s="3" t="s">
        <v>297</v>
      </c>
    </row>
    <row r="4173" spans="1:15">
      <c r="A4173" s="3">
        <f t="shared" si="66"/>
        <v>4172</v>
      </c>
      <c r="B4173" s="65" t="s">
        <v>6244</v>
      </c>
      <c r="C4173" s="1">
        <v>9324150761</v>
      </c>
      <c r="E4173" s="17" t="s">
        <v>5223</v>
      </c>
      <c r="F4173" s="65"/>
      <c r="G4173" s="3" t="s">
        <v>16</v>
      </c>
      <c r="H4173" s="2" t="s">
        <v>674</v>
      </c>
      <c r="I4173" s="3" t="s">
        <v>94</v>
      </c>
      <c r="J4173" s="31">
        <v>45894</v>
      </c>
      <c r="K4173" s="31">
        <v>45900</v>
      </c>
      <c r="L4173" s="31">
        <v>45904</v>
      </c>
      <c r="M4173" s="31">
        <v>45915</v>
      </c>
      <c r="N4173" s="31">
        <v>45901</v>
      </c>
      <c r="O4173" s="3" t="s">
        <v>297</v>
      </c>
    </row>
    <row r="4174" spans="1:15">
      <c r="A4174" s="3">
        <f t="shared" si="66"/>
        <v>4173</v>
      </c>
      <c r="B4174" s="65" t="s">
        <v>6245</v>
      </c>
      <c r="C4174" s="1">
        <v>8637324143</v>
      </c>
      <c r="D4174" s="1">
        <v>9835882107</v>
      </c>
      <c r="E4174" s="17" t="s">
        <v>6164</v>
      </c>
      <c r="F4174" s="65" t="s">
        <v>6246</v>
      </c>
      <c r="G4174" s="3" t="s">
        <v>424</v>
      </c>
      <c r="H4174" s="2" t="s">
        <v>296</v>
      </c>
      <c r="I4174" s="3" t="s">
        <v>94</v>
      </c>
      <c r="J4174" s="31">
        <v>45911</v>
      </c>
      <c r="K4174" s="31">
        <v>45919</v>
      </c>
      <c r="L4174" s="31"/>
      <c r="M4174" s="31"/>
      <c r="O4174" s="3" t="s">
        <v>749</v>
      </c>
    </row>
    <row r="4175" spans="1:15">
      <c r="A4175" s="3">
        <f t="shared" si="66"/>
        <v>4174</v>
      </c>
      <c r="B4175" s="65" t="s">
        <v>6247</v>
      </c>
      <c r="C4175" s="1">
        <v>9834811511</v>
      </c>
      <c r="E4175" s="17" t="s">
        <v>445</v>
      </c>
      <c r="F4175" s="65" t="s">
        <v>6248</v>
      </c>
      <c r="G4175" s="3" t="s">
        <v>424</v>
      </c>
      <c r="H4175" s="2" t="s">
        <v>296</v>
      </c>
      <c r="I4175" s="3" t="s">
        <v>94</v>
      </c>
      <c r="J4175" s="31">
        <v>45911</v>
      </c>
      <c r="K4175" s="31">
        <v>45919</v>
      </c>
      <c r="L4175" s="31"/>
      <c r="M4175" s="31"/>
      <c r="O4175" s="3" t="s">
        <v>425</v>
      </c>
    </row>
    <row r="4176" spans="1:15">
      <c r="A4176" s="3">
        <f t="shared" si="66"/>
        <v>4175</v>
      </c>
      <c r="B4176" s="65" t="s">
        <v>6249</v>
      </c>
      <c r="C4176" s="1">
        <v>9695972972</v>
      </c>
      <c r="E4176" s="17" t="s">
        <v>445</v>
      </c>
      <c r="F4176" s="65" t="s">
        <v>6250</v>
      </c>
      <c r="G4176" s="3" t="s">
        <v>424</v>
      </c>
      <c r="H4176" s="2" t="s">
        <v>296</v>
      </c>
      <c r="I4176" s="3" t="s">
        <v>94</v>
      </c>
      <c r="J4176" s="31">
        <v>45911</v>
      </c>
      <c r="K4176" s="31">
        <v>45919</v>
      </c>
      <c r="L4176" s="31"/>
      <c r="M4176" s="31"/>
      <c r="O4176" s="3" t="s">
        <v>749</v>
      </c>
    </row>
    <row r="4177" spans="1:15">
      <c r="A4177" s="3">
        <f t="shared" si="66"/>
        <v>4176</v>
      </c>
      <c r="B4177" s="65" t="s">
        <v>6251</v>
      </c>
      <c r="C4177" s="1">
        <v>9021797564</v>
      </c>
      <c r="D4177" s="1">
        <v>7218208666</v>
      </c>
      <c r="E4177" s="17" t="s">
        <v>5685</v>
      </c>
      <c r="F4177" s="65"/>
      <c r="G4177" s="3" t="s">
        <v>16</v>
      </c>
      <c r="H4177" s="2" t="s">
        <v>1544</v>
      </c>
      <c r="I4177" s="3" t="s">
        <v>94</v>
      </c>
      <c r="J4177" s="31">
        <v>45909</v>
      </c>
      <c r="K4177" s="31">
        <v>45910</v>
      </c>
      <c r="L4177" s="31">
        <v>45911</v>
      </c>
      <c r="M4177" s="31">
        <v>45915</v>
      </c>
      <c r="N4177" s="31">
        <v>45915</v>
      </c>
      <c r="O4177" s="3" t="s">
        <v>297</v>
      </c>
    </row>
    <row r="4178" spans="1:15">
      <c r="A4178" s="3">
        <f t="shared" si="66"/>
        <v>4177</v>
      </c>
      <c r="B4178" s="65" t="s">
        <v>6252</v>
      </c>
      <c r="C4178" s="1">
        <v>7682916983</v>
      </c>
      <c r="E4178" s="17" t="s">
        <v>6253</v>
      </c>
      <c r="F4178" s="65" t="s">
        <v>823</v>
      </c>
      <c r="G4178" s="3" t="s">
        <v>16</v>
      </c>
      <c r="H4178" s="2" t="s">
        <v>815</v>
      </c>
      <c r="I4178" s="3" t="s">
        <v>88</v>
      </c>
      <c r="J4178" s="31">
        <v>45911</v>
      </c>
      <c r="K4178" s="31">
        <v>45915</v>
      </c>
      <c r="L4178" s="31">
        <v>45916</v>
      </c>
      <c r="M4178" s="31">
        <v>45926</v>
      </c>
      <c r="N4178" s="31">
        <v>45926</v>
      </c>
      <c r="O4178" s="3" t="s">
        <v>297</v>
      </c>
    </row>
    <row r="4179" spans="1:15">
      <c r="A4179" s="3">
        <f t="shared" si="66"/>
        <v>4178</v>
      </c>
      <c r="B4179" s="65" t="s">
        <v>6254</v>
      </c>
      <c r="C4179" s="1">
        <v>9000508840</v>
      </c>
      <c r="E4179" s="17" t="s">
        <v>6253</v>
      </c>
      <c r="F4179" s="65" t="s">
        <v>1756</v>
      </c>
      <c r="G4179" s="3" t="s">
        <v>764</v>
      </c>
      <c r="H4179" s="2" t="s">
        <v>815</v>
      </c>
      <c r="I4179" s="3" t="s">
        <v>88</v>
      </c>
      <c r="J4179" s="31">
        <v>45911</v>
      </c>
      <c r="K4179" s="31">
        <v>45915</v>
      </c>
      <c r="L4179" s="31"/>
      <c r="M4179" s="31"/>
      <c r="O4179" s="3" t="s">
        <v>425</v>
      </c>
    </row>
    <row r="4180" spans="1:15">
      <c r="A4180" s="3">
        <f t="shared" si="66"/>
        <v>4179</v>
      </c>
      <c r="B4180" s="65" t="s">
        <v>6255</v>
      </c>
      <c r="C4180" s="1">
        <v>8594890062</v>
      </c>
      <c r="E4180" s="17" t="s">
        <v>6253</v>
      </c>
      <c r="F4180" s="65" t="s">
        <v>6256</v>
      </c>
      <c r="G4180" s="3" t="s">
        <v>764</v>
      </c>
      <c r="H4180" s="2" t="s">
        <v>815</v>
      </c>
      <c r="I4180" s="3" t="s">
        <v>88</v>
      </c>
      <c r="J4180" s="31">
        <v>45911</v>
      </c>
      <c r="K4180" s="31">
        <v>45915</v>
      </c>
      <c r="L4180" s="31"/>
      <c r="M4180" s="31"/>
      <c r="O4180" s="3" t="s">
        <v>425</v>
      </c>
    </row>
    <row r="4181" spans="1:15">
      <c r="A4181" s="3">
        <f t="shared" si="66"/>
        <v>4180</v>
      </c>
      <c r="B4181" s="65" t="s">
        <v>6257</v>
      </c>
      <c r="C4181" s="1">
        <v>6201889325</v>
      </c>
      <c r="E4181" s="17" t="s">
        <v>5853</v>
      </c>
      <c r="F4181" s="65" t="s">
        <v>1772</v>
      </c>
      <c r="G4181" s="3" t="s">
        <v>16</v>
      </c>
      <c r="H4181" s="3" t="s">
        <v>368</v>
      </c>
      <c r="I4181" s="3" t="s">
        <v>94</v>
      </c>
      <c r="J4181" s="31">
        <v>45911</v>
      </c>
      <c r="K4181" s="31">
        <v>45922</v>
      </c>
      <c r="L4181" s="31">
        <v>45926</v>
      </c>
      <c r="M4181" s="31">
        <v>45957</v>
      </c>
      <c r="N4181" s="31">
        <v>45965</v>
      </c>
      <c r="O4181" s="3" t="s">
        <v>297</v>
      </c>
    </row>
    <row r="4182" spans="1:15">
      <c r="A4182" s="3">
        <f t="shared" si="66"/>
        <v>4181</v>
      </c>
      <c r="B4182" s="65" t="s">
        <v>6258</v>
      </c>
      <c r="C4182" s="1">
        <v>9861241056</v>
      </c>
      <c r="E4182" s="17" t="s">
        <v>5853</v>
      </c>
      <c r="F4182" s="65" t="s">
        <v>1769</v>
      </c>
      <c r="G4182" s="3" t="s">
        <v>424</v>
      </c>
      <c r="H4182" s="3" t="s">
        <v>368</v>
      </c>
      <c r="I4182" s="3" t="s">
        <v>94</v>
      </c>
      <c r="J4182" s="31">
        <v>45911</v>
      </c>
      <c r="K4182" s="31">
        <v>45924</v>
      </c>
      <c r="O4182" s="3" t="s">
        <v>425</v>
      </c>
    </row>
    <row r="4183" spans="1:15">
      <c r="A4183" s="3">
        <f t="shared" si="66"/>
        <v>4182</v>
      </c>
      <c r="B4183" s="65" t="s">
        <v>6259</v>
      </c>
      <c r="C4183" s="1">
        <v>7205476307</v>
      </c>
      <c r="E4183" s="17" t="s">
        <v>5859</v>
      </c>
      <c r="F4183" s="65" t="s">
        <v>1772</v>
      </c>
      <c r="G4183" s="3" t="s">
        <v>416</v>
      </c>
      <c r="H4183" s="3" t="s">
        <v>368</v>
      </c>
      <c r="I4183" s="3" t="s">
        <v>94</v>
      </c>
      <c r="J4183" s="31">
        <v>45911</v>
      </c>
      <c r="K4183" s="31">
        <v>45922</v>
      </c>
      <c r="O4183" s="3" t="s">
        <v>297</v>
      </c>
    </row>
    <row r="4184" spans="1:15">
      <c r="A4184" s="3">
        <f t="shared" si="66"/>
        <v>4183</v>
      </c>
      <c r="B4184" s="65" t="s">
        <v>6260</v>
      </c>
      <c r="C4184" s="1">
        <v>9951543694</v>
      </c>
      <c r="E4184" s="17" t="s">
        <v>5859</v>
      </c>
      <c r="F4184" s="65" t="s">
        <v>1772</v>
      </c>
      <c r="G4184" s="3" t="s">
        <v>295</v>
      </c>
      <c r="H4184" s="3" t="s">
        <v>368</v>
      </c>
      <c r="I4184" s="3" t="s">
        <v>94</v>
      </c>
      <c r="J4184" s="31">
        <v>45911</v>
      </c>
      <c r="K4184" s="31">
        <v>45922</v>
      </c>
      <c r="L4184" s="31">
        <v>45931</v>
      </c>
      <c r="M4184" s="31">
        <v>45971</v>
      </c>
      <c r="N4184" s="31"/>
      <c r="O4184" s="3" t="s">
        <v>297</v>
      </c>
    </row>
    <row r="4185" spans="1:15">
      <c r="A4185" s="3">
        <f t="shared" si="66"/>
        <v>4184</v>
      </c>
      <c r="B4185" s="65" t="s">
        <v>6261</v>
      </c>
      <c r="C4185" s="1">
        <v>9631961568</v>
      </c>
      <c r="E4185" s="17" t="s">
        <v>6262</v>
      </c>
      <c r="F4185" s="65" t="s">
        <v>1772</v>
      </c>
      <c r="G4185" s="3" t="s">
        <v>16</v>
      </c>
      <c r="H4185" s="3" t="s">
        <v>368</v>
      </c>
      <c r="I4185" s="3" t="s">
        <v>94</v>
      </c>
      <c r="J4185" s="31">
        <v>45911</v>
      </c>
      <c r="K4185" s="31">
        <v>45922</v>
      </c>
      <c r="L4185" s="31">
        <v>45926</v>
      </c>
      <c r="M4185" s="31">
        <v>45966</v>
      </c>
      <c r="N4185" s="31">
        <v>45966</v>
      </c>
      <c r="O4185" s="3" t="s">
        <v>297</v>
      </c>
    </row>
    <row r="4186" spans="1:15">
      <c r="A4186" s="3">
        <f t="shared" si="66"/>
        <v>4185</v>
      </c>
      <c r="B4186" s="65" t="s">
        <v>6263</v>
      </c>
      <c r="C4186" s="1">
        <v>9805534956</v>
      </c>
      <c r="E4186" s="17" t="s">
        <v>6264</v>
      </c>
      <c r="F4186" s="65" t="s">
        <v>294</v>
      </c>
      <c r="G4186" s="3" t="s">
        <v>424</v>
      </c>
      <c r="H4186" s="3" t="s">
        <v>296</v>
      </c>
      <c r="I4186" s="3" t="s">
        <v>94</v>
      </c>
      <c r="J4186" s="31">
        <v>45911</v>
      </c>
      <c r="K4186" s="31">
        <v>45917</v>
      </c>
      <c r="O4186" s="3" t="s">
        <v>425</v>
      </c>
    </row>
    <row r="4187" spans="1:15">
      <c r="A4187" s="3">
        <f t="shared" si="66"/>
        <v>4186</v>
      </c>
      <c r="B4187" s="65" t="s">
        <v>6265</v>
      </c>
      <c r="C4187" s="1">
        <v>8159957272</v>
      </c>
      <c r="E4187" s="17" t="s">
        <v>5525</v>
      </c>
      <c r="F4187" s="65" t="s">
        <v>294</v>
      </c>
      <c r="G4187" s="3" t="s">
        <v>424</v>
      </c>
      <c r="H4187" s="3" t="s">
        <v>296</v>
      </c>
      <c r="I4187" s="3" t="s">
        <v>94</v>
      </c>
      <c r="J4187" s="31">
        <v>45911</v>
      </c>
      <c r="K4187" s="31">
        <v>45915</v>
      </c>
      <c r="O4187" s="3" t="s">
        <v>425</v>
      </c>
    </row>
    <row r="4188" spans="1:15">
      <c r="A4188" s="3">
        <f t="shared" si="66"/>
        <v>4187</v>
      </c>
      <c r="B4188" s="65" t="s">
        <v>6266</v>
      </c>
      <c r="C4188" s="1">
        <v>7679538815</v>
      </c>
      <c r="D4188" s="1">
        <v>9340650569</v>
      </c>
      <c r="E4188" s="17" t="s">
        <v>5525</v>
      </c>
      <c r="F4188" s="65" t="s">
        <v>6267</v>
      </c>
      <c r="G4188" s="3" t="s">
        <v>416</v>
      </c>
      <c r="H4188" s="3" t="s">
        <v>296</v>
      </c>
      <c r="I4188" s="3" t="s">
        <v>94</v>
      </c>
      <c r="J4188" s="31">
        <v>45911</v>
      </c>
      <c r="K4188" s="31">
        <v>45915</v>
      </c>
      <c r="O4188" s="3" t="s">
        <v>297</v>
      </c>
    </row>
    <row r="4189" spans="1:15">
      <c r="A4189" s="3">
        <f t="shared" si="66"/>
        <v>4188</v>
      </c>
      <c r="B4189" s="65" t="s">
        <v>6268</v>
      </c>
      <c r="C4189" s="1">
        <v>9775648778</v>
      </c>
      <c r="D4189" s="1">
        <v>9907659709</v>
      </c>
      <c r="E4189" s="17" t="s">
        <v>5528</v>
      </c>
      <c r="F4189" s="65" t="s">
        <v>277</v>
      </c>
      <c r="G4189" s="3" t="s">
        <v>295</v>
      </c>
      <c r="H4189" s="3" t="s">
        <v>296</v>
      </c>
      <c r="I4189" s="3" t="s">
        <v>94</v>
      </c>
      <c r="J4189" s="31">
        <v>45911</v>
      </c>
      <c r="K4189" s="31">
        <v>45915</v>
      </c>
      <c r="L4189" s="31">
        <v>45924</v>
      </c>
      <c r="M4189" s="31">
        <v>45954</v>
      </c>
      <c r="N4189" s="31"/>
      <c r="O4189" s="3" t="s">
        <v>297</v>
      </c>
    </row>
    <row r="4190" spans="1:15">
      <c r="A4190" s="3">
        <f t="shared" ref="A4190:A4253" si="67">ROW()-1</f>
        <v>4189</v>
      </c>
      <c r="B4190" s="65" t="s">
        <v>6269</v>
      </c>
      <c r="C4190" s="1">
        <v>7978003030</v>
      </c>
      <c r="E4190" s="17" t="s">
        <v>6270</v>
      </c>
      <c r="F4190" s="65" t="s">
        <v>3607</v>
      </c>
      <c r="G4190" s="3" t="s">
        <v>16</v>
      </c>
      <c r="H4190" s="3" t="s">
        <v>94</v>
      </c>
      <c r="I4190" s="3" t="s">
        <v>94</v>
      </c>
      <c r="J4190" s="31">
        <v>45911</v>
      </c>
      <c r="K4190" s="31">
        <v>45911</v>
      </c>
      <c r="L4190" s="31">
        <v>45918</v>
      </c>
      <c r="M4190" s="31">
        <v>45922</v>
      </c>
      <c r="N4190" s="31">
        <v>45923</v>
      </c>
      <c r="O4190" s="3" t="s">
        <v>297</v>
      </c>
    </row>
    <row r="4191" spans="1:15">
      <c r="A4191" s="3">
        <f t="shared" si="67"/>
        <v>4190</v>
      </c>
      <c r="B4191" s="65" t="s">
        <v>6271</v>
      </c>
      <c r="C4191" s="1">
        <v>9128047574</v>
      </c>
      <c r="E4191" s="17" t="s">
        <v>6270</v>
      </c>
      <c r="F4191" s="65" t="s">
        <v>3607</v>
      </c>
      <c r="G4191" s="3" t="s">
        <v>295</v>
      </c>
      <c r="H4191" s="3" t="s">
        <v>94</v>
      </c>
      <c r="I4191" s="3" t="s">
        <v>94</v>
      </c>
      <c r="J4191" s="31">
        <v>45911</v>
      </c>
      <c r="K4191" s="31">
        <v>45911</v>
      </c>
      <c r="L4191" s="31">
        <v>45918</v>
      </c>
      <c r="M4191" s="31">
        <v>45922</v>
      </c>
      <c r="N4191" s="31"/>
      <c r="O4191" s="3" t="s">
        <v>297</v>
      </c>
    </row>
    <row r="4192" spans="1:15">
      <c r="A4192" s="3">
        <f t="shared" si="67"/>
        <v>4191</v>
      </c>
      <c r="B4192" s="65" t="s">
        <v>477</v>
      </c>
      <c r="C4192" s="1">
        <v>8271054184</v>
      </c>
      <c r="E4192" s="17" t="s">
        <v>5871</v>
      </c>
      <c r="F4192" s="65"/>
      <c r="G4192" s="3" t="s">
        <v>16</v>
      </c>
      <c r="H4192" s="3" t="s">
        <v>1605</v>
      </c>
      <c r="I4192" s="3" t="s">
        <v>94</v>
      </c>
      <c r="J4192" s="31">
        <v>45906</v>
      </c>
      <c r="K4192" s="31">
        <v>45908</v>
      </c>
      <c r="L4192" s="31">
        <v>45909</v>
      </c>
      <c r="M4192" s="31">
        <v>45970</v>
      </c>
      <c r="N4192" s="31">
        <v>45974</v>
      </c>
      <c r="O4192" s="3" t="s">
        <v>297</v>
      </c>
    </row>
    <row r="4193" spans="1:15">
      <c r="A4193" s="3">
        <f t="shared" si="67"/>
        <v>4192</v>
      </c>
      <c r="B4193" s="65" t="s">
        <v>6272</v>
      </c>
      <c r="C4193" s="1">
        <v>9793661775</v>
      </c>
      <c r="E4193" s="17" t="s">
        <v>4984</v>
      </c>
      <c r="F4193" s="65" t="s">
        <v>364</v>
      </c>
      <c r="G4193" s="3" t="s">
        <v>16</v>
      </c>
      <c r="H4193" s="3" t="s">
        <v>1605</v>
      </c>
      <c r="I4193" s="3" t="s">
        <v>94</v>
      </c>
      <c r="J4193" s="31">
        <v>45912</v>
      </c>
      <c r="K4193" s="31">
        <v>45913</v>
      </c>
      <c r="L4193" s="31">
        <v>45924</v>
      </c>
      <c r="M4193" s="31">
        <v>45954</v>
      </c>
      <c r="N4193" s="31">
        <v>45966</v>
      </c>
      <c r="O4193" s="3" t="s">
        <v>297</v>
      </c>
    </row>
    <row r="4194" spans="1:15">
      <c r="A4194" s="3">
        <f t="shared" si="67"/>
        <v>4193</v>
      </c>
      <c r="B4194" s="65" t="s">
        <v>6273</v>
      </c>
      <c r="C4194" s="1">
        <v>9369748055</v>
      </c>
      <c r="D4194" s="1">
        <v>9198522455</v>
      </c>
      <c r="E4194" s="17" t="s">
        <v>6274</v>
      </c>
      <c r="F4194" s="65" t="s">
        <v>364</v>
      </c>
      <c r="G4194" s="3" t="s">
        <v>16</v>
      </c>
      <c r="H4194" s="3" t="s">
        <v>1605</v>
      </c>
      <c r="I4194" s="3" t="s">
        <v>94</v>
      </c>
      <c r="J4194" s="31">
        <v>45912</v>
      </c>
      <c r="K4194" s="31">
        <v>45913</v>
      </c>
      <c r="L4194" s="31">
        <v>45924</v>
      </c>
      <c r="M4194" s="31">
        <v>45954</v>
      </c>
      <c r="N4194" s="31">
        <v>45966</v>
      </c>
      <c r="O4194" s="3" t="s">
        <v>297</v>
      </c>
    </row>
    <row r="4195" spans="1:15">
      <c r="A4195" s="3">
        <f t="shared" si="67"/>
        <v>4194</v>
      </c>
      <c r="B4195" s="65" t="s">
        <v>6275</v>
      </c>
      <c r="C4195" s="1">
        <v>7804888455</v>
      </c>
      <c r="E4195" s="17" t="s">
        <v>5412</v>
      </c>
      <c r="F4195" s="65" t="s">
        <v>6276</v>
      </c>
      <c r="G4195" s="3" t="s">
        <v>764</v>
      </c>
      <c r="H4195" s="3" t="s">
        <v>1605</v>
      </c>
      <c r="I4195" s="3" t="s">
        <v>94</v>
      </c>
      <c r="J4195" s="31">
        <v>45912</v>
      </c>
      <c r="K4195" s="31">
        <v>45913</v>
      </c>
      <c r="L4195" s="31"/>
      <c r="M4195" s="31"/>
      <c r="O4195" s="3" t="s">
        <v>425</v>
      </c>
    </row>
    <row r="4196" spans="1:15">
      <c r="A4196" s="3">
        <f t="shared" si="67"/>
        <v>4195</v>
      </c>
      <c r="B4196" s="65" t="s">
        <v>6277</v>
      </c>
      <c r="C4196" s="1">
        <v>9340879887</v>
      </c>
      <c r="E4196" s="17" t="s">
        <v>5413</v>
      </c>
      <c r="F4196" s="65" t="s">
        <v>364</v>
      </c>
      <c r="G4196" s="3" t="s">
        <v>16</v>
      </c>
      <c r="H4196" s="3" t="s">
        <v>1605</v>
      </c>
      <c r="I4196" s="3" t="s">
        <v>94</v>
      </c>
      <c r="J4196" s="31">
        <v>45912</v>
      </c>
      <c r="K4196" s="31">
        <v>45913</v>
      </c>
      <c r="L4196" s="31">
        <v>45919</v>
      </c>
      <c r="M4196" s="31">
        <v>45934</v>
      </c>
      <c r="N4196" s="31">
        <v>45934</v>
      </c>
      <c r="O4196" s="3" t="s">
        <v>297</v>
      </c>
    </row>
    <row r="4197" spans="1:15">
      <c r="A4197" s="3">
        <f t="shared" si="67"/>
        <v>4196</v>
      </c>
      <c r="B4197" s="65" t="s">
        <v>6278</v>
      </c>
      <c r="C4197" s="1">
        <v>8218758865</v>
      </c>
      <c r="E4197" s="17" t="s">
        <v>5417</v>
      </c>
      <c r="F4197" s="65" t="s">
        <v>364</v>
      </c>
      <c r="G4197" s="3" t="s">
        <v>16</v>
      </c>
      <c r="H4197" s="3" t="s">
        <v>1605</v>
      </c>
      <c r="I4197" s="3" t="s">
        <v>94</v>
      </c>
      <c r="J4197" s="31">
        <v>45912</v>
      </c>
      <c r="K4197" s="31">
        <v>45913</v>
      </c>
      <c r="L4197" s="31">
        <v>45919</v>
      </c>
      <c r="M4197" s="31">
        <v>45960</v>
      </c>
      <c r="N4197" s="31">
        <v>45965</v>
      </c>
      <c r="O4197" s="3" t="s">
        <v>297</v>
      </c>
    </row>
    <row r="4198" spans="1:15">
      <c r="A4198" s="3">
        <f t="shared" si="67"/>
        <v>4197</v>
      </c>
      <c r="B4198" s="65" t="s">
        <v>6279</v>
      </c>
      <c r="C4198" s="1">
        <v>8815086805</v>
      </c>
      <c r="E4198" s="17" t="s">
        <v>5417</v>
      </c>
      <c r="F4198" s="65" t="s">
        <v>364</v>
      </c>
      <c r="G4198" s="3" t="s">
        <v>764</v>
      </c>
      <c r="H4198" s="3" t="s">
        <v>1605</v>
      </c>
      <c r="I4198" s="3" t="s">
        <v>94</v>
      </c>
      <c r="J4198" s="31">
        <v>45912</v>
      </c>
      <c r="K4198" s="31">
        <v>45913</v>
      </c>
      <c r="L4198" s="31"/>
      <c r="M4198" s="31"/>
      <c r="O4198" s="3" t="s">
        <v>425</v>
      </c>
    </row>
    <row r="4199" spans="1:15">
      <c r="A4199" s="3">
        <f t="shared" si="67"/>
        <v>4198</v>
      </c>
      <c r="B4199" s="65" t="s">
        <v>6280</v>
      </c>
      <c r="C4199" s="1">
        <v>7024856395</v>
      </c>
      <c r="D4199" s="1">
        <v>7723050658</v>
      </c>
      <c r="E4199" s="17" t="s">
        <v>6274</v>
      </c>
      <c r="F4199" s="65" t="s">
        <v>364</v>
      </c>
      <c r="G4199" s="3" t="s">
        <v>764</v>
      </c>
      <c r="H4199" s="3" t="s">
        <v>1605</v>
      </c>
      <c r="I4199" s="3" t="s">
        <v>94</v>
      </c>
      <c r="J4199" s="31">
        <v>45912</v>
      </c>
      <c r="K4199" s="31">
        <v>45913</v>
      </c>
      <c r="L4199" s="31"/>
      <c r="M4199" s="31"/>
      <c r="O4199" s="3" t="s">
        <v>425</v>
      </c>
    </row>
    <row r="4200" spans="1:15">
      <c r="A4200" s="3">
        <f t="shared" si="67"/>
        <v>4199</v>
      </c>
      <c r="B4200" s="65" t="s">
        <v>6281</v>
      </c>
      <c r="C4200" s="1">
        <v>6897436201</v>
      </c>
      <c r="D4200" s="1">
        <v>9032131749</v>
      </c>
      <c r="E4200" s="17" t="s">
        <v>5887</v>
      </c>
      <c r="F4200" s="65" t="s">
        <v>3160</v>
      </c>
      <c r="G4200" s="3" t="s">
        <v>416</v>
      </c>
      <c r="H4200" s="3" t="s">
        <v>6158</v>
      </c>
      <c r="I4200" s="3" t="s">
        <v>42</v>
      </c>
      <c r="J4200" s="31">
        <v>45912</v>
      </c>
      <c r="K4200" s="31">
        <v>45924</v>
      </c>
      <c r="L4200" s="31"/>
      <c r="M4200" s="31"/>
      <c r="O4200" s="3" t="s">
        <v>297</v>
      </c>
    </row>
    <row r="4201" spans="1:15">
      <c r="A4201" s="3">
        <f t="shared" si="67"/>
        <v>4200</v>
      </c>
      <c r="B4201" s="65" t="s">
        <v>6282</v>
      </c>
      <c r="C4201" s="1">
        <v>9652802747</v>
      </c>
      <c r="D4201" s="1">
        <v>6287978057</v>
      </c>
      <c r="E4201" s="17" t="s">
        <v>5778</v>
      </c>
      <c r="F4201" s="65" t="s">
        <v>3160</v>
      </c>
      <c r="G4201" s="3" t="s">
        <v>16</v>
      </c>
      <c r="H4201" s="3" t="s">
        <v>6158</v>
      </c>
      <c r="I4201" s="3" t="s">
        <v>42</v>
      </c>
      <c r="J4201" s="31">
        <v>45912</v>
      </c>
      <c r="K4201" s="31">
        <v>45924</v>
      </c>
      <c r="L4201" s="31">
        <v>45954</v>
      </c>
      <c r="M4201" s="31">
        <v>45971</v>
      </c>
      <c r="N4201" s="31">
        <v>45962</v>
      </c>
      <c r="O4201" s="3" t="s">
        <v>297</v>
      </c>
    </row>
    <row r="4202" spans="1:15">
      <c r="A4202" s="3">
        <f t="shared" si="67"/>
        <v>4201</v>
      </c>
      <c r="B4202" s="65" t="s">
        <v>6283</v>
      </c>
      <c r="C4202" s="1">
        <v>7680041094</v>
      </c>
      <c r="E4202" s="17" t="s">
        <v>5778</v>
      </c>
      <c r="F4202" s="65" t="s">
        <v>3160</v>
      </c>
      <c r="G4202" s="3" t="s">
        <v>1175</v>
      </c>
      <c r="H4202" s="3" t="s">
        <v>6158</v>
      </c>
      <c r="I4202" s="3" t="s">
        <v>42</v>
      </c>
      <c r="J4202" s="31">
        <v>45912</v>
      </c>
      <c r="K4202" s="31"/>
      <c r="L4202" s="31"/>
      <c r="M4202" s="31"/>
      <c r="O4202" s="3" t="s">
        <v>1004</v>
      </c>
    </row>
    <row r="4203" spans="1:15">
      <c r="A4203" s="3">
        <f t="shared" si="67"/>
        <v>4202</v>
      </c>
      <c r="B4203" s="65" t="s">
        <v>6284</v>
      </c>
      <c r="C4203" s="1">
        <v>8309553911</v>
      </c>
      <c r="E4203" s="17" t="s">
        <v>5778</v>
      </c>
      <c r="F4203" s="65" t="s">
        <v>3160</v>
      </c>
      <c r="G4203" s="3" t="s">
        <v>16</v>
      </c>
      <c r="H4203" s="3" t="s">
        <v>6158</v>
      </c>
      <c r="I4203" s="3" t="s">
        <v>42</v>
      </c>
      <c r="J4203" s="31">
        <v>45912</v>
      </c>
      <c r="K4203" s="31">
        <v>45973</v>
      </c>
      <c r="L4203" s="31">
        <v>45976</v>
      </c>
      <c r="M4203" s="31">
        <v>45992</v>
      </c>
      <c r="N4203" s="31">
        <v>45992</v>
      </c>
      <c r="O4203" s="3" t="s">
        <v>297</v>
      </c>
    </row>
    <row r="4204" spans="1:15">
      <c r="A4204" s="3">
        <f t="shared" si="67"/>
        <v>4203</v>
      </c>
      <c r="B4204" s="65" t="s">
        <v>6285</v>
      </c>
      <c r="C4204" s="1">
        <v>9010678577</v>
      </c>
      <c r="E4204" s="17" t="s">
        <v>5773</v>
      </c>
      <c r="F4204" s="65" t="s">
        <v>6286</v>
      </c>
      <c r="G4204" s="3" t="s">
        <v>1175</v>
      </c>
      <c r="H4204" s="3" t="s">
        <v>6158</v>
      </c>
      <c r="I4204" s="3" t="s">
        <v>42</v>
      </c>
      <c r="J4204" s="31">
        <v>45912</v>
      </c>
      <c r="K4204" s="31"/>
      <c r="L4204" s="31"/>
      <c r="M4204" s="31"/>
      <c r="O4204" s="3" t="s">
        <v>1004</v>
      </c>
    </row>
    <row r="4205" spans="1:15">
      <c r="A4205" s="3">
        <f t="shared" si="67"/>
        <v>4204</v>
      </c>
      <c r="B4205" s="65" t="s">
        <v>4712</v>
      </c>
      <c r="C4205" s="1">
        <v>8919221258</v>
      </c>
      <c r="E4205" s="17" t="s">
        <v>4946</v>
      </c>
      <c r="F4205" s="65" t="s">
        <v>6287</v>
      </c>
      <c r="G4205" s="3" t="s">
        <v>18</v>
      </c>
      <c r="H4205" s="3" t="s">
        <v>6158</v>
      </c>
      <c r="I4205" s="3" t="s">
        <v>42</v>
      </c>
      <c r="J4205" s="31">
        <v>45912</v>
      </c>
      <c r="K4205" s="31"/>
      <c r="L4205" s="31"/>
      <c r="M4205" s="31"/>
      <c r="O4205" s="3" t="s">
        <v>1004</v>
      </c>
    </row>
    <row r="4206" spans="1:15">
      <c r="A4206" s="3">
        <f t="shared" si="67"/>
        <v>4205</v>
      </c>
      <c r="B4206" s="65" t="s">
        <v>6288</v>
      </c>
      <c r="C4206" s="1">
        <v>7799390131</v>
      </c>
      <c r="E4206" s="17" t="s">
        <v>4946</v>
      </c>
      <c r="F4206" s="65" t="s">
        <v>1893</v>
      </c>
      <c r="G4206" s="3" t="s">
        <v>16</v>
      </c>
      <c r="H4206" s="3" t="s">
        <v>6158</v>
      </c>
      <c r="I4206" s="3" t="s">
        <v>42</v>
      </c>
      <c r="J4206" s="31">
        <v>45912</v>
      </c>
      <c r="K4206" s="31">
        <v>45956</v>
      </c>
      <c r="L4206" s="31">
        <v>45959</v>
      </c>
      <c r="M4206" s="31">
        <v>45996</v>
      </c>
      <c r="N4206" s="31">
        <v>45996</v>
      </c>
      <c r="O4206" s="3" t="s">
        <v>297</v>
      </c>
    </row>
    <row r="4207" spans="1:15">
      <c r="A4207" s="3">
        <f t="shared" si="67"/>
        <v>4206</v>
      </c>
      <c r="B4207" s="65" t="s">
        <v>6289</v>
      </c>
      <c r="C4207" s="1">
        <v>6301668414</v>
      </c>
      <c r="E4207" s="17" t="s">
        <v>3954</v>
      </c>
      <c r="F4207" s="65" t="s">
        <v>6290</v>
      </c>
      <c r="G4207" s="3" t="s">
        <v>16</v>
      </c>
      <c r="H4207" s="3" t="s">
        <v>6158</v>
      </c>
      <c r="I4207" s="3" t="s">
        <v>42</v>
      </c>
      <c r="J4207" s="31">
        <v>45912</v>
      </c>
      <c r="K4207" s="31">
        <v>46009</v>
      </c>
      <c r="L4207" s="31">
        <v>46017</v>
      </c>
      <c r="M4207" s="31">
        <v>46049</v>
      </c>
      <c r="N4207" s="31">
        <v>46049</v>
      </c>
      <c r="O4207" s="3" t="s">
        <v>297</v>
      </c>
    </row>
    <row r="4208" spans="1:15">
      <c r="A4208" s="3">
        <f t="shared" si="67"/>
        <v>4207</v>
      </c>
      <c r="B4208" s="65" t="s">
        <v>6291</v>
      </c>
      <c r="C4208" s="1">
        <v>8250563345</v>
      </c>
      <c r="E4208" s="17" t="s">
        <v>6292</v>
      </c>
      <c r="F4208" s="65" t="s">
        <v>703</v>
      </c>
      <c r="G4208" s="3" t="s">
        <v>416</v>
      </c>
      <c r="H4208" s="3" t="s">
        <v>6158</v>
      </c>
      <c r="I4208" s="3" t="s">
        <v>42</v>
      </c>
      <c r="J4208" s="31">
        <v>45912</v>
      </c>
      <c r="K4208" s="31">
        <v>45956</v>
      </c>
      <c r="L4208" s="31"/>
      <c r="M4208" s="31"/>
      <c r="O4208" s="3" t="s">
        <v>297</v>
      </c>
    </row>
    <row r="4209" spans="1:15">
      <c r="A4209" s="3">
        <f t="shared" si="67"/>
        <v>4208</v>
      </c>
      <c r="B4209" s="65" t="s">
        <v>6293</v>
      </c>
      <c r="C4209" s="1">
        <v>9494009254</v>
      </c>
      <c r="D4209" s="1">
        <v>6281478416</v>
      </c>
      <c r="E4209" s="17" t="s">
        <v>5705</v>
      </c>
      <c r="F4209" s="65" t="s">
        <v>6294</v>
      </c>
      <c r="G4209" s="3" t="s">
        <v>424</v>
      </c>
      <c r="H4209" s="3" t="s">
        <v>1096</v>
      </c>
      <c r="I4209" s="3" t="s">
        <v>94</v>
      </c>
      <c r="J4209" s="31">
        <v>45912</v>
      </c>
      <c r="K4209" s="31">
        <v>45916</v>
      </c>
      <c r="L4209" s="31"/>
      <c r="M4209" s="31"/>
      <c r="O4209" s="3" t="s">
        <v>425</v>
      </c>
    </row>
    <row r="4210" spans="1:15">
      <c r="A4210" s="3">
        <f t="shared" si="67"/>
        <v>4209</v>
      </c>
      <c r="B4210" s="65" t="s">
        <v>6295</v>
      </c>
      <c r="C4210" s="1">
        <v>9547094369</v>
      </c>
      <c r="D4210" s="1">
        <v>8159810453</v>
      </c>
      <c r="E4210" s="17" t="s">
        <v>5705</v>
      </c>
      <c r="F4210" s="65" t="s">
        <v>2251</v>
      </c>
      <c r="G4210" s="3" t="s">
        <v>424</v>
      </c>
      <c r="H4210" s="3" t="s">
        <v>1096</v>
      </c>
      <c r="I4210" s="3" t="s">
        <v>94</v>
      </c>
      <c r="J4210" s="31">
        <v>45912</v>
      </c>
      <c r="K4210" s="31">
        <v>45916</v>
      </c>
      <c r="L4210" s="31"/>
      <c r="M4210" s="31"/>
      <c r="O4210" s="3" t="s">
        <v>425</v>
      </c>
    </row>
    <row r="4211" spans="1:15">
      <c r="A4211" s="3">
        <f t="shared" si="67"/>
        <v>4210</v>
      </c>
      <c r="B4211" s="65" t="s">
        <v>6296</v>
      </c>
      <c r="C4211" s="1">
        <v>8339962138</v>
      </c>
      <c r="D4211" s="1">
        <v>7077770878</v>
      </c>
      <c r="E4211" s="17" t="s">
        <v>5655</v>
      </c>
      <c r="F4211" s="65" t="s">
        <v>6120</v>
      </c>
      <c r="G4211" s="3" t="s">
        <v>416</v>
      </c>
      <c r="H4211" s="3" t="s">
        <v>361</v>
      </c>
      <c r="I4211" s="3" t="s">
        <v>94</v>
      </c>
      <c r="J4211" s="31">
        <v>45912</v>
      </c>
      <c r="K4211" s="31">
        <v>45918</v>
      </c>
      <c r="L4211" s="31"/>
      <c r="M4211" s="31"/>
      <c r="O4211" s="3" t="s">
        <v>297</v>
      </c>
    </row>
    <row r="4212" spans="1:15">
      <c r="A4212" s="3">
        <f t="shared" si="67"/>
        <v>4211</v>
      </c>
      <c r="B4212" s="65" t="s">
        <v>6297</v>
      </c>
      <c r="C4212" s="1">
        <v>9631577721</v>
      </c>
      <c r="E4212" s="17" t="s">
        <v>5653</v>
      </c>
      <c r="F4212" s="65" t="s">
        <v>989</v>
      </c>
      <c r="G4212" s="3" t="s">
        <v>424</v>
      </c>
      <c r="H4212" s="3" t="s">
        <v>361</v>
      </c>
      <c r="I4212" s="3" t="s">
        <v>94</v>
      </c>
      <c r="J4212" s="31">
        <v>45912</v>
      </c>
      <c r="K4212" s="31">
        <v>45918</v>
      </c>
      <c r="L4212" s="31"/>
      <c r="M4212" s="31"/>
      <c r="O4212" s="3" t="s">
        <v>425</v>
      </c>
    </row>
    <row r="4213" spans="1:15">
      <c r="A4213" s="3">
        <f t="shared" si="67"/>
        <v>4212</v>
      </c>
      <c r="B4213" s="65" t="s">
        <v>6298</v>
      </c>
      <c r="C4213" s="1">
        <v>7070581565</v>
      </c>
      <c r="E4213" s="17" t="s">
        <v>6299</v>
      </c>
      <c r="F4213" s="65" t="s">
        <v>989</v>
      </c>
      <c r="G4213" s="3" t="s">
        <v>16</v>
      </c>
      <c r="H4213" s="3" t="s">
        <v>361</v>
      </c>
      <c r="I4213" s="3" t="s">
        <v>94</v>
      </c>
      <c r="J4213" s="31">
        <v>45912</v>
      </c>
      <c r="K4213" s="31">
        <v>45925</v>
      </c>
      <c r="L4213" s="31">
        <v>45926</v>
      </c>
      <c r="M4213" s="31">
        <v>45957</v>
      </c>
      <c r="N4213" s="31">
        <v>45944</v>
      </c>
      <c r="O4213" s="3" t="s">
        <v>297</v>
      </c>
    </row>
    <row r="4214" spans="1:15">
      <c r="A4214" s="3">
        <f t="shared" si="67"/>
        <v>4213</v>
      </c>
      <c r="B4214" s="65" t="s">
        <v>6300</v>
      </c>
      <c r="C4214" s="1">
        <v>9424739483</v>
      </c>
      <c r="E4214" s="17" t="s">
        <v>6015</v>
      </c>
      <c r="F4214" s="65" t="s">
        <v>1657</v>
      </c>
      <c r="G4214" s="3" t="s">
        <v>424</v>
      </c>
      <c r="H4214" s="3" t="s">
        <v>1096</v>
      </c>
      <c r="I4214" s="3" t="s">
        <v>94</v>
      </c>
      <c r="J4214" s="31">
        <v>45912</v>
      </c>
      <c r="K4214" s="31">
        <v>45916</v>
      </c>
      <c r="L4214" s="31"/>
      <c r="M4214" s="31"/>
      <c r="O4214" s="3" t="s">
        <v>425</v>
      </c>
    </row>
    <row r="4215" spans="1:15">
      <c r="A4215" s="3">
        <f t="shared" si="67"/>
        <v>4214</v>
      </c>
      <c r="B4215" s="65" t="s">
        <v>6301</v>
      </c>
      <c r="C4215" s="1">
        <v>8219348818</v>
      </c>
      <c r="E4215" s="17" t="s">
        <v>5480</v>
      </c>
      <c r="F4215" s="65" t="s">
        <v>1999</v>
      </c>
      <c r="G4215" s="3" t="s">
        <v>416</v>
      </c>
      <c r="H4215" s="3" t="s">
        <v>1096</v>
      </c>
      <c r="I4215" s="3" t="s">
        <v>94</v>
      </c>
      <c r="J4215" s="31">
        <v>45912</v>
      </c>
      <c r="K4215" s="31">
        <v>45914</v>
      </c>
      <c r="L4215" s="31"/>
      <c r="M4215" s="31"/>
      <c r="O4215" s="3" t="s">
        <v>297</v>
      </c>
    </row>
    <row r="4216" spans="1:15">
      <c r="A4216" s="3">
        <f t="shared" si="67"/>
        <v>4215</v>
      </c>
      <c r="B4216" s="65" t="s">
        <v>6302</v>
      </c>
      <c r="C4216" s="1">
        <v>7415166968</v>
      </c>
      <c r="E4216" s="17" t="s">
        <v>5477</v>
      </c>
      <c r="F4216" s="65" t="s">
        <v>1992</v>
      </c>
      <c r="G4216" s="3" t="s">
        <v>424</v>
      </c>
      <c r="H4216" s="3" t="s">
        <v>1096</v>
      </c>
      <c r="I4216" s="3" t="s">
        <v>94</v>
      </c>
      <c r="J4216" s="31">
        <v>45912</v>
      </c>
      <c r="K4216" s="31">
        <v>45914</v>
      </c>
      <c r="L4216" s="31"/>
      <c r="M4216" s="31"/>
      <c r="O4216" s="3" t="s">
        <v>425</v>
      </c>
    </row>
    <row r="4217" spans="1:15">
      <c r="A4217" s="3">
        <f t="shared" si="67"/>
        <v>4216</v>
      </c>
      <c r="B4217" s="65" t="s">
        <v>3302</v>
      </c>
      <c r="C4217" s="1">
        <v>9630426931</v>
      </c>
      <c r="E4217" s="17" t="s">
        <v>6019</v>
      </c>
      <c r="F4217" s="65" t="s">
        <v>6303</v>
      </c>
      <c r="G4217" s="3" t="s">
        <v>424</v>
      </c>
      <c r="H4217" s="3" t="s">
        <v>1096</v>
      </c>
      <c r="I4217" s="3" t="s">
        <v>94</v>
      </c>
      <c r="J4217" s="31">
        <v>45912</v>
      </c>
      <c r="K4217" s="31">
        <v>45917</v>
      </c>
      <c r="L4217" s="31"/>
      <c r="M4217" s="31"/>
      <c r="O4217" s="3" t="s">
        <v>749</v>
      </c>
    </row>
    <row r="4218" spans="1:15">
      <c r="A4218" s="3">
        <f t="shared" si="67"/>
        <v>4217</v>
      </c>
      <c r="B4218" s="65" t="s">
        <v>6304</v>
      </c>
      <c r="C4218" s="1">
        <v>7742473240</v>
      </c>
      <c r="E4218" s="17" t="s">
        <v>6019</v>
      </c>
      <c r="F4218" s="65" t="s">
        <v>1992</v>
      </c>
      <c r="G4218" s="3" t="s">
        <v>18</v>
      </c>
      <c r="H4218" s="3" t="s">
        <v>1096</v>
      </c>
      <c r="I4218" s="3" t="s">
        <v>94</v>
      </c>
      <c r="J4218" s="31">
        <v>45912</v>
      </c>
      <c r="K4218" s="31">
        <v>45914</v>
      </c>
      <c r="L4218" s="31"/>
      <c r="M4218" s="31"/>
      <c r="O4218" s="3" t="s">
        <v>297</v>
      </c>
    </row>
    <row r="4219" spans="1:15">
      <c r="A4219" s="3">
        <f t="shared" si="67"/>
        <v>4218</v>
      </c>
      <c r="B4219" s="65" t="s">
        <v>6305</v>
      </c>
      <c r="C4219" s="1">
        <v>7248376709</v>
      </c>
      <c r="E4219" s="17" t="s">
        <v>1608</v>
      </c>
      <c r="F4219" s="65" t="s">
        <v>364</v>
      </c>
      <c r="G4219" s="3" t="s">
        <v>16</v>
      </c>
      <c r="H4219" s="3" t="s">
        <v>1096</v>
      </c>
      <c r="I4219" s="3" t="s">
        <v>94</v>
      </c>
      <c r="J4219" s="31">
        <v>45912</v>
      </c>
      <c r="K4219" s="31">
        <v>45916</v>
      </c>
      <c r="L4219" s="31">
        <v>45919</v>
      </c>
      <c r="M4219" s="31">
        <v>45950</v>
      </c>
      <c r="N4219" s="31">
        <v>45954</v>
      </c>
      <c r="O4219" s="3" t="s">
        <v>297</v>
      </c>
    </row>
    <row r="4220" spans="1:15">
      <c r="A4220" s="3">
        <f t="shared" si="67"/>
        <v>4219</v>
      </c>
      <c r="B4220" s="65" t="s">
        <v>5604</v>
      </c>
      <c r="C4220" s="1">
        <v>8318794731</v>
      </c>
      <c r="E4220" s="17" t="s">
        <v>6082</v>
      </c>
      <c r="F4220" s="65" t="s">
        <v>6146</v>
      </c>
      <c r="G4220" s="3" t="s">
        <v>764</v>
      </c>
      <c r="H4220" s="3" t="s">
        <v>815</v>
      </c>
      <c r="I4220" s="3" t="s">
        <v>88</v>
      </c>
      <c r="J4220" s="31">
        <v>45912</v>
      </c>
      <c r="K4220" s="31">
        <v>45915</v>
      </c>
      <c r="L4220" s="31"/>
      <c r="M4220" s="31"/>
      <c r="O4220" s="3" t="s">
        <v>425</v>
      </c>
    </row>
    <row r="4221" spans="1:15">
      <c r="A4221" s="3">
        <f t="shared" si="67"/>
        <v>4220</v>
      </c>
      <c r="B4221" s="65" t="s">
        <v>6306</v>
      </c>
      <c r="C4221" s="1">
        <v>9959335456</v>
      </c>
      <c r="E4221" s="17" t="s">
        <v>2419</v>
      </c>
      <c r="F4221" s="65" t="s">
        <v>3004</v>
      </c>
      <c r="G4221" s="3" t="s">
        <v>16</v>
      </c>
      <c r="H4221" s="3" t="s">
        <v>2421</v>
      </c>
      <c r="I4221" s="3" t="s">
        <v>42</v>
      </c>
      <c r="J4221" s="31">
        <v>45912</v>
      </c>
      <c r="K4221" s="31">
        <v>45916</v>
      </c>
      <c r="L4221" s="31">
        <v>45917</v>
      </c>
      <c r="M4221" s="31">
        <v>45952</v>
      </c>
      <c r="N4221" s="31">
        <v>45952</v>
      </c>
      <c r="O4221" s="3" t="s">
        <v>297</v>
      </c>
    </row>
    <row r="4222" spans="1:15">
      <c r="A4222" s="3">
        <f t="shared" si="67"/>
        <v>4221</v>
      </c>
      <c r="B4222" s="65" t="s">
        <v>6307</v>
      </c>
      <c r="C4222" s="1">
        <v>8096514951</v>
      </c>
      <c r="E4222" s="17" t="s">
        <v>2419</v>
      </c>
      <c r="F4222" s="65" t="s">
        <v>5408</v>
      </c>
      <c r="G4222" s="3" t="s">
        <v>18</v>
      </c>
      <c r="H4222" s="3" t="s">
        <v>2421</v>
      </c>
      <c r="I4222" s="3" t="s">
        <v>42</v>
      </c>
      <c r="J4222" s="31">
        <v>45912</v>
      </c>
      <c r="K4222" s="31"/>
      <c r="L4222" s="31"/>
      <c r="M4222" s="31"/>
      <c r="O4222" s="3" t="s">
        <v>1004</v>
      </c>
    </row>
    <row r="4223" spans="1:15">
      <c r="A4223" s="3">
        <f t="shared" si="67"/>
        <v>4222</v>
      </c>
      <c r="B4223" s="65" t="s">
        <v>6308</v>
      </c>
      <c r="C4223" s="1">
        <v>9133186961</v>
      </c>
      <c r="E4223" s="17" t="s">
        <v>2419</v>
      </c>
      <c r="F4223" s="65" t="s">
        <v>2144</v>
      </c>
      <c r="G4223" s="3" t="s">
        <v>424</v>
      </c>
      <c r="H4223" s="3" t="s">
        <v>2421</v>
      </c>
      <c r="I4223" s="3" t="s">
        <v>42</v>
      </c>
      <c r="J4223" s="31">
        <v>45912</v>
      </c>
      <c r="K4223" s="31">
        <v>45916</v>
      </c>
      <c r="L4223" s="31"/>
      <c r="M4223" s="31"/>
      <c r="O4223" s="3" t="s">
        <v>425</v>
      </c>
    </row>
    <row r="4224" spans="1:15">
      <c r="A4224" s="3">
        <f t="shared" si="67"/>
        <v>4223</v>
      </c>
      <c r="B4224" s="65" t="s">
        <v>6309</v>
      </c>
      <c r="C4224" s="1">
        <v>9160903132</v>
      </c>
      <c r="E4224" s="17" t="s">
        <v>2419</v>
      </c>
      <c r="F4224" s="65" t="s">
        <v>5408</v>
      </c>
      <c r="G4224" s="3" t="s">
        <v>424</v>
      </c>
      <c r="H4224" s="3" t="s">
        <v>2421</v>
      </c>
      <c r="I4224" s="3" t="s">
        <v>42</v>
      </c>
      <c r="J4224" s="31">
        <v>45912</v>
      </c>
      <c r="K4224" s="31">
        <v>45918</v>
      </c>
      <c r="L4224" s="31"/>
      <c r="M4224" s="31"/>
      <c r="O4224" s="3" t="s">
        <v>425</v>
      </c>
    </row>
    <row r="4225" spans="1:15">
      <c r="A4225" s="3">
        <f t="shared" si="67"/>
        <v>4224</v>
      </c>
      <c r="B4225" s="65" t="s">
        <v>6310</v>
      </c>
      <c r="C4225" s="1">
        <v>8374217359</v>
      </c>
      <c r="E4225" s="17" t="s">
        <v>2419</v>
      </c>
      <c r="F4225" s="65" t="s">
        <v>6311</v>
      </c>
      <c r="G4225" s="3" t="s">
        <v>424</v>
      </c>
      <c r="H4225" s="3" t="s">
        <v>2421</v>
      </c>
      <c r="I4225" s="3" t="s">
        <v>42</v>
      </c>
      <c r="J4225" s="31">
        <v>45912</v>
      </c>
      <c r="K4225" s="31">
        <v>45916</v>
      </c>
      <c r="L4225" s="31"/>
      <c r="M4225" s="31"/>
      <c r="O4225" s="3" t="s">
        <v>425</v>
      </c>
    </row>
    <row r="4226" spans="1:15">
      <c r="A4226" s="3">
        <f t="shared" si="67"/>
        <v>4225</v>
      </c>
      <c r="B4226" s="65" t="s">
        <v>6312</v>
      </c>
      <c r="C4226" s="1">
        <v>7978541901</v>
      </c>
      <c r="E4226" s="17" t="s">
        <v>5173</v>
      </c>
      <c r="F4226" s="65" t="s">
        <v>490</v>
      </c>
      <c r="G4226" s="3" t="s">
        <v>18</v>
      </c>
      <c r="H4226" s="3" t="s">
        <v>3240</v>
      </c>
      <c r="I4226" s="3" t="s">
        <v>42</v>
      </c>
      <c r="J4226" s="31">
        <v>45912</v>
      </c>
      <c r="K4226" s="31">
        <v>45916</v>
      </c>
      <c r="L4226" s="31"/>
      <c r="M4226" s="31"/>
      <c r="O4226" s="3" t="s">
        <v>297</v>
      </c>
    </row>
    <row r="4227" spans="1:15">
      <c r="A4227" s="3">
        <f t="shared" si="67"/>
        <v>4226</v>
      </c>
      <c r="B4227" s="65" t="s">
        <v>6313</v>
      </c>
      <c r="C4227" s="1">
        <v>6304927821</v>
      </c>
      <c r="E4227" s="17" t="s">
        <v>5173</v>
      </c>
      <c r="F4227" s="65" t="s">
        <v>6314</v>
      </c>
      <c r="G4227" s="3" t="s">
        <v>16</v>
      </c>
      <c r="H4227" s="3" t="s">
        <v>3240</v>
      </c>
      <c r="I4227" s="3" t="s">
        <v>42</v>
      </c>
      <c r="J4227" s="31">
        <v>45912</v>
      </c>
      <c r="K4227" s="31">
        <v>45943</v>
      </c>
      <c r="L4227" s="31">
        <v>45945</v>
      </c>
      <c r="M4227" s="31">
        <v>45960</v>
      </c>
      <c r="N4227" s="31">
        <v>45962</v>
      </c>
      <c r="O4227" s="3" t="s">
        <v>297</v>
      </c>
    </row>
    <row r="4228" spans="1:15">
      <c r="A4228" s="3">
        <f t="shared" si="67"/>
        <v>4227</v>
      </c>
      <c r="B4228" s="65" t="s">
        <v>6315</v>
      </c>
      <c r="C4228" s="1">
        <v>8521351867</v>
      </c>
      <c r="E4228" s="17" t="s">
        <v>6236</v>
      </c>
      <c r="F4228" s="65" t="s">
        <v>6314</v>
      </c>
      <c r="G4228" s="3" t="s">
        <v>16</v>
      </c>
      <c r="H4228" s="3" t="s">
        <v>3240</v>
      </c>
      <c r="I4228" s="3" t="s">
        <v>42</v>
      </c>
      <c r="J4228" s="31">
        <v>45912</v>
      </c>
      <c r="K4228" s="31">
        <v>45916</v>
      </c>
      <c r="L4228" s="31">
        <v>45945</v>
      </c>
      <c r="M4228" s="31">
        <v>46089</v>
      </c>
      <c r="N4228" s="31">
        <v>45978</v>
      </c>
      <c r="O4228" s="3" t="s">
        <v>297</v>
      </c>
    </row>
    <row r="4229" spans="1:15">
      <c r="A4229" s="3">
        <f t="shared" si="67"/>
        <v>4228</v>
      </c>
      <c r="B4229" s="65" t="s">
        <v>6316</v>
      </c>
      <c r="C4229" s="1">
        <v>7205668342</v>
      </c>
      <c r="E4229" s="17" t="s">
        <v>5173</v>
      </c>
      <c r="F4229" s="65" t="s">
        <v>6317</v>
      </c>
      <c r="G4229" s="3" t="s">
        <v>424</v>
      </c>
      <c r="H4229" s="3" t="s">
        <v>3240</v>
      </c>
      <c r="I4229" s="3" t="s">
        <v>42</v>
      </c>
      <c r="J4229" s="31">
        <v>45912</v>
      </c>
      <c r="K4229" s="31">
        <v>45917</v>
      </c>
      <c r="L4229" s="31"/>
      <c r="M4229" s="31"/>
      <c r="O4229" s="3" t="s">
        <v>425</v>
      </c>
    </row>
    <row r="4230" spans="1:15">
      <c r="A4230" s="3">
        <f t="shared" si="67"/>
        <v>4229</v>
      </c>
      <c r="B4230" s="65" t="s">
        <v>6318</v>
      </c>
      <c r="C4230" s="1">
        <v>9398259489</v>
      </c>
      <c r="E4230" s="17" t="s">
        <v>5173</v>
      </c>
      <c r="F4230" s="65" t="s">
        <v>6319</v>
      </c>
      <c r="G4230" s="3" t="s">
        <v>16</v>
      </c>
      <c r="H4230" s="3" t="s">
        <v>3240</v>
      </c>
      <c r="I4230" s="3" t="s">
        <v>42</v>
      </c>
      <c r="J4230" s="31">
        <v>45912</v>
      </c>
      <c r="K4230" s="31">
        <v>45943</v>
      </c>
      <c r="L4230" s="31">
        <v>45945</v>
      </c>
      <c r="M4230" s="31">
        <v>45979</v>
      </c>
      <c r="N4230" s="31">
        <v>45979</v>
      </c>
      <c r="O4230" s="3" t="s">
        <v>297</v>
      </c>
    </row>
    <row r="4231" spans="1:15">
      <c r="A4231" s="3">
        <f t="shared" si="67"/>
        <v>4230</v>
      </c>
      <c r="B4231" s="65" t="s">
        <v>6320</v>
      </c>
      <c r="C4231" s="1">
        <v>9794882645</v>
      </c>
      <c r="E4231" s="17" t="s">
        <v>5173</v>
      </c>
      <c r="F4231" s="65" t="s">
        <v>994</v>
      </c>
      <c r="G4231" s="3" t="s">
        <v>18</v>
      </c>
      <c r="H4231" s="3" t="s">
        <v>3240</v>
      </c>
      <c r="I4231" s="3" t="s">
        <v>42</v>
      </c>
      <c r="J4231" s="31">
        <v>45912</v>
      </c>
      <c r="K4231" s="31">
        <v>45916</v>
      </c>
      <c r="L4231" s="31"/>
      <c r="M4231" s="31"/>
      <c r="O4231" s="3" t="s">
        <v>297</v>
      </c>
    </row>
    <row r="4232" spans="1:15">
      <c r="A4232" s="3">
        <f t="shared" si="67"/>
        <v>4231</v>
      </c>
      <c r="B4232" s="65" t="s">
        <v>6321</v>
      </c>
      <c r="C4232" s="1">
        <v>9182130925</v>
      </c>
      <c r="E4232" s="17" t="s">
        <v>5173</v>
      </c>
      <c r="F4232" s="65" t="s">
        <v>994</v>
      </c>
      <c r="G4232" s="3" t="s">
        <v>16</v>
      </c>
      <c r="H4232" s="3" t="s">
        <v>3240</v>
      </c>
      <c r="I4232" s="3" t="s">
        <v>42</v>
      </c>
      <c r="J4232" s="31">
        <v>45912</v>
      </c>
      <c r="K4232" s="31">
        <v>45916</v>
      </c>
      <c r="L4232" s="31">
        <v>45945</v>
      </c>
      <c r="M4232" s="31">
        <v>45976</v>
      </c>
      <c r="N4232" s="31">
        <v>45953</v>
      </c>
      <c r="O4232" s="3" t="s">
        <v>297</v>
      </c>
    </row>
    <row r="4233" spans="1:15">
      <c r="A4233" s="3">
        <f t="shared" si="67"/>
        <v>4232</v>
      </c>
      <c r="B4233" s="65" t="s">
        <v>6322</v>
      </c>
      <c r="C4233" s="1">
        <v>7829106394</v>
      </c>
      <c r="E4233" s="17" t="s">
        <v>6082</v>
      </c>
      <c r="F4233" s="65" t="s">
        <v>6146</v>
      </c>
      <c r="G4233" s="3" t="s">
        <v>16</v>
      </c>
      <c r="H4233" s="3" t="s">
        <v>815</v>
      </c>
      <c r="I4233" s="3" t="s">
        <v>88</v>
      </c>
      <c r="J4233" s="31">
        <v>45915</v>
      </c>
      <c r="K4233" s="31">
        <v>45915</v>
      </c>
      <c r="L4233" s="31">
        <v>45916</v>
      </c>
      <c r="M4233" s="31">
        <v>45945</v>
      </c>
      <c r="N4233" s="31">
        <v>45945</v>
      </c>
      <c r="O4233" s="3" t="s">
        <v>297</v>
      </c>
    </row>
    <row r="4234" spans="1:15">
      <c r="A4234" s="3">
        <f t="shared" si="67"/>
        <v>4233</v>
      </c>
      <c r="B4234" s="65" t="s">
        <v>6323</v>
      </c>
      <c r="C4234" s="1">
        <v>8074193399</v>
      </c>
      <c r="E4234" s="17" t="s">
        <v>2176</v>
      </c>
      <c r="F4234" s="65" t="s">
        <v>6324</v>
      </c>
      <c r="G4234" s="3" t="s">
        <v>16</v>
      </c>
      <c r="H4234" s="3" t="s">
        <v>296</v>
      </c>
      <c r="I4234" s="3" t="s">
        <v>42</v>
      </c>
      <c r="J4234" s="31">
        <v>45915</v>
      </c>
      <c r="K4234" s="31">
        <v>45917</v>
      </c>
      <c r="L4234" s="31">
        <v>45923</v>
      </c>
      <c r="M4234" s="31">
        <v>45953</v>
      </c>
      <c r="N4234" s="31">
        <v>45954</v>
      </c>
      <c r="O4234" s="3" t="s">
        <v>297</v>
      </c>
    </row>
    <row r="4235" spans="1:15">
      <c r="A4235" s="3">
        <f t="shared" si="67"/>
        <v>4234</v>
      </c>
      <c r="B4235" s="65" t="s">
        <v>6325</v>
      </c>
      <c r="C4235" s="1">
        <v>9120842711</v>
      </c>
      <c r="E4235" s="17" t="s">
        <v>4887</v>
      </c>
      <c r="F4235" s="65" t="s">
        <v>6326</v>
      </c>
      <c r="G4235" s="3" t="s">
        <v>16</v>
      </c>
      <c r="H4235" s="3" t="s">
        <v>361</v>
      </c>
      <c r="I4235" s="3" t="s">
        <v>88</v>
      </c>
      <c r="J4235" s="31">
        <v>45915</v>
      </c>
      <c r="K4235" s="31">
        <v>45925</v>
      </c>
      <c r="L4235" s="31">
        <v>45938</v>
      </c>
      <c r="M4235" s="31">
        <v>45971</v>
      </c>
      <c r="N4235" s="31">
        <v>45954</v>
      </c>
      <c r="O4235" s="3" t="s">
        <v>297</v>
      </c>
    </row>
    <row r="4236" spans="1:15">
      <c r="A4236" s="3">
        <f t="shared" si="67"/>
        <v>4235</v>
      </c>
      <c r="B4236" s="65" t="s">
        <v>6327</v>
      </c>
      <c r="C4236" s="1">
        <v>7718470605</v>
      </c>
      <c r="E4236" s="17" t="s">
        <v>6328</v>
      </c>
      <c r="F4236" s="65" t="s">
        <v>6329</v>
      </c>
      <c r="G4236" s="3" t="s">
        <v>16</v>
      </c>
      <c r="H4236" s="3" t="s">
        <v>296</v>
      </c>
      <c r="I4236" s="3" t="s">
        <v>88</v>
      </c>
      <c r="J4236" s="31">
        <v>45915</v>
      </c>
      <c r="K4236" s="31">
        <v>45915</v>
      </c>
      <c r="L4236" s="31">
        <v>45916</v>
      </c>
      <c r="M4236" s="31">
        <v>45926</v>
      </c>
      <c r="N4236" s="31">
        <v>45942</v>
      </c>
      <c r="O4236" s="3" t="s">
        <v>297</v>
      </c>
    </row>
    <row r="4237" spans="1:15">
      <c r="A4237" s="3">
        <f t="shared" si="67"/>
        <v>4236</v>
      </c>
      <c r="B4237" s="65" t="s">
        <v>6330</v>
      </c>
      <c r="C4237" s="1">
        <v>8651568035</v>
      </c>
      <c r="E4237" s="17" t="s">
        <v>5825</v>
      </c>
      <c r="F4237" s="65" t="s">
        <v>6331</v>
      </c>
      <c r="G4237" s="3" t="s">
        <v>764</v>
      </c>
      <c r="H4237" s="3" t="s">
        <v>815</v>
      </c>
      <c r="I4237" s="3" t="s">
        <v>94</v>
      </c>
      <c r="J4237" s="31">
        <v>45915</v>
      </c>
      <c r="K4237" s="31">
        <v>45916</v>
      </c>
      <c r="L4237" s="31"/>
      <c r="M4237" s="31"/>
      <c r="O4237" s="3" t="s">
        <v>425</v>
      </c>
    </row>
    <row r="4238" spans="1:15">
      <c r="A4238" s="3">
        <f t="shared" si="67"/>
        <v>4237</v>
      </c>
      <c r="B4238" s="65" t="s">
        <v>6332</v>
      </c>
      <c r="C4238" s="1">
        <v>8926054454</v>
      </c>
      <c r="E4238" s="17" t="s">
        <v>5825</v>
      </c>
      <c r="F4238" s="65" t="s">
        <v>6331</v>
      </c>
      <c r="G4238" s="3" t="s">
        <v>764</v>
      </c>
      <c r="H4238" s="3" t="s">
        <v>815</v>
      </c>
      <c r="I4238" s="3" t="s">
        <v>94</v>
      </c>
      <c r="J4238" s="31">
        <v>45915</v>
      </c>
      <c r="K4238" s="31">
        <v>45916</v>
      </c>
      <c r="L4238" s="31"/>
      <c r="M4238" s="31"/>
      <c r="O4238" s="3" t="s">
        <v>425</v>
      </c>
    </row>
    <row r="4239" spans="1:15">
      <c r="A4239" s="3">
        <f t="shared" si="67"/>
        <v>4238</v>
      </c>
      <c r="B4239" s="65" t="s">
        <v>6333</v>
      </c>
      <c r="C4239" s="1">
        <v>7310936482</v>
      </c>
      <c r="E4239" s="17" t="s">
        <v>5361</v>
      </c>
      <c r="F4239" s="65" t="s">
        <v>1555</v>
      </c>
      <c r="G4239" s="3" t="s">
        <v>764</v>
      </c>
      <c r="H4239" s="3" t="s">
        <v>815</v>
      </c>
      <c r="I4239" s="3" t="s">
        <v>94</v>
      </c>
      <c r="J4239" s="31">
        <v>45915</v>
      </c>
      <c r="K4239" s="31">
        <v>45918</v>
      </c>
      <c r="L4239" s="31"/>
      <c r="M4239" s="31"/>
      <c r="O4239" s="3" t="s">
        <v>425</v>
      </c>
    </row>
    <row r="4240" spans="1:15">
      <c r="A4240" s="3">
        <f t="shared" si="67"/>
        <v>4239</v>
      </c>
      <c r="B4240" s="65" t="s">
        <v>6334</v>
      </c>
      <c r="C4240" s="1">
        <v>8840982723</v>
      </c>
      <c r="E4240" s="17" t="s">
        <v>5361</v>
      </c>
      <c r="F4240" s="65" t="s">
        <v>1555</v>
      </c>
      <c r="G4240" s="3" t="s">
        <v>416</v>
      </c>
      <c r="H4240" s="3" t="s">
        <v>815</v>
      </c>
      <c r="I4240" s="3" t="s">
        <v>94</v>
      </c>
      <c r="J4240" s="31">
        <v>45915</v>
      </c>
      <c r="K4240" s="31">
        <v>45916</v>
      </c>
      <c r="L4240" s="31"/>
      <c r="M4240" s="31"/>
      <c r="O4240" s="3" t="s">
        <v>297</v>
      </c>
    </row>
    <row r="4241" spans="1:15">
      <c r="A4241" s="3">
        <f t="shared" si="67"/>
        <v>4240</v>
      </c>
      <c r="B4241" s="65" t="s">
        <v>6335</v>
      </c>
      <c r="C4241" s="1">
        <v>9129806417</v>
      </c>
      <c r="E4241" s="17" t="s">
        <v>6091</v>
      </c>
      <c r="F4241" s="65" t="s">
        <v>1555</v>
      </c>
      <c r="G4241" s="3" t="s">
        <v>416</v>
      </c>
      <c r="H4241" s="3" t="s">
        <v>815</v>
      </c>
      <c r="I4241" s="3" t="s">
        <v>94</v>
      </c>
      <c r="J4241" s="31">
        <v>45915</v>
      </c>
      <c r="K4241" s="31">
        <v>45916</v>
      </c>
      <c r="L4241" s="31"/>
      <c r="M4241" s="31"/>
      <c r="O4241" s="3" t="s">
        <v>297</v>
      </c>
    </row>
    <row r="4242" spans="1:15">
      <c r="A4242" s="3">
        <f t="shared" si="67"/>
        <v>4241</v>
      </c>
      <c r="B4242" s="65" t="s">
        <v>6336</v>
      </c>
      <c r="C4242" s="1">
        <v>7355325436</v>
      </c>
      <c r="E4242" s="17" t="s">
        <v>6091</v>
      </c>
      <c r="F4242" s="65" t="s">
        <v>1555</v>
      </c>
      <c r="G4242" s="3" t="s">
        <v>764</v>
      </c>
      <c r="H4242" s="3" t="s">
        <v>815</v>
      </c>
      <c r="I4242" s="3" t="s">
        <v>94</v>
      </c>
      <c r="J4242" s="31">
        <v>45915</v>
      </c>
      <c r="K4242" s="31">
        <v>45917</v>
      </c>
      <c r="L4242" s="31"/>
      <c r="M4242" s="31"/>
      <c r="O4242" s="3" t="s">
        <v>425</v>
      </c>
    </row>
    <row r="4243" spans="1:15">
      <c r="A4243" s="3">
        <f t="shared" si="67"/>
        <v>4242</v>
      </c>
      <c r="B4243" s="65" t="s">
        <v>6337</v>
      </c>
      <c r="C4243" s="1">
        <v>9989254818</v>
      </c>
      <c r="E4243" s="17" t="s">
        <v>5811</v>
      </c>
      <c r="F4243" s="65" t="s">
        <v>1897</v>
      </c>
      <c r="G4243" s="3" t="s">
        <v>18</v>
      </c>
      <c r="H4243" s="3" t="s">
        <v>296</v>
      </c>
      <c r="I4243" s="3" t="s">
        <v>94</v>
      </c>
      <c r="J4243" s="31">
        <v>45916</v>
      </c>
      <c r="K4243" s="31">
        <v>45930</v>
      </c>
      <c r="L4243" s="31"/>
      <c r="M4243" s="31"/>
      <c r="O4243" s="3" t="s">
        <v>297</v>
      </c>
    </row>
    <row r="4244" spans="1:15">
      <c r="A4244" s="3">
        <f t="shared" si="67"/>
        <v>4243</v>
      </c>
      <c r="B4244" s="65" t="s">
        <v>6338</v>
      </c>
      <c r="C4244" s="1">
        <v>9177845893</v>
      </c>
      <c r="E4244" s="17" t="s">
        <v>4054</v>
      </c>
      <c r="F4244" s="65" t="s">
        <v>792</v>
      </c>
      <c r="G4244" s="3" t="s">
        <v>18</v>
      </c>
      <c r="H4244" s="3" t="s">
        <v>296</v>
      </c>
      <c r="I4244" s="3" t="s">
        <v>94</v>
      </c>
      <c r="J4244" s="31">
        <v>45916</v>
      </c>
      <c r="K4244" s="31"/>
      <c r="L4244" s="31"/>
      <c r="M4244" s="31"/>
      <c r="O4244" s="3" t="s">
        <v>297</v>
      </c>
    </row>
    <row r="4245" spans="1:15">
      <c r="A4245" s="3">
        <f t="shared" si="67"/>
        <v>4244</v>
      </c>
      <c r="B4245" s="65" t="s">
        <v>6339</v>
      </c>
      <c r="C4245" s="1">
        <v>8237296290</v>
      </c>
      <c r="E4245" s="17" t="s">
        <v>5821</v>
      </c>
      <c r="F4245" s="65" t="s">
        <v>1999</v>
      </c>
      <c r="G4245" s="3" t="s">
        <v>295</v>
      </c>
      <c r="H4245" s="3" t="s">
        <v>296</v>
      </c>
      <c r="I4245" s="3" t="s">
        <v>94</v>
      </c>
      <c r="J4245" s="31">
        <v>45916</v>
      </c>
      <c r="K4245" s="31">
        <v>45919</v>
      </c>
      <c r="L4245" s="31">
        <v>45924</v>
      </c>
      <c r="M4245" s="31">
        <v>45954</v>
      </c>
      <c r="O4245" s="3" t="s">
        <v>297</v>
      </c>
    </row>
    <row r="4246" spans="1:15">
      <c r="A4246" s="3">
        <f t="shared" si="67"/>
        <v>4245</v>
      </c>
      <c r="B4246" s="65" t="s">
        <v>6340</v>
      </c>
      <c r="C4246" s="1">
        <v>9752707268</v>
      </c>
      <c r="D4246" s="1">
        <v>9098001754</v>
      </c>
      <c r="E4246" s="17" t="s">
        <v>5412</v>
      </c>
      <c r="F4246" s="65" t="s">
        <v>612</v>
      </c>
      <c r="G4246" s="3" t="s">
        <v>16</v>
      </c>
      <c r="H4246" s="3" t="s">
        <v>1605</v>
      </c>
      <c r="I4246" s="3" t="s">
        <v>94</v>
      </c>
      <c r="J4246" s="31">
        <v>45916</v>
      </c>
      <c r="K4246" s="31">
        <v>45918</v>
      </c>
      <c r="L4246" s="31">
        <v>45919</v>
      </c>
      <c r="M4246" s="31">
        <v>45950</v>
      </c>
      <c r="N4246" s="31">
        <v>45957</v>
      </c>
      <c r="O4246" s="3" t="s">
        <v>297</v>
      </c>
    </row>
    <row r="4247" spans="1:15">
      <c r="A4247" s="3">
        <f t="shared" si="67"/>
        <v>4246</v>
      </c>
      <c r="B4247" s="65" t="s">
        <v>6341</v>
      </c>
      <c r="C4247" s="1">
        <v>9589131379</v>
      </c>
      <c r="E4247" s="17" t="s">
        <v>5412</v>
      </c>
      <c r="F4247" s="65" t="s">
        <v>612</v>
      </c>
      <c r="G4247" s="3" t="s">
        <v>416</v>
      </c>
      <c r="H4247" s="3" t="s">
        <v>1605</v>
      </c>
      <c r="I4247" s="3" t="s">
        <v>94</v>
      </c>
      <c r="J4247" s="31">
        <v>45916</v>
      </c>
      <c r="K4247" s="31">
        <v>45918</v>
      </c>
      <c r="L4247" s="31"/>
      <c r="M4247" s="31"/>
      <c r="O4247" s="3" t="s">
        <v>297</v>
      </c>
    </row>
    <row r="4248" spans="1:15">
      <c r="A4248" s="3">
        <f t="shared" si="67"/>
        <v>4247</v>
      </c>
      <c r="B4248" s="65" t="s">
        <v>3403</v>
      </c>
      <c r="C4248" s="1">
        <v>9120030342</v>
      </c>
      <c r="E4248" s="17" t="s">
        <v>5417</v>
      </c>
      <c r="F4248" s="65" t="s">
        <v>364</v>
      </c>
      <c r="G4248" s="3" t="s">
        <v>416</v>
      </c>
      <c r="H4248" s="3" t="s">
        <v>1605</v>
      </c>
      <c r="I4248" s="3" t="s">
        <v>94</v>
      </c>
      <c r="J4248" s="31">
        <v>45916</v>
      </c>
      <c r="K4248" s="31">
        <v>45918</v>
      </c>
      <c r="L4248" s="31"/>
      <c r="M4248" s="31"/>
      <c r="O4248" s="3" t="s">
        <v>297</v>
      </c>
    </row>
    <row r="4249" spans="1:15">
      <c r="A4249" s="3">
        <f t="shared" si="67"/>
        <v>4248</v>
      </c>
      <c r="B4249" s="65" t="s">
        <v>6342</v>
      </c>
      <c r="C4249" s="1">
        <v>9724790386</v>
      </c>
      <c r="E4249" s="17" t="s">
        <v>6343</v>
      </c>
      <c r="F4249" s="65" t="s">
        <v>364</v>
      </c>
      <c r="G4249" s="3" t="s">
        <v>764</v>
      </c>
      <c r="H4249" s="3" t="s">
        <v>1605</v>
      </c>
      <c r="I4249" s="3" t="s">
        <v>94</v>
      </c>
      <c r="J4249" s="31">
        <v>45916</v>
      </c>
      <c r="K4249" s="31">
        <v>45918</v>
      </c>
      <c r="L4249" s="31"/>
      <c r="M4249" s="31"/>
      <c r="O4249" s="3" t="s">
        <v>425</v>
      </c>
    </row>
    <row r="4250" spans="1:15">
      <c r="A4250" s="3">
        <f t="shared" si="67"/>
        <v>4249</v>
      </c>
      <c r="B4250" s="65" t="s">
        <v>6344</v>
      </c>
      <c r="C4250" s="1">
        <v>9603474927</v>
      </c>
      <c r="E4250" s="17" t="s">
        <v>6345</v>
      </c>
      <c r="F4250" s="65" t="s">
        <v>569</v>
      </c>
      <c r="G4250" s="3" t="s">
        <v>416</v>
      </c>
      <c r="H4250" s="3" t="s">
        <v>5163</v>
      </c>
      <c r="I4250" s="3" t="s">
        <v>94</v>
      </c>
      <c r="J4250" s="31">
        <v>45918</v>
      </c>
      <c r="K4250" s="31">
        <v>45931</v>
      </c>
      <c r="L4250" s="31"/>
      <c r="M4250" s="31"/>
      <c r="O4250" s="3" t="s">
        <v>297</v>
      </c>
    </row>
    <row r="4251" spans="1:15">
      <c r="A4251" s="3">
        <f t="shared" si="67"/>
        <v>4250</v>
      </c>
      <c r="B4251" s="65" t="s">
        <v>6346</v>
      </c>
      <c r="C4251" s="1">
        <v>9019718118</v>
      </c>
      <c r="E4251" s="17" t="s">
        <v>6345</v>
      </c>
      <c r="F4251" s="65" t="s">
        <v>569</v>
      </c>
      <c r="G4251" s="3" t="s">
        <v>16</v>
      </c>
      <c r="H4251" s="3" t="s">
        <v>5163</v>
      </c>
      <c r="I4251" s="3" t="s">
        <v>94</v>
      </c>
      <c r="J4251" s="31">
        <v>45918</v>
      </c>
      <c r="K4251" s="31">
        <v>45918</v>
      </c>
      <c r="L4251" s="31">
        <v>45924</v>
      </c>
      <c r="M4251" s="31">
        <v>45939</v>
      </c>
      <c r="N4251" s="31">
        <v>45954</v>
      </c>
      <c r="O4251" s="3" t="s">
        <v>297</v>
      </c>
    </row>
    <row r="4252" spans="1:15">
      <c r="A4252" s="3">
        <f t="shared" si="67"/>
        <v>4251</v>
      </c>
      <c r="B4252" s="65" t="s">
        <v>6347</v>
      </c>
      <c r="C4252" s="1">
        <v>9666326251</v>
      </c>
      <c r="E4252" s="17" t="s">
        <v>6080</v>
      </c>
      <c r="F4252" s="65"/>
      <c r="G4252" s="3" t="s">
        <v>16</v>
      </c>
      <c r="H4252" s="3" t="s">
        <v>6348</v>
      </c>
      <c r="I4252" s="3" t="s">
        <v>42</v>
      </c>
      <c r="J4252" s="31">
        <v>45911</v>
      </c>
      <c r="K4252" s="31">
        <v>45913</v>
      </c>
      <c r="L4252" s="31">
        <v>45917</v>
      </c>
      <c r="M4252" s="31">
        <v>45940</v>
      </c>
      <c r="N4252" s="31">
        <v>45936</v>
      </c>
      <c r="O4252" s="3" t="s">
        <v>297</v>
      </c>
    </row>
    <row r="4253" spans="1:15">
      <c r="A4253" s="3">
        <f t="shared" si="67"/>
        <v>4252</v>
      </c>
      <c r="B4253" s="65" t="s">
        <v>6349</v>
      </c>
      <c r="C4253" s="1">
        <v>6263851650</v>
      </c>
      <c r="D4253" s="1">
        <v>9752999600</v>
      </c>
      <c r="E4253" s="17" t="s">
        <v>5452</v>
      </c>
      <c r="F4253" s="65" t="s">
        <v>419</v>
      </c>
      <c r="G4253" s="3" t="s">
        <v>424</v>
      </c>
      <c r="H4253" s="3" t="s">
        <v>1096</v>
      </c>
      <c r="I4253" s="3" t="s">
        <v>94</v>
      </c>
      <c r="J4253" s="31">
        <v>45918</v>
      </c>
      <c r="K4253" s="31">
        <v>45922</v>
      </c>
      <c r="L4253" s="31"/>
      <c r="M4253" s="31"/>
      <c r="O4253" s="3" t="s">
        <v>749</v>
      </c>
    </row>
    <row r="4254" spans="1:15">
      <c r="A4254" s="3">
        <f t="shared" ref="A4254:A4317" si="68">ROW()-1</f>
        <v>4253</v>
      </c>
      <c r="B4254" s="65" t="s">
        <v>6350</v>
      </c>
      <c r="C4254" s="1">
        <v>9564040645</v>
      </c>
      <c r="D4254" s="1">
        <v>9844413527</v>
      </c>
      <c r="E4254" s="17" t="s">
        <v>5452</v>
      </c>
      <c r="F4254" s="65" t="s">
        <v>308</v>
      </c>
      <c r="G4254" s="3" t="s">
        <v>416</v>
      </c>
      <c r="H4254" s="3" t="s">
        <v>1096</v>
      </c>
      <c r="I4254" s="3" t="s">
        <v>94</v>
      </c>
      <c r="J4254" s="31">
        <v>45918</v>
      </c>
      <c r="K4254" s="31">
        <v>45922</v>
      </c>
      <c r="L4254" s="31"/>
      <c r="M4254" s="31"/>
      <c r="O4254" s="3" t="s">
        <v>297</v>
      </c>
    </row>
    <row r="4255" spans="1:15">
      <c r="A4255" s="3">
        <f t="shared" si="68"/>
        <v>4254</v>
      </c>
      <c r="B4255" s="65" t="s">
        <v>6351</v>
      </c>
      <c r="C4255" s="1">
        <v>8374520689</v>
      </c>
      <c r="E4255" s="17" t="s">
        <v>5450</v>
      </c>
      <c r="F4255" s="65" t="s">
        <v>308</v>
      </c>
      <c r="G4255" s="3" t="s">
        <v>416</v>
      </c>
      <c r="H4255" s="3" t="s">
        <v>1096</v>
      </c>
      <c r="I4255" s="3" t="s">
        <v>94</v>
      </c>
      <c r="J4255" s="31">
        <v>45918</v>
      </c>
      <c r="K4255" s="31">
        <v>45922</v>
      </c>
      <c r="L4255" s="31"/>
      <c r="M4255" s="31"/>
      <c r="O4255" s="3" t="s">
        <v>297</v>
      </c>
    </row>
    <row r="4256" spans="1:15">
      <c r="A4256" s="3">
        <f t="shared" si="68"/>
        <v>4255</v>
      </c>
      <c r="B4256" s="65" t="s">
        <v>6352</v>
      </c>
      <c r="C4256" s="1">
        <v>9666369378</v>
      </c>
      <c r="E4256" s="17" t="s">
        <v>5818</v>
      </c>
      <c r="F4256" s="65"/>
      <c r="G4256" s="3" t="s">
        <v>16</v>
      </c>
      <c r="H4256" s="2" t="s">
        <v>6353</v>
      </c>
      <c r="I4256" s="3" t="s">
        <v>42</v>
      </c>
      <c r="J4256" s="31">
        <v>45911</v>
      </c>
      <c r="K4256" s="31">
        <v>45913</v>
      </c>
      <c r="L4256" s="31">
        <v>45917</v>
      </c>
      <c r="M4256" s="31">
        <v>45937</v>
      </c>
      <c r="N4256" s="31">
        <v>45931</v>
      </c>
      <c r="O4256" s="3" t="s">
        <v>297</v>
      </c>
    </row>
    <row r="4257" spans="1:15">
      <c r="A4257" s="3">
        <f t="shared" si="68"/>
        <v>4256</v>
      </c>
      <c r="B4257" s="65" t="s">
        <v>6354</v>
      </c>
      <c r="C4257" s="1">
        <v>8342824981</v>
      </c>
      <c r="D4257" s="1">
        <v>9635739830</v>
      </c>
      <c r="E4257" s="17" t="s">
        <v>5525</v>
      </c>
      <c r="F4257" s="65" t="s">
        <v>294</v>
      </c>
      <c r="G4257" s="3" t="s">
        <v>18</v>
      </c>
      <c r="H4257" s="3" t="s">
        <v>296</v>
      </c>
      <c r="I4257" s="3" t="s">
        <v>94</v>
      </c>
      <c r="J4257" s="31">
        <v>45918</v>
      </c>
      <c r="K4257" s="31">
        <v>45919</v>
      </c>
      <c r="L4257" s="31"/>
      <c r="M4257" s="31"/>
      <c r="O4257" s="3" t="s">
        <v>297</v>
      </c>
    </row>
    <row r="4258" spans="1:15">
      <c r="A4258" s="3">
        <f t="shared" si="68"/>
        <v>4257</v>
      </c>
      <c r="B4258" s="65" t="s">
        <v>6355</v>
      </c>
      <c r="C4258" s="1">
        <v>7001797737</v>
      </c>
      <c r="D4258" s="1">
        <v>9775455048</v>
      </c>
      <c r="E4258" s="17" t="s">
        <v>6264</v>
      </c>
      <c r="F4258" s="65" t="s">
        <v>3002</v>
      </c>
      <c r="G4258" s="3" t="s">
        <v>16</v>
      </c>
      <c r="H4258" s="3" t="s">
        <v>296</v>
      </c>
      <c r="I4258" s="3" t="s">
        <v>94</v>
      </c>
      <c r="J4258" s="31">
        <v>45918</v>
      </c>
      <c r="K4258" s="31">
        <v>45919</v>
      </c>
      <c r="L4258" s="31">
        <v>45926</v>
      </c>
      <c r="M4258" s="31">
        <v>45957</v>
      </c>
      <c r="N4258" s="31">
        <v>45962</v>
      </c>
      <c r="O4258" s="3" t="s">
        <v>297</v>
      </c>
    </row>
    <row r="4259" spans="1:15">
      <c r="A4259" s="3">
        <f t="shared" si="68"/>
        <v>4258</v>
      </c>
      <c r="B4259" s="65" t="s">
        <v>6356</v>
      </c>
      <c r="C4259" s="1">
        <v>9493666735</v>
      </c>
      <c r="D4259" s="1">
        <v>6302686926</v>
      </c>
      <c r="E4259" s="17" t="s">
        <v>5843</v>
      </c>
      <c r="F4259" s="65" t="s">
        <v>6357</v>
      </c>
      <c r="G4259" s="3" t="s">
        <v>16</v>
      </c>
      <c r="H4259" s="3" t="s">
        <v>5774</v>
      </c>
      <c r="I4259" s="3" t="s">
        <v>42</v>
      </c>
      <c r="J4259" s="31">
        <v>45918</v>
      </c>
      <c r="K4259" s="31">
        <v>45918</v>
      </c>
      <c r="L4259" s="31">
        <v>45923</v>
      </c>
      <c r="M4259" s="31">
        <v>45938</v>
      </c>
      <c r="N4259" s="31">
        <v>45938</v>
      </c>
      <c r="O4259" s="3" t="s">
        <v>297</v>
      </c>
    </row>
    <row r="4260" spans="1:15">
      <c r="A4260" s="3">
        <f t="shared" si="68"/>
        <v>4259</v>
      </c>
      <c r="B4260" s="65" t="s">
        <v>6358</v>
      </c>
      <c r="C4260" s="1">
        <v>8463999310</v>
      </c>
      <c r="D4260" s="1">
        <v>7055743252</v>
      </c>
      <c r="E4260" s="17" t="s">
        <v>2821</v>
      </c>
      <c r="F4260" s="65" t="s">
        <v>6359</v>
      </c>
      <c r="G4260" s="3" t="s">
        <v>16</v>
      </c>
      <c r="H4260" s="3" t="s">
        <v>5774</v>
      </c>
      <c r="I4260" s="3" t="s">
        <v>42</v>
      </c>
      <c r="J4260" s="31">
        <v>45918</v>
      </c>
      <c r="K4260" s="31">
        <v>45918</v>
      </c>
      <c r="L4260" s="31">
        <v>45923</v>
      </c>
      <c r="M4260" s="31">
        <v>45986</v>
      </c>
      <c r="N4260" s="31">
        <v>45980</v>
      </c>
      <c r="O4260" s="3" t="s">
        <v>297</v>
      </c>
    </row>
    <row r="4261" spans="1:15">
      <c r="A4261" s="3">
        <f t="shared" si="68"/>
        <v>4260</v>
      </c>
      <c r="B4261" s="65" t="s">
        <v>6360</v>
      </c>
      <c r="C4261" s="1">
        <v>6302441578</v>
      </c>
      <c r="E4261" s="17" t="s">
        <v>6361</v>
      </c>
      <c r="F4261" s="65"/>
      <c r="G4261" s="3" t="s">
        <v>16</v>
      </c>
      <c r="H4261" s="3" t="s">
        <v>296</v>
      </c>
      <c r="I4261" s="3" t="s">
        <v>94</v>
      </c>
      <c r="J4261" s="31">
        <v>45913</v>
      </c>
      <c r="K4261" s="31">
        <v>45915</v>
      </c>
      <c r="L4261" s="31">
        <v>45918</v>
      </c>
      <c r="M4261" s="31">
        <v>45948</v>
      </c>
      <c r="N4261" s="31">
        <v>45948</v>
      </c>
      <c r="O4261" s="3" t="s">
        <v>297</v>
      </c>
    </row>
    <row r="4262" spans="1:15">
      <c r="A4262" s="3">
        <f t="shared" si="68"/>
        <v>4261</v>
      </c>
      <c r="B4262" s="65" t="s">
        <v>6362</v>
      </c>
      <c r="C4262" s="1">
        <v>9705971337</v>
      </c>
      <c r="E4262" s="17" t="s">
        <v>6363</v>
      </c>
      <c r="F4262" s="65"/>
      <c r="G4262" s="3" t="s">
        <v>16</v>
      </c>
      <c r="H4262" s="3" t="s">
        <v>296</v>
      </c>
      <c r="I4262" s="3" t="s">
        <v>94</v>
      </c>
      <c r="J4262" s="31">
        <v>45913</v>
      </c>
      <c r="K4262" s="31">
        <v>45915</v>
      </c>
      <c r="L4262" s="31">
        <v>45918</v>
      </c>
      <c r="M4262" s="31">
        <v>45918</v>
      </c>
      <c r="N4262" s="31">
        <v>45922</v>
      </c>
      <c r="O4262" s="3" t="s">
        <v>297</v>
      </c>
    </row>
    <row r="4263" spans="1:15">
      <c r="A4263" s="3">
        <f t="shared" si="68"/>
        <v>4262</v>
      </c>
      <c r="B4263" s="65" t="s">
        <v>4329</v>
      </c>
      <c r="C4263" s="1">
        <v>8074990393</v>
      </c>
      <c r="D4263" s="1">
        <v>9550000000</v>
      </c>
      <c r="E4263" s="17" t="s">
        <v>2567</v>
      </c>
      <c r="F4263" s="65" t="s">
        <v>6364</v>
      </c>
      <c r="G4263" s="3" t="s">
        <v>16</v>
      </c>
      <c r="H4263" s="2" t="s">
        <v>815</v>
      </c>
      <c r="I4263" s="3" t="s">
        <v>94</v>
      </c>
      <c r="J4263" s="31">
        <v>45919</v>
      </c>
      <c r="K4263" s="31">
        <v>45922</v>
      </c>
      <c r="L4263" s="31">
        <v>45926</v>
      </c>
      <c r="M4263" s="31">
        <v>45941</v>
      </c>
      <c r="N4263" s="31">
        <v>45947</v>
      </c>
      <c r="O4263" s="3" t="s">
        <v>297</v>
      </c>
    </row>
    <row r="4264" spans="1:15">
      <c r="A4264" s="3">
        <f t="shared" si="68"/>
        <v>4263</v>
      </c>
      <c r="B4264" s="65" t="s">
        <v>6365</v>
      </c>
      <c r="C4264" s="1">
        <v>9676730734</v>
      </c>
      <c r="E4264" s="17" t="s">
        <v>2567</v>
      </c>
      <c r="F4264" s="65" t="s">
        <v>4671</v>
      </c>
      <c r="G4264" s="3" t="s">
        <v>16</v>
      </c>
      <c r="H4264" s="2" t="s">
        <v>815</v>
      </c>
      <c r="I4264" s="3" t="s">
        <v>94</v>
      </c>
      <c r="J4264" s="31">
        <v>45919</v>
      </c>
      <c r="K4264" s="31">
        <v>45922</v>
      </c>
      <c r="L4264" s="31">
        <v>45924</v>
      </c>
      <c r="M4264" s="31">
        <v>45939</v>
      </c>
      <c r="N4264" s="31">
        <v>45952</v>
      </c>
      <c r="O4264" s="3" t="s">
        <v>297</v>
      </c>
    </row>
    <row r="4265" spans="1:15">
      <c r="A4265" s="3">
        <f t="shared" si="68"/>
        <v>4264</v>
      </c>
      <c r="B4265" s="65" t="s">
        <v>6366</v>
      </c>
      <c r="C4265" s="1">
        <v>7376468356</v>
      </c>
      <c r="E4265" s="17" t="s">
        <v>6367</v>
      </c>
      <c r="F4265" s="65"/>
      <c r="G4265" s="2" t="s">
        <v>295</v>
      </c>
      <c r="H4265" s="2" t="s">
        <v>785</v>
      </c>
      <c r="I4265" s="3" t="s">
        <v>88</v>
      </c>
      <c r="J4265" s="31">
        <v>45915</v>
      </c>
      <c r="K4265" s="31">
        <v>45917</v>
      </c>
      <c r="L4265" s="31">
        <v>45917</v>
      </c>
      <c r="M4265" s="31">
        <v>45942</v>
      </c>
      <c r="O4265" s="3" t="s">
        <v>297</v>
      </c>
    </row>
    <row r="4266" spans="1:15">
      <c r="A4266" s="3">
        <f t="shared" si="68"/>
        <v>4265</v>
      </c>
      <c r="B4266" s="65" t="s">
        <v>6368</v>
      </c>
      <c r="C4266" s="1">
        <v>9664339468</v>
      </c>
      <c r="E4266" s="17" t="s">
        <v>6369</v>
      </c>
      <c r="F4266" s="65"/>
      <c r="G4266" s="3" t="s">
        <v>16</v>
      </c>
      <c r="H4266" s="2" t="s">
        <v>785</v>
      </c>
      <c r="I4266" s="3" t="s">
        <v>88</v>
      </c>
      <c r="J4266" s="31">
        <v>45915</v>
      </c>
      <c r="K4266" s="31">
        <v>45917</v>
      </c>
      <c r="L4266" s="31">
        <v>45917</v>
      </c>
      <c r="M4266" s="31">
        <v>45942</v>
      </c>
      <c r="N4266" s="31">
        <v>45944</v>
      </c>
      <c r="O4266" s="3" t="s">
        <v>297</v>
      </c>
    </row>
    <row r="4267" spans="1:15">
      <c r="A4267" s="3">
        <f t="shared" si="68"/>
        <v>4266</v>
      </c>
      <c r="B4267" s="65" t="s">
        <v>6370</v>
      </c>
      <c r="C4267" s="1">
        <v>6300856769</v>
      </c>
      <c r="E4267" s="17" t="s">
        <v>2084</v>
      </c>
      <c r="F4267" s="65"/>
      <c r="G4267" s="2" t="s">
        <v>295</v>
      </c>
      <c r="H4267" s="2" t="s">
        <v>999</v>
      </c>
      <c r="I4267" s="3" t="s">
        <v>88</v>
      </c>
      <c r="J4267" s="31">
        <v>45915</v>
      </c>
      <c r="K4267" s="31">
        <v>45917</v>
      </c>
      <c r="L4267" s="31">
        <v>45917</v>
      </c>
      <c r="M4267" s="31">
        <v>45979</v>
      </c>
      <c r="O4267" s="3" t="s">
        <v>297</v>
      </c>
    </row>
    <row r="4268" spans="1:15">
      <c r="A4268" s="3">
        <f t="shared" si="68"/>
        <v>4267</v>
      </c>
      <c r="B4268" s="65" t="s">
        <v>6371</v>
      </c>
      <c r="C4268" s="1">
        <v>9063083412</v>
      </c>
      <c r="E4268" s="17" t="s">
        <v>2084</v>
      </c>
      <c r="F4268" s="65"/>
      <c r="G4268" s="3" t="s">
        <v>16</v>
      </c>
      <c r="H4268" s="2" t="s">
        <v>999</v>
      </c>
      <c r="I4268" s="3" t="s">
        <v>88</v>
      </c>
      <c r="J4268" s="31">
        <v>45915</v>
      </c>
      <c r="K4268" s="31">
        <v>45917</v>
      </c>
      <c r="L4268" s="31">
        <v>45917</v>
      </c>
      <c r="M4268" s="31">
        <v>45946</v>
      </c>
      <c r="N4268" s="31">
        <v>45946</v>
      </c>
      <c r="O4268" s="3" t="s">
        <v>297</v>
      </c>
    </row>
    <row r="4269" spans="1:15">
      <c r="A4269" s="3">
        <f t="shared" si="68"/>
        <v>4268</v>
      </c>
      <c r="B4269" s="65" t="s">
        <v>6372</v>
      </c>
      <c r="C4269" s="1">
        <v>9985987107</v>
      </c>
      <c r="E4269" s="17" t="s">
        <v>6373</v>
      </c>
      <c r="F4269" s="65" t="s">
        <v>1199</v>
      </c>
      <c r="G4269" s="3" t="s">
        <v>764</v>
      </c>
      <c r="H4269" s="2" t="s">
        <v>5163</v>
      </c>
      <c r="I4269" s="3" t="s">
        <v>94</v>
      </c>
      <c r="J4269" s="31">
        <v>45919</v>
      </c>
      <c r="K4269" s="31">
        <v>45919</v>
      </c>
      <c r="L4269" s="31"/>
      <c r="M4269" s="31"/>
      <c r="O4269" s="3" t="s">
        <v>425</v>
      </c>
    </row>
    <row r="4270" spans="1:15">
      <c r="A4270" s="3">
        <f t="shared" si="68"/>
        <v>4269</v>
      </c>
      <c r="B4270" s="65" t="s">
        <v>6374</v>
      </c>
      <c r="C4270" s="1">
        <v>8074597419</v>
      </c>
      <c r="E4270" s="17" t="s">
        <v>6373</v>
      </c>
      <c r="F4270" s="65" t="s">
        <v>1199</v>
      </c>
      <c r="G4270" s="3" t="s">
        <v>18</v>
      </c>
      <c r="H4270" s="2" t="s">
        <v>5163</v>
      </c>
      <c r="I4270" s="3" t="s">
        <v>94</v>
      </c>
      <c r="J4270" s="31">
        <v>45919</v>
      </c>
      <c r="K4270" s="31">
        <v>45931</v>
      </c>
      <c r="L4270" s="31"/>
      <c r="M4270" s="31"/>
      <c r="O4270" s="3" t="s">
        <v>297</v>
      </c>
    </row>
    <row r="4271" spans="1:15">
      <c r="A4271" s="3">
        <f t="shared" si="68"/>
        <v>4270</v>
      </c>
      <c r="B4271" s="65" t="s">
        <v>6375</v>
      </c>
      <c r="C4271" s="1">
        <v>7001316758</v>
      </c>
      <c r="E4271" s="17" t="s">
        <v>6376</v>
      </c>
      <c r="F4271" s="65" t="s">
        <v>308</v>
      </c>
      <c r="G4271" s="3" t="s">
        <v>764</v>
      </c>
      <c r="H4271" s="2" t="s">
        <v>5163</v>
      </c>
      <c r="I4271" s="3" t="s">
        <v>94</v>
      </c>
      <c r="J4271" s="31">
        <v>45919</v>
      </c>
      <c r="K4271" s="31">
        <v>45925</v>
      </c>
      <c r="L4271" s="31"/>
      <c r="M4271" s="31"/>
      <c r="O4271" s="3" t="s">
        <v>425</v>
      </c>
    </row>
    <row r="4272" spans="1:15">
      <c r="A4272" s="3">
        <f t="shared" si="68"/>
        <v>4271</v>
      </c>
      <c r="B4272" s="65" t="s">
        <v>6377</v>
      </c>
      <c r="C4272" s="1">
        <v>9704103038</v>
      </c>
      <c r="E4272" s="17" t="s">
        <v>6376</v>
      </c>
      <c r="F4272" s="65" t="s">
        <v>333</v>
      </c>
      <c r="G4272" s="3" t="s">
        <v>764</v>
      </c>
      <c r="H4272" s="2" t="s">
        <v>5163</v>
      </c>
      <c r="I4272" s="3" t="s">
        <v>94</v>
      </c>
      <c r="J4272" s="31">
        <v>45919</v>
      </c>
      <c r="K4272" s="31">
        <v>45925</v>
      </c>
      <c r="L4272" s="31"/>
      <c r="M4272" s="31"/>
      <c r="O4272" s="3" t="s">
        <v>425</v>
      </c>
    </row>
    <row r="4273" spans="1:15">
      <c r="A4273" s="3">
        <f t="shared" si="68"/>
        <v>4272</v>
      </c>
      <c r="B4273" s="65" t="s">
        <v>6378</v>
      </c>
      <c r="C4273" s="1">
        <v>7095413750</v>
      </c>
      <c r="E4273" s="17" t="s">
        <v>6376</v>
      </c>
      <c r="F4273" s="65" t="s">
        <v>308</v>
      </c>
      <c r="G4273" s="3" t="s">
        <v>16</v>
      </c>
      <c r="H4273" s="2" t="s">
        <v>5163</v>
      </c>
      <c r="I4273" s="3" t="s">
        <v>94</v>
      </c>
      <c r="J4273" s="31">
        <v>45919</v>
      </c>
      <c r="K4273" s="31">
        <v>45925</v>
      </c>
      <c r="L4273" s="31">
        <v>45926</v>
      </c>
      <c r="M4273" s="31">
        <v>45957</v>
      </c>
      <c r="N4273" s="31">
        <v>45960</v>
      </c>
      <c r="O4273" s="3" t="s">
        <v>297</v>
      </c>
    </row>
    <row r="4274" spans="1:15">
      <c r="A4274" s="3">
        <f t="shared" si="68"/>
        <v>4273</v>
      </c>
      <c r="B4274" s="65" t="s">
        <v>6379</v>
      </c>
      <c r="C4274" s="1">
        <v>7989394514</v>
      </c>
      <c r="E4274" s="17" t="s">
        <v>6376</v>
      </c>
      <c r="F4274" s="65" t="s">
        <v>308</v>
      </c>
      <c r="G4274" s="3" t="s">
        <v>764</v>
      </c>
      <c r="H4274" s="2" t="s">
        <v>5163</v>
      </c>
      <c r="I4274" s="3" t="s">
        <v>94</v>
      </c>
      <c r="J4274" s="31">
        <v>45919</v>
      </c>
      <c r="K4274" s="31">
        <v>45925</v>
      </c>
      <c r="L4274" s="31"/>
      <c r="M4274" s="31"/>
      <c r="O4274" s="3" t="s">
        <v>425</v>
      </c>
    </row>
    <row r="4275" spans="1:15">
      <c r="A4275" s="3">
        <f t="shared" si="68"/>
        <v>4274</v>
      </c>
      <c r="B4275" s="65" t="s">
        <v>6380</v>
      </c>
      <c r="C4275" s="1">
        <v>9440663565</v>
      </c>
      <c r="E4275" s="17" t="s">
        <v>6381</v>
      </c>
      <c r="F4275" s="65" t="s">
        <v>333</v>
      </c>
      <c r="G4275" s="3" t="s">
        <v>416</v>
      </c>
      <c r="H4275" s="2" t="s">
        <v>5163</v>
      </c>
      <c r="I4275" s="3" t="s">
        <v>94</v>
      </c>
      <c r="J4275" s="31">
        <v>45919</v>
      </c>
      <c r="K4275" s="31">
        <v>45919</v>
      </c>
      <c r="L4275" s="31"/>
      <c r="M4275" s="31"/>
      <c r="O4275" s="3" t="s">
        <v>297</v>
      </c>
    </row>
    <row r="4276" spans="1:15">
      <c r="A4276" s="3">
        <f t="shared" si="68"/>
        <v>4275</v>
      </c>
      <c r="B4276" s="65" t="s">
        <v>6382</v>
      </c>
      <c r="C4276" s="1">
        <v>9705338316</v>
      </c>
      <c r="D4276" s="1">
        <v>8379975299</v>
      </c>
      <c r="E4276" s="17" t="s">
        <v>4609</v>
      </c>
      <c r="F4276" s="65" t="s">
        <v>6383</v>
      </c>
      <c r="G4276" s="3" t="s">
        <v>424</v>
      </c>
      <c r="H4276" s="2" t="s">
        <v>679</v>
      </c>
      <c r="I4276" s="3" t="s">
        <v>42</v>
      </c>
      <c r="J4276" s="31">
        <v>45919</v>
      </c>
      <c r="K4276" s="31">
        <v>45923</v>
      </c>
      <c r="L4276" s="31"/>
      <c r="M4276" s="31"/>
      <c r="O4276" s="3" t="s">
        <v>425</v>
      </c>
    </row>
    <row r="4277" spans="1:15">
      <c r="A4277" s="3">
        <f t="shared" si="68"/>
        <v>4276</v>
      </c>
      <c r="B4277" s="65" t="s">
        <v>6384</v>
      </c>
      <c r="C4277" s="1">
        <v>9440465576</v>
      </c>
      <c r="D4277" s="1">
        <v>8886000092</v>
      </c>
      <c r="E4277" s="17" t="s">
        <v>2821</v>
      </c>
      <c r="F4277" s="65" t="s">
        <v>6385</v>
      </c>
      <c r="G4277" s="3" t="s">
        <v>424</v>
      </c>
      <c r="H4277" s="2" t="s">
        <v>679</v>
      </c>
      <c r="I4277" s="3" t="s">
        <v>42</v>
      </c>
      <c r="J4277" s="31">
        <v>45919</v>
      </c>
      <c r="K4277" s="31">
        <v>45923</v>
      </c>
      <c r="L4277" s="31"/>
      <c r="M4277" s="31"/>
      <c r="O4277" s="3" t="s">
        <v>425</v>
      </c>
    </row>
    <row r="4278" spans="1:15">
      <c r="A4278" s="3">
        <f t="shared" si="68"/>
        <v>4277</v>
      </c>
      <c r="B4278" s="65" t="s">
        <v>6386</v>
      </c>
      <c r="C4278" s="1">
        <v>9573003332</v>
      </c>
      <c r="D4278" s="1">
        <v>9359095472</v>
      </c>
      <c r="E4278" s="17" t="s">
        <v>4609</v>
      </c>
      <c r="F4278" s="65" t="s">
        <v>6387</v>
      </c>
      <c r="G4278" s="3" t="s">
        <v>416</v>
      </c>
      <c r="H4278" s="2" t="s">
        <v>679</v>
      </c>
      <c r="I4278" s="3" t="s">
        <v>42</v>
      </c>
      <c r="J4278" s="31">
        <v>45919</v>
      </c>
      <c r="K4278" s="31">
        <v>45923</v>
      </c>
      <c r="L4278" s="31"/>
      <c r="M4278" s="31"/>
      <c r="O4278" s="3" t="s">
        <v>297</v>
      </c>
    </row>
    <row r="4279" spans="1:15">
      <c r="A4279" s="3">
        <f t="shared" si="68"/>
        <v>4278</v>
      </c>
      <c r="B4279" s="65" t="s">
        <v>6388</v>
      </c>
      <c r="C4279" s="1">
        <v>8959552317</v>
      </c>
      <c r="E4279" s="17" t="s">
        <v>6389</v>
      </c>
      <c r="F4279" s="65"/>
      <c r="G4279" s="3" t="s">
        <v>16</v>
      </c>
      <c r="H4279" s="2" t="s">
        <v>94</v>
      </c>
      <c r="I4279" s="3" t="s">
        <v>94</v>
      </c>
      <c r="J4279" s="31">
        <v>45915</v>
      </c>
      <c r="K4279" s="31">
        <v>45917</v>
      </c>
      <c r="L4279" s="31">
        <v>45919</v>
      </c>
      <c r="M4279" s="31">
        <v>45931</v>
      </c>
      <c r="N4279" s="31">
        <v>45931</v>
      </c>
      <c r="O4279" s="3" t="s">
        <v>297</v>
      </c>
    </row>
    <row r="4280" spans="1:15">
      <c r="A4280" s="3">
        <f t="shared" si="68"/>
        <v>4279</v>
      </c>
      <c r="B4280" s="65" t="s">
        <v>6390</v>
      </c>
      <c r="C4280" s="1">
        <v>8838595939</v>
      </c>
      <c r="D4280" s="1">
        <v>9843878633</v>
      </c>
      <c r="E4280" s="17" t="s">
        <v>5472</v>
      </c>
      <c r="F4280" s="65" t="s">
        <v>1199</v>
      </c>
      <c r="G4280" s="3" t="s">
        <v>16</v>
      </c>
      <c r="H4280" s="1" t="s">
        <v>913</v>
      </c>
      <c r="I4280" s="3" t="s">
        <v>94</v>
      </c>
      <c r="J4280" s="31">
        <v>45919</v>
      </c>
      <c r="K4280" s="31">
        <v>45930</v>
      </c>
      <c r="L4280" s="31">
        <v>45936</v>
      </c>
      <c r="M4280" s="31">
        <v>45962</v>
      </c>
      <c r="N4280" s="31">
        <v>45962</v>
      </c>
      <c r="O4280" s="3" t="s">
        <v>297</v>
      </c>
    </row>
    <row r="4281" spans="1:15">
      <c r="A4281" s="3">
        <f t="shared" si="68"/>
        <v>4280</v>
      </c>
      <c r="B4281" s="65" t="s">
        <v>6391</v>
      </c>
      <c r="C4281" s="1">
        <v>9663607120</v>
      </c>
      <c r="E4281" s="17" t="s">
        <v>6392</v>
      </c>
      <c r="F4281" s="65" t="s">
        <v>2199</v>
      </c>
      <c r="G4281" s="3" t="s">
        <v>16</v>
      </c>
      <c r="H4281" s="1" t="s">
        <v>913</v>
      </c>
      <c r="I4281" s="3" t="s">
        <v>94</v>
      </c>
      <c r="J4281" s="31">
        <v>45919</v>
      </c>
      <c r="K4281" s="31">
        <v>45926</v>
      </c>
      <c r="L4281" s="31">
        <v>45936</v>
      </c>
      <c r="M4281" s="31">
        <v>45973</v>
      </c>
      <c r="N4281" s="31">
        <v>45974</v>
      </c>
      <c r="O4281" s="3" t="s">
        <v>297</v>
      </c>
    </row>
    <row r="4282" spans="1:15">
      <c r="A4282" s="3">
        <f t="shared" si="68"/>
        <v>4281</v>
      </c>
      <c r="B4282" s="65" t="s">
        <v>6393</v>
      </c>
      <c r="C4282" s="1">
        <v>9052423727</v>
      </c>
      <c r="D4282" s="1">
        <v>8328617419</v>
      </c>
      <c r="E4282" s="17" t="s">
        <v>6394</v>
      </c>
      <c r="F4282" s="65" t="s">
        <v>569</v>
      </c>
      <c r="G4282" s="3" t="s">
        <v>416</v>
      </c>
      <c r="H4282" s="1" t="s">
        <v>913</v>
      </c>
      <c r="I4282" s="3" t="s">
        <v>94</v>
      </c>
      <c r="J4282" s="31">
        <v>45919</v>
      </c>
      <c r="K4282" s="31">
        <v>45925</v>
      </c>
      <c r="L4282" s="31"/>
      <c r="M4282" s="31"/>
      <c r="O4282" s="3" t="s">
        <v>297</v>
      </c>
    </row>
    <row r="4283" spans="1:15">
      <c r="A4283" s="3">
        <f t="shared" si="68"/>
        <v>4282</v>
      </c>
      <c r="B4283" s="65" t="s">
        <v>6395</v>
      </c>
      <c r="C4283" s="1">
        <v>7903333549</v>
      </c>
      <c r="E4283" s="17" t="s">
        <v>6396</v>
      </c>
      <c r="F4283" s="65" t="s">
        <v>569</v>
      </c>
      <c r="G4283" s="3" t="s">
        <v>16</v>
      </c>
      <c r="H4283" s="1" t="s">
        <v>913</v>
      </c>
      <c r="I4283" s="3" t="s">
        <v>94</v>
      </c>
      <c r="J4283" s="31">
        <v>45919</v>
      </c>
      <c r="K4283" s="31">
        <v>45926</v>
      </c>
      <c r="L4283" s="31">
        <v>45931</v>
      </c>
      <c r="M4283" s="31">
        <v>45966</v>
      </c>
      <c r="N4283" s="31">
        <v>45965</v>
      </c>
      <c r="O4283" s="3" t="s">
        <v>297</v>
      </c>
    </row>
    <row r="4284" spans="1:15">
      <c r="A4284" s="3">
        <f t="shared" si="68"/>
        <v>4283</v>
      </c>
      <c r="B4284" s="65" t="s">
        <v>6397</v>
      </c>
      <c r="C4284" s="1">
        <v>7014286871</v>
      </c>
      <c r="E4284" s="17" t="s">
        <v>6398</v>
      </c>
      <c r="F4284" s="65" t="s">
        <v>569</v>
      </c>
      <c r="G4284" s="3" t="s">
        <v>16</v>
      </c>
      <c r="H4284" s="1" t="s">
        <v>913</v>
      </c>
      <c r="I4284" s="3" t="s">
        <v>94</v>
      </c>
      <c r="J4284" s="31">
        <v>45919</v>
      </c>
      <c r="K4284" s="31">
        <v>45925</v>
      </c>
      <c r="L4284" s="31">
        <v>45931</v>
      </c>
      <c r="M4284" s="31">
        <v>45962</v>
      </c>
      <c r="N4284" s="31">
        <v>45962</v>
      </c>
      <c r="O4284" s="3" t="s">
        <v>297</v>
      </c>
    </row>
    <row r="4285" spans="1:15">
      <c r="A4285" s="3">
        <f t="shared" si="68"/>
        <v>4284</v>
      </c>
      <c r="B4285" s="65" t="s">
        <v>6399</v>
      </c>
      <c r="C4285" s="1">
        <v>9936793276</v>
      </c>
      <c r="E4285" s="17" t="s">
        <v>6400</v>
      </c>
      <c r="F4285" s="65" t="s">
        <v>569</v>
      </c>
      <c r="G4285" s="3" t="s">
        <v>16</v>
      </c>
      <c r="H4285" s="1" t="s">
        <v>913</v>
      </c>
      <c r="I4285" s="3" t="s">
        <v>94</v>
      </c>
      <c r="J4285" s="31">
        <v>45919</v>
      </c>
      <c r="K4285" s="31">
        <v>45926</v>
      </c>
      <c r="L4285" s="31">
        <v>45931</v>
      </c>
      <c r="M4285" s="31">
        <v>45967</v>
      </c>
      <c r="N4285" s="31">
        <v>45967</v>
      </c>
      <c r="O4285" s="3" t="s">
        <v>297</v>
      </c>
    </row>
    <row r="4286" spans="1:15">
      <c r="A4286" s="3">
        <f t="shared" si="68"/>
        <v>4285</v>
      </c>
      <c r="B4286" s="65" t="s">
        <v>6401</v>
      </c>
      <c r="C4286" s="1">
        <v>7338322561</v>
      </c>
      <c r="E4286" s="17" t="s">
        <v>6402</v>
      </c>
      <c r="F4286" s="65" t="s">
        <v>569</v>
      </c>
      <c r="G4286" s="3" t="s">
        <v>16</v>
      </c>
      <c r="H4286" s="1" t="s">
        <v>913</v>
      </c>
      <c r="I4286" s="3" t="s">
        <v>94</v>
      </c>
      <c r="J4286" s="31">
        <v>45919</v>
      </c>
      <c r="K4286" s="31">
        <v>45926</v>
      </c>
      <c r="L4286" s="31">
        <v>45941</v>
      </c>
      <c r="M4286" s="31">
        <v>45969</v>
      </c>
      <c r="N4286" s="31">
        <v>45965</v>
      </c>
      <c r="O4286" s="3" t="s">
        <v>297</v>
      </c>
    </row>
    <row r="4287" spans="1:15">
      <c r="A4287" s="3">
        <f t="shared" si="68"/>
        <v>4286</v>
      </c>
      <c r="B4287" s="65" t="s">
        <v>6403</v>
      </c>
      <c r="C4287" s="1">
        <v>7566688773</v>
      </c>
      <c r="E4287" s="17" t="s">
        <v>6404</v>
      </c>
      <c r="F4287" s="65" t="s">
        <v>569</v>
      </c>
      <c r="G4287" s="3" t="s">
        <v>16</v>
      </c>
      <c r="H4287" s="1" t="s">
        <v>913</v>
      </c>
      <c r="I4287" s="3" t="s">
        <v>94</v>
      </c>
      <c r="J4287" s="31">
        <v>45919</v>
      </c>
      <c r="K4287" s="31">
        <v>45930</v>
      </c>
      <c r="L4287" s="31">
        <v>45941</v>
      </c>
      <c r="M4287" s="31">
        <v>45972</v>
      </c>
      <c r="N4287" s="31">
        <v>45975</v>
      </c>
      <c r="O4287" s="3" t="s">
        <v>297</v>
      </c>
    </row>
    <row r="4288" spans="1:15">
      <c r="A4288" s="3">
        <f t="shared" si="68"/>
        <v>4287</v>
      </c>
      <c r="B4288" s="65" t="s">
        <v>6405</v>
      </c>
      <c r="C4288" s="1">
        <v>9165331269</v>
      </c>
      <c r="D4288" s="1">
        <v>7999747990</v>
      </c>
      <c r="E4288" s="17" t="s">
        <v>6396</v>
      </c>
      <c r="F4288" s="65" t="s">
        <v>569</v>
      </c>
      <c r="G4288" s="3" t="s">
        <v>424</v>
      </c>
      <c r="H4288" s="1" t="s">
        <v>913</v>
      </c>
      <c r="I4288" s="3" t="s">
        <v>94</v>
      </c>
      <c r="J4288" s="31">
        <v>45919</v>
      </c>
      <c r="K4288" s="31">
        <v>45926</v>
      </c>
      <c r="L4288" s="31"/>
      <c r="M4288" s="31"/>
      <c r="O4288" s="3" t="s">
        <v>425</v>
      </c>
    </row>
    <row r="4289" spans="1:15">
      <c r="A4289" s="3">
        <f t="shared" si="68"/>
        <v>4288</v>
      </c>
      <c r="B4289" s="65" t="s">
        <v>6406</v>
      </c>
      <c r="C4289" s="1">
        <v>9302928697</v>
      </c>
      <c r="D4289" s="1">
        <v>7828842190</v>
      </c>
      <c r="E4289" s="17" t="s">
        <v>6398</v>
      </c>
      <c r="F4289" s="65" t="s">
        <v>308</v>
      </c>
      <c r="G4289" s="3" t="s">
        <v>18</v>
      </c>
      <c r="H4289" s="1" t="s">
        <v>913</v>
      </c>
      <c r="I4289" s="3" t="s">
        <v>94</v>
      </c>
      <c r="J4289" s="31">
        <v>45919</v>
      </c>
      <c r="K4289" s="31">
        <v>45931</v>
      </c>
      <c r="L4289" s="31"/>
      <c r="M4289" s="31"/>
      <c r="O4289" s="3" t="s">
        <v>297</v>
      </c>
    </row>
    <row r="4290" spans="1:15">
      <c r="A4290" s="3">
        <f t="shared" si="68"/>
        <v>4289</v>
      </c>
      <c r="B4290" s="65" t="s">
        <v>6407</v>
      </c>
      <c r="C4290" s="1">
        <v>9981832506</v>
      </c>
      <c r="E4290" s="17" t="s">
        <v>6404</v>
      </c>
      <c r="F4290" s="65" t="s">
        <v>308</v>
      </c>
      <c r="G4290" s="3" t="s">
        <v>416</v>
      </c>
      <c r="H4290" s="1" t="s">
        <v>913</v>
      </c>
      <c r="I4290" s="3" t="s">
        <v>94</v>
      </c>
      <c r="J4290" s="31">
        <v>45919</v>
      </c>
      <c r="K4290" s="31">
        <v>45926</v>
      </c>
      <c r="L4290" s="31"/>
      <c r="M4290" s="31"/>
      <c r="O4290" s="3" t="s">
        <v>297</v>
      </c>
    </row>
    <row r="4291" spans="1:15">
      <c r="A4291" s="3">
        <f t="shared" si="68"/>
        <v>4290</v>
      </c>
      <c r="B4291" s="65" t="s">
        <v>6408</v>
      </c>
      <c r="C4291" s="1">
        <v>6394451030</v>
      </c>
      <c r="E4291" s="17" t="s">
        <v>6409</v>
      </c>
      <c r="F4291" s="65" t="s">
        <v>364</v>
      </c>
      <c r="G4291" s="3" t="s">
        <v>16</v>
      </c>
      <c r="H4291" s="1" t="s">
        <v>913</v>
      </c>
      <c r="I4291" s="3" t="s">
        <v>94</v>
      </c>
      <c r="J4291" s="31">
        <v>45919</v>
      </c>
      <c r="K4291" s="31">
        <v>45926</v>
      </c>
      <c r="L4291" s="31">
        <v>45931</v>
      </c>
      <c r="M4291" s="31">
        <v>45945</v>
      </c>
      <c r="N4291" s="31">
        <v>45947</v>
      </c>
      <c r="O4291" s="3" t="s">
        <v>297</v>
      </c>
    </row>
    <row r="4292" spans="1:15">
      <c r="A4292" s="3">
        <f t="shared" si="68"/>
        <v>4291</v>
      </c>
      <c r="B4292" s="65" t="s">
        <v>1781</v>
      </c>
      <c r="C4292" s="1">
        <v>9099724286</v>
      </c>
      <c r="E4292" s="17" t="s">
        <v>6409</v>
      </c>
      <c r="F4292" s="65" t="s">
        <v>364</v>
      </c>
      <c r="G4292" s="3" t="s">
        <v>16</v>
      </c>
      <c r="H4292" s="1" t="s">
        <v>913</v>
      </c>
      <c r="I4292" s="3" t="s">
        <v>94</v>
      </c>
      <c r="J4292" s="31">
        <v>45919</v>
      </c>
      <c r="K4292" s="31">
        <v>45931</v>
      </c>
      <c r="L4292" s="31">
        <v>45941</v>
      </c>
      <c r="M4292" s="31">
        <v>45974</v>
      </c>
      <c r="N4292" s="31">
        <v>45972</v>
      </c>
      <c r="O4292" s="3" t="s">
        <v>297</v>
      </c>
    </row>
    <row r="4293" spans="1:15">
      <c r="A4293" s="3">
        <f t="shared" si="68"/>
        <v>4292</v>
      </c>
      <c r="B4293" s="65" t="s">
        <v>6410</v>
      </c>
      <c r="C4293" s="1">
        <v>7905540373</v>
      </c>
      <c r="E4293" s="17" t="s">
        <v>6409</v>
      </c>
      <c r="F4293" s="65" t="s">
        <v>364</v>
      </c>
      <c r="G4293" s="3" t="s">
        <v>424</v>
      </c>
      <c r="H4293" s="1" t="s">
        <v>913</v>
      </c>
      <c r="I4293" s="3" t="s">
        <v>94</v>
      </c>
      <c r="J4293" s="31">
        <v>45919</v>
      </c>
      <c r="K4293" s="31">
        <v>45926</v>
      </c>
      <c r="L4293" s="31"/>
      <c r="M4293" s="31"/>
      <c r="O4293" s="3" t="s">
        <v>425</v>
      </c>
    </row>
    <row r="4294" spans="1:15">
      <c r="A4294" s="3">
        <f t="shared" si="68"/>
        <v>4293</v>
      </c>
      <c r="B4294" s="65" t="s">
        <v>6411</v>
      </c>
      <c r="C4294" s="1">
        <v>6360633184</v>
      </c>
      <c r="E4294" s="17" t="s">
        <v>6409</v>
      </c>
      <c r="F4294" s="65" t="s">
        <v>364</v>
      </c>
      <c r="G4294" s="3" t="s">
        <v>295</v>
      </c>
      <c r="H4294" s="1" t="s">
        <v>913</v>
      </c>
      <c r="I4294" s="3" t="s">
        <v>94</v>
      </c>
      <c r="J4294" s="31">
        <v>45919</v>
      </c>
      <c r="K4294" s="31">
        <v>45926</v>
      </c>
      <c r="L4294" s="31">
        <v>45931</v>
      </c>
      <c r="M4294" s="31">
        <v>45945</v>
      </c>
      <c r="O4294" s="3" t="s">
        <v>297</v>
      </c>
    </row>
    <row r="4295" spans="1:15">
      <c r="A4295" s="3">
        <f t="shared" si="68"/>
        <v>4294</v>
      </c>
      <c r="B4295" s="65" t="s">
        <v>6412</v>
      </c>
      <c r="C4295" s="1">
        <v>9703451994</v>
      </c>
      <c r="D4295" s="1">
        <v>9052685684</v>
      </c>
      <c r="E4295" s="17" t="s">
        <v>2419</v>
      </c>
      <c r="F4295" s="65" t="s">
        <v>6413</v>
      </c>
      <c r="G4295" s="3" t="s">
        <v>424</v>
      </c>
      <c r="H4295" s="3" t="s">
        <v>2421</v>
      </c>
      <c r="I4295" s="3" t="s">
        <v>42</v>
      </c>
      <c r="J4295" s="31">
        <v>45923</v>
      </c>
      <c r="K4295" s="31">
        <v>45923</v>
      </c>
      <c r="L4295" s="31"/>
      <c r="M4295" s="31"/>
      <c r="O4295" s="3" t="s">
        <v>425</v>
      </c>
    </row>
    <row r="4296" spans="1:15">
      <c r="A4296" s="3">
        <f t="shared" si="68"/>
        <v>4295</v>
      </c>
      <c r="B4296" s="65" t="s">
        <v>6414</v>
      </c>
      <c r="C4296" s="1">
        <v>7569427763</v>
      </c>
      <c r="E4296" s="17" t="s">
        <v>5843</v>
      </c>
      <c r="F4296" s="65" t="s">
        <v>6415</v>
      </c>
      <c r="G4296" s="2" t="s">
        <v>424</v>
      </c>
      <c r="H4296" s="3" t="s">
        <v>41</v>
      </c>
      <c r="I4296" s="3" t="s">
        <v>42</v>
      </c>
      <c r="J4296" s="31">
        <v>45923</v>
      </c>
      <c r="K4296" s="31">
        <v>45936</v>
      </c>
      <c r="L4296" s="31"/>
      <c r="M4296" s="31"/>
      <c r="O4296" s="2" t="s">
        <v>425</v>
      </c>
    </row>
    <row r="4297" spans="1:15">
      <c r="A4297" s="3">
        <f t="shared" si="68"/>
        <v>4296</v>
      </c>
      <c r="B4297" s="65" t="s">
        <v>6416</v>
      </c>
      <c r="C4297" s="1">
        <v>9492029003</v>
      </c>
      <c r="E4297" s="17" t="s">
        <v>5843</v>
      </c>
      <c r="F4297" s="65" t="s">
        <v>6417</v>
      </c>
      <c r="G4297" s="2" t="s">
        <v>424</v>
      </c>
      <c r="H4297" s="3" t="s">
        <v>41</v>
      </c>
      <c r="I4297" s="3" t="s">
        <v>42</v>
      </c>
      <c r="J4297" s="31">
        <v>45923</v>
      </c>
      <c r="K4297" s="31">
        <v>45936</v>
      </c>
      <c r="L4297" s="31"/>
      <c r="M4297" s="31"/>
      <c r="O4297" s="2" t="s">
        <v>425</v>
      </c>
    </row>
    <row r="4298" spans="1:15">
      <c r="A4298" s="3">
        <f t="shared" si="68"/>
        <v>4297</v>
      </c>
      <c r="B4298" s="65" t="s">
        <v>5300</v>
      </c>
      <c r="C4298" s="1">
        <v>9502625027</v>
      </c>
      <c r="E4298" s="17" t="s">
        <v>5843</v>
      </c>
      <c r="F4298" s="65" t="s">
        <v>6418</v>
      </c>
      <c r="G4298" s="2" t="s">
        <v>424</v>
      </c>
      <c r="H4298" s="3" t="s">
        <v>41</v>
      </c>
      <c r="I4298" s="3" t="s">
        <v>42</v>
      </c>
      <c r="J4298" s="31">
        <v>45923</v>
      </c>
      <c r="K4298" s="31">
        <v>45936</v>
      </c>
      <c r="L4298" s="31"/>
      <c r="M4298" s="31"/>
      <c r="O4298" s="2" t="s">
        <v>425</v>
      </c>
    </row>
    <row r="4299" spans="1:15">
      <c r="A4299" s="3">
        <f t="shared" si="68"/>
        <v>4298</v>
      </c>
      <c r="B4299" s="65" t="s">
        <v>6419</v>
      </c>
      <c r="C4299" s="1">
        <v>9300456919</v>
      </c>
      <c r="D4299" s="1">
        <v>7828333336</v>
      </c>
      <c r="E4299" s="17" t="s">
        <v>6404</v>
      </c>
      <c r="F4299" s="65" t="s">
        <v>308</v>
      </c>
      <c r="G4299" s="3" t="s">
        <v>424</v>
      </c>
      <c r="H4299" s="3" t="s">
        <v>913</v>
      </c>
      <c r="I4299" s="3" t="s">
        <v>94</v>
      </c>
      <c r="J4299" s="31">
        <v>45923</v>
      </c>
      <c r="K4299" s="31">
        <v>45925</v>
      </c>
      <c r="L4299" s="31"/>
      <c r="M4299" s="31"/>
      <c r="O4299" s="3" t="s">
        <v>425</v>
      </c>
    </row>
    <row r="4300" spans="1:15">
      <c r="A4300" s="3">
        <f t="shared" si="68"/>
        <v>4299</v>
      </c>
      <c r="B4300" s="65" t="s">
        <v>6420</v>
      </c>
      <c r="C4300" s="1">
        <v>7389305275</v>
      </c>
      <c r="D4300" s="1">
        <v>9926858275</v>
      </c>
      <c r="E4300" s="17" t="s">
        <v>6409</v>
      </c>
      <c r="F4300" s="65" t="s">
        <v>364</v>
      </c>
      <c r="G4300" s="3" t="s">
        <v>416</v>
      </c>
      <c r="H4300" s="3" t="s">
        <v>913</v>
      </c>
      <c r="I4300" s="3" t="s">
        <v>94</v>
      </c>
      <c r="J4300" s="31">
        <v>45923</v>
      </c>
      <c r="K4300" s="31">
        <v>45925</v>
      </c>
      <c r="L4300" s="31"/>
      <c r="M4300" s="31"/>
      <c r="O4300" s="3" t="s">
        <v>297</v>
      </c>
    </row>
    <row r="4301" spans="1:15">
      <c r="A4301" s="3">
        <f t="shared" si="68"/>
        <v>4300</v>
      </c>
      <c r="B4301" s="65" t="s">
        <v>6421</v>
      </c>
      <c r="C4301" s="1">
        <v>7972694286</v>
      </c>
      <c r="E4301" s="17" t="s">
        <v>6422</v>
      </c>
      <c r="F4301" s="65" t="s">
        <v>364</v>
      </c>
      <c r="G4301" s="3" t="s">
        <v>16</v>
      </c>
      <c r="H4301" s="3" t="s">
        <v>913</v>
      </c>
      <c r="I4301" s="3" t="s">
        <v>94</v>
      </c>
      <c r="J4301" s="31">
        <v>45923</v>
      </c>
      <c r="K4301" s="31">
        <v>45925</v>
      </c>
      <c r="L4301" s="31">
        <v>45961</v>
      </c>
      <c r="M4301" s="31">
        <v>45976</v>
      </c>
      <c r="N4301" s="31">
        <v>45971</v>
      </c>
      <c r="O4301" s="3" t="s">
        <v>297</v>
      </c>
    </row>
    <row r="4302" spans="1:15">
      <c r="A4302" s="3">
        <f t="shared" si="68"/>
        <v>4301</v>
      </c>
      <c r="B4302" s="65" t="s">
        <v>6423</v>
      </c>
      <c r="C4302" s="1">
        <v>9898579211</v>
      </c>
      <c r="E4302" s="17" t="s">
        <v>3300</v>
      </c>
      <c r="F4302" s="65" t="s">
        <v>364</v>
      </c>
      <c r="G4302" s="3" t="s">
        <v>424</v>
      </c>
      <c r="H4302" s="3" t="s">
        <v>913</v>
      </c>
      <c r="I4302" s="3" t="s">
        <v>94</v>
      </c>
      <c r="J4302" s="31">
        <v>45923</v>
      </c>
      <c r="K4302" s="31">
        <v>45925</v>
      </c>
      <c r="L4302" s="31"/>
      <c r="M4302" s="31"/>
      <c r="O4302" s="3" t="s">
        <v>425</v>
      </c>
    </row>
    <row r="4303" spans="1:15">
      <c r="A4303" s="3">
        <f t="shared" si="68"/>
        <v>4302</v>
      </c>
      <c r="B4303" s="65" t="s">
        <v>6424</v>
      </c>
      <c r="C4303" s="1">
        <v>9721012306</v>
      </c>
      <c r="D4303" s="1">
        <v>9696117740</v>
      </c>
      <c r="E4303" s="17" t="s">
        <v>3300</v>
      </c>
      <c r="F4303" s="65" t="s">
        <v>364</v>
      </c>
      <c r="G4303" s="3" t="s">
        <v>16</v>
      </c>
      <c r="H4303" s="3" t="s">
        <v>913</v>
      </c>
      <c r="I4303" s="3" t="s">
        <v>94</v>
      </c>
      <c r="J4303" s="31">
        <v>45923</v>
      </c>
      <c r="K4303" s="31">
        <v>45925</v>
      </c>
      <c r="L4303" s="31">
        <v>45941</v>
      </c>
      <c r="M4303" s="31">
        <v>45972</v>
      </c>
      <c r="N4303" s="31">
        <v>45968</v>
      </c>
      <c r="O4303" s="3" t="s">
        <v>297</v>
      </c>
    </row>
    <row r="4304" spans="1:15">
      <c r="A4304" s="3">
        <f t="shared" si="68"/>
        <v>4303</v>
      </c>
      <c r="B4304" s="65" t="s">
        <v>6425</v>
      </c>
      <c r="C4304" s="1">
        <v>9340926315</v>
      </c>
      <c r="E4304" s="17" t="s">
        <v>6426</v>
      </c>
      <c r="F4304" s="65" t="s">
        <v>5663</v>
      </c>
      <c r="G4304" s="3" t="s">
        <v>16</v>
      </c>
      <c r="H4304" s="2" t="s">
        <v>815</v>
      </c>
      <c r="I4304" s="3" t="s">
        <v>94</v>
      </c>
      <c r="J4304" s="31">
        <v>45923</v>
      </c>
      <c r="K4304" s="31">
        <v>45925</v>
      </c>
      <c r="L4304" s="31">
        <v>45926</v>
      </c>
      <c r="M4304" s="31">
        <v>45957</v>
      </c>
      <c r="N4304" s="31">
        <v>45963</v>
      </c>
      <c r="O4304" s="3" t="s">
        <v>297</v>
      </c>
    </row>
    <row r="4305" spans="1:15">
      <c r="A4305" s="3">
        <f t="shared" si="68"/>
        <v>4304</v>
      </c>
      <c r="B4305" s="65" t="s">
        <v>6427</v>
      </c>
      <c r="C4305" s="1">
        <v>8103104985</v>
      </c>
      <c r="D4305" s="1">
        <v>8827588250</v>
      </c>
      <c r="E4305" s="17" t="s">
        <v>6428</v>
      </c>
      <c r="F4305" s="65" t="s">
        <v>821</v>
      </c>
      <c r="G4305" s="3" t="s">
        <v>764</v>
      </c>
      <c r="H4305" s="2" t="s">
        <v>815</v>
      </c>
      <c r="I4305" s="3" t="s">
        <v>94</v>
      </c>
      <c r="J4305" s="31">
        <v>45923</v>
      </c>
      <c r="K4305" s="31">
        <v>45925</v>
      </c>
      <c r="L4305" s="31"/>
      <c r="M4305" s="31"/>
      <c r="O4305" s="3" t="s">
        <v>425</v>
      </c>
    </row>
    <row r="4306" spans="1:15">
      <c r="A4306" s="3">
        <f t="shared" si="68"/>
        <v>4305</v>
      </c>
      <c r="B4306" s="65" t="s">
        <v>6429</v>
      </c>
      <c r="C4306" s="1">
        <v>9253410314</v>
      </c>
      <c r="E4306" s="17" t="s">
        <v>6426</v>
      </c>
      <c r="F4306" s="65" t="s">
        <v>1767</v>
      </c>
      <c r="G4306" s="3" t="s">
        <v>764</v>
      </c>
      <c r="H4306" s="2" t="s">
        <v>815</v>
      </c>
      <c r="I4306" s="3" t="s">
        <v>94</v>
      </c>
      <c r="J4306" s="31">
        <v>45923</v>
      </c>
      <c r="K4306" s="31">
        <v>45925</v>
      </c>
      <c r="L4306" s="31"/>
      <c r="M4306" s="31"/>
      <c r="O4306" s="3" t="s">
        <v>425</v>
      </c>
    </row>
    <row r="4307" spans="1:15">
      <c r="A4307" s="3">
        <f t="shared" si="68"/>
        <v>4306</v>
      </c>
      <c r="B4307" s="65" t="s">
        <v>6430</v>
      </c>
      <c r="C4307" s="1">
        <v>9340214274</v>
      </c>
      <c r="E4307" s="17" t="s">
        <v>6428</v>
      </c>
      <c r="F4307" s="65" t="s">
        <v>825</v>
      </c>
      <c r="G4307" s="3" t="s">
        <v>416</v>
      </c>
      <c r="H4307" s="2" t="s">
        <v>815</v>
      </c>
      <c r="I4307" s="3" t="s">
        <v>94</v>
      </c>
      <c r="J4307" s="31">
        <v>45923</v>
      </c>
      <c r="K4307" s="31">
        <v>45925</v>
      </c>
      <c r="L4307" s="31"/>
      <c r="M4307" s="31"/>
      <c r="O4307" s="3" t="s">
        <v>297</v>
      </c>
    </row>
    <row r="4308" spans="1:15">
      <c r="A4308" s="3">
        <f t="shared" si="68"/>
        <v>4307</v>
      </c>
      <c r="B4308" s="65" t="s">
        <v>6431</v>
      </c>
      <c r="C4308" s="1">
        <v>7354152748</v>
      </c>
      <c r="E4308" s="17" t="s">
        <v>6432</v>
      </c>
      <c r="F4308" s="65" t="s">
        <v>1555</v>
      </c>
      <c r="G4308" s="3" t="s">
        <v>295</v>
      </c>
      <c r="H4308" s="2" t="s">
        <v>815</v>
      </c>
      <c r="I4308" s="3" t="s">
        <v>94</v>
      </c>
      <c r="J4308" s="31">
        <v>45923</v>
      </c>
      <c r="K4308" s="31">
        <v>45925</v>
      </c>
      <c r="L4308" s="31">
        <v>45931</v>
      </c>
      <c r="M4308" s="31">
        <v>45967</v>
      </c>
      <c r="O4308" s="3" t="s">
        <v>297</v>
      </c>
    </row>
    <row r="4309" spans="1:15">
      <c r="A4309" s="3">
        <f t="shared" si="68"/>
        <v>4308</v>
      </c>
      <c r="B4309" s="65" t="s">
        <v>6433</v>
      </c>
      <c r="C4309" s="1">
        <v>9064812818</v>
      </c>
      <c r="E4309" s="17" t="s">
        <v>6432</v>
      </c>
      <c r="F4309" s="65" t="s">
        <v>1555</v>
      </c>
      <c r="G4309" s="3" t="s">
        <v>764</v>
      </c>
      <c r="H4309" s="2" t="s">
        <v>815</v>
      </c>
      <c r="I4309" s="3" t="s">
        <v>94</v>
      </c>
      <c r="J4309" s="31">
        <v>45923</v>
      </c>
      <c r="K4309" s="31">
        <v>45925</v>
      </c>
      <c r="L4309" s="31"/>
      <c r="M4309" s="31"/>
      <c r="O4309" s="3" t="s">
        <v>425</v>
      </c>
    </row>
    <row r="4310" spans="1:15">
      <c r="A4310" s="3">
        <f t="shared" si="68"/>
        <v>4309</v>
      </c>
      <c r="B4310" s="65" t="s">
        <v>6434</v>
      </c>
      <c r="C4310" s="1">
        <v>9335910642</v>
      </c>
      <c r="D4310" s="1">
        <v>6387374035</v>
      </c>
      <c r="E4310" s="17" t="s">
        <v>6435</v>
      </c>
      <c r="F4310" s="65" t="s">
        <v>6436</v>
      </c>
      <c r="G4310" s="3" t="s">
        <v>16</v>
      </c>
      <c r="H4310" s="2" t="s">
        <v>361</v>
      </c>
      <c r="I4310" s="3" t="s">
        <v>94</v>
      </c>
      <c r="J4310" s="31">
        <v>45924</v>
      </c>
      <c r="K4310" s="31">
        <v>45931</v>
      </c>
      <c r="L4310" s="31">
        <v>45941</v>
      </c>
      <c r="M4310" s="31">
        <v>45957</v>
      </c>
      <c r="N4310" s="31">
        <v>45962</v>
      </c>
      <c r="O4310" s="3" t="s">
        <v>297</v>
      </c>
    </row>
    <row r="4311" spans="1:15">
      <c r="A4311" s="3">
        <f t="shared" si="68"/>
        <v>4310</v>
      </c>
      <c r="B4311" s="65" t="s">
        <v>6437</v>
      </c>
      <c r="C4311" s="1">
        <v>8112759605</v>
      </c>
      <c r="E4311" s="17" t="s">
        <v>6438</v>
      </c>
      <c r="F4311" s="65" t="s">
        <v>989</v>
      </c>
      <c r="G4311" s="3" t="s">
        <v>16</v>
      </c>
      <c r="H4311" s="2" t="s">
        <v>361</v>
      </c>
      <c r="I4311" s="3" t="s">
        <v>94</v>
      </c>
      <c r="J4311" s="31">
        <v>45924</v>
      </c>
      <c r="K4311" s="31">
        <v>45931</v>
      </c>
      <c r="L4311" s="31">
        <v>45941</v>
      </c>
      <c r="M4311" s="31">
        <v>45953</v>
      </c>
      <c r="N4311" s="31">
        <v>45963</v>
      </c>
      <c r="O4311" s="3" t="s">
        <v>297</v>
      </c>
    </row>
    <row r="4312" spans="1:15">
      <c r="A4312" s="3">
        <f t="shared" si="68"/>
        <v>4311</v>
      </c>
      <c r="B4312" s="65" t="s">
        <v>6439</v>
      </c>
      <c r="C4312" s="1">
        <v>8400057216</v>
      </c>
      <c r="E4312" s="17" t="s">
        <v>6440</v>
      </c>
      <c r="F4312" s="65" t="s">
        <v>989</v>
      </c>
      <c r="G4312" s="3" t="s">
        <v>16</v>
      </c>
      <c r="H4312" s="2" t="s">
        <v>361</v>
      </c>
      <c r="I4312" s="3" t="s">
        <v>94</v>
      </c>
      <c r="J4312" s="31">
        <v>45924</v>
      </c>
      <c r="K4312" s="31">
        <v>45945</v>
      </c>
      <c r="L4312" s="31">
        <v>45968</v>
      </c>
      <c r="M4312" s="31">
        <v>46021</v>
      </c>
      <c r="N4312" s="31">
        <v>46022</v>
      </c>
      <c r="O4312" s="3" t="s">
        <v>297</v>
      </c>
    </row>
    <row r="4313" spans="1:15">
      <c r="A4313" s="3">
        <f t="shared" si="68"/>
        <v>4312</v>
      </c>
      <c r="B4313" s="65" t="s">
        <v>6441</v>
      </c>
      <c r="C4313" s="1">
        <v>8766437898</v>
      </c>
      <c r="E4313" s="17" t="s">
        <v>6438</v>
      </c>
      <c r="F4313" s="65" t="s">
        <v>989</v>
      </c>
      <c r="G4313" s="3" t="s">
        <v>16</v>
      </c>
      <c r="H4313" s="2" t="s">
        <v>361</v>
      </c>
      <c r="I4313" s="3" t="s">
        <v>94</v>
      </c>
      <c r="J4313" s="31">
        <v>45924</v>
      </c>
      <c r="K4313" s="31">
        <v>45931</v>
      </c>
      <c r="L4313" s="31">
        <v>45941</v>
      </c>
      <c r="M4313" s="31">
        <v>45972</v>
      </c>
      <c r="N4313" s="31">
        <v>45973</v>
      </c>
      <c r="O4313" s="3" t="s">
        <v>297</v>
      </c>
    </row>
    <row r="4314" spans="1:15">
      <c r="A4314" s="3">
        <f t="shared" si="68"/>
        <v>4313</v>
      </c>
      <c r="B4314" s="65" t="s">
        <v>6442</v>
      </c>
      <c r="C4314" s="1">
        <v>7992449005</v>
      </c>
      <c r="E4314" s="17" t="s">
        <v>6443</v>
      </c>
      <c r="F4314" s="65" t="s">
        <v>989</v>
      </c>
      <c r="G4314" s="3" t="s">
        <v>16</v>
      </c>
      <c r="H4314" s="2" t="s">
        <v>361</v>
      </c>
      <c r="I4314" s="3" t="s">
        <v>94</v>
      </c>
      <c r="J4314" s="31">
        <v>45924</v>
      </c>
      <c r="K4314" s="31">
        <v>45931</v>
      </c>
      <c r="L4314" s="31">
        <v>45941</v>
      </c>
      <c r="M4314" s="31">
        <v>45981</v>
      </c>
      <c r="N4314" s="31">
        <v>45991</v>
      </c>
      <c r="O4314" s="3" t="s">
        <v>297</v>
      </c>
    </row>
    <row r="4315" spans="1:15">
      <c r="A4315" s="3">
        <f t="shared" si="68"/>
        <v>4314</v>
      </c>
      <c r="B4315" s="65" t="s">
        <v>6444</v>
      </c>
      <c r="C4315" s="1">
        <v>7976832949</v>
      </c>
      <c r="D4315" s="1">
        <v>9162452698</v>
      </c>
      <c r="E4315" s="17" t="s">
        <v>6445</v>
      </c>
      <c r="F4315" s="65"/>
      <c r="G4315" s="3" t="s">
        <v>18</v>
      </c>
      <c r="H4315" s="2" t="s">
        <v>3117</v>
      </c>
      <c r="I4315" s="3" t="s">
        <v>94</v>
      </c>
      <c r="J4315" s="31">
        <v>45920</v>
      </c>
      <c r="K4315" s="31">
        <v>45922</v>
      </c>
      <c r="L4315" s="31">
        <v>45924</v>
      </c>
      <c r="M4315" s="31">
        <v>45969</v>
      </c>
      <c r="O4315" s="3" t="s">
        <v>297</v>
      </c>
    </row>
    <row r="4316" spans="1:15">
      <c r="A4316" s="3">
        <f t="shared" si="68"/>
        <v>4315</v>
      </c>
      <c r="B4316" s="65" t="s">
        <v>6446</v>
      </c>
      <c r="C4316" s="1">
        <v>9347991429</v>
      </c>
      <c r="E4316" s="17" t="s">
        <v>6447</v>
      </c>
      <c r="F4316" s="65"/>
      <c r="G4316" s="2" t="s">
        <v>295</v>
      </c>
      <c r="H4316" s="2" t="s">
        <v>296</v>
      </c>
      <c r="I4316" s="3" t="s">
        <v>94</v>
      </c>
      <c r="J4316" s="31">
        <v>45920</v>
      </c>
      <c r="K4316" s="31">
        <v>45922</v>
      </c>
      <c r="L4316" s="31">
        <v>45924</v>
      </c>
      <c r="M4316" s="31">
        <v>45939</v>
      </c>
      <c r="O4316" s="3" t="s">
        <v>297</v>
      </c>
    </row>
    <row r="4317" spans="1:15">
      <c r="A4317" s="3">
        <f t="shared" si="68"/>
        <v>4316</v>
      </c>
      <c r="B4317" s="65" t="s">
        <v>6448</v>
      </c>
      <c r="C4317" s="1">
        <v>7675965655</v>
      </c>
      <c r="E4317" s="17" t="s">
        <v>6449</v>
      </c>
      <c r="F4317" s="65"/>
      <c r="G4317" s="3" t="s">
        <v>16</v>
      </c>
      <c r="H4317" s="2" t="s">
        <v>368</v>
      </c>
      <c r="I4317" s="3" t="s">
        <v>94</v>
      </c>
      <c r="J4317" s="31">
        <v>45920</v>
      </c>
      <c r="K4317" s="31">
        <v>45922</v>
      </c>
      <c r="L4317" s="31">
        <v>45924</v>
      </c>
      <c r="M4317" s="31">
        <v>45954</v>
      </c>
      <c r="N4317" s="31">
        <v>45962</v>
      </c>
      <c r="O4317" s="3" t="s">
        <v>297</v>
      </c>
    </row>
    <row r="4318" spans="1:15">
      <c r="A4318" s="3">
        <f t="shared" ref="A4318:A4381" si="69">ROW()-1</f>
        <v>4317</v>
      </c>
      <c r="B4318" s="65" t="s">
        <v>6450</v>
      </c>
      <c r="C4318" s="1">
        <v>9709792612</v>
      </c>
      <c r="E4318" s="17" t="s">
        <v>6082</v>
      </c>
      <c r="F4318" s="65" t="s">
        <v>6146</v>
      </c>
      <c r="G4318" s="3" t="s">
        <v>16</v>
      </c>
      <c r="H4318" s="2" t="s">
        <v>815</v>
      </c>
      <c r="I4318" s="3" t="s">
        <v>88</v>
      </c>
      <c r="J4318" s="31">
        <v>45925</v>
      </c>
      <c r="K4318" s="31">
        <v>45933</v>
      </c>
      <c r="L4318" s="31">
        <v>45938</v>
      </c>
      <c r="M4318" s="31">
        <v>45969</v>
      </c>
      <c r="N4318" s="31">
        <v>45964</v>
      </c>
      <c r="O4318" s="3" t="s">
        <v>297</v>
      </c>
    </row>
    <row r="4319" spans="1:15">
      <c r="A4319" s="3">
        <f t="shared" si="69"/>
        <v>4318</v>
      </c>
      <c r="B4319" s="65" t="s">
        <v>6451</v>
      </c>
      <c r="C4319" s="1">
        <v>8328072099</v>
      </c>
      <c r="D4319" s="1">
        <v>9493335803</v>
      </c>
      <c r="E4319" s="17" t="s">
        <v>6452</v>
      </c>
      <c r="F4319" s="65" t="s">
        <v>308</v>
      </c>
      <c r="G4319" s="3" t="s">
        <v>424</v>
      </c>
      <c r="H4319" s="2" t="s">
        <v>162</v>
      </c>
      <c r="I4319" s="3" t="s">
        <v>94</v>
      </c>
      <c r="J4319" s="31">
        <v>45925</v>
      </c>
      <c r="K4319" s="31">
        <v>45938</v>
      </c>
      <c r="L4319" s="31"/>
      <c r="M4319" s="31"/>
      <c r="O4319" s="3" t="s">
        <v>425</v>
      </c>
    </row>
    <row r="4320" spans="1:15">
      <c r="A4320" s="3">
        <f t="shared" si="69"/>
        <v>4319</v>
      </c>
      <c r="B4320" s="65" t="s">
        <v>4215</v>
      </c>
      <c r="C4320" s="1">
        <v>6396597548</v>
      </c>
      <c r="E4320" s="17" t="s">
        <v>6452</v>
      </c>
      <c r="F4320" s="65" t="s">
        <v>308</v>
      </c>
      <c r="G4320" s="3" t="s">
        <v>424</v>
      </c>
      <c r="H4320" s="2" t="s">
        <v>162</v>
      </c>
      <c r="I4320" s="3" t="s">
        <v>94</v>
      </c>
      <c r="J4320" s="31">
        <v>45925</v>
      </c>
      <c r="K4320" s="31">
        <v>45938</v>
      </c>
      <c r="L4320" s="31"/>
      <c r="M4320" s="31"/>
      <c r="O4320" s="3" t="s">
        <v>425</v>
      </c>
    </row>
    <row r="4321" spans="1:15">
      <c r="A4321" s="3">
        <f t="shared" si="69"/>
        <v>4320</v>
      </c>
      <c r="B4321" s="65" t="s">
        <v>6453</v>
      </c>
      <c r="C4321" s="1">
        <v>9661898920</v>
      </c>
      <c r="E4321" s="17" t="s">
        <v>6454</v>
      </c>
      <c r="F4321" s="65" t="s">
        <v>308</v>
      </c>
      <c r="G4321" s="3" t="s">
        <v>424</v>
      </c>
      <c r="H4321" s="2" t="s">
        <v>162</v>
      </c>
      <c r="I4321" s="3" t="s">
        <v>94</v>
      </c>
      <c r="J4321" s="31">
        <v>45925</v>
      </c>
      <c r="K4321" s="31">
        <v>45938</v>
      </c>
      <c r="L4321" s="31"/>
      <c r="M4321" s="31"/>
      <c r="O4321" s="3" t="s">
        <v>425</v>
      </c>
    </row>
    <row r="4322" spans="1:15">
      <c r="A4322" s="3">
        <f t="shared" si="69"/>
        <v>4321</v>
      </c>
      <c r="B4322" s="65" t="s">
        <v>6455</v>
      </c>
      <c r="C4322" s="1">
        <v>9598314848</v>
      </c>
      <c r="E4322" s="17" t="s">
        <v>6454</v>
      </c>
      <c r="F4322" s="65" t="s">
        <v>308</v>
      </c>
      <c r="G4322" s="3" t="s">
        <v>16</v>
      </c>
      <c r="H4322" s="2" t="s">
        <v>162</v>
      </c>
      <c r="I4322" s="3" t="s">
        <v>94</v>
      </c>
      <c r="J4322" s="31">
        <v>45925</v>
      </c>
      <c r="K4322" s="31">
        <v>45939</v>
      </c>
      <c r="L4322" s="31">
        <v>45945</v>
      </c>
      <c r="M4322" s="31">
        <v>45952</v>
      </c>
      <c r="N4322" s="31">
        <v>45954</v>
      </c>
      <c r="O4322" s="3" t="s">
        <v>297</v>
      </c>
    </row>
    <row r="4323" spans="1:15">
      <c r="A4323" s="3">
        <f t="shared" si="69"/>
        <v>4322</v>
      </c>
      <c r="B4323" s="65" t="s">
        <v>6456</v>
      </c>
      <c r="C4323" s="1">
        <v>9457937106</v>
      </c>
      <c r="D4323" s="1">
        <v>7857830103</v>
      </c>
      <c r="E4323" s="17" t="s">
        <v>6454</v>
      </c>
      <c r="F4323" s="65" t="s">
        <v>308</v>
      </c>
      <c r="G4323" s="3" t="s">
        <v>424</v>
      </c>
      <c r="H4323" s="2" t="s">
        <v>162</v>
      </c>
      <c r="I4323" s="3" t="s">
        <v>94</v>
      </c>
      <c r="J4323" s="31">
        <v>45925</v>
      </c>
      <c r="K4323" s="31">
        <v>45938</v>
      </c>
      <c r="L4323" s="31"/>
      <c r="M4323" s="31"/>
      <c r="O4323" s="3" t="s">
        <v>425</v>
      </c>
    </row>
    <row r="4324" spans="1:15">
      <c r="A4324" s="3">
        <f t="shared" si="69"/>
        <v>4323</v>
      </c>
      <c r="B4324" s="65" t="s">
        <v>5837</v>
      </c>
      <c r="C4324" s="1">
        <v>8423202384</v>
      </c>
      <c r="E4324" s="17" t="s">
        <v>6457</v>
      </c>
      <c r="F4324" s="65" t="s">
        <v>364</v>
      </c>
      <c r="G4324" s="3" t="s">
        <v>424</v>
      </c>
      <c r="H4324" s="2" t="s">
        <v>162</v>
      </c>
      <c r="I4324" s="3" t="s">
        <v>94</v>
      </c>
      <c r="J4324" s="31">
        <v>45925</v>
      </c>
      <c r="K4324" s="31">
        <v>45939</v>
      </c>
      <c r="L4324" s="31"/>
      <c r="M4324" s="31"/>
      <c r="O4324" s="3" t="s">
        <v>749</v>
      </c>
    </row>
    <row r="4325" spans="1:15">
      <c r="A4325" s="3">
        <f t="shared" si="69"/>
        <v>4324</v>
      </c>
      <c r="B4325" s="65" t="s">
        <v>6458</v>
      </c>
      <c r="C4325" s="1">
        <v>9661957379</v>
      </c>
      <c r="D4325" s="1" t="s">
        <v>6459</v>
      </c>
      <c r="E4325" s="17" t="s">
        <v>6457</v>
      </c>
      <c r="F4325" s="65" t="s">
        <v>364</v>
      </c>
      <c r="G4325" s="3" t="s">
        <v>424</v>
      </c>
      <c r="H4325" s="2" t="s">
        <v>162</v>
      </c>
      <c r="I4325" s="3" t="s">
        <v>94</v>
      </c>
      <c r="J4325" s="31">
        <v>45925</v>
      </c>
      <c r="K4325" s="31">
        <v>45938</v>
      </c>
      <c r="L4325" s="31"/>
      <c r="M4325" s="31"/>
      <c r="O4325" s="3" t="s">
        <v>425</v>
      </c>
    </row>
    <row r="4326" spans="1:15">
      <c r="A4326" s="3">
        <f t="shared" si="69"/>
        <v>4325</v>
      </c>
      <c r="B4326" s="65" t="s">
        <v>6460</v>
      </c>
      <c r="C4326" s="1">
        <v>9304952622</v>
      </c>
      <c r="D4326" s="1">
        <v>8975700000</v>
      </c>
      <c r="E4326" s="17" t="s">
        <v>6461</v>
      </c>
      <c r="F4326" s="65" t="s">
        <v>364</v>
      </c>
      <c r="G4326" s="3" t="s">
        <v>424</v>
      </c>
      <c r="H4326" s="2" t="s">
        <v>162</v>
      </c>
      <c r="I4326" s="3" t="s">
        <v>94</v>
      </c>
      <c r="J4326" s="31">
        <v>45925</v>
      </c>
      <c r="K4326" s="31">
        <v>45938</v>
      </c>
      <c r="L4326" s="31"/>
      <c r="M4326" s="31"/>
      <c r="O4326" s="3" t="s">
        <v>425</v>
      </c>
    </row>
    <row r="4327" spans="1:15">
      <c r="A4327" s="3">
        <f t="shared" si="69"/>
        <v>4326</v>
      </c>
      <c r="B4327" s="65" t="s">
        <v>6462</v>
      </c>
      <c r="C4327" s="1">
        <v>9680671858</v>
      </c>
      <c r="E4327" s="17" t="s">
        <v>6461</v>
      </c>
      <c r="F4327" s="65" t="s">
        <v>364</v>
      </c>
      <c r="G4327" s="3" t="s">
        <v>424</v>
      </c>
      <c r="H4327" s="2" t="s">
        <v>162</v>
      </c>
      <c r="I4327" s="3" t="s">
        <v>94</v>
      </c>
      <c r="J4327" s="31">
        <v>45925</v>
      </c>
      <c r="K4327" s="31">
        <v>45938</v>
      </c>
      <c r="L4327" s="31"/>
      <c r="M4327" s="31"/>
      <c r="O4327" s="3" t="s">
        <v>425</v>
      </c>
    </row>
    <row r="4328" spans="1:15">
      <c r="A4328" s="3">
        <f t="shared" si="69"/>
        <v>4327</v>
      </c>
      <c r="B4328" s="65" t="s">
        <v>5946</v>
      </c>
      <c r="C4328" s="1">
        <v>9608484482</v>
      </c>
      <c r="D4328" s="1">
        <v>8340608014</v>
      </c>
      <c r="E4328" s="17" t="s">
        <v>6461</v>
      </c>
      <c r="F4328" s="65" t="s">
        <v>1011</v>
      </c>
      <c r="G4328" s="3" t="s">
        <v>16</v>
      </c>
      <c r="H4328" s="2" t="s">
        <v>162</v>
      </c>
      <c r="I4328" s="3" t="s">
        <v>94</v>
      </c>
      <c r="J4328" s="31">
        <v>45925</v>
      </c>
      <c r="K4328" s="31">
        <v>45939</v>
      </c>
      <c r="L4328" s="31">
        <v>45954</v>
      </c>
      <c r="M4328" s="31">
        <v>45971</v>
      </c>
      <c r="N4328" s="31">
        <v>45968</v>
      </c>
      <c r="O4328" s="3" t="s">
        <v>297</v>
      </c>
    </row>
    <row r="4329" spans="1:15">
      <c r="A4329" s="3">
        <f t="shared" si="69"/>
        <v>4328</v>
      </c>
      <c r="B4329" s="65" t="s">
        <v>6463</v>
      </c>
      <c r="C4329" s="1">
        <v>8158938980</v>
      </c>
      <c r="D4329" s="1">
        <v>8617232850</v>
      </c>
      <c r="E4329" s="17" t="s">
        <v>6464</v>
      </c>
      <c r="F4329" s="65" t="s">
        <v>294</v>
      </c>
      <c r="G4329" s="3" t="s">
        <v>424</v>
      </c>
      <c r="H4329" s="2" t="s">
        <v>296</v>
      </c>
      <c r="I4329" s="3" t="s">
        <v>94</v>
      </c>
      <c r="J4329" s="31">
        <v>45926</v>
      </c>
      <c r="K4329" s="31">
        <v>45931</v>
      </c>
      <c r="L4329" s="31"/>
      <c r="M4329" s="31"/>
      <c r="O4329" s="3" t="s">
        <v>425</v>
      </c>
    </row>
    <row r="4330" spans="1:15">
      <c r="A4330" s="3">
        <f t="shared" si="69"/>
        <v>4329</v>
      </c>
      <c r="B4330" s="65" t="s">
        <v>6465</v>
      </c>
      <c r="C4330" s="1">
        <v>6350524014</v>
      </c>
      <c r="E4330" s="17" t="s">
        <v>6464</v>
      </c>
      <c r="F4330" s="65" t="s">
        <v>294</v>
      </c>
      <c r="G4330" s="3" t="s">
        <v>424</v>
      </c>
      <c r="H4330" s="2" t="s">
        <v>296</v>
      </c>
      <c r="I4330" s="3" t="s">
        <v>94</v>
      </c>
      <c r="J4330" s="31">
        <v>45926</v>
      </c>
      <c r="K4330" s="31">
        <v>45931</v>
      </c>
      <c r="L4330" s="31"/>
      <c r="M4330" s="31"/>
      <c r="O4330" s="3" t="s">
        <v>425</v>
      </c>
    </row>
    <row r="4331" spans="1:15">
      <c r="A4331" s="3">
        <f t="shared" si="69"/>
        <v>4330</v>
      </c>
      <c r="B4331" s="65" t="s">
        <v>6466</v>
      </c>
      <c r="C4331" s="1">
        <v>9921887771</v>
      </c>
      <c r="E4331" s="17" t="s">
        <v>5397</v>
      </c>
      <c r="F4331" s="65"/>
      <c r="G4331" s="3" t="s">
        <v>16</v>
      </c>
      <c r="H4331" s="2" t="s">
        <v>674</v>
      </c>
      <c r="I4331" s="3" t="s">
        <v>94</v>
      </c>
      <c r="J4331" s="31">
        <v>45920</v>
      </c>
      <c r="K4331" s="31">
        <v>45922</v>
      </c>
      <c r="L4331" s="31">
        <v>45926</v>
      </c>
      <c r="M4331" s="31">
        <v>45973</v>
      </c>
      <c r="N4331" s="31">
        <v>45973</v>
      </c>
      <c r="O4331" s="3" t="s">
        <v>297</v>
      </c>
    </row>
    <row r="4332" spans="1:15">
      <c r="A4332" s="3">
        <f t="shared" si="69"/>
        <v>4331</v>
      </c>
      <c r="B4332" s="65" t="s">
        <v>6467</v>
      </c>
      <c r="C4332" s="1">
        <v>9441875219</v>
      </c>
      <c r="E4332" s="17" t="s">
        <v>6468</v>
      </c>
      <c r="F4332" s="65"/>
      <c r="G4332" s="3" t="s">
        <v>18</v>
      </c>
      <c r="H4332" s="2" t="s">
        <v>5163</v>
      </c>
      <c r="I4332" s="3" t="s">
        <v>94</v>
      </c>
      <c r="J4332" s="31">
        <v>45920</v>
      </c>
      <c r="K4332" s="31">
        <v>45922</v>
      </c>
      <c r="L4332" s="31">
        <v>45926</v>
      </c>
      <c r="M4332" s="31">
        <v>45992</v>
      </c>
      <c r="O4332" s="3" t="s">
        <v>297</v>
      </c>
    </row>
    <row r="4333" spans="1:15">
      <c r="A4333" s="3">
        <f t="shared" si="69"/>
        <v>4332</v>
      </c>
      <c r="B4333" s="65" t="s">
        <v>6469</v>
      </c>
      <c r="C4333" s="1">
        <v>9581441566</v>
      </c>
      <c r="E4333" s="17" t="s">
        <v>6394</v>
      </c>
      <c r="F4333" s="65"/>
      <c r="G4333" s="3" t="s">
        <v>16</v>
      </c>
      <c r="H4333" s="2" t="s">
        <v>913</v>
      </c>
      <c r="I4333" s="3" t="s">
        <v>94</v>
      </c>
      <c r="J4333" s="31">
        <v>45920</v>
      </c>
      <c r="K4333" s="31">
        <v>45922</v>
      </c>
      <c r="L4333" s="31">
        <v>45926</v>
      </c>
      <c r="M4333" s="31">
        <v>45968</v>
      </c>
      <c r="N4333" s="31">
        <v>45965</v>
      </c>
      <c r="O4333" s="3" t="s">
        <v>297</v>
      </c>
    </row>
    <row r="4334" spans="1:15">
      <c r="A4334" s="3">
        <f t="shared" si="69"/>
        <v>4333</v>
      </c>
      <c r="B4334" s="65" t="s">
        <v>6470</v>
      </c>
      <c r="C4334" s="1">
        <v>9441408110</v>
      </c>
      <c r="E4334" s="17" t="s">
        <v>6471</v>
      </c>
      <c r="F4334" s="65"/>
      <c r="G4334" s="3" t="s">
        <v>16</v>
      </c>
      <c r="H4334" s="2" t="s">
        <v>913</v>
      </c>
      <c r="I4334" s="3" t="s">
        <v>94</v>
      </c>
      <c r="J4334" s="31">
        <v>45920</v>
      </c>
      <c r="K4334" s="31">
        <v>45922</v>
      </c>
      <c r="L4334" s="31">
        <v>45926</v>
      </c>
      <c r="M4334" s="31">
        <v>45968</v>
      </c>
      <c r="N4334" s="31">
        <v>45965</v>
      </c>
      <c r="O4334" s="3" t="s">
        <v>297</v>
      </c>
    </row>
    <row r="4335" spans="1:15">
      <c r="A4335" s="3">
        <f t="shared" si="69"/>
        <v>4334</v>
      </c>
      <c r="B4335" s="65" t="s">
        <v>6472</v>
      </c>
      <c r="C4335" s="1">
        <v>7804070114</v>
      </c>
      <c r="E4335" s="17" t="s">
        <v>6428</v>
      </c>
      <c r="F4335" s="65"/>
      <c r="G4335" s="3" t="s">
        <v>16</v>
      </c>
      <c r="H4335" s="2" t="s">
        <v>815</v>
      </c>
      <c r="I4335" s="3" t="s">
        <v>94</v>
      </c>
      <c r="J4335" s="31">
        <v>45920</v>
      </c>
      <c r="K4335" s="31">
        <v>45922</v>
      </c>
      <c r="L4335" s="31">
        <v>45926</v>
      </c>
      <c r="M4335" s="31">
        <v>45957</v>
      </c>
      <c r="N4335" s="31">
        <v>45960</v>
      </c>
      <c r="O4335" s="3" t="s">
        <v>297</v>
      </c>
    </row>
    <row r="4336" spans="1:15">
      <c r="A4336" s="3">
        <f t="shared" si="69"/>
        <v>4335</v>
      </c>
      <c r="B4336" s="65" t="s">
        <v>6473</v>
      </c>
      <c r="C4336" s="1">
        <v>9001353490</v>
      </c>
      <c r="E4336" s="17" t="s">
        <v>6474</v>
      </c>
      <c r="F4336" s="65" t="s">
        <v>569</v>
      </c>
      <c r="G4336" s="3" t="s">
        <v>416</v>
      </c>
      <c r="H4336" s="2" t="s">
        <v>913</v>
      </c>
      <c r="I4336" s="3" t="s">
        <v>94</v>
      </c>
      <c r="J4336" s="31">
        <v>45929</v>
      </c>
      <c r="K4336" s="31">
        <v>45936</v>
      </c>
      <c r="L4336" s="31"/>
      <c r="M4336" s="31"/>
      <c r="O4336" s="3" t="s">
        <v>297</v>
      </c>
    </row>
    <row r="4337" spans="1:15">
      <c r="A4337" s="3">
        <f t="shared" si="69"/>
        <v>4336</v>
      </c>
      <c r="B4337" s="65" t="s">
        <v>6475</v>
      </c>
      <c r="C4337" s="1">
        <v>8757321304</v>
      </c>
      <c r="E4337" s="17" t="s">
        <v>6474</v>
      </c>
      <c r="F4337" s="65" t="s">
        <v>569</v>
      </c>
      <c r="G4337" s="3" t="s">
        <v>16</v>
      </c>
      <c r="H4337" s="2" t="s">
        <v>913</v>
      </c>
      <c r="I4337" s="3" t="s">
        <v>94</v>
      </c>
      <c r="J4337" s="31">
        <v>45929</v>
      </c>
      <c r="K4337" s="31">
        <v>45931</v>
      </c>
      <c r="L4337" s="31">
        <v>45941</v>
      </c>
      <c r="M4337" s="31">
        <v>45969</v>
      </c>
      <c r="N4337" s="31">
        <v>45962</v>
      </c>
      <c r="O4337" s="3" t="s">
        <v>297</v>
      </c>
    </row>
    <row r="4338" spans="1:15">
      <c r="A4338" s="3">
        <f t="shared" si="69"/>
        <v>4337</v>
      </c>
      <c r="B4338" s="65" t="s">
        <v>6476</v>
      </c>
      <c r="C4338" s="1">
        <v>9425337162</v>
      </c>
      <c r="E4338" s="17" t="s">
        <v>6477</v>
      </c>
      <c r="F4338" s="65" t="s">
        <v>308</v>
      </c>
      <c r="G4338" s="3" t="s">
        <v>16</v>
      </c>
      <c r="H4338" s="2" t="s">
        <v>913</v>
      </c>
      <c r="I4338" s="3" t="s">
        <v>94</v>
      </c>
      <c r="J4338" s="31">
        <v>45929</v>
      </c>
      <c r="K4338" s="31">
        <v>45931</v>
      </c>
      <c r="L4338" s="31">
        <v>45941</v>
      </c>
      <c r="M4338" s="31">
        <v>45979</v>
      </c>
      <c r="N4338" s="31">
        <v>45985</v>
      </c>
      <c r="O4338" s="3" t="s">
        <v>297</v>
      </c>
    </row>
    <row r="4339" spans="1:15">
      <c r="A4339" s="3">
        <f t="shared" si="69"/>
        <v>4338</v>
      </c>
      <c r="B4339" s="65" t="s">
        <v>6478</v>
      </c>
      <c r="C4339" s="1">
        <v>9973370089</v>
      </c>
      <c r="E4339" s="17" t="s">
        <v>6479</v>
      </c>
      <c r="F4339" s="65" t="s">
        <v>308</v>
      </c>
      <c r="G4339" s="3" t="s">
        <v>424</v>
      </c>
      <c r="H4339" s="2" t="s">
        <v>913</v>
      </c>
      <c r="I4339" s="3" t="s">
        <v>94</v>
      </c>
      <c r="J4339" s="31">
        <v>45929</v>
      </c>
      <c r="K4339" s="31">
        <v>45936</v>
      </c>
      <c r="L4339" s="31"/>
      <c r="M4339" s="31"/>
      <c r="O4339" s="3" t="s">
        <v>425</v>
      </c>
    </row>
    <row r="4340" spans="1:15">
      <c r="A4340" s="3">
        <f t="shared" si="69"/>
        <v>4339</v>
      </c>
      <c r="B4340" s="65" t="s">
        <v>1639</v>
      </c>
      <c r="C4340" s="1">
        <v>7991251899</v>
      </c>
      <c r="D4340" s="1">
        <v>9140914399</v>
      </c>
      <c r="E4340" s="17" t="s">
        <v>6479</v>
      </c>
      <c r="F4340" s="65" t="s">
        <v>1999</v>
      </c>
      <c r="G4340" s="3" t="s">
        <v>16</v>
      </c>
      <c r="H4340" s="2" t="s">
        <v>913</v>
      </c>
      <c r="I4340" s="3" t="s">
        <v>94</v>
      </c>
      <c r="J4340" s="31">
        <v>45929</v>
      </c>
      <c r="K4340" s="31">
        <v>45936</v>
      </c>
      <c r="L4340" s="31">
        <v>45981</v>
      </c>
      <c r="M4340" s="31">
        <v>46013</v>
      </c>
      <c r="N4340" s="31">
        <v>46017</v>
      </c>
      <c r="O4340" s="3" t="s">
        <v>297</v>
      </c>
    </row>
    <row r="4341" spans="1:15">
      <c r="A4341" s="3">
        <f t="shared" si="69"/>
        <v>4340</v>
      </c>
      <c r="B4341" s="65" t="s">
        <v>6480</v>
      </c>
      <c r="C4341" s="1">
        <v>7999748130</v>
      </c>
      <c r="E4341" s="17" t="s">
        <v>6479</v>
      </c>
      <c r="F4341" s="65" t="s">
        <v>308</v>
      </c>
      <c r="G4341" s="3" t="s">
        <v>295</v>
      </c>
      <c r="H4341" s="2" t="s">
        <v>913</v>
      </c>
      <c r="I4341" s="3" t="s">
        <v>94</v>
      </c>
      <c r="J4341" s="31">
        <v>45929</v>
      </c>
      <c r="K4341" s="31">
        <v>45931</v>
      </c>
      <c r="L4341" s="31">
        <v>45941</v>
      </c>
      <c r="M4341" s="31">
        <v>45972</v>
      </c>
      <c r="O4341" s="3" t="s">
        <v>297</v>
      </c>
    </row>
    <row r="4342" spans="1:15">
      <c r="A4342" s="3">
        <f t="shared" si="69"/>
        <v>4341</v>
      </c>
      <c r="B4342" s="65" t="s">
        <v>6481</v>
      </c>
      <c r="C4342" s="1">
        <v>8889382584</v>
      </c>
      <c r="E4342" s="17" t="s">
        <v>6479</v>
      </c>
      <c r="F4342" s="65" t="s">
        <v>308</v>
      </c>
      <c r="G4342" s="3" t="s">
        <v>16</v>
      </c>
      <c r="H4342" s="2" t="s">
        <v>913</v>
      </c>
      <c r="I4342" s="3" t="s">
        <v>94</v>
      </c>
      <c r="J4342" s="31">
        <v>45929</v>
      </c>
      <c r="K4342" s="31">
        <v>45931</v>
      </c>
      <c r="L4342" s="31">
        <v>45941</v>
      </c>
      <c r="M4342" s="31">
        <v>45972</v>
      </c>
      <c r="N4342" s="31">
        <v>45985</v>
      </c>
      <c r="O4342" s="3" t="s">
        <v>297</v>
      </c>
    </row>
    <row r="4343" spans="1:15">
      <c r="A4343" s="3">
        <f t="shared" si="69"/>
        <v>4342</v>
      </c>
      <c r="B4343" s="65" t="s">
        <v>6482</v>
      </c>
      <c r="C4343" s="1">
        <v>8825308996</v>
      </c>
      <c r="E4343" s="17" t="s">
        <v>6483</v>
      </c>
      <c r="F4343" s="65" t="s">
        <v>2199</v>
      </c>
      <c r="G4343" s="3" t="s">
        <v>424</v>
      </c>
      <c r="H4343" s="2" t="s">
        <v>296</v>
      </c>
      <c r="I4343" s="3" t="s">
        <v>94</v>
      </c>
      <c r="J4343" s="31">
        <v>45929</v>
      </c>
      <c r="K4343" s="31">
        <v>45939</v>
      </c>
      <c r="L4343" s="31"/>
      <c r="M4343" s="31"/>
      <c r="O4343" s="3" t="s">
        <v>425</v>
      </c>
    </row>
    <row r="4344" spans="1:15">
      <c r="A4344" s="3">
        <f t="shared" si="69"/>
        <v>4343</v>
      </c>
      <c r="B4344" s="65" t="s">
        <v>6484</v>
      </c>
      <c r="C4344" s="1">
        <v>9570010454</v>
      </c>
      <c r="E4344" s="17" t="s">
        <v>6485</v>
      </c>
      <c r="F4344" s="65" t="s">
        <v>6486</v>
      </c>
      <c r="G4344" s="3" t="s">
        <v>424</v>
      </c>
      <c r="H4344" s="2" t="s">
        <v>296</v>
      </c>
      <c r="I4344" s="3" t="s">
        <v>94</v>
      </c>
      <c r="J4344" s="31">
        <v>45929</v>
      </c>
      <c r="K4344" s="31">
        <v>45936</v>
      </c>
      <c r="L4344" s="31"/>
      <c r="M4344" s="31"/>
      <c r="O4344" s="3" t="s">
        <v>425</v>
      </c>
    </row>
    <row r="4345" spans="1:15">
      <c r="A4345" s="3">
        <f t="shared" si="69"/>
        <v>4344</v>
      </c>
      <c r="B4345" s="65" t="s">
        <v>6487</v>
      </c>
      <c r="C4345" s="1">
        <v>9638511038</v>
      </c>
      <c r="E4345" s="17" t="s">
        <v>6381</v>
      </c>
      <c r="F4345" s="65"/>
      <c r="G4345" s="3" t="s">
        <v>16</v>
      </c>
      <c r="H4345" s="2" t="s">
        <v>527</v>
      </c>
      <c r="I4345" s="3" t="s">
        <v>94</v>
      </c>
      <c r="J4345" s="31">
        <v>45917</v>
      </c>
      <c r="K4345" s="31">
        <v>45919</v>
      </c>
      <c r="L4345" s="31">
        <v>45920</v>
      </c>
      <c r="M4345" s="31">
        <v>45938</v>
      </c>
      <c r="N4345" s="31">
        <v>45952</v>
      </c>
      <c r="O4345" s="3" t="s">
        <v>297</v>
      </c>
    </row>
    <row r="4346" spans="1:15">
      <c r="A4346" s="3">
        <f t="shared" si="69"/>
        <v>4345</v>
      </c>
      <c r="B4346" s="65" t="s">
        <v>6488</v>
      </c>
      <c r="C4346" s="1">
        <v>8003693539</v>
      </c>
      <c r="E4346" s="17" t="s">
        <v>6489</v>
      </c>
      <c r="F4346" s="65" t="s">
        <v>6490</v>
      </c>
      <c r="G4346" s="3" t="s">
        <v>708</v>
      </c>
      <c r="H4346" s="2" t="s">
        <v>42</v>
      </c>
      <c r="I4346" s="3" t="s">
        <v>42</v>
      </c>
      <c r="J4346" s="31">
        <v>45931</v>
      </c>
      <c r="K4346" s="31">
        <v>45959</v>
      </c>
      <c r="L4346" s="31"/>
      <c r="M4346" s="31"/>
      <c r="O4346" s="3" t="s">
        <v>297</v>
      </c>
    </row>
    <row r="4347" spans="1:15">
      <c r="A4347" s="3">
        <f t="shared" si="69"/>
        <v>4346</v>
      </c>
      <c r="B4347" s="65" t="s">
        <v>4014</v>
      </c>
      <c r="C4347" s="1">
        <v>8008141533</v>
      </c>
      <c r="E4347" s="17" t="s">
        <v>6489</v>
      </c>
      <c r="F4347" s="65" t="s">
        <v>6491</v>
      </c>
      <c r="G4347" s="3" t="s">
        <v>764</v>
      </c>
      <c r="H4347" s="2" t="s">
        <v>42</v>
      </c>
      <c r="I4347" s="3" t="s">
        <v>42</v>
      </c>
      <c r="J4347" s="31">
        <v>45931</v>
      </c>
      <c r="K4347" s="31">
        <v>45954</v>
      </c>
      <c r="L4347" s="31"/>
      <c r="M4347" s="31"/>
      <c r="O4347" s="3" t="s">
        <v>425</v>
      </c>
    </row>
    <row r="4348" spans="1:15">
      <c r="A4348" s="3">
        <f t="shared" si="69"/>
        <v>4347</v>
      </c>
      <c r="B4348" s="65" t="s">
        <v>6492</v>
      </c>
      <c r="C4348" s="1">
        <v>9949067899</v>
      </c>
      <c r="E4348" s="17" t="s">
        <v>6489</v>
      </c>
      <c r="F4348" s="65" t="s">
        <v>6493</v>
      </c>
      <c r="G4348" s="3" t="s">
        <v>764</v>
      </c>
      <c r="H4348" s="2" t="s">
        <v>42</v>
      </c>
      <c r="I4348" s="3" t="s">
        <v>42</v>
      </c>
      <c r="J4348" s="31">
        <v>45931</v>
      </c>
      <c r="K4348" s="31">
        <v>45954</v>
      </c>
      <c r="L4348" s="31"/>
      <c r="M4348" s="31"/>
      <c r="O4348" s="3" t="s">
        <v>425</v>
      </c>
    </row>
    <row r="4349" spans="1:15">
      <c r="A4349" s="3">
        <f t="shared" si="69"/>
        <v>4348</v>
      </c>
      <c r="B4349" s="65" t="s">
        <v>6494</v>
      </c>
      <c r="C4349" s="1">
        <v>9591843570</v>
      </c>
      <c r="E4349" s="17" t="s">
        <v>5173</v>
      </c>
      <c r="F4349" s="65" t="s">
        <v>303</v>
      </c>
      <c r="G4349" s="3" t="s">
        <v>16</v>
      </c>
      <c r="H4349" s="2" t="s">
        <v>3240</v>
      </c>
      <c r="I4349" s="3" t="s">
        <v>42</v>
      </c>
      <c r="J4349" s="31">
        <v>45931</v>
      </c>
      <c r="K4349" s="31">
        <v>45940</v>
      </c>
      <c r="L4349" s="31">
        <v>45968</v>
      </c>
      <c r="M4349" s="31">
        <v>45984</v>
      </c>
      <c r="N4349" s="31">
        <v>45986</v>
      </c>
      <c r="O4349" s="3" t="s">
        <v>297</v>
      </c>
    </row>
    <row r="4350" spans="1:15">
      <c r="A4350" s="3">
        <f t="shared" si="69"/>
        <v>4349</v>
      </c>
      <c r="B4350" s="65" t="s">
        <v>6495</v>
      </c>
      <c r="C4350" s="1">
        <v>9398700982</v>
      </c>
      <c r="E4350" s="17" t="s">
        <v>5173</v>
      </c>
      <c r="F4350" s="65" t="s">
        <v>6496</v>
      </c>
      <c r="G4350" s="3" t="s">
        <v>416</v>
      </c>
      <c r="H4350" s="2" t="s">
        <v>3240</v>
      </c>
      <c r="I4350" s="3" t="s">
        <v>42</v>
      </c>
      <c r="J4350" s="31">
        <v>45931</v>
      </c>
      <c r="K4350" s="31">
        <v>45939</v>
      </c>
      <c r="L4350" s="31"/>
      <c r="M4350" s="31"/>
      <c r="O4350" s="3" t="s">
        <v>297</v>
      </c>
    </row>
    <row r="4351" spans="1:15">
      <c r="A4351" s="3">
        <f t="shared" si="69"/>
        <v>4350</v>
      </c>
      <c r="B4351" s="65" t="s">
        <v>6497</v>
      </c>
      <c r="C4351" s="1">
        <v>9005842523</v>
      </c>
      <c r="E4351" s="17" t="s">
        <v>5173</v>
      </c>
      <c r="F4351" s="65" t="s">
        <v>3696</v>
      </c>
      <c r="G4351" s="3" t="s">
        <v>16</v>
      </c>
      <c r="H4351" s="2" t="s">
        <v>3240</v>
      </c>
      <c r="I4351" s="3" t="s">
        <v>42</v>
      </c>
      <c r="J4351" s="31">
        <v>45931</v>
      </c>
      <c r="K4351" s="31">
        <v>45939</v>
      </c>
      <c r="L4351" s="31">
        <v>45946</v>
      </c>
      <c r="M4351" s="31">
        <v>45991</v>
      </c>
      <c r="N4351" s="31">
        <v>45987</v>
      </c>
      <c r="O4351" s="3" t="s">
        <v>297</v>
      </c>
    </row>
    <row r="4352" spans="1:15">
      <c r="A4352" s="3">
        <f t="shared" si="69"/>
        <v>4351</v>
      </c>
      <c r="B4352" s="65" t="s">
        <v>6498</v>
      </c>
      <c r="C4352" s="1">
        <v>9346015182</v>
      </c>
      <c r="E4352" s="17" t="s">
        <v>5173</v>
      </c>
      <c r="F4352" s="65" t="s">
        <v>303</v>
      </c>
      <c r="G4352" s="3" t="s">
        <v>18</v>
      </c>
      <c r="H4352" s="2" t="s">
        <v>3240</v>
      </c>
      <c r="I4352" s="3" t="s">
        <v>42</v>
      </c>
      <c r="J4352" s="31">
        <v>45931</v>
      </c>
      <c r="K4352" s="31">
        <v>45939</v>
      </c>
      <c r="L4352" s="31"/>
      <c r="M4352" s="31"/>
      <c r="O4352" s="3" t="s">
        <v>297</v>
      </c>
    </row>
    <row r="4353" spans="1:15">
      <c r="A4353" s="3">
        <f t="shared" si="69"/>
        <v>4352</v>
      </c>
      <c r="B4353" s="65" t="s">
        <v>6499</v>
      </c>
      <c r="C4353" s="1">
        <v>6300875040</v>
      </c>
      <c r="E4353" s="17" t="s">
        <v>5173</v>
      </c>
      <c r="F4353" s="65" t="s">
        <v>303</v>
      </c>
      <c r="G4353" s="3" t="s">
        <v>18</v>
      </c>
      <c r="H4353" s="2" t="s">
        <v>3240</v>
      </c>
      <c r="I4353" s="3" t="s">
        <v>42</v>
      </c>
      <c r="J4353" s="31">
        <v>45931</v>
      </c>
      <c r="K4353" s="31">
        <v>45940</v>
      </c>
      <c r="L4353" s="31"/>
      <c r="M4353" s="31"/>
      <c r="O4353" s="3" t="s">
        <v>297</v>
      </c>
    </row>
    <row r="4354" spans="1:15">
      <c r="A4354" s="3">
        <f t="shared" si="69"/>
        <v>4353</v>
      </c>
      <c r="B4354" s="65" t="s">
        <v>6500</v>
      </c>
      <c r="C4354" s="1">
        <v>6305106817</v>
      </c>
      <c r="E4354" s="17" t="s">
        <v>5173</v>
      </c>
      <c r="F4354" s="65" t="s">
        <v>303</v>
      </c>
      <c r="G4354" s="3" t="s">
        <v>18</v>
      </c>
      <c r="H4354" s="2" t="s">
        <v>3240</v>
      </c>
      <c r="I4354" s="3" t="s">
        <v>42</v>
      </c>
      <c r="J4354" s="31">
        <v>45931</v>
      </c>
      <c r="K4354" s="31">
        <v>45939</v>
      </c>
      <c r="L4354" s="31"/>
      <c r="M4354" s="31"/>
      <c r="O4354" s="3" t="s">
        <v>297</v>
      </c>
    </row>
    <row r="4355" spans="1:15">
      <c r="A4355" s="3">
        <f t="shared" si="69"/>
        <v>4354</v>
      </c>
      <c r="B4355" s="65" t="s">
        <v>6501</v>
      </c>
      <c r="C4355" s="1">
        <v>8340033137</v>
      </c>
      <c r="E4355" s="17" t="s">
        <v>5173</v>
      </c>
      <c r="F4355" s="65" t="s">
        <v>303</v>
      </c>
      <c r="G4355" s="3" t="s">
        <v>424</v>
      </c>
      <c r="H4355" s="2" t="s">
        <v>3240</v>
      </c>
      <c r="I4355" s="3" t="s">
        <v>42</v>
      </c>
      <c r="J4355" s="31">
        <v>45931</v>
      </c>
      <c r="K4355" s="31">
        <v>45940</v>
      </c>
      <c r="L4355" s="31"/>
      <c r="M4355" s="31"/>
      <c r="O4355" s="3" t="s">
        <v>425</v>
      </c>
    </row>
    <row r="4356" spans="1:15">
      <c r="A4356" s="3">
        <f t="shared" si="69"/>
        <v>4355</v>
      </c>
      <c r="B4356" s="65" t="s">
        <v>6502</v>
      </c>
      <c r="C4356" s="1">
        <v>9347371190</v>
      </c>
      <c r="E4356" s="17" t="s">
        <v>5173</v>
      </c>
      <c r="F4356" s="65" t="s">
        <v>303</v>
      </c>
      <c r="G4356" s="3" t="s">
        <v>16</v>
      </c>
      <c r="H4356" s="2" t="s">
        <v>3240</v>
      </c>
      <c r="I4356" s="3" t="s">
        <v>42</v>
      </c>
      <c r="J4356" s="31">
        <v>45931</v>
      </c>
      <c r="K4356" s="31">
        <v>45940</v>
      </c>
      <c r="L4356" s="31">
        <v>45945</v>
      </c>
      <c r="M4356" s="31">
        <v>45976</v>
      </c>
      <c r="N4356" s="31">
        <v>45964</v>
      </c>
      <c r="O4356" s="3" t="s">
        <v>297</v>
      </c>
    </row>
    <row r="4357" spans="1:15">
      <c r="A4357" s="3">
        <f t="shared" si="69"/>
        <v>4356</v>
      </c>
      <c r="B4357" s="65" t="s">
        <v>6503</v>
      </c>
      <c r="C4357" s="1">
        <v>9507074000</v>
      </c>
      <c r="E4357" s="17" t="s">
        <v>5825</v>
      </c>
      <c r="F4357" s="65" t="s">
        <v>6504</v>
      </c>
      <c r="G4357" s="3" t="s">
        <v>764</v>
      </c>
      <c r="H4357" s="2" t="s">
        <v>815</v>
      </c>
      <c r="I4357" s="3" t="s">
        <v>94</v>
      </c>
      <c r="J4357" s="31">
        <v>45933</v>
      </c>
      <c r="K4357" s="31">
        <v>45936</v>
      </c>
      <c r="L4357" s="31"/>
      <c r="M4357" s="31"/>
      <c r="O4357" s="3" t="s">
        <v>425</v>
      </c>
    </row>
    <row r="4358" spans="1:15">
      <c r="A4358" s="3">
        <f t="shared" si="69"/>
        <v>4357</v>
      </c>
      <c r="B4358" s="65" t="s">
        <v>6505</v>
      </c>
      <c r="C4358" s="1">
        <v>6388481930</v>
      </c>
      <c r="E4358" s="17" t="s">
        <v>5825</v>
      </c>
      <c r="F4358" s="65" t="s">
        <v>6504</v>
      </c>
      <c r="G4358" s="3" t="s">
        <v>295</v>
      </c>
      <c r="H4358" s="2" t="s">
        <v>815</v>
      </c>
      <c r="I4358" s="3" t="s">
        <v>94</v>
      </c>
      <c r="J4358" s="31">
        <v>45933</v>
      </c>
      <c r="K4358" s="31">
        <v>45936</v>
      </c>
      <c r="L4358" s="31">
        <v>45941</v>
      </c>
      <c r="M4358" s="31">
        <v>45957</v>
      </c>
      <c r="O4358" s="3" t="s">
        <v>297</v>
      </c>
    </row>
    <row r="4359" spans="1:15">
      <c r="A4359" s="3">
        <f t="shared" si="69"/>
        <v>4358</v>
      </c>
      <c r="B4359" s="65" t="s">
        <v>6506</v>
      </c>
      <c r="C4359" s="1">
        <v>7524935137</v>
      </c>
      <c r="E4359" s="17" t="s">
        <v>5825</v>
      </c>
      <c r="F4359" s="65" t="s">
        <v>6507</v>
      </c>
      <c r="G4359" s="3" t="s">
        <v>764</v>
      </c>
      <c r="H4359" s="2" t="s">
        <v>815</v>
      </c>
      <c r="I4359" s="3" t="s">
        <v>94</v>
      </c>
      <c r="J4359" s="31">
        <v>45933</v>
      </c>
      <c r="K4359" s="31">
        <v>45936</v>
      </c>
      <c r="L4359" s="31"/>
      <c r="M4359" s="31"/>
      <c r="O4359" s="3" t="s">
        <v>425</v>
      </c>
    </row>
    <row r="4360" spans="1:15">
      <c r="A4360" s="3">
        <f t="shared" si="69"/>
        <v>4359</v>
      </c>
      <c r="B4360" s="65" t="s">
        <v>6508</v>
      </c>
      <c r="C4360" s="1">
        <v>8948353452</v>
      </c>
      <c r="E4360" s="17" t="s">
        <v>6091</v>
      </c>
      <c r="F4360" s="65" t="s">
        <v>1555</v>
      </c>
      <c r="G4360" s="3" t="s">
        <v>16</v>
      </c>
      <c r="H4360" s="2" t="s">
        <v>815</v>
      </c>
      <c r="I4360" s="3" t="s">
        <v>94</v>
      </c>
      <c r="J4360" s="31">
        <v>45933</v>
      </c>
      <c r="K4360" s="31">
        <v>45936</v>
      </c>
      <c r="L4360" s="31">
        <v>45941</v>
      </c>
      <c r="M4360" s="31">
        <v>45957</v>
      </c>
      <c r="N4360" s="31">
        <v>45960</v>
      </c>
      <c r="O4360" s="3" t="s">
        <v>297</v>
      </c>
    </row>
    <row r="4361" spans="1:15">
      <c r="A4361" s="3">
        <f t="shared" si="69"/>
        <v>4360</v>
      </c>
      <c r="B4361" s="65" t="s">
        <v>6509</v>
      </c>
      <c r="C4361" s="1">
        <v>7897096898</v>
      </c>
      <c r="E4361" s="17" t="s">
        <v>5838</v>
      </c>
      <c r="F4361" s="65" t="s">
        <v>1555</v>
      </c>
      <c r="G4361" s="3" t="s">
        <v>16</v>
      </c>
      <c r="H4361" s="2" t="s">
        <v>815</v>
      </c>
      <c r="I4361" s="3" t="s">
        <v>94</v>
      </c>
      <c r="J4361" s="31">
        <v>45933</v>
      </c>
      <c r="K4361" s="31">
        <v>45936</v>
      </c>
      <c r="L4361" s="31">
        <v>45947</v>
      </c>
      <c r="M4361" s="31">
        <v>45962</v>
      </c>
      <c r="N4361" s="31">
        <v>45963</v>
      </c>
      <c r="O4361" s="3" t="s">
        <v>297</v>
      </c>
    </row>
    <row r="4362" spans="1:15">
      <c r="A4362" s="3">
        <f t="shared" si="69"/>
        <v>4361</v>
      </c>
      <c r="B4362" s="65" t="s">
        <v>6510</v>
      </c>
      <c r="C4362" s="1">
        <v>8006831844</v>
      </c>
      <c r="E4362" s="17" t="s">
        <v>6091</v>
      </c>
      <c r="F4362" s="65" t="s">
        <v>1555</v>
      </c>
      <c r="G4362" s="3" t="s">
        <v>416</v>
      </c>
      <c r="H4362" s="2" t="s">
        <v>815</v>
      </c>
      <c r="I4362" s="3" t="s">
        <v>94</v>
      </c>
      <c r="J4362" s="31">
        <v>45933</v>
      </c>
      <c r="K4362" s="31">
        <v>45936</v>
      </c>
      <c r="L4362" s="31"/>
      <c r="M4362" s="31"/>
      <c r="O4362" s="3" t="s">
        <v>297</v>
      </c>
    </row>
    <row r="4363" spans="1:15">
      <c r="A4363" s="3">
        <f t="shared" si="69"/>
        <v>4362</v>
      </c>
      <c r="B4363" s="65" t="s">
        <v>6511</v>
      </c>
      <c r="C4363" s="1">
        <v>8283024673</v>
      </c>
      <c r="D4363" s="1">
        <v>8858792880</v>
      </c>
      <c r="E4363" s="17" t="s">
        <v>6432</v>
      </c>
      <c r="F4363" s="65" t="s">
        <v>1555</v>
      </c>
      <c r="G4363" s="3" t="s">
        <v>16</v>
      </c>
      <c r="H4363" s="2" t="s">
        <v>815</v>
      </c>
      <c r="I4363" s="3" t="s">
        <v>94</v>
      </c>
      <c r="J4363" s="31">
        <v>45933</v>
      </c>
      <c r="K4363" s="31">
        <v>45936</v>
      </c>
      <c r="L4363" s="31">
        <v>45947</v>
      </c>
      <c r="M4363" s="31">
        <v>45978</v>
      </c>
      <c r="N4363" s="31">
        <v>45984</v>
      </c>
      <c r="O4363" s="3" t="s">
        <v>297</v>
      </c>
    </row>
    <row r="4364" spans="1:15">
      <c r="A4364" s="3">
        <f t="shared" si="69"/>
        <v>4363</v>
      </c>
      <c r="B4364" s="65" t="s">
        <v>6512</v>
      </c>
      <c r="C4364" s="1">
        <v>9533334822</v>
      </c>
      <c r="E4364" s="17" t="s">
        <v>5503</v>
      </c>
      <c r="F4364" s="65" t="s">
        <v>6513</v>
      </c>
      <c r="G4364" s="3" t="s">
        <v>416</v>
      </c>
      <c r="H4364" s="2" t="s">
        <v>296</v>
      </c>
      <c r="I4364" s="3" t="s">
        <v>88</v>
      </c>
      <c r="J4364" s="31">
        <v>45933</v>
      </c>
      <c r="K4364" s="31">
        <v>45933</v>
      </c>
      <c r="L4364" s="31"/>
      <c r="M4364" s="31"/>
      <c r="O4364" s="3" t="s">
        <v>297</v>
      </c>
    </row>
    <row r="4365" spans="1:15">
      <c r="A4365" s="3">
        <f t="shared" si="69"/>
        <v>4364</v>
      </c>
      <c r="B4365" s="65" t="s">
        <v>6514</v>
      </c>
      <c r="C4365" s="1">
        <v>9994216531</v>
      </c>
      <c r="E4365" s="17" t="s">
        <v>5503</v>
      </c>
      <c r="F4365" s="65" t="s">
        <v>6515</v>
      </c>
      <c r="G4365" s="2" t="s">
        <v>295</v>
      </c>
      <c r="H4365" s="2" t="s">
        <v>296</v>
      </c>
      <c r="I4365" s="3" t="s">
        <v>88</v>
      </c>
      <c r="J4365" s="31">
        <v>45933</v>
      </c>
      <c r="K4365" s="31">
        <v>45936</v>
      </c>
      <c r="L4365" s="31">
        <v>45945</v>
      </c>
      <c r="M4365" s="31">
        <v>45992</v>
      </c>
      <c r="O4365" s="3" t="s">
        <v>297</v>
      </c>
    </row>
    <row r="4366" spans="1:15">
      <c r="A4366" s="3">
        <f t="shared" si="69"/>
        <v>4365</v>
      </c>
      <c r="B4366" s="65" t="s">
        <v>6516</v>
      </c>
      <c r="C4366" s="1">
        <v>7729842555</v>
      </c>
      <c r="D4366" s="1">
        <v>7702621409</v>
      </c>
      <c r="E4366" s="17" t="s">
        <v>5503</v>
      </c>
      <c r="F4366" s="65" t="s">
        <v>6517</v>
      </c>
      <c r="G4366" s="3" t="s">
        <v>424</v>
      </c>
      <c r="H4366" s="2" t="s">
        <v>296</v>
      </c>
      <c r="I4366" s="3" t="s">
        <v>88</v>
      </c>
      <c r="J4366" s="31">
        <v>45933</v>
      </c>
      <c r="K4366" s="31">
        <v>45937</v>
      </c>
      <c r="L4366" s="31"/>
      <c r="M4366" s="31"/>
      <c r="O4366" s="3" t="s">
        <v>425</v>
      </c>
    </row>
    <row r="4367" spans="1:15">
      <c r="A4367" s="3">
        <f t="shared" si="69"/>
        <v>4366</v>
      </c>
      <c r="B4367" s="65" t="s">
        <v>6518</v>
      </c>
      <c r="C4367" s="1">
        <v>8012310742</v>
      </c>
      <c r="E4367" s="17" t="s">
        <v>1440</v>
      </c>
      <c r="F4367" s="65" t="s">
        <v>4533</v>
      </c>
      <c r="G4367" s="3" t="s">
        <v>764</v>
      </c>
      <c r="H4367" s="2" t="s">
        <v>785</v>
      </c>
      <c r="I4367" s="3" t="s">
        <v>88</v>
      </c>
      <c r="J4367" s="31">
        <v>45933</v>
      </c>
      <c r="K4367" s="31">
        <v>45954</v>
      </c>
      <c r="L4367" s="31"/>
      <c r="M4367" s="31"/>
      <c r="O4367" s="3" t="s">
        <v>425</v>
      </c>
    </row>
    <row r="4368" spans="1:15">
      <c r="A4368" s="3">
        <f t="shared" si="69"/>
        <v>4367</v>
      </c>
      <c r="B4368" s="65" t="s">
        <v>6519</v>
      </c>
      <c r="C4368" s="1">
        <v>8050326057</v>
      </c>
      <c r="E4368" s="17" t="s">
        <v>1440</v>
      </c>
      <c r="F4368" s="65" t="s">
        <v>4533</v>
      </c>
      <c r="G4368" s="3" t="s">
        <v>764</v>
      </c>
      <c r="H4368" s="2" t="s">
        <v>785</v>
      </c>
      <c r="I4368" s="3" t="s">
        <v>88</v>
      </c>
      <c r="J4368" s="31">
        <v>45933</v>
      </c>
      <c r="K4368" s="31">
        <v>45954</v>
      </c>
      <c r="L4368" s="31"/>
      <c r="M4368" s="31"/>
      <c r="O4368" s="3" t="s">
        <v>425</v>
      </c>
    </row>
    <row r="4369" spans="1:15">
      <c r="A4369" s="3">
        <f t="shared" si="69"/>
        <v>4368</v>
      </c>
      <c r="B4369" s="65" t="s">
        <v>6520</v>
      </c>
      <c r="C4369" s="1">
        <v>9150063331</v>
      </c>
      <c r="D4369" s="1">
        <v>9659131565</v>
      </c>
      <c r="E4369" s="17" t="s">
        <v>1440</v>
      </c>
      <c r="F4369" s="65" t="s">
        <v>4533</v>
      </c>
      <c r="G4369" s="3" t="s">
        <v>764</v>
      </c>
      <c r="H4369" s="2" t="s">
        <v>785</v>
      </c>
      <c r="I4369" s="3" t="s">
        <v>88</v>
      </c>
      <c r="J4369" s="31">
        <v>45933</v>
      </c>
      <c r="K4369" s="31">
        <v>45995</v>
      </c>
      <c r="L4369" s="31"/>
      <c r="M4369" s="31"/>
      <c r="O4369" s="3" t="s">
        <v>425</v>
      </c>
    </row>
    <row r="4370" spans="1:15">
      <c r="A4370" s="3">
        <f t="shared" si="69"/>
        <v>4369</v>
      </c>
      <c r="B4370" s="65" t="s">
        <v>6521</v>
      </c>
      <c r="C4370" s="1">
        <v>9289259511</v>
      </c>
      <c r="E4370" s="17" t="s">
        <v>1440</v>
      </c>
      <c r="F4370" s="65" t="s">
        <v>4533</v>
      </c>
      <c r="G4370" s="3" t="s">
        <v>424</v>
      </c>
      <c r="H4370" s="2" t="s">
        <v>785</v>
      </c>
      <c r="I4370" s="3" t="s">
        <v>88</v>
      </c>
      <c r="J4370" s="31">
        <v>45933</v>
      </c>
      <c r="K4370" s="31">
        <v>45954</v>
      </c>
      <c r="L4370" s="31"/>
      <c r="M4370" s="31"/>
      <c r="O4370" s="3" t="s">
        <v>425</v>
      </c>
    </row>
    <row r="4371" spans="1:15">
      <c r="A4371" s="3">
        <f t="shared" si="69"/>
        <v>4370</v>
      </c>
      <c r="B4371" s="65" t="s">
        <v>6522</v>
      </c>
      <c r="C4371" s="1">
        <v>9525159818</v>
      </c>
      <c r="E4371" s="3" t="s">
        <v>6523</v>
      </c>
      <c r="F4371" s="65" t="s">
        <v>4533</v>
      </c>
      <c r="G4371" s="3" t="s">
        <v>295</v>
      </c>
      <c r="H4371" s="2" t="s">
        <v>785</v>
      </c>
      <c r="I4371" s="3" t="s">
        <v>88</v>
      </c>
      <c r="J4371" s="31">
        <v>45933</v>
      </c>
      <c r="K4371" s="31">
        <v>45954</v>
      </c>
      <c r="L4371" s="31">
        <v>45982</v>
      </c>
      <c r="M4371" s="31">
        <v>46012</v>
      </c>
      <c r="O4371" s="3" t="s">
        <v>297</v>
      </c>
    </row>
    <row r="4372" spans="1:15">
      <c r="A4372" s="3">
        <f t="shared" si="69"/>
        <v>4371</v>
      </c>
      <c r="B4372" s="65" t="s">
        <v>6524</v>
      </c>
      <c r="C4372" s="1">
        <v>8179862002</v>
      </c>
      <c r="E4372" s="17" t="s">
        <v>1440</v>
      </c>
      <c r="F4372" s="65" t="s">
        <v>4533</v>
      </c>
      <c r="G4372" s="3" t="s">
        <v>416</v>
      </c>
      <c r="H4372" s="2" t="s">
        <v>785</v>
      </c>
      <c r="I4372" s="3" t="s">
        <v>88</v>
      </c>
      <c r="J4372" s="31">
        <v>45933</v>
      </c>
      <c r="K4372" s="31">
        <v>45995</v>
      </c>
      <c r="L4372" s="31"/>
      <c r="M4372" s="31"/>
      <c r="O4372" s="3" t="s">
        <v>297</v>
      </c>
    </row>
    <row r="4373" spans="1:15">
      <c r="A4373" s="3">
        <f t="shared" si="69"/>
        <v>4372</v>
      </c>
      <c r="B4373" s="65" t="s">
        <v>6525</v>
      </c>
      <c r="C4373" s="1">
        <v>8827186044</v>
      </c>
      <c r="E4373" s="17" t="s">
        <v>6526</v>
      </c>
      <c r="F4373" s="65" t="s">
        <v>5123</v>
      </c>
      <c r="G4373" s="3" t="s">
        <v>295</v>
      </c>
      <c r="H4373" s="2" t="s">
        <v>296</v>
      </c>
      <c r="I4373" s="3" t="s">
        <v>94</v>
      </c>
      <c r="J4373" s="31">
        <v>45933</v>
      </c>
      <c r="K4373" s="31">
        <v>45933</v>
      </c>
      <c r="L4373" s="31">
        <v>45941</v>
      </c>
      <c r="M4373" s="31">
        <v>46073</v>
      </c>
      <c r="O4373" s="3" t="s">
        <v>297</v>
      </c>
    </row>
    <row r="4374" spans="1:15">
      <c r="A4374" s="3">
        <f t="shared" si="69"/>
        <v>4373</v>
      </c>
      <c r="B4374" s="65" t="s">
        <v>938</v>
      </c>
      <c r="C4374" s="1">
        <v>9794466828</v>
      </c>
      <c r="D4374" s="1">
        <v>7400998735</v>
      </c>
      <c r="E4374" s="17" t="s">
        <v>6464</v>
      </c>
      <c r="F4374" s="65" t="s">
        <v>294</v>
      </c>
      <c r="G4374" s="3" t="s">
        <v>16</v>
      </c>
      <c r="H4374" s="2" t="s">
        <v>296</v>
      </c>
      <c r="I4374" s="3" t="s">
        <v>94</v>
      </c>
      <c r="J4374" s="31">
        <v>45933</v>
      </c>
      <c r="K4374" s="31">
        <v>45936</v>
      </c>
      <c r="L4374" s="31">
        <v>45945</v>
      </c>
      <c r="M4374" s="31">
        <v>45976</v>
      </c>
      <c r="N4374" s="31">
        <v>45977</v>
      </c>
      <c r="O4374" s="3" t="s">
        <v>297</v>
      </c>
    </row>
    <row r="4375" spans="1:15">
      <c r="A4375" s="3">
        <f t="shared" si="69"/>
        <v>4374</v>
      </c>
      <c r="B4375" s="65" t="s">
        <v>6527</v>
      </c>
      <c r="C4375" s="1">
        <v>9511270573</v>
      </c>
      <c r="E4375" s="17" t="s">
        <v>5173</v>
      </c>
      <c r="F4375" s="65" t="s">
        <v>6528</v>
      </c>
      <c r="G4375" s="3" t="s">
        <v>18</v>
      </c>
      <c r="H4375" s="2" t="s">
        <v>3240</v>
      </c>
      <c r="I4375" s="3" t="s">
        <v>42</v>
      </c>
      <c r="J4375" s="31">
        <v>45933</v>
      </c>
      <c r="K4375" s="31">
        <v>45939</v>
      </c>
      <c r="L4375" s="31"/>
      <c r="M4375" s="31"/>
      <c r="O4375" s="3" t="s">
        <v>297</v>
      </c>
    </row>
    <row r="4376" spans="1:15">
      <c r="A4376" s="3">
        <f t="shared" si="69"/>
        <v>4375</v>
      </c>
      <c r="B4376" s="65" t="s">
        <v>6529</v>
      </c>
      <c r="C4376" s="1">
        <v>8159994850</v>
      </c>
      <c r="D4376" s="1">
        <v>7866911306</v>
      </c>
      <c r="E4376" s="17" t="s">
        <v>6236</v>
      </c>
      <c r="F4376" s="65" t="s">
        <v>6530</v>
      </c>
      <c r="G4376" s="3" t="s">
        <v>16</v>
      </c>
      <c r="H4376" s="2" t="s">
        <v>3240</v>
      </c>
      <c r="I4376" s="3" t="s">
        <v>42</v>
      </c>
      <c r="J4376" s="31">
        <v>45933</v>
      </c>
      <c r="K4376" s="31">
        <v>45939</v>
      </c>
      <c r="L4376" s="31">
        <v>45946</v>
      </c>
      <c r="M4376" s="31">
        <v>45980</v>
      </c>
      <c r="O4376" s="3" t="s">
        <v>297</v>
      </c>
    </row>
    <row r="4377" spans="1:15">
      <c r="A4377" s="3">
        <f t="shared" si="69"/>
        <v>4376</v>
      </c>
      <c r="B4377" s="65" t="s">
        <v>6531</v>
      </c>
      <c r="C4377" s="1">
        <v>7396660656</v>
      </c>
      <c r="E4377" s="17" t="s">
        <v>5904</v>
      </c>
      <c r="F4377" s="65" t="s">
        <v>994</v>
      </c>
      <c r="G4377" s="3" t="s">
        <v>16</v>
      </c>
      <c r="H4377" s="2" t="s">
        <v>3240</v>
      </c>
      <c r="I4377" s="3" t="s">
        <v>42</v>
      </c>
      <c r="J4377" s="31">
        <v>45933</v>
      </c>
      <c r="K4377" s="31">
        <v>45939</v>
      </c>
      <c r="L4377" s="31">
        <v>45946</v>
      </c>
      <c r="M4377" s="31">
        <v>45978</v>
      </c>
      <c r="N4377" s="31">
        <v>45980</v>
      </c>
      <c r="O4377" s="3" t="s">
        <v>297</v>
      </c>
    </row>
    <row r="4378" spans="1:15">
      <c r="A4378" s="3">
        <f t="shared" si="69"/>
        <v>4377</v>
      </c>
      <c r="B4378" s="65" t="s">
        <v>6532</v>
      </c>
      <c r="C4378" s="1">
        <v>9177145008</v>
      </c>
      <c r="E4378" s="17" t="s">
        <v>6533</v>
      </c>
      <c r="F4378" s="65" t="s">
        <v>6534</v>
      </c>
      <c r="G4378" s="2" t="s">
        <v>424</v>
      </c>
      <c r="H4378" s="2" t="s">
        <v>41</v>
      </c>
      <c r="I4378" s="3" t="s">
        <v>42</v>
      </c>
      <c r="J4378" s="31">
        <v>45933</v>
      </c>
      <c r="K4378" s="31">
        <v>45936</v>
      </c>
      <c r="L4378" s="31"/>
      <c r="M4378" s="31"/>
      <c r="O4378" s="2" t="s">
        <v>425</v>
      </c>
    </row>
    <row r="4379" spans="1:15">
      <c r="A4379" s="3">
        <f t="shared" si="69"/>
        <v>4378</v>
      </c>
      <c r="B4379" s="65" t="s">
        <v>6535</v>
      </c>
      <c r="C4379" s="1">
        <v>7483869177</v>
      </c>
      <c r="E4379" s="17" t="s">
        <v>5904</v>
      </c>
      <c r="F4379" s="65" t="s">
        <v>313</v>
      </c>
      <c r="G4379" s="3" t="s">
        <v>416</v>
      </c>
      <c r="H4379" s="2" t="s">
        <v>5774</v>
      </c>
      <c r="I4379" s="3" t="s">
        <v>42</v>
      </c>
      <c r="J4379" s="31">
        <v>45933</v>
      </c>
      <c r="K4379" s="31">
        <v>45947</v>
      </c>
      <c r="L4379" s="31"/>
      <c r="M4379" s="31"/>
      <c r="O4379" s="3" t="s">
        <v>297</v>
      </c>
    </row>
    <row r="4380" spans="1:15">
      <c r="A4380" s="3">
        <f t="shared" si="69"/>
        <v>4379</v>
      </c>
      <c r="B4380" s="65" t="s">
        <v>6536</v>
      </c>
      <c r="C4380" s="1">
        <v>9154158937</v>
      </c>
      <c r="E4380" s="17" t="s">
        <v>6537</v>
      </c>
      <c r="F4380" s="65" t="s">
        <v>6538</v>
      </c>
      <c r="G4380" s="3" t="s">
        <v>16</v>
      </c>
      <c r="H4380" s="2" t="s">
        <v>5774</v>
      </c>
      <c r="I4380" s="3" t="s">
        <v>42</v>
      </c>
      <c r="J4380" s="31">
        <v>45933</v>
      </c>
      <c r="K4380" s="31">
        <v>45947</v>
      </c>
      <c r="L4380" s="31">
        <v>45959</v>
      </c>
      <c r="M4380" s="31">
        <v>46023</v>
      </c>
      <c r="N4380" s="31">
        <v>45992</v>
      </c>
      <c r="O4380" s="3" t="s">
        <v>297</v>
      </c>
    </row>
    <row r="4381" spans="1:15">
      <c r="A4381" s="3">
        <f t="shared" si="69"/>
        <v>4380</v>
      </c>
      <c r="B4381" s="65" t="s">
        <v>6539</v>
      </c>
      <c r="C4381" s="1">
        <v>9705077636</v>
      </c>
      <c r="E4381" s="17" t="s">
        <v>5904</v>
      </c>
      <c r="F4381" s="65" t="s">
        <v>6540</v>
      </c>
      <c r="G4381" s="3" t="s">
        <v>16</v>
      </c>
      <c r="H4381" s="2" t="s">
        <v>5774</v>
      </c>
      <c r="I4381" s="3" t="s">
        <v>42</v>
      </c>
      <c r="J4381" s="31">
        <v>45933</v>
      </c>
      <c r="K4381" s="31">
        <v>45947</v>
      </c>
      <c r="L4381" s="31">
        <v>45954</v>
      </c>
      <c r="M4381" s="31">
        <v>45985</v>
      </c>
      <c r="N4381" s="31">
        <v>45992</v>
      </c>
      <c r="O4381" s="3" t="s">
        <v>297</v>
      </c>
    </row>
    <row r="4382" spans="1:15">
      <c r="A4382" s="3">
        <f t="shared" ref="A4382:A4443" si="70">ROW()-1</f>
        <v>4381</v>
      </c>
      <c r="B4382" s="65" t="s">
        <v>6541</v>
      </c>
      <c r="C4382" s="1">
        <v>7995978145</v>
      </c>
      <c r="E4382" s="17" t="s">
        <v>5904</v>
      </c>
      <c r="F4382" s="65" t="s">
        <v>4066</v>
      </c>
      <c r="G4382" s="3" t="s">
        <v>764</v>
      </c>
      <c r="H4382" s="2" t="s">
        <v>5774</v>
      </c>
      <c r="I4382" s="3" t="s">
        <v>42</v>
      </c>
      <c r="J4382" s="31">
        <v>45933</v>
      </c>
      <c r="K4382" s="31">
        <v>45947</v>
      </c>
      <c r="L4382" s="31"/>
      <c r="M4382" s="31"/>
      <c r="O4382" s="3" t="s">
        <v>425</v>
      </c>
    </row>
    <row r="4383" spans="1:15">
      <c r="A4383" s="3">
        <f t="shared" si="70"/>
        <v>4382</v>
      </c>
      <c r="B4383" s="65" t="s">
        <v>6542</v>
      </c>
      <c r="C4383" s="1">
        <v>7981531090</v>
      </c>
      <c r="E4383" s="17" t="s">
        <v>5904</v>
      </c>
      <c r="F4383" s="65" t="s">
        <v>6543</v>
      </c>
      <c r="G4383" s="3" t="s">
        <v>764</v>
      </c>
      <c r="H4383" s="2" t="s">
        <v>5774</v>
      </c>
      <c r="I4383" s="3" t="s">
        <v>42</v>
      </c>
      <c r="J4383" s="31">
        <v>45933</v>
      </c>
      <c r="K4383" s="31">
        <v>45947</v>
      </c>
      <c r="L4383" s="31"/>
      <c r="M4383" s="31"/>
      <c r="O4383" s="3" t="s">
        <v>425</v>
      </c>
    </row>
    <row r="4384" spans="1:15">
      <c r="A4384" s="3">
        <f t="shared" si="70"/>
        <v>4383</v>
      </c>
      <c r="B4384" s="65" t="s">
        <v>6544</v>
      </c>
      <c r="C4384" s="1">
        <v>9959052562</v>
      </c>
      <c r="E4384" s="17" t="s">
        <v>5904</v>
      </c>
      <c r="F4384" s="65" t="s">
        <v>6545</v>
      </c>
      <c r="G4384" s="3" t="s">
        <v>764</v>
      </c>
      <c r="H4384" s="2" t="s">
        <v>5774</v>
      </c>
      <c r="I4384" s="3" t="s">
        <v>42</v>
      </c>
      <c r="J4384" s="31">
        <v>45933</v>
      </c>
      <c r="K4384" s="31">
        <v>45947</v>
      </c>
      <c r="L4384" s="31"/>
      <c r="M4384" s="31"/>
      <c r="O4384" s="3" t="s">
        <v>425</v>
      </c>
    </row>
    <row r="4385" spans="1:15">
      <c r="A4385" s="3">
        <f t="shared" si="70"/>
        <v>4384</v>
      </c>
      <c r="B4385" s="65" t="s">
        <v>6546</v>
      </c>
      <c r="C4385" s="1">
        <v>9695313294</v>
      </c>
      <c r="D4385" s="1">
        <v>8840263811</v>
      </c>
      <c r="E4385" s="17" t="s">
        <v>5904</v>
      </c>
      <c r="F4385" s="65" t="s">
        <v>6547</v>
      </c>
      <c r="G4385" s="3" t="s">
        <v>424</v>
      </c>
      <c r="H4385" s="2" t="s">
        <v>5774</v>
      </c>
      <c r="I4385" s="3" t="s">
        <v>42</v>
      </c>
      <c r="J4385" s="31">
        <v>45933</v>
      </c>
      <c r="K4385" s="31">
        <v>45947</v>
      </c>
      <c r="L4385" s="31"/>
      <c r="M4385" s="31"/>
      <c r="O4385" s="3" t="s">
        <v>425</v>
      </c>
    </row>
    <row r="4386" spans="1:15">
      <c r="A4386" s="3">
        <f t="shared" si="70"/>
        <v>4385</v>
      </c>
      <c r="B4386" s="65" t="s">
        <v>3883</v>
      </c>
      <c r="C4386" s="1">
        <v>9565157127</v>
      </c>
      <c r="E4386" s="17" t="s">
        <v>5904</v>
      </c>
      <c r="F4386" s="65" t="s">
        <v>6548</v>
      </c>
      <c r="G4386" s="3" t="s">
        <v>16</v>
      </c>
      <c r="H4386" s="2" t="s">
        <v>5774</v>
      </c>
      <c r="I4386" s="3" t="s">
        <v>42</v>
      </c>
      <c r="J4386" s="31">
        <v>45933</v>
      </c>
      <c r="K4386" s="31">
        <v>45947</v>
      </c>
      <c r="L4386" s="31">
        <v>45954</v>
      </c>
      <c r="M4386" s="31">
        <v>45981</v>
      </c>
      <c r="N4386" s="31">
        <v>45980</v>
      </c>
      <c r="O4386" s="3" t="s">
        <v>297</v>
      </c>
    </row>
    <row r="4387" spans="1:15">
      <c r="A4387" s="3">
        <f t="shared" si="70"/>
        <v>4386</v>
      </c>
      <c r="B4387" s="65" t="s">
        <v>6549</v>
      </c>
      <c r="C4387" s="1">
        <v>9398195901</v>
      </c>
      <c r="E4387" s="17" t="s">
        <v>5904</v>
      </c>
      <c r="F4387" s="65" t="s">
        <v>6550</v>
      </c>
      <c r="G4387" s="3" t="s">
        <v>16</v>
      </c>
      <c r="H4387" s="2" t="s">
        <v>5774</v>
      </c>
      <c r="I4387" s="3" t="s">
        <v>42</v>
      </c>
      <c r="J4387" s="31">
        <v>45933</v>
      </c>
      <c r="K4387" s="31">
        <v>45947</v>
      </c>
      <c r="L4387" s="31">
        <v>45968</v>
      </c>
      <c r="M4387" s="31">
        <v>46006</v>
      </c>
      <c r="N4387" s="31">
        <v>46006</v>
      </c>
      <c r="O4387" s="3" t="s">
        <v>297</v>
      </c>
    </row>
    <row r="4388" spans="1:15">
      <c r="A4388" s="3">
        <f t="shared" si="70"/>
        <v>4387</v>
      </c>
      <c r="B4388" s="65" t="s">
        <v>6551</v>
      </c>
      <c r="C4388" s="1">
        <v>8367625252</v>
      </c>
      <c r="E4388" s="3" t="s">
        <v>6552</v>
      </c>
      <c r="F4388" s="65" t="s">
        <v>6553</v>
      </c>
      <c r="G4388" s="3" t="s">
        <v>16</v>
      </c>
      <c r="H4388" s="2" t="s">
        <v>2425</v>
      </c>
      <c r="I4388" s="3" t="s">
        <v>42</v>
      </c>
      <c r="J4388" s="31">
        <v>45933</v>
      </c>
      <c r="K4388" s="31">
        <v>45952</v>
      </c>
      <c r="L4388" s="31">
        <v>45954</v>
      </c>
      <c r="M4388" s="31">
        <v>45985</v>
      </c>
      <c r="N4388" s="31">
        <v>45994</v>
      </c>
      <c r="O4388" s="3" t="s">
        <v>297</v>
      </c>
    </row>
    <row r="4389" spans="1:15">
      <c r="A4389" s="3">
        <f t="shared" si="70"/>
        <v>4388</v>
      </c>
      <c r="B4389" s="65" t="s">
        <v>6554</v>
      </c>
      <c r="C4389" s="1">
        <v>9885828588</v>
      </c>
      <c r="D4389" s="1">
        <v>8639280711</v>
      </c>
      <c r="E4389" s="17" t="s">
        <v>6555</v>
      </c>
      <c r="F4389" s="65" t="s">
        <v>6556</v>
      </c>
      <c r="G4389" s="3" t="s">
        <v>424</v>
      </c>
      <c r="H4389" s="2" t="s">
        <v>42</v>
      </c>
      <c r="I4389" s="3" t="s">
        <v>42</v>
      </c>
      <c r="J4389" s="31">
        <v>45933</v>
      </c>
      <c r="K4389" s="31">
        <v>45940</v>
      </c>
      <c r="L4389" s="31"/>
      <c r="M4389" s="31"/>
      <c r="O4389" s="3" t="s">
        <v>749</v>
      </c>
    </row>
    <row r="4390" spans="1:15">
      <c r="A4390" s="3">
        <f t="shared" si="70"/>
        <v>4389</v>
      </c>
      <c r="B4390" s="65" t="s">
        <v>6557</v>
      </c>
      <c r="C4390" s="1">
        <v>8148234667</v>
      </c>
      <c r="E4390" s="17" t="s">
        <v>4609</v>
      </c>
      <c r="F4390" s="65" t="s">
        <v>6558</v>
      </c>
      <c r="G4390" s="3" t="s">
        <v>424</v>
      </c>
      <c r="H4390" s="2" t="s">
        <v>5774</v>
      </c>
      <c r="I4390" s="3" t="s">
        <v>42</v>
      </c>
      <c r="J4390" s="31">
        <v>45933</v>
      </c>
      <c r="K4390" s="31">
        <v>45973</v>
      </c>
      <c r="L4390" s="31"/>
      <c r="M4390" s="31"/>
      <c r="O4390" s="3" t="s">
        <v>749</v>
      </c>
    </row>
    <row r="4391" spans="1:15">
      <c r="A4391" s="3">
        <f t="shared" si="70"/>
        <v>4390</v>
      </c>
      <c r="B4391" s="65" t="s">
        <v>6559</v>
      </c>
      <c r="C4391" s="1">
        <v>8967331031</v>
      </c>
      <c r="E4391" s="17" t="s">
        <v>2821</v>
      </c>
      <c r="F4391" s="65" t="s">
        <v>6560</v>
      </c>
      <c r="G4391" s="3" t="s">
        <v>1175</v>
      </c>
      <c r="H4391" s="2" t="s">
        <v>5774</v>
      </c>
      <c r="I4391" s="3" t="s">
        <v>42</v>
      </c>
      <c r="J4391" s="31">
        <v>45933</v>
      </c>
      <c r="K4391" s="31"/>
      <c r="L4391" s="31"/>
      <c r="M4391" s="31"/>
      <c r="O4391" s="3" t="s">
        <v>1004</v>
      </c>
    </row>
    <row r="4392" spans="1:15">
      <c r="A4392" s="3">
        <f t="shared" si="70"/>
        <v>4391</v>
      </c>
      <c r="B4392" s="65" t="s">
        <v>6561</v>
      </c>
      <c r="C4392" s="1">
        <v>9989065657</v>
      </c>
      <c r="E4392" s="17" t="s">
        <v>6562</v>
      </c>
      <c r="F4392" s="65" t="s">
        <v>6563</v>
      </c>
      <c r="G4392" s="2" t="s">
        <v>16</v>
      </c>
      <c r="H4392" s="2" t="s">
        <v>5774</v>
      </c>
      <c r="I4392" s="3" t="s">
        <v>42</v>
      </c>
      <c r="J4392" s="31">
        <v>45933</v>
      </c>
      <c r="K4392" s="31">
        <v>46010</v>
      </c>
      <c r="L4392" s="31">
        <v>46010</v>
      </c>
      <c r="M4392" s="31">
        <v>46024</v>
      </c>
      <c r="N4392" s="31">
        <v>46031</v>
      </c>
      <c r="O4392" s="3" t="s">
        <v>297</v>
      </c>
    </row>
    <row r="4393" spans="1:15">
      <c r="A4393" s="3">
        <f t="shared" si="70"/>
        <v>4392</v>
      </c>
      <c r="B4393" s="65" t="s">
        <v>6564</v>
      </c>
      <c r="C4393" s="1">
        <v>8953274937</v>
      </c>
      <c r="D4393" s="1">
        <v>8953862454</v>
      </c>
      <c r="E4393" s="17" t="s">
        <v>2821</v>
      </c>
      <c r="F4393" s="65" t="s">
        <v>1663</v>
      </c>
      <c r="G4393" s="3" t="s">
        <v>1175</v>
      </c>
      <c r="H4393" s="2" t="s">
        <v>5774</v>
      </c>
      <c r="I4393" s="3" t="s">
        <v>42</v>
      </c>
      <c r="J4393" s="31">
        <v>45933</v>
      </c>
      <c r="K4393" s="31"/>
      <c r="L4393" s="31"/>
      <c r="M4393" s="31"/>
      <c r="O4393" s="3" t="s">
        <v>1004</v>
      </c>
    </row>
    <row r="4394" spans="1:15">
      <c r="A4394" s="3">
        <f t="shared" si="70"/>
        <v>4393</v>
      </c>
      <c r="B4394" s="65" t="s">
        <v>6565</v>
      </c>
      <c r="C4394" s="1">
        <v>8830340039</v>
      </c>
      <c r="E4394" s="17" t="s">
        <v>2821</v>
      </c>
      <c r="F4394" s="65" t="s">
        <v>1663</v>
      </c>
      <c r="G4394" s="3" t="s">
        <v>1175</v>
      </c>
      <c r="H4394" s="2" t="s">
        <v>5774</v>
      </c>
      <c r="I4394" s="3" t="s">
        <v>42</v>
      </c>
      <c r="J4394" s="31">
        <v>45933</v>
      </c>
      <c r="K4394" s="31"/>
      <c r="L4394" s="31"/>
      <c r="M4394" s="31"/>
      <c r="O4394" s="3" t="s">
        <v>1004</v>
      </c>
    </row>
    <row r="4395" spans="1:15">
      <c r="A4395" s="3">
        <f t="shared" si="70"/>
        <v>4394</v>
      </c>
      <c r="B4395" s="65" t="s">
        <v>6566</v>
      </c>
      <c r="C4395" s="1">
        <v>7507085745</v>
      </c>
      <c r="D4395" s="1">
        <v>9717374565</v>
      </c>
      <c r="E4395" s="17" t="s">
        <v>2821</v>
      </c>
      <c r="F4395" s="65" t="s">
        <v>6567</v>
      </c>
      <c r="G4395" s="3" t="s">
        <v>1175</v>
      </c>
      <c r="H4395" s="2" t="s">
        <v>5774</v>
      </c>
      <c r="I4395" s="3" t="s">
        <v>42</v>
      </c>
      <c r="J4395" s="31">
        <v>45933</v>
      </c>
      <c r="K4395" s="31"/>
      <c r="L4395" s="31"/>
      <c r="M4395" s="31"/>
      <c r="O4395" s="3" t="s">
        <v>1004</v>
      </c>
    </row>
    <row r="4396" spans="1:15">
      <c r="A4396" s="3">
        <f t="shared" si="70"/>
        <v>4395</v>
      </c>
      <c r="B4396" s="65" t="s">
        <v>6568</v>
      </c>
      <c r="C4396" s="1">
        <v>9434530976</v>
      </c>
      <c r="D4396" s="1">
        <v>9749562285</v>
      </c>
      <c r="E4396" s="17" t="s">
        <v>2821</v>
      </c>
      <c r="F4396" s="65" t="s">
        <v>6569</v>
      </c>
      <c r="G4396" s="3" t="s">
        <v>1175</v>
      </c>
      <c r="H4396" s="2" t="s">
        <v>5774</v>
      </c>
      <c r="I4396" s="3" t="s">
        <v>42</v>
      </c>
      <c r="J4396" s="31">
        <v>45933</v>
      </c>
      <c r="K4396" s="31"/>
      <c r="L4396" s="31"/>
      <c r="M4396" s="31"/>
      <c r="O4396" s="3" t="s">
        <v>1004</v>
      </c>
    </row>
    <row r="4397" spans="1:15">
      <c r="A4397" s="3">
        <f t="shared" si="70"/>
        <v>4396</v>
      </c>
      <c r="B4397" s="65" t="s">
        <v>6570</v>
      </c>
      <c r="C4397" s="1">
        <v>8897415242</v>
      </c>
      <c r="E4397" s="17" t="s">
        <v>2821</v>
      </c>
      <c r="F4397" s="65" t="s">
        <v>6571</v>
      </c>
      <c r="G4397" s="3" t="s">
        <v>1175</v>
      </c>
      <c r="H4397" s="2" t="s">
        <v>5774</v>
      </c>
      <c r="I4397" s="3" t="s">
        <v>42</v>
      </c>
      <c r="J4397" s="31">
        <v>45933</v>
      </c>
      <c r="K4397" s="31"/>
      <c r="L4397" s="31"/>
      <c r="M4397" s="31"/>
      <c r="O4397" s="3" t="s">
        <v>1004</v>
      </c>
    </row>
    <row r="4398" spans="1:15">
      <c r="A4398" s="3">
        <f t="shared" si="70"/>
        <v>4397</v>
      </c>
      <c r="B4398" s="65" t="s">
        <v>6572</v>
      </c>
      <c r="C4398" s="1">
        <v>8106770576</v>
      </c>
      <c r="E4398" s="17" t="s">
        <v>5773</v>
      </c>
      <c r="F4398" s="65" t="s">
        <v>333</v>
      </c>
      <c r="G4398" s="3" t="s">
        <v>16</v>
      </c>
      <c r="H4398" s="2" t="s">
        <v>5774</v>
      </c>
      <c r="I4398" s="3" t="s">
        <v>42</v>
      </c>
      <c r="J4398" s="31">
        <v>45933</v>
      </c>
      <c r="K4398" s="31">
        <v>45947</v>
      </c>
      <c r="L4398" s="31">
        <v>45968</v>
      </c>
      <c r="M4398" s="31">
        <v>45985</v>
      </c>
      <c r="N4398" s="31">
        <v>45992</v>
      </c>
      <c r="O4398" s="3" t="s">
        <v>297</v>
      </c>
    </row>
    <row r="4399" spans="1:15">
      <c r="A4399" s="3">
        <f t="shared" si="70"/>
        <v>4398</v>
      </c>
      <c r="B4399" s="65" t="s">
        <v>6573</v>
      </c>
      <c r="C4399" s="1">
        <v>8332033786</v>
      </c>
      <c r="E4399" s="17" t="s">
        <v>164</v>
      </c>
      <c r="F4399" s="65"/>
      <c r="G4399" s="3" t="s">
        <v>16</v>
      </c>
      <c r="H4399" s="2" t="s">
        <v>162</v>
      </c>
      <c r="I4399" s="3" t="s">
        <v>42</v>
      </c>
      <c r="J4399" s="31">
        <v>45917</v>
      </c>
      <c r="K4399" s="31">
        <v>45919</v>
      </c>
      <c r="L4399" s="31">
        <v>45922</v>
      </c>
      <c r="M4399" s="31">
        <v>45933</v>
      </c>
      <c r="N4399" s="31">
        <v>45933</v>
      </c>
      <c r="O4399" s="3" t="s">
        <v>297</v>
      </c>
    </row>
    <row r="4400" spans="1:15">
      <c r="A4400" s="3">
        <f t="shared" si="70"/>
        <v>4399</v>
      </c>
      <c r="B4400" s="65" t="s">
        <v>6574</v>
      </c>
      <c r="C4400" s="1">
        <v>9063970907</v>
      </c>
      <c r="E4400" s="17" t="s">
        <v>6575</v>
      </c>
      <c r="F4400" s="65" t="s">
        <v>644</v>
      </c>
      <c r="G4400" s="3" t="s">
        <v>416</v>
      </c>
      <c r="H4400" s="2" t="s">
        <v>296</v>
      </c>
      <c r="I4400" s="3" t="s">
        <v>94</v>
      </c>
      <c r="J4400" s="31">
        <v>45936</v>
      </c>
      <c r="K4400" s="31">
        <v>45939</v>
      </c>
      <c r="L4400" s="31"/>
      <c r="M4400" s="31"/>
      <c r="N4400" s="31"/>
      <c r="O4400" s="3" t="s">
        <v>297</v>
      </c>
    </row>
    <row r="4401" spans="1:15">
      <c r="A4401" s="3">
        <f t="shared" si="70"/>
        <v>4400</v>
      </c>
      <c r="B4401" s="65" t="s">
        <v>6576</v>
      </c>
      <c r="C4401" s="1">
        <v>6281039873</v>
      </c>
      <c r="D4401" s="1">
        <v>8333894343</v>
      </c>
      <c r="E4401" s="17" t="s">
        <v>6575</v>
      </c>
      <c r="F4401" s="65" t="s">
        <v>294</v>
      </c>
      <c r="G4401" s="3" t="s">
        <v>18</v>
      </c>
      <c r="H4401" s="2" t="s">
        <v>296</v>
      </c>
      <c r="I4401" s="3" t="s">
        <v>94</v>
      </c>
      <c r="J4401" s="31">
        <v>45936</v>
      </c>
      <c r="K4401" s="31">
        <v>45939</v>
      </c>
      <c r="L4401" s="31"/>
      <c r="M4401" s="31"/>
      <c r="N4401" s="31"/>
      <c r="O4401" s="3" t="s">
        <v>297</v>
      </c>
    </row>
    <row r="4402" spans="1:15">
      <c r="A4402" s="3">
        <f t="shared" si="70"/>
        <v>4401</v>
      </c>
      <c r="B4402" s="65" t="s">
        <v>6577</v>
      </c>
      <c r="C4402" s="1">
        <v>8331946944</v>
      </c>
      <c r="E4402" s="17" t="s">
        <v>6575</v>
      </c>
      <c r="F4402" s="65" t="s">
        <v>6578</v>
      </c>
      <c r="G4402" s="3" t="s">
        <v>16</v>
      </c>
      <c r="H4402" s="2" t="s">
        <v>296</v>
      </c>
      <c r="I4402" s="3" t="s">
        <v>94</v>
      </c>
      <c r="J4402" s="31">
        <v>45936</v>
      </c>
      <c r="K4402" s="31">
        <v>45939</v>
      </c>
      <c r="L4402" s="31">
        <v>45941</v>
      </c>
      <c r="M4402" s="31">
        <v>45957</v>
      </c>
      <c r="N4402" s="31">
        <v>45957</v>
      </c>
      <c r="O4402" s="3" t="s">
        <v>297</v>
      </c>
    </row>
    <row r="4403" spans="1:15">
      <c r="A4403" s="3">
        <f t="shared" si="70"/>
        <v>4402</v>
      </c>
      <c r="B4403" s="65" t="s">
        <v>6579</v>
      </c>
      <c r="C4403" s="1">
        <v>7787035110</v>
      </c>
      <c r="E4403" s="17" t="s">
        <v>6076</v>
      </c>
      <c r="F4403" s="65"/>
      <c r="G4403" s="3" t="s">
        <v>16</v>
      </c>
      <c r="H4403" s="2" t="s">
        <v>999</v>
      </c>
      <c r="I4403" s="3" t="s">
        <v>88</v>
      </c>
      <c r="J4403" s="31">
        <v>45930</v>
      </c>
      <c r="K4403" s="31">
        <v>45933</v>
      </c>
      <c r="L4403" s="31">
        <v>45927</v>
      </c>
      <c r="M4403" s="31">
        <v>45986</v>
      </c>
      <c r="N4403" s="31">
        <v>45985</v>
      </c>
      <c r="O4403" s="3" t="s">
        <v>297</v>
      </c>
    </row>
    <row r="4404" spans="1:15">
      <c r="A4404" s="3">
        <f t="shared" si="70"/>
        <v>4403</v>
      </c>
      <c r="B4404" s="65" t="s">
        <v>6580</v>
      </c>
      <c r="C4404" s="1">
        <v>8519915083</v>
      </c>
      <c r="E4404" s="17" t="s">
        <v>6581</v>
      </c>
      <c r="F4404" s="65"/>
      <c r="G4404" s="3" t="s">
        <v>16</v>
      </c>
      <c r="H4404" s="2" t="s">
        <v>815</v>
      </c>
      <c r="I4404" s="3" t="s">
        <v>88</v>
      </c>
      <c r="J4404" s="31">
        <v>45930</v>
      </c>
      <c r="K4404" s="31">
        <v>45933</v>
      </c>
      <c r="L4404" s="31">
        <v>45927</v>
      </c>
      <c r="M4404" s="31">
        <v>45957</v>
      </c>
      <c r="N4404" s="31">
        <v>45943</v>
      </c>
      <c r="O4404" s="3" t="s">
        <v>297</v>
      </c>
    </row>
    <row r="4405" spans="1:15">
      <c r="A4405" s="3">
        <f t="shared" si="70"/>
        <v>4404</v>
      </c>
      <c r="B4405" s="65" t="s">
        <v>6582</v>
      </c>
      <c r="C4405" s="1">
        <v>9692073020</v>
      </c>
      <c r="E4405" s="17" t="s">
        <v>5354</v>
      </c>
      <c r="F4405" s="65"/>
      <c r="G4405" s="3" t="s">
        <v>16</v>
      </c>
      <c r="H4405" s="2" t="s">
        <v>815</v>
      </c>
      <c r="I4405" s="3" t="s">
        <v>88</v>
      </c>
      <c r="J4405" s="31">
        <v>45930</v>
      </c>
      <c r="K4405" s="31">
        <v>45933</v>
      </c>
      <c r="L4405" s="31">
        <v>45927</v>
      </c>
      <c r="M4405" s="31">
        <v>45957</v>
      </c>
      <c r="N4405" s="31">
        <v>45945</v>
      </c>
      <c r="O4405" s="3" t="s">
        <v>297</v>
      </c>
    </row>
    <row r="4406" spans="1:15">
      <c r="A4406" s="3">
        <f t="shared" si="70"/>
        <v>4405</v>
      </c>
      <c r="B4406" s="65" t="s">
        <v>6583</v>
      </c>
      <c r="C4406" s="1">
        <v>9505464771</v>
      </c>
      <c r="E4406" s="17" t="s">
        <v>6584</v>
      </c>
      <c r="F4406" s="65"/>
      <c r="G4406" s="3" t="s">
        <v>16</v>
      </c>
      <c r="H4406" s="2" t="s">
        <v>162</v>
      </c>
      <c r="I4406" s="3" t="s">
        <v>88</v>
      </c>
      <c r="J4406" s="31">
        <v>45930</v>
      </c>
      <c r="K4406" s="31">
        <v>45933</v>
      </c>
      <c r="L4406" s="31">
        <v>45927</v>
      </c>
      <c r="M4406" s="31">
        <v>45957</v>
      </c>
      <c r="N4406" s="31">
        <v>45931</v>
      </c>
      <c r="O4406" s="3" t="s">
        <v>297</v>
      </c>
    </row>
    <row r="4407" spans="1:15">
      <c r="A4407" s="3">
        <f t="shared" si="70"/>
        <v>4406</v>
      </c>
      <c r="B4407" s="65" t="s">
        <v>447</v>
      </c>
      <c r="C4407" s="1">
        <v>8546008597</v>
      </c>
      <c r="E4407" s="17" t="s">
        <v>6585</v>
      </c>
      <c r="F4407" s="65"/>
      <c r="G4407" s="3" t="s">
        <v>16</v>
      </c>
      <c r="H4407" s="2" t="s">
        <v>162</v>
      </c>
      <c r="I4407" s="3" t="s">
        <v>88</v>
      </c>
      <c r="J4407" s="31">
        <v>45930</v>
      </c>
      <c r="K4407" s="31">
        <v>45933</v>
      </c>
      <c r="L4407" s="31">
        <v>45927</v>
      </c>
      <c r="M4407" s="31">
        <v>45957</v>
      </c>
      <c r="N4407" s="31">
        <v>45931</v>
      </c>
      <c r="O4407" s="3" t="s">
        <v>297</v>
      </c>
    </row>
    <row r="4408" spans="1:15">
      <c r="A4408" s="3">
        <f t="shared" si="70"/>
        <v>4407</v>
      </c>
      <c r="B4408" s="65" t="s">
        <v>6586</v>
      </c>
      <c r="C4408" s="1">
        <v>7249637103</v>
      </c>
      <c r="E4408" s="17" t="s">
        <v>5319</v>
      </c>
      <c r="F4408" s="65"/>
      <c r="G4408" s="3" t="s">
        <v>16</v>
      </c>
      <c r="H4408" s="2" t="s">
        <v>6587</v>
      </c>
      <c r="I4408" s="3" t="s">
        <v>88</v>
      </c>
      <c r="J4408" s="31">
        <v>45927</v>
      </c>
      <c r="K4408" s="31">
        <v>45927</v>
      </c>
      <c r="L4408" s="31">
        <v>45927</v>
      </c>
      <c r="M4408" s="31">
        <v>45960</v>
      </c>
      <c r="N4408" s="31">
        <v>45930</v>
      </c>
      <c r="O4408" s="3" t="s">
        <v>297</v>
      </c>
    </row>
    <row r="4409" spans="1:15">
      <c r="A4409" s="3">
        <f t="shared" si="70"/>
        <v>4408</v>
      </c>
      <c r="B4409" s="65" t="s">
        <v>6588</v>
      </c>
      <c r="C4409" s="1">
        <v>7776822333</v>
      </c>
      <c r="E4409" s="17" t="s">
        <v>6555</v>
      </c>
      <c r="F4409" s="65" t="s">
        <v>6589</v>
      </c>
      <c r="G4409" s="3" t="s">
        <v>424</v>
      </c>
      <c r="H4409" s="2" t="s">
        <v>42</v>
      </c>
      <c r="I4409" s="3" t="s">
        <v>42</v>
      </c>
      <c r="J4409" s="31">
        <v>45936</v>
      </c>
      <c r="K4409" s="31">
        <v>45940</v>
      </c>
      <c r="L4409" s="31"/>
      <c r="M4409" s="31"/>
      <c r="N4409" s="31"/>
      <c r="O4409" s="3" t="s">
        <v>425</v>
      </c>
    </row>
    <row r="4410" spans="1:15">
      <c r="A4410" s="3">
        <f t="shared" si="70"/>
        <v>4409</v>
      </c>
      <c r="B4410" s="65" t="s">
        <v>6590</v>
      </c>
      <c r="C4410" s="1">
        <v>8374474999</v>
      </c>
      <c r="D4410" s="1">
        <v>8832461230</v>
      </c>
      <c r="E4410" s="17" t="s">
        <v>6591</v>
      </c>
      <c r="F4410" s="65" t="s">
        <v>1473</v>
      </c>
      <c r="G4410" s="3" t="s">
        <v>424</v>
      </c>
      <c r="H4410" s="2" t="s">
        <v>2425</v>
      </c>
      <c r="I4410" s="3" t="s">
        <v>42</v>
      </c>
      <c r="J4410" s="31">
        <v>45936</v>
      </c>
      <c r="K4410" s="31">
        <v>45940</v>
      </c>
      <c r="L4410" s="31"/>
      <c r="M4410" s="31"/>
      <c r="N4410" s="31"/>
      <c r="O4410" s="3" t="s">
        <v>749</v>
      </c>
    </row>
    <row r="4411" spans="1:15">
      <c r="A4411" s="3">
        <f t="shared" si="70"/>
        <v>4410</v>
      </c>
      <c r="B4411" s="65" t="s">
        <v>6592</v>
      </c>
      <c r="C4411" s="1">
        <v>9347890044</v>
      </c>
      <c r="E4411" s="17" t="s">
        <v>6591</v>
      </c>
      <c r="F4411" s="65" t="s">
        <v>6593</v>
      </c>
      <c r="G4411" s="3" t="s">
        <v>416</v>
      </c>
      <c r="H4411" s="2" t="s">
        <v>2425</v>
      </c>
      <c r="I4411" s="3" t="s">
        <v>42</v>
      </c>
      <c r="J4411" s="31">
        <v>45936</v>
      </c>
      <c r="K4411" s="31">
        <v>45940</v>
      </c>
      <c r="L4411" s="31"/>
      <c r="M4411" s="31"/>
      <c r="N4411" s="31"/>
      <c r="O4411" s="3" t="s">
        <v>297</v>
      </c>
    </row>
    <row r="4412" spans="1:15">
      <c r="A4412" s="3">
        <f t="shared" si="70"/>
        <v>4411</v>
      </c>
      <c r="B4412" s="65" t="s">
        <v>6594</v>
      </c>
      <c r="C4412" s="1">
        <v>9658145167</v>
      </c>
      <c r="D4412" s="1">
        <v>8670222600</v>
      </c>
      <c r="E4412" s="17" t="s">
        <v>5862</v>
      </c>
      <c r="F4412" s="65" t="s">
        <v>1772</v>
      </c>
      <c r="G4412" s="3" t="s">
        <v>16</v>
      </c>
      <c r="H4412" s="2" t="s">
        <v>368</v>
      </c>
      <c r="I4412" s="3" t="s">
        <v>94</v>
      </c>
      <c r="J4412" s="31">
        <v>45936</v>
      </c>
      <c r="K4412" s="31">
        <v>45937</v>
      </c>
      <c r="L4412" s="31">
        <v>45945</v>
      </c>
      <c r="M4412" s="31">
        <v>45976</v>
      </c>
      <c r="N4412" s="31">
        <v>45978</v>
      </c>
      <c r="O4412" s="3" t="s">
        <v>297</v>
      </c>
    </row>
    <row r="4413" spans="1:15">
      <c r="A4413" s="3">
        <f t="shared" si="70"/>
        <v>4412</v>
      </c>
      <c r="B4413" s="65" t="s">
        <v>6595</v>
      </c>
      <c r="C4413" s="1">
        <v>9692812120</v>
      </c>
      <c r="E4413" s="17" t="s">
        <v>6596</v>
      </c>
      <c r="F4413" s="65" t="s">
        <v>1772</v>
      </c>
      <c r="G4413" s="3" t="s">
        <v>424</v>
      </c>
      <c r="H4413" s="2" t="s">
        <v>368</v>
      </c>
      <c r="I4413" s="3" t="s">
        <v>94</v>
      </c>
      <c r="J4413" s="31">
        <v>45936</v>
      </c>
      <c r="K4413" s="31">
        <v>45937</v>
      </c>
      <c r="L4413" s="31"/>
      <c r="M4413" s="31"/>
      <c r="N4413" s="31"/>
      <c r="O4413" s="3" t="s">
        <v>749</v>
      </c>
    </row>
    <row r="4414" spans="1:15">
      <c r="A4414" s="3">
        <f t="shared" si="70"/>
        <v>4413</v>
      </c>
      <c r="B4414" s="65" t="s">
        <v>6597</v>
      </c>
      <c r="C4414" s="1">
        <v>8628004311</v>
      </c>
      <c r="E4414" s="17" t="s">
        <v>6596</v>
      </c>
      <c r="F4414" s="65" t="s">
        <v>1769</v>
      </c>
      <c r="G4414" s="3" t="s">
        <v>424</v>
      </c>
      <c r="H4414" s="2" t="s">
        <v>368</v>
      </c>
      <c r="I4414" s="3" t="s">
        <v>94</v>
      </c>
      <c r="J4414" s="31">
        <v>45936</v>
      </c>
      <c r="K4414" s="31">
        <v>45937</v>
      </c>
      <c r="L4414" s="31"/>
      <c r="M4414" s="31"/>
      <c r="N4414" s="31"/>
      <c r="O4414" s="3" t="s">
        <v>425</v>
      </c>
    </row>
    <row r="4415" spans="1:15">
      <c r="A4415" s="3">
        <f t="shared" si="70"/>
        <v>4414</v>
      </c>
      <c r="B4415" s="65" t="s">
        <v>6598</v>
      </c>
      <c r="C4415" s="1">
        <v>7409033105</v>
      </c>
      <c r="E4415" s="17" t="s">
        <v>6599</v>
      </c>
      <c r="F4415" s="65" t="s">
        <v>1893</v>
      </c>
      <c r="G4415" s="3" t="s">
        <v>416</v>
      </c>
      <c r="H4415" s="2" t="s">
        <v>296</v>
      </c>
      <c r="I4415" s="3" t="s">
        <v>94</v>
      </c>
      <c r="J4415" s="31">
        <v>45936</v>
      </c>
      <c r="K4415" s="31">
        <v>45952</v>
      </c>
      <c r="L4415" s="31"/>
      <c r="M4415" s="31"/>
      <c r="N4415" s="31"/>
      <c r="O4415" s="3" t="s">
        <v>297</v>
      </c>
    </row>
    <row r="4416" spans="1:15">
      <c r="A4416" s="3">
        <f t="shared" si="70"/>
        <v>4415</v>
      </c>
      <c r="B4416" s="65" t="s">
        <v>1639</v>
      </c>
      <c r="C4416" s="1">
        <v>9009377147</v>
      </c>
      <c r="E4416" s="17" t="s">
        <v>6447</v>
      </c>
      <c r="F4416" s="65" t="s">
        <v>446</v>
      </c>
      <c r="G4416" s="3" t="s">
        <v>295</v>
      </c>
      <c r="H4416" s="2" t="s">
        <v>296</v>
      </c>
      <c r="I4416" s="3" t="s">
        <v>94</v>
      </c>
      <c r="J4416" s="31">
        <v>45936</v>
      </c>
      <c r="K4416" s="31">
        <v>45940</v>
      </c>
      <c r="L4416" s="31">
        <v>45945</v>
      </c>
      <c r="M4416" s="31">
        <v>45976</v>
      </c>
      <c r="N4416" s="31"/>
      <c r="O4416" s="3" t="s">
        <v>297</v>
      </c>
    </row>
    <row r="4417" spans="1:15">
      <c r="A4417" s="3">
        <f t="shared" si="70"/>
        <v>4416</v>
      </c>
      <c r="B4417" s="65" t="s">
        <v>6600</v>
      </c>
      <c r="C4417" s="1">
        <v>9430404278</v>
      </c>
      <c r="D4417" s="1">
        <v>8935985786</v>
      </c>
      <c r="E4417" s="17" t="s">
        <v>6485</v>
      </c>
      <c r="F4417" s="65" t="s">
        <v>446</v>
      </c>
      <c r="G4417" s="3" t="s">
        <v>416</v>
      </c>
      <c r="H4417" s="2" t="s">
        <v>296</v>
      </c>
      <c r="I4417" s="3" t="s">
        <v>94</v>
      </c>
      <c r="J4417" s="31">
        <v>45936</v>
      </c>
      <c r="K4417" s="31">
        <v>45944</v>
      </c>
      <c r="L4417" s="31"/>
      <c r="M4417" s="31"/>
      <c r="N4417" s="31"/>
      <c r="O4417" s="3" t="s">
        <v>297</v>
      </c>
    </row>
    <row r="4418" spans="1:15">
      <c r="A4418" s="3">
        <f t="shared" si="70"/>
        <v>4417</v>
      </c>
      <c r="B4418" s="65" t="s">
        <v>6601</v>
      </c>
      <c r="C4418" s="1">
        <v>8349924854</v>
      </c>
      <c r="E4418" s="17" t="s">
        <v>6485</v>
      </c>
      <c r="F4418" s="65" t="s">
        <v>2837</v>
      </c>
      <c r="G4418" s="3" t="s">
        <v>416</v>
      </c>
      <c r="H4418" s="2" t="s">
        <v>296</v>
      </c>
      <c r="I4418" s="3" t="s">
        <v>94</v>
      </c>
      <c r="J4418" s="31">
        <v>45936</v>
      </c>
      <c r="K4418" s="31">
        <v>45946</v>
      </c>
      <c r="L4418" s="31"/>
      <c r="M4418" s="31"/>
      <c r="N4418" s="31"/>
      <c r="O4418" s="3" t="s">
        <v>297</v>
      </c>
    </row>
    <row r="4419" spans="1:15">
      <c r="A4419" s="3">
        <f t="shared" si="70"/>
        <v>4418</v>
      </c>
      <c r="B4419" s="65" t="s">
        <v>6602</v>
      </c>
      <c r="C4419" s="1">
        <v>9098128418</v>
      </c>
      <c r="E4419" s="17" t="s">
        <v>6409</v>
      </c>
      <c r="F4419" s="65" t="s">
        <v>364</v>
      </c>
      <c r="G4419" s="3" t="s">
        <v>16</v>
      </c>
      <c r="H4419" s="2" t="s">
        <v>913</v>
      </c>
      <c r="I4419" s="3" t="s">
        <v>94</v>
      </c>
      <c r="J4419" s="31">
        <v>45936</v>
      </c>
      <c r="K4419" s="31">
        <v>45943</v>
      </c>
      <c r="L4419" s="31">
        <v>45954</v>
      </c>
      <c r="M4419" s="31">
        <v>45971</v>
      </c>
      <c r="N4419" s="31">
        <v>45981</v>
      </c>
      <c r="O4419" s="3" t="s">
        <v>297</v>
      </c>
    </row>
    <row r="4420" spans="1:15">
      <c r="A4420" s="3">
        <f t="shared" si="70"/>
        <v>4419</v>
      </c>
      <c r="B4420" s="65" t="s">
        <v>6603</v>
      </c>
      <c r="C4420" s="1">
        <v>9512967922</v>
      </c>
      <c r="E4420" s="17" t="s">
        <v>3300</v>
      </c>
      <c r="F4420" s="65" t="s">
        <v>364</v>
      </c>
      <c r="G4420" s="3" t="s">
        <v>424</v>
      </c>
      <c r="H4420" s="2" t="s">
        <v>913</v>
      </c>
      <c r="I4420" s="3" t="s">
        <v>94</v>
      </c>
      <c r="J4420" s="31">
        <v>45936</v>
      </c>
      <c r="K4420" s="31">
        <v>45943</v>
      </c>
      <c r="L4420" s="31"/>
      <c r="M4420" s="31"/>
      <c r="N4420" s="31"/>
      <c r="O4420" s="3" t="s">
        <v>425</v>
      </c>
    </row>
    <row r="4421" spans="1:15">
      <c r="A4421" s="3">
        <f t="shared" si="70"/>
        <v>4420</v>
      </c>
      <c r="B4421" s="65" t="s">
        <v>6604</v>
      </c>
      <c r="C4421" s="1">
        <v>7014527378</v>
      </c>
      <c r="E4421" s="17" t="s">
        <v>3300</v>
      </c>
      <c r="F4421" s="65" t="s">
        <v>364</v>
      </c>
      <c r="G4421" s="3" t="s">
        <v>16</v>
      </c>
      <c r="H4421" s="2" t="s">
        <v>913</v>
      </c>
      <c r="I4421" s="3" t="s">
        <v>94</v>
      </c>
      <c r="J4421" s="31">
        <v>45936</v>
      </c>
      <c r="K4421" s="31">
        <v>45943</v>
      </c>
      <c r="L4421" s="31">
        <v>45947</v>
      </c>
      <c r="M4421" s="31">
        <v>45978</v>
      </c>
      <c r="N4421" s="31">
        <v>45984</v>
      </c>
      <c r="O4421" s="3" t="s">
        <v>297</v>
      </c>
    </row>
    <row r="4422" spans="1:15">
      <c r="A4422" s="3">
        <f t="shared" si="70"/>
        <v>4421</v>
      </c>
      <c r="B4422" s="65" t="s">
        <v>6605</v>
      </c>
      <c r="C4422" s="1">
        <v>7582063986</v>
      </c>
      <c r="E4422" s="17" t="s">
        <v>6422</v>
      </c>
      <c r="F4422" s="65" t="s">
        <v>364</v>
      </c>
      <c r="G4422" s="3" t="s">
        <v>16</v>
      </c>
      <c r="H4422" s="2" t="s">
        <v>913</v>
      </c>
      <c r="I4422" s="3" t="s">
        <v>94</v>
      </c>
      <c r="J4422" s="31">
        <v>45936</v>
      </c>
      <c r="K4422" s="31">
        <v>45954</v>
      </c>
      <c r="L4422" s="31">
        <v>45961</v>
      </c>
      <c r="M4422" s="31">
        <v>45990</v>
      </c>
      <c r="N4422" s="31">
        <v>45994</v>
      </c>
      <c r="O4422" s="3" t="s">
        <v>297</v>
      </c>
    </row>
    <row r="4423" spans="1:15">
      <c r="A4423" s="3">
        <f t="shared" si="70"/>
        <v>4422</v>
      </c>
      <c r="B4423" s="65" t="s">
        <v>6606</v>
      </c>
      <c r="C4423" s="1">
        <v>9582349272</v>
      </c>
      <c r="E4423" s="17" t="s">
        <v>3300</v>
      </c>
      <c r="F4423" s="65" t="s">
        <v>364</v>
      </c>
      <c r="G4423" s="3" t="s">
        <v>424</v>
      </c>
      <c r="H4423" s="2" t="s">
        <v>913</v>
      </c>
      <c r="I4423" s="3" t="s">
        <v>94</v>
      </c>
      <c r="J4423" s="31">
        <v>45936</v>
      </c>
      <c r="K4423" s="31">
        <v>45954</v>
      </c>
      <c r="L4423" s="31"/>
      <c r="M4423" s="31"/>
      <c r="N4423" s="31"/>
      <c r="O4423" s="3" t="s">
        <v>425</v>
      </c>
    </row>
    <row r="4424" spans="1:15">
      <c r="A4424" s="3">
        <f t="shared" si="70"/>
        <v>4423</v>
      </c>
      <c r="B4424" s="65" t="s">
        <v>6607</v>
      </c>
      <c r="C4424" s="1">
        <v>9399034535</v>
      </c>
      <c r="D4424" s="1">
        <v>9584840048</v>
      </c>
      <c r="E4424" s="17" t="s">
        <v>6422</v>
      </c>
      <c r="F4424" s="65" t="s">
        <v>3632</v>
      </c>
      <c r="G4424" s="3" t="s">
        <v>16</v>
      </c>
      <c r="H4424" s="2" t="s">
        <v>913</v>
      </c>
      <c r="I4424" s="3" t="s">
        <v>94</v>
      </c>
      <c r="J4424" s="31">
        <v>45936</v>
      </c>
      <c r="K4424" s="31">
        <v>45954</v>
      </c>
      <c r="L4424" s="31">
        <v>45959</v>
      </c>
      <c r="M4424" s="31">
        <v>45974</v>
      </c>
      <c r="N4424" s="31">
        <v>45971</v>
      </c>
      <c r="O4424" s="3" t="s">
        <v>297</v>
      </c>
    </row>
    <row r="4425" spans="1:15">
      <c r="A4425" s="3">
        <f t="shared" si="70"/>
        <v>4424</v>
      </c>
      <c r="B4425" s="65" t="s">
        <v>6608</v>
      </c>
      <c r="C4425" s="1">
        <v>9161010707</v>
      </c>
      <c r="E4425" s="17" t="s">
        <v>3300</v>
      </c>
      <c r="F4425" s="65" t="s">
        <v>364</v>
      </c>
      <c r="G4425" s="3" t="s">
        <v>16</v>
      </c>
      <c r="H4425" s="2" t="s">
        <v>913</v>
      </c>
      <c r="I4425" s="3" t="s">
        <v>94</v>
      </c>
      <c r="J4425" s="31">
        <v>45936</v>
      </c>
      <c r="K4425" s="31">
        <v>45943</v>
      </c>
      <c r="L4425" s="31">
        <v>45947</v>
      </c>
      <c r="M4425" s="31">
        <v>45972</v>
      </c>
      <c r="N4425" s="31">
        <v>45972</v>
      </c>
      <c r="O4425" s="3" t="s">
        <v>297</v>
      </c>
    </row>
    <row r="4426" spans="1:15">
      <c r="A4426" s="3">
        <f t="shared" si="70"/>
        <v>4425</v>
      </c>
      <c r="B4426" s="65" t="s">
        <v>6609</v>
      </c>
      <c r="C4426" s="1">
        <v>9381152920</v>
      </c>
      <c r="E4426" s="17" t="s">
        <v>6610</v>
      </c>
      <c r="F4426" s="65" t="s">
        <v>569</v>
      </c>
      <c r="G4426" s="3" t="s">
        <v>764</v>
      </c>
      <c r="H4426" s="2" t="s">
        <v>5163</v>
      </c>
      <c r="I4426" s="3" t="s">
        <v>94</v>
      </c>
      <c r="J4426" s="31">
        <v>45936</v>
      </c>
      <c r="K4426" s="31">
        <v>45937</v>
      </c>
      <c r="L4426" s="31"/>
      <c r="M4426" s="31"/>
      <c r="N4426" s="31"/>
      <c r="O4426" s="3" t="s">
        <v>425</v>
      </c>
    </row>
    <row r="4427" spans="1:15">
      <c r="A4427" s="3">
        <f t="shared" si="70"/>
        <v>4426</v>
      </c>
      <c r="B4427" s="65" t="s">
        <v>6611</v>
      </c>
      <c r="C4427" s="1">
        <v>9573443818</v>
      </c>
      <c r="E4427" s="17" t="s">
        <v>6610</v>
      </c>
      <c r="F4427" s="65" t="s">
        <v>569</v>
      </c>
      <c r="G4427" s="3" t="s">
        <v>764</v>
      </c>
      <c r="H4427" s="2" t="s">
        <v>5163</v>
      </c>
      <c r="I4427" s="3" t="s">
        <v>94</v>
      </c>
      <c r="J4427" s="31">
        <v>45936</v>
      </c>
      <c r="K4427" s="31">
        <v>45945</v>
      </c>
      <c r="L4427" s="31"/>
      <c r="M4427" s="31"/>
      <c r="N4427" s="31"/>
      <c r="O4427" s="3" t="s">
        <v>425</v>
      </c>
    </row>
    <row r="4428" spans="1:15">
      <c r="A4428" s="3">
        <f t="shared" si="70"/>
        <v>4427</v>
      </c>
      <c r="B4428" s="65" t="s">
        <v>6612</v>
      </c>
      <c r="C4428" s="1">
        <v>9550679258</v>
      </c>
      <c r="E4428" s="17" t="s">
        <v>6613</v>
      </c>
      <c r="F4428" s="65" t="s">
        <v>1011</v>
      </c>
      <c r="G4428" s="3" t="s">
        <v>764</v>
      </c>
      <c r="H4428" s="2" t="s">
        <v>5163</v>
      </c>
      <c r="I4428" s="3" t="s">
        <v>94</v>
      </c>
      <c r="J4428" s="31">
        <v>45936</v>
      </c>
      <c r="K4428" s="31">
        <v>45938</v>
      </c>
      <c r="L4428" s="31"/>
      <c r="M4428" s="31"/>
      <c r="N4428" s="31"/>
      <c r="O4428" s="3" t="s">
        <v>425</v>
      </c>
    </row>
    <row r="4429" spans="1:15">
      <c r="A4429" s="3">
        <f t="shared" si="70"/>
        <v>4428</v>
      </c>
      <c r="B4429" s="65" t="s">
        <v>6614</v>
      </c>
      <c r="C4429" s="1">
        <v>7093588161</v>
      </c>
      <c r="E4429" s="17" t="s">
        <v>6613</v>
      </c>
      <c r="F4429" s="65" t="s">
        <v>1011</v>
      </c>
      <c r="G4429" s="3" t="s">
        <v>764</v>
      </c>
      <c r="H4429" s="2" t="s">
        <v>5163</v>
      </c>
      <c r="I4429" s="3" t="s">
        <v>94</v>
      </c>
      <c r="J4429" s="31">
        <v>45936</v>
      </c>
      <c r="K4429" s="31">
        <v>45938</v>
      </c>
      <c r="L4429" s="31"/>
      <c r="M4429" s="31"/>
      <c r="N4429" s="31"/>
      <c r="O4429" s="3" t="s">
        <v>425</v>
      </c>
    </row>
    <row r="4430" spans="1:15">
      <c r="A4430" s="3">
        <f t="shared" si="70"/>
        <v>4429</v>
      </c>
      <c r="B4430" s="65" t="s">
        <v>6615</v>
      </c>
      <c r="C4430" s="1">
        <v>8008385921</v>
      </c>
      <c r="E4430" s="17" t="s">
        <v>6616</v>
      </c>
      <c r="F4430" s="65" t="s">
        <v>364</v>
      </c>
      <c r="G4430" s="2" t="s">
        <v>16</v>
      </c>
      <c r="H4430" s="2" t="s">
        <v>5163</v>
      </c>
      <c r="I4430" s="3" t="s">
        <v>94</v>
      </c>
      <c r="J4430" s="31">
        <v>45936</v>
      </c>
      <c r="K4430" s="31">
        <v>45945</v>
      </c>
      <c r="L4430" s="31">
        <v>45989</v>
      </c>
      <c r="M4430" s="31">
        <v>46040</v>
      </c>
      <c r="N4430" s="31">
        <v>46040</v>
      </c>
      <c r="O4430" s="3" t="s">
        <v>297</v>
      </c>
    </row>
    <row r="4431" spans="1:15">
      <c r="A4431" s="3">
        <f t="shared" si="70"/>
        <v>4430</v>
      </c>
      <c r="B4431" s="65" t="s">
        <v>6617</v>
      </c>
      <c r="C4431" s="1">
        <v>7000127300</v>
      </c>
      <c r="D4431" s="1">
        <v>9826716570</v>
      </c>
      <c r="E4431" s="17" t="s">
        <v>6613</v>
      </c>
      <c r="F4431" s="65" t="s">
        <v>1011</v>
      </c>
      <c r="G4431" s="3" t="s">
        <v>764</v>
      </c>
      <c r="H4431" s="2" t="s">
        <v>5163</v>
      </c>
      <c r="I4431" s="3" t="s">
        <v>94</v>
      </c>
      <c r="J4431" s="31">
        <v>45936</v>
      </c>
      <c r="K4431" s="31">
        <v>45938</v>
      </c>
      <c r="L4431" s="31"/>
      <c r="M4431" s="31"/>
      <c r="N4431" s="31"/>
      <c r="O4431" s="3" t="s">
        <v>425</v>
      </c>
    </row>
    <row r="4432" spans="1:15">
      <c r="A4432" s="3">
        <f t="shared" si="70"/>
        <v>4431</v>
      </c>
      <c r="B4432" s="65" t="s">
        <v>6618</v>
      </c>
      <c r="C4432" s="1">
        <v>7903175153</v>
      </c>
      <c r="D4432" s="1">
        <v>9025977222</v>
      </c>
      <c r="E4432" s="17" t="s">
        <v>6464</v>
      </c>
      <c r="F4432" s="65" t="s">
        <v>294</v>
      </c>
      <c r="G4432" s="3" t="s">
        <v>424</v>
      </c>
      <c r="H4432" s="2" t="s">
        <v>296</v>
      </c>
      <c r="I4432" s="3" t="s">
        <v>94</v>
      </c>
      <c r="J4432" s="31">
        <v>45936</v>
      </c>
      <c r="K4432" s="31">
        <v>45937</v>
      </c>
      <c r="L4432" s="31"/>
      <c r="M4432" s="31"/>
      <c r="N4432" s="31"/>
      <c r="O4432" s="3" t="s">
        <v>749</v>
      </c>
    </row>
    <row r="4433" spans="1:15">
      <c r="A4433" s="3">
        <f t="shared" si="70"/>
        <v>4432</v>
      </c>
      <c r="B4433" s="65" t="s">
        <v>6619</v>
      </c>
      <c r="C4433" s="1">
        <v>7008063822</v>
      </c>
      <c r="E4433" s="17" t="s">
        <v>6464</v>
      </c>
      <c r="F4433" s="65" t="s">
        <v>294</v>
      </c>
      <c r="G4433" s="3" t="s">
        <v>18</v>
      </c>
      <c r="H4433" s="2" t="s">
        <v>296</v>
      </c>
      <c r="I4433" s="3" t="s">
        <v>94</v>
      </c>
      <c r="J4433" s="31">
        <v>45936</v>
      </c>
      <c r="K4433" s="31">
        <v>45939</v>
      </c>
      <c r="L4433" s="31"/>
      <c r="M4433" s="31"/>
      <c r="N4433" s="31"/>
      <c r="O4433" s="3" t="s">
        <v>297</v>
      </c>
    </row>
    <row r="4434" spans="1:15">
      <c r="A4434" s="3">
        <f t="shared" si="70"/>
        <v>4433</v>
      </c>
      <c r="B4434" s="65" t="s">
        <v>6620</v>
      </c>
      <c r="C4434" s="1">
        <v>9122216371</v>
      </c>
      <c r="E4434" s="17" t="s">
        <v>6621</v>
      </c>
      <c r="F4434" s="65" t="s">
        <v>294</v>
      </c>
      <c r="G4434" s="3" t="s">
        <v>424</v>
      </c>
      <c r="H4434" s="2" t="s">
        <v>296</v>
      </c>
      <c r="I4434" s="3" t="s">
        <v>94</v>
      </c>
      <c r="J4434" s="31">
        <v>45937</v>
      </c>
      <c r="K4434" s="31">
        <v>45944</v>
      </c>
      <c r="L4434" s="31"/>
      <c r="M4434" s="31"/>
      <c r="N4434" s="31"/>
      <c r="O4434" s="3" t="s">
        <v>425</v>
      </c>
    </row>
    <row r="4435" spans="1:15">
      <c r="A4435" s="3">
        <f t="shared" si="70"/>
        <v>4434</v>
      </c>
      <c r="B4435" s="65" t="s">
        <v>6622</v>
      </c>
      <c r="C4435" s="1">
        <v>9511665606</v>
      </c>
      <c r="D4435" s="1">
        <v>8378039456</v>
      </c>
      <c r="E4435" s="17" t="s">
        <v>6621</v>
      </c>
      <c r="F4435" s="65" t="s">
        <v>277</v>
      </c>
      <c r="G4435" s="3" t="s">
        <v>424</v>
      </c>
      <c r="H4435" s="2" t="s">
        <v>296</v>
      </c>
      <c r="I4435" s="3" t="s">
        <v>94</v>
      </c>
      <c r="J4435" s="31">
        <v>45937</v>
      </c>
      <c r="K4435" s="31">
        <v>45945</v>
      </c>
      <c r="L4435" s="31"/>
      <c r="M4435" s="31"/>
      <c r="N4435" s="31"/>
      <c r="O4435" s="3" t="s">
        <v>749</v>
      </c>
    </row>
    <row r="4436" spans="1:15">
      <c r="A4436" s="3">
        <f t="shared" si="70"/>
        <v>4435</v>
      </c>
      <c r="B4436" s="65" t="s">
        <v>6623</v>
      </c>
      <c r="C4436" s="1">
        <v>9985581121</v>
      </c>
      <c r="E4436" s="3" t="s">
        <v>6199</v>
      </c>
      <c r="F4436" s="65" t="s">
        <v>6624</v>
      </c>
      <c r="G4436" s="3" t="s">
        <v>764</v>
      </c>
      <c r="H4436" s="2" t="s">
        <v>3240</v>
      </c>
      <c r="I4436" s="3" t="s">
        <v>42</v>
      </c>
      <c r="J4436" s="31">
        <v>45937</v>
      </c>
      <c r="K4436" s="31">
        <v>46009</v>
      </c>
      <c r="L4436" s="31"/>
      <c r="M4436" s="31"/>
      <c r="N4436" s="31"/>
      <c r="O4436" s="3" t="s">
        <v>425</v>
      </c>
    </row>
    <row r="4437" spans="1:15">
      <c r="A4437" s="3">
        <f t="shared" si="70"/>
        <v>4436</v>
      </c>
      <c r="B4437" s="65" t="s">
        <v>6625</v>
      </c>
      <c r="C4437" s="1">
        <v>9346766722</v>
      </c>
      <c r="D4437" s="1">
        <v>9441091102</v>
      </c>
      <c r="E4437" s="17" t="s">
        <v>5173</v>
      </c>
      <c r="F4437" s="65" t="s">
        <v>6626</v>
      </c>
      <c r="G4437" s="3" t="s">
        <v>16</v>
      </c>
      <c r="H4437" s="2" t="s">
        <v>6158</v>
      </c>
      <c r="I4437" s="3" t="s">
        <v>42</v>
      </c>
      <c r="J4437" s="31">
        <v>45937</v>
      </c>
      <c r="K4437" s="31">
        <v>45940</v>
      </c>
      <c r="L4437" s="31">
        <v>45946</v>
      </c>
      <c r="M4437" s="31">
        <v>45978</v>
      </c>
      <c r="N4437" s="31">
        <v>45975</v>
      </c>
      <c r="O4437" s="3" t="s">
        <v>297</v>
      </c>
    </row>
    <row r="4438" spans="1:15">
      <c r="A4438" s="3">
        <f t="shared" si="70"/>
        <v>4437</v>
      </c>
      <c r="B4438" s="65" t="s">
        <v>6627</v>
      </c>
      <c r="C4438" s="1">
        <v>7680004883</v>
      </c>
      <c r="E4438" s="3" t="s">
        <v>6199</v>
      </c>
      <c r="F4438" s="65" t="s">
        <v>6628</v>
      </c>
      <c r="G4438" s="3" t="s">
        <v>764</v>
      </c>
      <c r="H4438" s="2" t="s">
        <v>3240</v>
      </c>
      <c r="I4438" s="3" t="s">
        <v>42</v>
      </c>
      <c r="J4438" s="31">
        <v>45937</v>
      </c>
      <c r="K4438" s="31">
        <v>46009</v>
      </c>
      <c r="L4438" s="31"/>
      <c r="M4438" s="31"/>
      <c r="N4438" s="31"/>
      <c r="O4438" s="3" t="s">
        <v>425</v>
      </c>
    </row>
    <row r="4439" spans="1:15">
      <c r="A4439" s="3">
        <f t="shared" si="70"/>
        <v>4438</v>
      </c>
      <c r="B4439" s="65" t="s">
        <v>1927</v>
      </c>
      <c r="C4439" s="1">
        <v>6203506034</v>
      </c>
      <c r="E4439" s="17" t="s">
        <v>5173</v>
      </c>
      <c r="F4439" s="65" t="s">
        <v>6629</v>
      </c>
      <c r="G4439" s="3" t="s">
        <v>16</v>
      </c>
      <c r="H4439" s="2" t="s">
        <v>6158</v>
      </c>
      <c r="I4439" s="3" t="s">
        <v>42</v>
      </c>
      <c r="J4439" s="31">
        <v>45937</v>
      </c>
      <c r="K4439" s="31">
        <v>45940</v>
      </c>
      <c r="L4439" s="31">
        <v>45945</v>
      </c>
      <c r="M4439" s="31">
        <v>45976</v>
      </c>
      <c r="N4439" s="31">
        <v>45953</v>
      </c>
      <c r="O4439" s="3" t="s">
        <v>297</v>
      </c>
    </row>
    <row r="4440" spans="1:15">
      <c r="A4440" s="3">
        <f t="shared" si="70"/>
        <v>4439</v>
      </c>
      <c r="B4440" s="65" t="s">
        <v>6630</v>
      </c>
      <c r="C4440" s="1">
        <v>8081926108</v>
      </c>
      <c r="E4440" s="17" t="s">
        <v>5173</v>
      </c>
      <c r="F4440" s="65" t="s">
        <v>6631</v>
      </c>
      <c r="G4440" s="3" t="s">
        <v>18</v>
      </c>
      <c r="H4440" s="2" t="s">
        <v>6158</v>
      </c>
      <c r="I4440" s="3" t="s">
        <v>42</v>
      </c>
      <c r="J4440" s="31">
        <v>45937</v>
      </c>
      <c r="K4440" s="31">
        <v>45940</v>
      </c>
      <c r="L4440" s="31"/>
      <c r="M4440" s="31"/>
      <c r="N4440" s="31"/>
      <c r="O4440" s="3" t="s">
        <v>297</v>
      </c>
    </row>
    <row r="4441" spans="1:15">
      <c r="A4441" s="3">
        <f t="shared" si="70"/>
        <v>4440</v>
      </c>
      <c r="B4441" s="65" t="s">
        <v>6632</v>
      </c>
      <c r="C4441" s="1">
        <v>6304063046</v>
      </c>
      <c r="D4441" s="1">
        <v>9133680316</v>
      </c>
      <c r="E4441" s="3" t="s">
        <v>6199</v>
      </c>
      <c r="F4441" s="65" t="s">
        <v>6633</v>
      </c>
      <c r="G4441" s="3" t="s">
        <v>416</v>
      </c>
      <c r="H4441" s="2" t="s">
        <v>3240</v>
      </c>
      <c r="I4441" s="3" t="s">
        <v>42</v>
      </c>
      <c r="J4441" s="31">
        <v>45937</v>
      </c>
      <c r="K4441" s="31">
        <v>45994</v>
      </c>
      <c r="L4441" s="31"/>
      <c r="M4441" s="31"/>
      <c r="N4441" s="31"/>
      <c r="O4441" s="3" t="s">
        <v>297</v>
      </c>
    </row>
    <row r="4442" spans="1:15">
      <c r="A4442" s="3">
        <f t="shared" si="70"/>
        <v>4441</v>
      </c>
      <c r="B4442" s="65" t="s">
        <v>6634</v>
      </c>
      <c r="C4442" s="1">
        <v>9618333311</v>
      </c>
      <c r="E4442" s="17" t="s">
        <v>4963</v>
      </c>
      <c r="F4442" s="65" t="s">
        <v>6635</v>
      </c>
      <c r="G4442" s="3" t="s">
        <v>424</v>
      </c>
      <c r="H4442" s="2" t="s">
        <v>41</v>
      </c>
      <c r="I4442" s="3" t="s">
        <v>42</v>
      </c>
      <c r="J4442" s="31">
        <v>45938</v>
      </c>
      <c r="K4442" s="31">
        <v>45940</v>
      </c>
      <c r="L4442" s="31"/>
      <c r="M4442" s="31"/>
      <c r="N4442" s="31"/>
      <c r="O4442" s="3" t="s">
        <v>425</v>
      </c>
    </row>
    <row r="4443" spans="1:15">
      <c r="A4443" s="3">
        <f t="shared" si="70"/>
        <v>4442</v>
      </c>
      <c r="B4443" s="65" t="s">
        <v>6636</v>
      </c>
      <c r="C4443" s="1">
        <v>9032607112</v>
      </c>
      <c r="E4443" s="17" t="s">
        <v>4963</v>
      </c>
      <c r="F4443" s="65" t="s">
        <v>1199</v>
      </c>
      <c r="G4443" s="3" t="s">
        <v>424</v>
      </c>
      <c r="H4443" s="2" t="s">
        <v>41</v>
      </c>
      <c r="I4443" s="3" t="s">
        <v>42</v>
      </c>
      <c r="J4443" s="31">
        <v>45938</v>
      </c>
      <c r="K4443" s="31">
        <v>45940</v>
      </c>
      <c r="L4443" s="31"/>
      <c r="M4443" s="31"/>
      <c r="N4443" s="31"/>
      <c r="O4443" s="3" t="s">
        <v>425</v>
      </c>
    </row>
    <row r="4444" spans="1:15">
      <c r="A4444" s="3">
        <f t="shared" ref="A4444:A4504" si="71">ROW()-1</f>
        <v>4443</v>
      </c>
      <c r="B4444" s="65" t="s">
        <v>6637</v>
      </c>
      <c r="C4444" s="1">
        <v>9573181781</v>
      </c>
      <c r="E4444" s="17" t="s">
        <v>5843</v>
      </c>
      <c r="F4444" s="65" t="s">
        <v>1199</v>
      </c>
      <c r="G4444" s="3" t="s">
        <v>16</v>
      </c>
      <c r="H4444" s="2" t="s">
        <v>679</v>
      </c>
      <c r="I4444" s="3" t="s">
        <v>42</v>
      </c>
      <c r="J4444" s="31">
        <v>45938</v>
      </c>
      <c r="K4444" s="31">
        <v>45940</v>
      </c>
      <c r="L4444" s="31">
        <v>45946</v>
      </c>
      <c r="M4444" s="31">
        <v>46027</v>
      </c>
      <c r="N4444" s="31">
        <v>46047</v>
      </c>
      <c r="O4444" s="3" t="s">
        <v>297</v>
      </c>
    </row>
    <row r="4445" spans="1:15">
      <c r="A4445" s="3">
        <f t="shared" si="71"/>
        <v>4444</v>
      </c>
      <c r="B4445" s="65" t="s">
        <v>6638</v>
      </c>
      <c r="C4445" s="1">
        <v>8309349495</v>
      </c>
      <c r="E4445" s="17" t="s">
        <v>2366</v>
      </c>
      <c r="F4445" s="65" t="s">
        <v>2144</v>
      </c>
      <c r="G4445" s="3" t="s">
        <v>16</v>
      </c>
      <c r="H4445" s="2" t="s">
        <v>2597</v>
      </c>
      <c r="I4445" s="3" t="s">
        <v>88</v>
      </c>
      <c r="J4445" s="31">
        <v>45939</v>
      </c>
      <c r="K4445" s="31">
        <v>45943</v>
      </c>
      <c r="L4445" s="31">
        <v>45945</v>
      </c>
      <c r="M4445" s="31">
        <v>45976</v>
      </c>
      <c r="N4445" s="31">
        <v>45966</v>
      </c>
      <c r="O4445" s="3" t="s">
        <v>297</v>
      </c>
    </row>
    <row r="4446" spans="1:15">
      <c r="A4446" s="3">
        <f t="shared" si="71"/>
        <v>4445</v>
      </c>
      <c r="B4446" s="65" t="s">
        <v>6639</v>
      </c>
      <c r="C4446" s="1">
        <v>7673939351</v>
      </c>
      <c r="E4446" s="17" t="s">
        <v>6483</v>
      </c>
      <c r="F4446" s="65" t="s">
        <v>6640</v>
      </c>
      <c r="G4446" s="3" t="s">
        <v>16</v>
      </c>
      <c r="H4446" s="2" t="s">
        <v>296</v>
      </c>
      <c r="I4446" s="3" t="s">
        <v>94</v>
      </c>
      <c r="J4446" s="31">
        <v>45929</v>
      </c>
      <c r="K4446" s="31">
        <v>45930</v>
      </c>
      <c r="L4446" s="31">
        <v>45933</v>
      </c>
      <c r="M4446" s="31">
        <v>45934</v>
      </c>
      <c r="N4446" s="31">
        <v>45934</v>
      </c>
      <c r="O4446" s="3" t="s">
        <v>297</v>
      </c>
    </row>
    <row r="4447" spans="1:15">
      <c r="A4447" s="3">
        <f t="shared" si="71"/>
        <v>4446</v>
      </c>
      <c r="B4447" s="65" t="s">
        <v>5192</v>
      </c>
      <c r="C4447" s="1">
        <v>7061069155</v>
      </c>
      <c r="E4447" s="17" t="s">
        <v>6641</v>
      </c>
      <c r="F4447" s="65" t="s">
        <v>6642</v>
      </c>
      <c r="G4447" s="3" t="s">
        <v>416</v>
      </c>
      <c r="H4447" s="2" t="s">
        <v>357</v>
      </c>
      <c r="I4447" s="3" t="s">
        <v>94</v>
      </c>
      <c r="J4447" s="31">
        <v>45939</v>
      </c>
      <c r="K4447" s="31">
        <v>45943</v>
      </c>
      <c r="L4447" s="31"/>
      <c r="M4447" s="31"/>
      <c r="N4447" s="31"/>
      <c r="O4447" s="3" t="s">
        <v>297</v>
      </c>
    </row>
    <row r="4448" spans="1:15">
      <c r="A4448" s="3">
        <f t="shared" si="71"/>
        <v>4447</v>
      </c>
      <c r="B4448" s="65" t="s">
        <v>6643</v>
      </c>
      <c r="C4448" s="1">
        <v>8871463204</v>
      </c>
      <c r="E4448" s="17" t="s">
        <v>6641</v>
      </c>
      <c r="F4448" s="65" t="s">
        <v>6642</v>
      </c>
      <c r="G4448" s="3" t="s">
        <v>16</v>
      </c>
      <c r="H4448" s="2" t="s">
        <v>357</v>
      </c>
      <c r="I4448" s="3" t="s">
        <v>94</v>
      </c>
      <c r="J4448" s="31">
        <v>45939</v>
      </c>
      <c r="K4448" s="31">
        <v>45940</v>
      </c>
      <c r="L4448" s="31">
        <v>45945</v>
      </c>
      <c r="M4448" s="31">
        <v>45960</v>
      </c>
      <c r="N4448" s="31">
        <v>45963</v>
      </c>
      <c r="O4448" s="3" t="s">
        <v>297</v>
      </c>
    </row>
    <row r="4449" spans="1:15">
      <c r="A4449" s="3">
        <f t="shared" si="71"/>
        <v>4448</v>
      </c>
      <c r="B4449" s="65" t="s">
        <v>6644</v>
      </c>
      <c r="C4449" s="1">
        <v>6398912291</v>
      </c>
      <c r="E4449" s="17" t="s">
        <v>6645</v>
      </c>
      <c r="F4449" s="65" t="s">
        <v>6642</v>
      </c>
      <c r="G4449" s="3" t="s">
        <v>16</v>
      </c>
      <c r="H4449" s="2" t="s">
        <v>357</v>
      </c>
      <c r="I4449" s="3" t="s">
        <v>94</v>
      </c>
      <c r="J4449" s="31">
        <v>45939</v>
      </c>
      <c r="K4449" s="31">
        <v>45940</v>
      </c>
      <c r="L4449" s="31">
        <v>45945</v>
      </c>
      <c r="M4449" s="31">
        <v>45960</v>
      </c>
      <c r="N4449" s="31">
        <v>45962</v>
      </c>
      <c r="O4449" s="3" t="s">
        <v>297</v>
      </c>
    </row>
    <row r="4450" spans="1:15">
      <c r="A4450" s="3">
        <f t="shared" si="71"/>
        <v>4449</v>
      </c>
      <c r="B4450" s="65" t="s">
        <v>363</v>
      </c>
      <c r="C4450" s="1">
        <v>8294046961</v>
      </c>
      <c r="E4450" s="17" t="s">
        <v>6645</v>
      </c>
      <c r="F4450" s="65" t="s">
        <v>6642</v>
      </c>
      <c r="G4450" s="3" t="s">
        <v>764</v>
      </c>
      <c r="H4450" s="2" t="s">
        <v>357</v>
      </c>
      <c r="I4450" s="3" t="s">
        <v>94</v>
      </c>
      <c r="J4450" s="31">
        <v>45939</v>
      </c>
      <c r="K4450" s="31">
        <v>45940</v>
      </c>
      <c r="L4450" s="31"/>
      <c r="M4450" s="31"/>
      <c r="N4450" s="31"/>
      <c r="O4450" s="3" t="s">
        <v>425</v>
      </c>
    </row>
    <row r="4451" spans="1:15">
      <c r="A4451" s="3">
        <f t="shared" si="71"/>
        <v>4450</v>
      </c>
      <c r="B4451" s="65" t="s">
        <v>6646</v>
      </c>
      <c r="C4451" s="1">
        <v>9643357493</v>
      </c>
      <c r="E4451" s="17" t="s">
        <v>5542</v>
      </c>
      <c r="F4451" s="65" t="s">
        <v>6647</v>
      </c>
      <c r="G4451" s="3" t="s">
        <v>764</v>
      </c>
      <c r="H4451" s="2" t="s">
        <v>815</v>
      </c>
      <c r="I4451" s="3" t="s">
        <v>94</v>
      </c>
      <c r="J4451" s="31">
        <v>45939</v>
      </c>
      <c r="K4451" s="31">
        <v>45940</v>
      </c>
      <c r="L4451" s="31"/>
      <c r="M4451" s="31"/>
      <c r="N4451" s="31"/>
      <c r="O4451" s="3" t="s">
        <v>425</v>
      </c>
    </row>
    <row r="4452" spans="1:15">
      <c r="A4452" s="3">
        <f t="shared" si="71"/>
        <v>4451</v>
      </c>
      <c r="B4452" s="65" t="s">
        <v>6648</v>
      </c>
      <c r="C4452" s="1">
        <v>8431651871</v>
      </c>
      <c r="E4452" s="17" t="s">
        <v>5542</v>
      </c>
      <c r="F4452" s="65" t="s">
        <v>6647</v>
      </c>
      <c r="G4452" s="3" t="s">
        <v>16</v>
      </c>
      <c r="H4452" s="2" t="s">
        <v>815</v>
      </c>
      <c r="I4452" s="3" t="s">
        <v>94</v>
      </c>
      <c r="J4452" s="31">
        <v>45939</v>
      </c>
      <c r="K4452" s="31">
        <v>45940</v>
      </c>
      <c r="L4452" s="31">
        <v>45961</v>
      </c>
      <c r="M4452" s="31">
        <v>46002</v>
      </c>
      <c r="N4452" s="31">
        <v>46002</v>
      </c>
      <c r="O4452" s="3" t="s">
        <v>297</v>
      </c>
    </row>
    <row r="4453" spans="1:15">
      <c r="A4453" s="3">
        <f t="shared" si="71"/>
        <v>4452</v>
      </c>
      <c r="B4453" s="65" t="s">
        <v>6649</v>
      </c>
      <c r="C4453" s="1">
        <v>8930025676</v>
      </c>
      <c r="E4453" s="17" t="s">
        <v>6650</v>
      </c>
      <c r="F4453" s="65" t="s">
        <v>4952</v>
      </c>
      <c r="G4453" s="3" t="s">
        <v>16</v>
      </c>
      <c r="H4453" s="2" t="s">
        <v>815</v>
      </c>
      <c r="I4453" s="3" t="s">
        <v>94</v>
      </c>
      <c r="J4453" s="31">
        <v>45939</v>
      </c>
      <c r="K4453" s="31">
        <v>45940</v>
      </c>
      <c r="L4453" s="31">
        <v>45961</v>
      </c>
      <c r="M4453" s="31">
        <v>45995</v>
      </c>
      <c r="N4453" s="31">
        <v>45997</v>
      </c>
      <c r="O4453" s="3" t="s">
        <v>297</v>
      </c>
    </row>
    <row r="4454" spans="1:15">
      <c r="A4454" s="3">
        <f t="shared" si="71"/>
        <v>4453</v>
      </c>
      <c r="B4454" s="65" t="s">
        <v>6651</v>
      </c>
      <c r="C4454" s="1">
        <v>6294960129</v>
      </c>
      <c r="E4454" s="17" t="s">
        <v>6652</v>
      </c>
      <c r="F4454" s="65" t="s">
        <v>4952</v>
      </c>
      <c r="G4454" s="3" t="s">
        <v>16</v>
      </c>
      <c r="H4454" s="2" t="s">
        <v>815</v>
      </c>
      <c r="I4454" s="3" t="s">
        <v>94</v>
      </c>
      <c r="J4454" s="31">
        <v>45939</v>
      </c>
      <c r="K4454" s="31">
        <v>45940</v>
      </c>
      <c r="L4454" s="31">
        <v>45961</v>
      </c>
      <c r="M4454" s="31">
        <v>45997</v>
      </c>
      <c r="N4454" s="31">
        <v>45997</v>
      </c>
      <c r="O4454" s="3" t="s">
        <v>297</v>
      </c>
    </row>
    <row r="4455" spans="1:15">
      <c r="A4455" s="3">
        <f t="shared" si="71"/>
        <v>4454</v>
      </c>
      <c r="B4455" s="65" t="s">
        <v>6653</v>
      </c>
      <c r="C4455" s="1">
        <v>7288871029</v>
      </c>
      <c r="E4455" s="17" t="s">
        <v>6654</v>
      </c>
      <c r="F4455" s="65"/>
      <c r="G4455" s="3" t="s">
        <v>16</v>
      </c>
      <c r="H4455" s="2" t="s">
        <v>6655</v>
      </c>
      <c r="I4455" s="3" t="s">
        <v>88</v>
      </c>
      <c r="J4455" s="31">
        <v>45931</v>
      </c>
      <c r="K4455" s="31">
        <v>45936</v>
      </c>
      <c r="L4455" s="31">
        <v>45938</v>
      </c>
      <c r="M4455" s="31">
        <v>45969</v>
      </c>
      <c r="N4455" s="31">
        <v>45943</v>
      </c>
      <c r="O4455" s="3" t="s">
        <v>297</v>
      </c>
    </row>
    <row r="4456" spans="1:15">
      <c r="A4456" s="3">
        <f t="shared" si="71"/>
        <v>4455</v>
      </c>
      <c r="B4456" s="65" t="s">
        <v>6656</v>
      </c>
      <c r="C4456" s="1">
        <v>9492970807</v>
      </c>
      <c r="D4456" s="1">
        <v>8819936095</v>
      </c>
      <c r="E4456" s="17" t="s">
        <v>6657</v>
      </c>
      <c r="F4456" s="65"/>
      <c r="G4456" s="3" t="s">
        <v>16</v>
      </c>
      <c r="H4456" s="2" t="s">
        <v>785</v>
      </c>
      <c r="I4456" s="3" t="s">
        <v>88</v>
      </c>
      <c r="J4456" s="31">
        <v>45931</v>
      </c>
      <c r="K4456" s="31">
        <v>45936</v>
      </c>
      <c r="L4456" s="31">
        <v>45938</v>
      </c>
      <c r="M4456" s="31">
        <v>45969</v>
      </c>
      <c r="N4456" s="31">
        <v>45957</v>
      </c>
      <c r="O4456" s="3" t="s">
        <v>297</v>
      </c>
    </row>
    <row r="4457" spans="1:15">
      <c r="A4457" s="3">
        <f t="shared" si="71"/>
        <v>4456</v>
      </c>
      <c r="B4457" s="65" t="s">
        <v>6658</v>
      </c>
      <c r="C4457" s="1">
        <v>7839039608</v>
      </c>
      <c r="E4457" s="17" t="s">
        <v>601</v>
      </c>
      <c r="F4457" s="65" t="s">
        <v>2417</v>
      </c>
      <c r="G4457" s="3" t="s">
        <v>424</v>
      </c>
      <c r="H4457" s="2" t="s">
        <v>41</v>
      </c>
      <c r="I4457" s="3" t="s">
        <v>88</v>
      </c>
      <c r="J4457" s="31">
        <v>45940</v>
      </c>
      <c r="K4457" s="31">
        <v>45941</v>
      </c>
      <c r="L4457" s="31"/>
      <c r="M4457" s="31"/>
      <c r="N4457" s="31"/>
      <c r="O4457" s="3" t="s">
        <v>425</v>
      </c>
    </row>
    <row r="4458" spans="1:15">
      <c r="A4458" s="3">
        <f t="shared" si="71"/>
        <v>4457</v>
      </c>
      <c r="B4458" s="65" t="s">
        <v>6659</v>
      </c>
      <c r="C4458" s="1">
        <v>8500690071</v>
      </c>
      <c r="E4458" s="17" t="s">
        <v>601</v>
      </c>
      <c r="F4458" s="65" t="s">
        <v>972</v>
      </c>
      <c r="G4458" s="3" t="s">
        <v>424</v>
      </c>
      <c r="H4458" s="2" t="s">
        <v>41</v>
      </c>
      <c r="I4458" s="3" t="s">
        <v>88</v>
      </c>
      <c r="J4458" s="31">
        <v>45940</v>
      </c>
      <c r="K4458" s="31">
        <v>45941</v>
      </c>
      <c r="L4458" s="31"/>
      <c r="M4458" s="31"/>
      <c r="N4458" s="31"/>
      <c r="O4458" s="3" t="s">
        <v>425</v>
      </c>
    </row>
    <row r="4459" spans="1:15">
      <c r="A4459" s="3">
        <f t="shared" si="71"/>
        <v>4458</v>
      </c>
      <c r="B4459" s="65" t="s">
        <v>6660</v>
      </c>
      <c r="C4459" s="1">
        <v>9642671949</v>
      </c>
      <c r="E4459" s="17" t="s">
        <v>5904</v>
      </c>
      <c r="F4459" s="65" t="s">
        <v>2436</v>
      </c>
      <c r="G4459" s="3" t="s">
        <v>16</v>
      </c>
      <c r="H4459" s="2" t="s">
        <v>5774</v>
      </c>
      <c r="I4459" s="3" t="s">
        <v>42</v>
      </c>
      <c r="J4459" s="31">
        <v>45940</v>
      </c>
      <c r="K4459" s="31">
        <v>45940</v>
      </c>
      <c r="L4459" s="31">
        <v>45945</v>
      </c>
      <c r="M4459" s="31">
        <v>45996</v>
      </c>
      <c r="N4459" s="31">
        <v>45992</v>
      </c>
      <c r="O4459" s="3" t="s">
        <v>297</v>
      </c>
    </row>
    <row r="4460" spans="1:15">
      <c r="A4460" s="3">
        <f t="shared" si="71"/>
        <v>4459</v>
      </c>
      <c r="B4460" s="65" t="s">
        <v>6661</v>
      </c>
      <c r="C4460" s="1">
        <v>9490586709</v>
      </c>
      <c r="E4460" s="17" t="s">
        <v>2821</v>
      </c>
      <c r="F4460" s="65" t="s">
        <v>1663</v>
      </c>
      <c r="G4460" s="2" t="s">
        <v>424</v>
      </c>
      <c r="H4460" s="2" t="s">
        <v>5774</v>
      </c>
      <c r="I4460" s="3" t="s">
        <v>42</v>
      </c>
      <c r="J4460" s="31">
        <v>45940</v>
      </c>
      <c r="K4460" s="31">
        <v>45981</v>
      </c>
      <c r="L4460" s="31"/>
      <c r="M4460" s="31"/>
      <c r="N4460" s="31"/>
      <c r="O4460" s="2" t="s">
        <v>749</v>
      </c>
    </row>
    <row r="4461" spans="1:15">
      <c r="A4461" s="3">
        <f t="shared" si="71"/>
        <v>4460</v>
      </c>
      <c r="B4461" s="65" t="s">
        <v>6662</v>
      </c>
      <c r="C4461" s="1">
        <v>7440877859</v>
      </c>
      <c r="D4461" s="1">
        <v>9598031509</v>
      </c>
      <c r="E4461" s="17" t="s">
        <v>5778</v>
      </c>
      <c r="F4461" s="65" t="s">
        <v>6663</v>
      </c>
      <c r="G4461" s="3" t="s">
        <v>1175</v>
      </c>
      <c r="H4461" s="2" t="s">
        <v>5774</v>
      </c>
      <c r="I4461" s="3" t="s">
        <v>42</v>
      </c>
      <c r="J4461" s="31">
        <v>45940</v>
      </c>
      <c r="K4461" s="31"/>
      <c r="L4461" s="31"/>
      <c r="M4461" s="31"/>
      <c r="N4461" s="31"/>
      <c r="O4461" s="3" t="s">
        <v>1004</v>
      </c>
    </row>
    <row r="4462" spans="1:15">
      <c r="A4462" s="3">
        <f t="shared" si="71"/>
        <v>4461</v>
      </c>
      <c r="B4462" s="65" t="s">
        <v>6664</v>
      </c>
      <c r="C4462" s="1">
        <v>7990025317</v>
      </c>
      <c r="E4462" s="17" t="s">
        <v>6555</v>
      </c>
      <c r="F4462" s="65" t="s">
        <v>6665</v>
      </c>
      <c r="G4462" s="3" t="s">
        <v>416</v>
      </c>
      <c r="H4462" s="2" t="s">
        <v>679</v>
      </c>
      <c r="I4462" s="3" t="s">
        <v>42</v>
      </c>
      <c r="J4462" s="31">
        <v>45940</v>
      </c>
      <c r="K4462" s="31">
        <v>45941</v>
      </c>
      <c r="L4462" s="31"/>
      <c r="M4462" s="31"/>
      <c r="N4462" s="31"/>
      <c r="O4462" s="3" t="s">
        <v>297</v>
      </c>
    </row>
    <row r="4463" spans="1:15">
      <c r="A4463" s="3">
        <f t="shared" si="71"/>
        <v>4462</v>
      </c>
      <c r="B4463" s="65" t="s">
        <v>6666</v>
      </c>
      <c r="C4463" s="1">
        <v>8600997458</v>
      </c>
      <c r="E4463" s="17" t="s">
        <v>6555</v>
      </c>
      <c r="F4463" s="65" t="s">
        <v>6667</v>
      </c>
      <c r="G4463" s="3" t="s">
        <v>708</v>
      </c>
      <c r="H4463" s="2" t="s">
        <v>679</v>
      </c>
      <c r="I4463" s="3" t="s">
        <v>42</v>
      </c>
      <c r="J4463" s="31">
        <v>45940</v>
      </c>
      <c r="K4463" s="31">
        <v>45941</v>
      </c>
      <c r="L4463" s="31"/>
      <c r="M4463" s="31"/>
      <c r="N4463" s="31"/>
      <c r="O4463" s="3" t="s">
        <v>297</v>
      </c>
    </row>
    <row r="4464" spans="1:15">
      <c r="A4464" s="3">
        <f t="shared" si="71"/>
        <v>4463</v>
      </c>
      <c r="B4464" s="65" t="s">
        <v>6668</v>
      </c>
      <c r="C4464" s="1">
        <v>9974109192</v>
      </c>
      <c r="D4464" s="1">
        <v>9903010867</v>
      </c>
      <c r="E4464" s="17" t="s">
        <v>1425</v>
      </c>
      <c r="F4464" s="65" t="s">
        <v>2199</v>
      </c>
      <c r="G4464" s="3" t="s">
        <v>424</v>
      </c>
      <c r="H4464" s="2" t="s">
        <v>41</v>
      </c>
      <c r="I4464" s="3" t="s">
        <v>88</v>
      </c>
      <c r="J4464" s="31">
        <v>45940</v>
      </c>
      <c r="K4464" s="31">
        <v>45945</v>
      </c>
      <c r="L4464" s="31"/>
      <c r="M4464" s="31"/>
      <c r="N4464" s="31"/>
      <c r="O4464" s="3" t="s">
        <v>425</v>
      </c>
    </row>
    <row r="4465" spans="1:15">
      <c r="A4465" s="3">
        <f t="shared" si="71"/>
        <v>4464</v>
      </c>
      <c r="B4465" s="65" t="s">
        <v>6669</v>
      </c>
      <c r="C4465" s="1">
        <v>8897522003</v>
      </c>
      <c r="E4465" s="17" t="s">
        <v>1425</v>
      </c>
      <c r="F4465" s="65" t="s">
        <v>569</v>
      </c>
      <c r="G4465" s="3" t="s">
        <v>424</v>
      </c>
      <c r="H4465" s="2" t="s">
        <v>41</v>
      </c>
      <c r="I4465" s="3" t="s">
        <v>88</v>
      </c>
      <c r="J4465" s="31">
        <v>45940</v>
      </c>
      <c r="K4465" s="31">
        <v>45945</v>
      </c>
      <c r="L4465" s="31"/>
      <c r="M4465" s="31"/>
      <c r="N4465" s="31"/>
      <c r="O4465" s="3" t="s">
        <v>425</v>
      </c>
    </row>
    <row r="4466" spans="1:15">
      <c r="A4466" s="3">
        <f t="shared" si="71"/>
        <v>4465</v>
      </c>
      <c r="B4466" s="65" t="s">
        <v>6670</v>
      </c>
      <c r="C4466" s="1">
        <v>9494764637</v>
      </c>
      <c r="E4466" s="17" t="s">
        <v>1425</v>
      </c>
      <c r="F4466" s="65" t="s">
        <v>569</v>
      </c>
      <c r="G4466" s="3" t="s">
        <v>424</v>
      </c>
      <c r="H4466" s="2" t="s">
        <v>41</v>
      </c>
      <c r="I4466" s="3" t="s">
        <v>88</v>
      </c>
      <c r="J4466" s="31">
        <v>45940</v>
      </c>
      <c r="K4466" s="31">
        <v>45945</v>
      </c>
      <c r="L4466" s="31"/>
      <c r="M4466" s="31"/>
      <c r="N4466" s="31"/>
      <c r="O4466" s="3" t="s">
        <v>425</v>
      </c>
    </row>
    <row r="4467" spans="1:15">
      <c r="A4467" s="3">
        <f t="shared" si="71"/>
        <v>4466</v>
      </c>
      <c r="B4467" s="65" t="s">
        <v>6671</v>
      </c>
      <c r="C4467" s="1">
        <v>9980789773</v>
      </c>
      <c r="E4467" s="17" t="s">
        <v>1440</v>
      </c>
      <c r="F4467" s="65" t="s">
        <v>569</v>
      </c>
      <c r="G4467" s="3" t="s">
        <v>424</v>
      </c>
      <c r="H4467" s="2" t="s">
        <v>41</v>
      </c>
      <c r="I4467" s="3" t="s">
        <v>88</v>
      </c>
      <c r="J4467" s="31">
        <v>45940</v>
      </c>
      <c r="K4467" s="31">
        <v>45945</v>
      </c>
      <c r="L4467" s="31"/>
      <c r="M4467" s="31"/>
      <c r="N4467" s="31"/>
      <c r="O4467" s="3" t="s">
        <v>425</v>
      </c>
    </row>
    <row r="4468" spans="1:15">
      <c r="A4468" s="3">
        <f t="shared" si="71"/>
        <v>4467</v>
      </c>
      <c r="B4468" s="65" t="s">
        <v>6672</v>
      </c>
      <c r="C4468" s="1">
        <v>9000866024</v>
      </c>
      <c r="E4468" s="17" t="s">
        <v>1440</v>
      </c>
      <c r="F4468" s="65" t="s">
        <v>6673</v>
      </c>
      <c r="G4468" s="3" t="s">
        <v>424</v>
      </c>
      <c r="H4468" s="2" t="s">
        <v>41</v>
      </c>
      <c r="I4468" s="3" t="s">
        <v>88</v>
      </c>
      <c r="J4468" s="31">
        <v>45940</v>
      </c>
      <c r="K4468" s="31">
        <v>45945</v>
      </c>
      <c r="L4468" s="31"/>
      <c r="M4468" s="31"/>
      <c r="N4468" s="31"/>
      <c r="O4468" s="3" t="s">
        <v>425</v>
      </c>
    </row>
    <row r="4469" spans="1:15">
      <c r="A4469" s="3">
        <f t="shared" si="71"/>
        <v>4468</v>
      </c>
      <c r="B4469" s="65" t="s">
        <v>6674</v>
      </c>
      <c r="C4469" s="1">
        <v>8008694918</v>
      </c>
      <c r="E4469" s="17" t="s">
        <v>1440</v>
      </c>
      <c r="F4469" s="65" t="s">
        <v>569</v>
      </c>
      <c r="G4469" s="3" t="s">
        <v>424</v>
      </c>
      <c r="H4469" s="2" t="s">
        <v>41</v>
      </c>
      <c r="I4469" s="3" t="s">
        <v>88</v>
      </c>
      <c r="J4469" s="31">
        <v>45940</v>
      </c>
      <c r="K4469" s="31">
        <v>45960</v>
      </c>
      <c r="L4469" s="31"/>
      <c r="M4469" s="31"/>
      <c r="N4469" s="31"/>
      <c r="O4469" s="3" t="s">
        <v>425</v>
      </c>
    </row>
    <row r="4470" spans="1:15">
      <c r="A4470" s="3">
        <f t="shared" si="71"/>
        <v>4469</v>
      </c>
      <c r="B4470" s="65" t="s">
        <v>6675</v>
      </c>
      <c r="C4470" s="1">
        <v>8328195562</v>
      </c>
      <c r="D4470" s="1">
        <v>9908894025</v>
      </c>
      <c r="E4470" s="17" t="s">
        <v>1440</v>
      </c>
      <c r="F4470" s="65" t="s">
        <v>1992</v>
      </c>
      <c r="G4470" s="3" t="s">
        <v>416</v>
      </c>
      <c r="H4470" s="2" t="s">
        <v>41</v>
      </c>
      <c r="I4470" s="3" t="s">
        <v>88</v>
      </c>
      <c r="J4470" s="31">
        <v>45940</v>
      </c>
      <c r="K4470" s="31">
        <v>45952</v>
      </c>
      <c r="L4470" s="31"/>
      <c r="M4470" s="31"/>
      <c r="N4470" s="31"/>
      <c r="O4470" s="3" t="s">
        <v>297</v>
      </c>
    </row>
    <row r="4471" spans="1:15">
      <c r="A4471" s="3">
        <f t="shared" si="71"/>
        <v>4470</v>
      </c>
      <c r="B4471" s="65" t="s">
        <v>6676</v>
      </c>
      <c r="C4471" s="1">
        <v>9542167417</v>
      </c>
      <c r="E4471" s="17" t="s">
        <v>1440</v>
      </c>
      <c r="F4471" s="65" t="s">
        <v>2113</v>
      </c>
      <c r="G4471" s="3" t="s">
        <v>424</v>
      </c>
      <c r="H4471" s="2" t="s">
        <v>41</v>
      </c>
      <c r="I4471" s="3" t="s">
        <v>88</v>
      </c>
      <c r="J4471" s="31">
        <v>45940</v>
      </c>
      <c r="K4471" s="31">
        <v>45945</v>
      </c>
      <c r="L4471" s="31"/>
      <c r="M4471" s="31"/>
      <c r="N4471" s="31"/>
      <c r="O4471" s="3" t="s">
        <v>425</v>
      </c>
    </row>
    <row r="4472" spans="1:15">
      <c r="A4472" s="3">
        <f t="shared" si="71"/>
        <v>4471</v>
      </c>
      <c r="B4472" s="65" t="s">
        <v>6677</v>
      </c>
      <c r="C4472" s="1">
        <v>8409944779</v>
      </c>
      <c r="D4472" s="1">
        <v>7209388183</v>
      </c>
      <c r="E4472" s="17" t="s">
        <v>1440</v>
      </c>
      <c r="F4472" s="65" t="s">
        <v>2602</v>
      </c>
      <c r="G4472" s="3" t="s">
        <v>424</v>
      </c>
      <c r="H4472" s="2" t="s">
        <v>41</v>
      </c>
      <c r="I4472" s="3" t="s">
        <v>88</v>
      </c>
      <c r="J4472" s="31">
        <v>45940</v>
      </c>
      <c r="K4472" s="31">
        <v>45960</v>
      </c>
      <c r="L4472" s="31"/>
      <c r="M4472" s="31"/>
      <c r="N4472" s="31"/>
      <c r="O4472" s="3" t="s">
        <v>425</v>
      </c>
    </row>
    <row r="4473" spans="1:15">
      <c r="A4473" s="3">
        <f t="shared" si="71"/>
        <v>4472</v>
      </c>
      <c r="B4473" s="65" t="s">
        <v>6678</v>
      </c>
      <c r="C4473" s="1">
        <v>9347387609</v>
      </c>
      <c r="E4473" s="17" t="s">
        <v>1440</v>
      </c>
      <c r="F4473" s="65" t="s">
        <v>569</v>
      </c>
      <c r="G4473" s="3" t="s">
        <v>424</v>
      </c>
      <c r="H4473" s="2" t="s">
        <v>41</v>
      </c>
      <c r="I4473" s="3" t="s">
        <v>88</v>
      </c>
      <c r="J4473" s="31">
        <v>45940</v>
      </c>
      <c r="K4473" s="31">
        <v>45960</v>
      </c>
      <c r="L4473" s="31"/>
      <c r="M4473" s="31"/>
      <c r="N4473" s="31"/>
      <c r="O4473" s="3" t="s">
        <v>425</v>
      </c>
    </row>
    <row r="4474" spans="1:15">
      <c r="A4474" s="3">
        <f t="shared" si="71"/>
        <v>4473</v>
      </c>
      <c r="B4474" s="65" t="s">
        <v>6679</v>
      </c>
      <c r="C4474" s="1">
        <v>9568839507</v>
      </c>
      <c r="E4474" s="17" t="s">
        <v>6616</v>
      </c>
      <c r="F4474" s="65" t="s">
        <v>612</v>
      </c>
      <c r="G4474" s="2" t="s">
        <v>18</v>
      </c>
      <c r="H4474" s="2" t="s">
        <v>5163</v>
      </c>
      <c r="I4474" s="3" t="s">
        <v>94</v>
      </c>
      <c r="J4474" s="31">
        <v>45940</v>
      </c>
      <c r="K4474" s="31">
        <v>45943</v>
      </c>
      <c r="L4474" s="31">
        <v>45947</v>
      </c>
      <c r="M4474" s="31">
        <v>45972</v>
      </c>
      <c r="N4474" s="31"/>
      <c r="O4474" s="3" t="s">
        <v>297</v>
      </c>
    </row>
    <row r="4475" spans="1:15">
      <c r="A4475" s="3">
        <f t="shared" si="71"/>
        <v>4474</v>
      </c>
      <c r="B4475" s="65" t="s">
        <v>6680</v>
      </c>
      <c r="C4475" s="1">
        <v>9160896638</v>
      </c>
      <c r="E4475" s="17" t="s">
        <v>6613</v>
      </c>
      <c r="F4475" s="65" t="s">
        <v>364</v>
      </c>
      <c r="G4475" s="3" t="s">
        <v>295</v>
      </c>
      <c r="H4475" s="2" t="s">
        <v>5163</v>
      </c>
      <c r="I4475" s="3" t="s">
        <v>94</v>
      </c>
      <c r="J4475" s="31">
        <v>45940</v>
      </c>
      <c r="K4475" s="31">
        <v>45943</v>
      </c>
      <c r="L4475" s="31">
        <v>45947</v>
      </c>
      <c r="M4475" s="31">
        <v>45981</v>
      </c>
      <c r="N4475" s="31"/>
      <c r="O4475" s="3" t="s">
        <v>297</v>
      </c>
    </row>
    <row r="4476" spans="1:15">
      <c r="A4476" s="3">
        <f t="shared" si="71"/>
        <v>4475</v>
      </c>
      <c r="B4476" s="65" t="s">
        <v>6681</v>
      </c>
      <c r="C4476" s="1">
        <v>7356340166</v>
      </c>
      <c r="D4476" s="1">
        <v>8224900000</v>
      </c>
      <c r="E4476" s="17" t="s">
        <v>6613</v>
      </c>
      <c r="F4476" s="65" t="s">
        <v>364</v>
      </c>
      <c r="G4476" s="3" t="s">
        <v>18</v>
      </c>
      <c r="H4476" s="2" t="s">
        <v>5163</v>
      </c>
      <c r="I4476" s="3" t="s">
        <v>94</v>
      </c>
      <c r="J4476" s="31">
        <v>45940</v>
      </c>
      <c r="K4476" s="31">
        <v>45945</v>
      </c>
      <c r="L4476" s="31"/>
      <c r="M4476" s="31"/>
      <c r="N4476" s="31"/>
      <c r="O4476" s="3" t="s">
        <v>297</v>
      </c>
    </row>
    <row r="4477" spans="1:15">
      <c r="A4477" s="3">
        <f t="shared" si="71"/>
        <v>4476</v>
      </c>
      <c r="B4477" s="65" t="s">
        <v>6682</v>
      </c>
      <c r="C4477" s="1">
        <v>9709319257</v>
      </c>
      <c r="E4477" s="17" t="s">
        <v>6683</v>
      </c>
      <c r="F4477" s="65" t="s">
        <v>272</v>
      </c>
      <c r="G4477" s="3" t="s">
        <v>16</v>
      </c>
      <c r="H4477" s="2" t="s">
        <v>815</v>
      </c>
      <c r="I4477" s="3" t="s">
        <v>94</v>
      </c>
      <c r="J4477" s="31">
        <v>45940</v>
      </c>
      <c r="K4477" s="31">
        <v>45943</v>
      </c>
      <c r="L4477" s="31">
        <v>45947</v>
      </c>
      <c r="M4477" s="31">
        <v>45969</v>
      </c>
      <c r="N4477" s="31">
        <v>45969</v>
      </c>
      <c r="O4477" s="3" t="s">
        <v>297</v>
      </c>
    </row>
    <row r="4478" spans="1:15">
      <c r="A4478" s="3">
        <f t="shared" si="71"/>
        <v>4477</v>
      </c>
      <c r="B4478" s="65" t="s">
        <v>6684</v>
      </c>
      <c r="C4478" s="1">
        <v>6201905671</v>
      </c>
      <c r="E4478" s="17" t="s">
        <v>6685</v>
      </c>
      <c r="F4478" s="65" t="s">
        <v>272</v>
      </c>
      <c r="G4478" s="3" t="s">
        <v>416</v>
      </c>
      <c r="H4478" s="2" t="s">
        <v>815</v>
      </c>
      <c r="I4478" s="3" t="s">
        <v>94</v>
      </c>
      <c r="J4478" s="31">
        <v>45940</v>
      </c>
      <c r="K4478" s="31">
        <v>45943</v>
      </c>
      <c r="L4478" s="31"/>
      <c r="M4478" s="31"/>
      <c r="N4478" s="31"/>
      <c r="O4478" s="3" t="s">
        <v>297</v>
      </c>
    </row>
    <row r="4479" spans="1:15">
      <c r="A4479" s="3">
        <f t="shared" si="71"/>
        <v>4478</v>
      </c>
      <c r="B4479" s="65" t="s">
        <v>6024</v>
      </c>
      <c r="C4479" s="1">
        <v>6200318754</v>
      </c>
      <c r="E4479" s="17" t="s">
        <v>6686</v>
      </c>
      <c r="F4479" s="65" t="s">
        <v>272</v>
      </c>
      <c r="G4479" s="3" t="s">
        <v>16</v>
      </c>
      <c r="H4479" s="2" t="s">
        <v>815</v>
      </c>
      <c r="I4479" s="3" t="s">
        <v>94</v>
      </c>
      <c r="J4479" s="31">
        <v>45940</v>
      </c>
      <c r="K4479" s="31">
        <v>45943</v>
      </c>
      <c r="L4479" s="31">
        <v>45945</v>
      </c>
      <c r="M4479" s="31">
        <v>45960</v>
      </c>
      <c r="N4479" s="31">
        <v>45964</v>
      </c>
      <c r="O4479" s="3" t="s">
        <v>297</v>
      </c>
    </row>
    <row r="4480" spans="1:15">
      <c r="A4480" s="3">
        <f t="shared" si="71"/>
        <v>4479</v>
      </c>
      <c r="B4480" s="65" t="s">
        <v>6687</v>
      </c>
      <c r="C4480" s="1">
        <v>7492084120</v>
      </c>
      <c r="E4480" s="17" t="s">
        <v>6686</v>
      </c>
      <c r="F4480" s="65" t="s">
        <v>272</v>
      </c>
      <c r="G4480" s="3" t="s">
        <v>416</v>
      </c>
      <c r="H4480" s="2" t="s">
        <v>815</v>
      </c>
      <c r="I4480" s="3" t="s">
        <v>94</v>
      </c>
      <c r="J4480" s="31">
        <v>45940</v>
      </c>
      <c r="K4480" s="31">
        <v>45943</v>
      </c>
      <c r="L4480" s="31"/>
      <c r="M4480" s="31"/>
      <c r="N4480" s="31"/>
      <c r="O4480" s="3" t="s">
        <v>297</v>
      </c>
    </row>
    <row r="4481" spans="1:15">
      <c r="A4481" s="3">
        <f t="shared" si="71"/>
        <v>4480</v>
      </c>
      <c r="B4481" s="65" t="s">
        <v>6688</v>
      </c>
      <c r="C4481" s="1">
        <v>8953320642</v>
      </c>
      <c r="E4481" s="17" t="s">
        <v>6686</v>
      </c>
      <c r="F4481" s="65" t="s">
        <v>272</v>
      </c>
      <c r="G4481" s="3" t="s">
        <v>295</v>
      </c>
      <c r="H4481" s="2" t="s">
        <v>815</v>
      </c>
      <c r="I4481" s="3" t="s">
        <v>94</v>
      </c>
      <c r="J4481" s="31">
        <v>45940</v>
      </c>
      <c r="K4481" s="31">
        <v>45943</v>
      </c>
      <c r="L4481" s="31">
        <v>45989</v>
      </c>
      <c r="M4481" s="31">
        <v>45992</v>
      </c>
      <c r="N4481" s="31"/>
      <c r="O4481" s="3" t="s">
        <v>297</v>
      </c>
    </row>
    <row r="4482" spans="1:15">
      <c r="A4482" s="3">
        <f t="shared" si="71"/>
        <v>4481</v>
      </c>
      <c r="B4482" s="65" t="s">
        <v>1639</v>
      </c>
      <c r="C4482" s="1">
        <v>9631663596</v>
      </c>
      <c r="E4482" s="17" t="s">
        <v>6689</v>
      </c>
      <c r="F4482" s="65" t="s">
        <v>272</v>
      </c>
      <c r="G4482" s="3" t="s">
        <v>764</v>
      </c>
      <c r="H4482" s="2" t="s">
        <v>815</v>
      </c>
      <c r="I4482" s="3" t="s">
        <v>94</v>
      </c>
      <c r="J4482" s="31">
        <v>45940</v>
      </c>
      <c r="K4482" s="31">
        <v>45943</v>
      </c>
      <c r="L4482" s="31"/>
      <c r="M4482" s="31"/>
      <c r="N4482" s="31"/>
      <c r="O4482" s="3" t="s">
        <v>425</v>
      </c>
    </row>
    <row r="4483" spans="1:15">
      <c r="A4483" s="3">
        <f t="shared" si="71"/>
        <v>4482</v>
      </c>
      <c r="B4483" s="65" t="s">
        <v>6690</v>
      </c>
      <c r="C4483" s="1">
        <v>9340513131</v>
      </c>
      <c r="E4483" s="17" t="s">
        <v>6153</v>
      </c>
      <c r="F4483" s="65"/>
      <c r="G4483" s="3" t="s">
        <v>16</v>
      </c>
      <c r="H4483" s="2" t="s">
        <v>815</v>
      </c>
      <c r="I4483" s="3" t="s">
        <v>94</v>
      </c>
      <c r="J4483" s="31">
        <v>45936</v>
      </c>
      <c r="K4483" s="31">
        <v>45938</v>
      </c>
      <c r="L4483" s="31">
        <v>45941</v>
      </c>
      <c r="M4483" s="31">
        <v>45956</v>
      </c>
      <c r="N4483" s="31">
        <v>45957</v>
      </c>
      <c r="O4483" s="3" t="s">
        <v>297</v>
      </c>
    </row>
    <row r="4484" spans="1:15">
      <c r="A4484" s="3">
        <f t="shared" si="71"/>
        <v>4483</v>
      </c>
      <c r="B4484" s="65" t="s">
        <v>6691</v>
      </c>
      <c r="C4484" s="1">
        <v>8919815576</v>
      </c>
      <c r="E4484" s="17" t="s">
        <v>6692</v>
      </c>
      <c r="F4484" s="65"/>
      <c r="G4484" s="3" t="s">
        <v>16</v>
      </c>
      <c r="H4484" s="2" t="s">
        <v>5163</v>
      </c>
      <c r="I4484" s="3" t="s">
        <v>94</v>
      </c>
      <c r="J4484" s="31">
        <v>45936</v>
      </c>
      <c r="K4484" s="31">
        <v>45938</v>
      </c>
      <c r="L4484" s="31">
        <v>45941</v>
      </c>
      <c r="M4484" s="31">
        <v>45946</v>
      </c>
      <c r="N4484" s="31">
        <v>45948</v>
      </c>
      <c r="O4484" s="3" t="s">
        <v>297</v>
      </c>
    </row>
    <row r="4485" spans="1:15">
      <c r="A4485" s="3">
        <f t="shared" si="71"/>
        <v>4484</v>
      </c>
      <c r="B4485" s="65" t="s">
        <v>6693</v>
      </c>
      <c r="C4485" s="1">
        <v>7775096737</v>
      </c>
      <c r="E4485" s="17" t="s">
        <v>6153</v>
      </c>
      <c r="F4485" s="65"/>
      <c r="G4485" s="3" t="s">
        <v>295</v>
      </c>
      <c r="H4485" s="2" t="s">
        <v>815</v>
      </c>
      <c r="I4485" s="3" t="s">
        <v>94</v>
      </c>
      <c r="J4485" s="31">
        <v>45936</v>
      </c>
      <c r="K4485" s="31">
        <v>45938</v>
      </c>
      <c r="L4485" s="31">
        <v>45941</v>
      </c>
      <c r="M4485" s="31">
        <v>45948</v>
      </c>
      <c r="N4485" s="31"/>
      <c r="O4485" s="3" t="s">
        <v>297</v>
      </c>
    </row>
    <row r="4486" spans="1:15">
      <c r="A4486" s="3">
        <f t="shared" si="71"/>
        <v>4485</v>
      </c>
      <c r="B4486" s="65" t="s">
        <v>6694</v>
      </c>
      <c r="C4486" s="1">
        <v>9666054663</v>
      </c>
      <c r="E4486" s="17" t="s">
        <v>6363</v>
      </c>
      <c r="F4486" s="65"/>
      <c r="G4486" s="3" t="s">
        <v>295</v>
      </c>
      <c r="H4486" s="2" t="s">
        <v>5163</v>
      </c>
      <c r="I4486" s="3" t="s">
        <v>94</v>
      </c>
      <c r="J4486" s="31">
        <v>45936</v>
      </c>
      <c r="K4486" s="31">
        <v>45938</v>
      </c>
      <c r="L4486" s="31">
        <v>45941</v>
      </c>
      <c r="M4486" s="31">
        <v>45976</v>
      </c>
      <c r="N4486" s="31"/>
      <c r="O4486" s="3" t="s">
        <v>297</v>
      </c>
    </row>
    <row r="4487" spans="1:15">
      <c r="A4487" s="3">
        <f t="shared" si="71"/>
        <v>4486</v>
      </c>
      <c r="B4487" s="65" t="s">
        <v>6695</v>
      </c>
      <c r="C4487" s="1">
        <v>8886713936</v>
      </c>
      <c r="D4487" s="1">
        <v>9398798085</v>
      </c>
      <c r="E4487" s="17" t="s">
        <v>1425</v>
      </c>
      <c r="F4487" s="65"/>
      <c r="G4487" s="3" t="s">
        <v>424</v>
      </c>
      <c r="H4487" s="2" t="s">
        <v>41</v>
      </c>
      <c r="I4487" s="3" t="s">
        <v>88</v>
      </c>
      <c r="J4487" s="31">
        <v>45943</v>
      </c>
      <c r="K4487" s="31">
        <v>45947</v>
      </c>
      <c r="L4487" s="31"/>
      <c r="M4487" s="31"/>
      <c r="N4487" s="31"/>
      <c r="O4487" s="3" t="s">
        <v>425</v>
      </c>
    </row>
    <row r="4488" spans="1:15">
      <c r="A4488" s="3">
        <f t="shared" si="71"/>
        <v>4487</v>
      </c>
      <c r="B4488" s="65" t="s">
        <v>6696</v>
      </c>
      <c r="C4488" s="1">
        <v>8394925241</v>
      </c>
      <c r="E4488" s="17" t="s">
        <v>6697</v>
      </c>
      <c r="F4488" s="65" t="s">
        <v>989</v>
      </c>
      <c r="G4488" s="3" t="s">
        <v>295</v>
      </c>
      <c r="H4488" s="2" t="s">
        <v>361</v>
      </c>
      <c r="I4488" s="3" t="s">
        <v>94</v>
      </c>
      <c r="J4488" s="31">
        <v>45943</v>
      </c>
      <c r="K4488" s="31">
        <v>45958</v>
      </c>
      <c r="L4488" s="31">
        <v>45961</v>
      </c>
      <c r="M4488" s="31">
        <v>46004</v>
      </c>
      <c r="N4488" s="31"/>
      <c r="O4488" s="3" t="s">
        <v>297</v>
      </c>
    </row>
    <row r="4489" spans="1:15">
      <c r="A4489" s="3">
        <f t="shared" si="71"/>
        <v>4488</v>
      </c>
      <c r="B4489" s="65" t="s">
        <v>6698</v>
      </c>
      <c r="C4489" s="1">
        <v>9759775969</v>
      </c>
      <c r="E4489" s="17" t="s">
        <v>6443</v>
      </c>
      <c r="F4489" s="65" t="s">
        <v>989</v>
      </c>
      <c r="G4489" s="3" t="s">
        <v>424</v>
      </c>
      <c r="H4489" s="2" t="s">
        <v>361</v>
      </c>
      <c r="I4489" s="3" t="s">
        <v>94</v>
      </c>
      <c r="J4489" s="31">
        <v>45943</v>
      </c>
      <c r="K4489" s="31">
        <v>45958</v>
      </c>
      <c r="L4489" s="31"/>
      <c r="M4489" s="31"/>
      <c r="N4489" s="31"/>
      <c r="O4489" s="3" t="s">
        <v>425</v>
      </c>
    </row>
    <row r="4490" spans="1:15">
      <c r="A4490" s="3">
        <f t="shared" si="71"/>
        <v>4489</v>
      </c>
      <c r="B4490" s="65" t="s">
        <v>6699</v>
      </c>
      <c r="C4490" s="1">
        <v>7049998680</v>
      </c>
      <c r="E4490" s="17" t="s">
        <v>6173</v>
      </c>
      <c r="F4490" s="65" t="s">
        <v>6700</v>
      </c>
      <c r="G4490" s="3" t="s">
        <v>16</v>
      </c>
      <c r="H4490" s="2" t="s">
        <v>4201</v>
      </c>
      <c r="I4490" s="3" t="s">
        <v>88</v>
      </c>
      <c r="J4490" s="31">
        <v>45931</v>
      </c>
      <c r="K4490" s="31">
        <v>45934</v>
      </c>
      <c r="L4490" s="31">
        <v>45943</v>
      </c>
      <c r="M4490" s="31">
        <v>45971</v>
      </c>
      <c r="N4490" s="31">
        <v>45957</v>
      </c>
      <c r="O4490" s="3" t="s">
        <v>297</v>
      </c>
    </row>
    <row r="4491" spans="1:15">
      <c r="A4491" s="3">
        <f t="shared" si="71"/>
        <v>4490</v>
      </c>
      <c r="B4491" s="65" t="s">
        <v>6701</v>
      </c>
      <c r="C4491" s="1">
        <v>9754015037</v>
      </c>
      <c r="E4491" s="17" t="s">
        <v>5087</v>
      </c>
      <c r="F4491" s="65" t="s">
        <v>6700</v>
      </c>
      <c r="G4491" s="3" t="s">
        <v>16</v>
      </c>
      <c r="H4491" s="2" t="s">
        <v>4201</v>
      </c>
      <c r="I4491" s="3" t="s">
        <v>88</v>
      </c>
      <c r="J4491" s="31">
        <v>45931</v>
      </c>
      <c r="K4491" s="31">
        <v>45934</v>
      </c>
      <c r="L4491" s="31">
        <v>45943</v>
      </c>
      <c r="M4491" s="31">
        <v>45971</v>
      </c>
      <c r="N4491" s="31">
        <v>45957</v>
      </c>
      <c r="O4491" s="3" t="s">
        <v>297</v>
      </c>
    </row>
    <row r="4492" spans="1:15">
      <c r="A4492" s="3">
        <f t="shared" si="71"/>
        <v>4491</v>
      </c>
      <c r="B4492" s="65" t="s">
        <v>6702</v>
      </c>
      <c r="C4492" s="1">
        <v>8862923983</v>
      </c>
      <c r="E4492" s="17" t="s">
        <v>6217</v>
      </c>
      <c r="F4492" s="65" t="s">
        <v>945</v>
      </c>
      <c r="G4492" s="3" t="s">
        <v>295</v>
      </c>
      <c r="H4492" s="2" t="s">
        <v>3854</v>
      </c>
      <c r="I4492" s="3" t="s">
        <v>88</v>
      </c>
      <c r="J4492" s="31">
        <v>45939</v>
      </c>
      <c r="K4492" s="31">
        <v>45942</v>
      </c>
      <c r="L4492" s="31">
        <v>45943</v>
      </c>
      <c r="M4492" s="31">
        <v>45979</v>
      </c>
      <c r="N4492" s="31"/>
      <c r="O4492" s="3" t="s">
        <v>297</v>
      </c>
    </row>
    <row r="4493" spans="1:15">
      <c r="A4493" s="3">
        <f t="shared" si="71"/>
        <v>4492</v>
      </c>
      <c r="B4493" s="65" t="s">
        <v>6703</v>
      </c>
      <c r="C4493" s="1">
        <v>9701182922</v>
      </c>
      <c r="D4493" s="1">
        <v>8668985103</v>
      </c>
      <c r="E4493" s="17" t="s">
        <v>6704</v>
      </c>
      <c r="F4493" s="65" t="s">
        <v>6705</v>
      </c>
      <c r="G4493" s="3" t="s">
        <v>424</v>
      </c>
      <c r="H4493" s="2" t="s">
        <v>3240</v>
      </c>
      <c r="I4493" s="3" t="s">
        <v>42</v>
      </c>
      <c r="J4493" s="31">
        <v>45944</v>
      </c>
      <c r="K4493" s="31">
        <v>45957</v>
      </c>
      <c r="L4493" s="31"/>
      <c r="M4493" s="31"/>
      <c r="N4493" s="31"/>
      <c r="O4493" s="3" t="s">
        <v>425</v>
      </c>
    </row>
    <row r="4494" spans="1:15">
      <c r="A4494" s="3">
        <f t="shared" si="71"/>
        <v>4493</v>
      </c>
      <c r="B4494" s="65" t="s">
        <v>6706</v>
      </c>
      <c r="C4494" s="1">
        <v>9492561554</v>
      </c>
      <c r="E4494" s="17" t="s">
        <v>6704</v>
      </c>
      <c r="F4494" s="65" t="s">
        <v>6707</v>
      </c>
      <c r="G4494" s="3" t="s">
        <v>295</v>
      </c>
      <c r="H4494" s="2" t="s">
        <v>3240</v>
      </c>
      <c r="I4494" s="3" t="s">
        <v>42</v>
      </c>
      <c r="J4494" s="31">
        <v>45944</v>
      </c>
      <c r="K4494" s="31">
        <v>45957</v>
      </c>
      <c r="L4494" s="31">
        <v>45961</v>
      </c>
      <c r="M4494" s="31">
        <v>45992</v>
      </c>
      <c r="N4494" s="31"/>
      <c r="O4494" s="3" t="s">
        <v>297</v>
      </c>
    </row>
    <row r="4495" spans="1:15">
      <c r="A4495" s="3">
        <f t="shared" si="71"/>
        <v>4494</v>
      </c>
      <c r="B4495" s="65" t="s">
        <v>4783</v>
      </c>
      <c r="C4495" s="1">
        <v>7981509297</v>
      </c>
      <c r="E4495" s="17" t="s">
        <v>6708</v>
      </c>
      <c r="F4495" s="65" t="s">
        <v>6709</v>
      </c>
      <c r="G4495" s="3" t="s">
        <v>416</v>
      </c>
      <c r="H4495" s="2" t="s">
        <v>3240</v>
      </c>
      <c r="I4495" s="3" t="s">
        <v>42</v>
      </c>
      <c r="J4495" s="31">
        <v>45944</v>
      </c>
      <c r="K4495" s="31">
        <v>45994</v>
      </c>
      <c r="L4495" s="31"/>
      <c r="M4495" s="31"/>
      <c r="N4495" s="31"/>
      <c r="O4495" s="3" t="s">
        <v>297</v>
      </c>
    </row>
    <row r="4496" spans="1:15">
      <c r="A4496" s="3">
        <f t="shared" si="71"/>
        <v>4495</v>
      </c>
      <c r="B4496" s="65" t="s">
        <v>6710</v>
      </c>
      <c r="C4496" s="1">
        <v>9098381694</v>
      </c>
      <c r="E4496" s="17" t="s">
        <v>1425</v>
      </c>
      <c r="F4496" s="65" t="s">
        <v>275</v>
      </c>
      <c r="G4496" s="3" t="s">
        <v>424</v>
      </c>
      <c r="H4496" s="2" t="s">
        <v>41</v>
      </c>
      <c r="I4496" s="3" t="s">
        <v>88</v>
      </c>
      <c r="J4496" s="31">
        <v>45944</v>
      </c>
      <c r="K4496" s="31">
        <v>45947</v>
      </c>
      <c r="L4496" s="31"/>
      <c r="M4496" s="31"/>
      <c r="N4496" s="31"/>
      <c r="O4496" s="3" t="s">
        <v>425</v>
      </c>
    </row>
    <row r="4497" spans="1:15">
      <c r="A4497" s="3">
        <f t="shared" si="71"/>
        <v>4496</v>
      </c>
      <c r="B4497" s="65" t="s">
        <v>6711</v>
      </c>
      <c r="C4497" s="1">
        <v>9939774293</v>
      </c>
      <c r="E4497" s="17" t="s">
        <v>6712</v>
      </c>
      <c r="F4497" s="65" t="s">
        <v>3778</v>
      </c>
      <c r="G4497" s="3" t="s">
        <v>295</v>
      </c>
      <c r="H4497" s="2" t="s">
        <v>785</v>
      </c>
      <c r="I4497" s="3" t="s">
        <v>88</v>
      </c>
      <c r="J4497" s="31">
        <v>45944</v>
      </c>
      <c r="K4497" s="31">
        <v>45995</v>
      </c>
      <c r="L4497" s="31">
        <v>46002</v>
      </c>
      <c r="M4497" s="31">
        <v>46033</v>
      </c>
      <c r="N4497" s="31"/>
      <c r="O4497" s="3" t="s">
        <v>297</v>
      </c>
    </row>
    <row r="4498" spans="1:15">
      <c r="A4498" s="3">
        <f t="shared" si="71"/>
        <v>4497</v>
      </c>
      <c r="B4498" s="65" t="s">
        <v>6713</v>
      </c>
      <c r="C4498" s="1">
        <v>7717781328</v>
      </c>
      <c r="E4498" s="17" t="s">
        <v>6712</v>
      </c>
      <c r="F4498" s="65" t="s">
        <v>6714</v>
      </c>
      <c r="G4498" s="3" t="s">
        <v>764</v>
      </c>
      <c r="H4498" s="2" t="s">
        <v>785</v>
      </c>
      <c r="I4498" s="3" t="s">
        <v>88</v>
      </c>
      <c r="J4498" s="31">
        <v>45944</v>
      </c>
      <c r="K4498" s="31">
        <v>45995</v>
      </c>
      <c r="L4498" s="31"/>
      <c r="M4498" s="31"/>
      <c r="N4498" s="31"/>
      <c r="O4498" s="3" t="s">
        <v>425</v>
      </c>
    </row>
    <row r="4499" spans="1:15">
      <c r="A4499" s="3">
        <f t="shared" si="71"/>
        <v>4498</v>
      </c>
      <c r="B4499" s="65" t="s">
        <v>6715</v>
      </c>
      <c r="C4499" s="1">
        <v>8800183141</v>
      </c>
      <c r="E4499" s="17" t="s">
        <v>6716</v>
      </c>
      <c r="F4499" s="65" t="s">
        <v>6717</v>
      </c>
      <c r="G4499" s="3" t="s">
        <v>764</v>
      </c>
      <c r="H4499" s="2" t="s">
        <v>785</v>
      </c>
      <c r="I4499" s="3" t="s">
        <v>88</v>
      </c>
      <c r="J4499" s="31">
        <v>45944</v>
      </c>
      <c r="K4499" s="31">
        <v>45989</v>
      </c>
      <c r="L4499" s="31"/>
      <c r="M4499" s="31"/>
      <c r="N4499" s="31"/>
      <c r="O4499" s="3" t="s">
        <v>425</v>
      </c>
    </row>
    <row r="4500" spans="1:15">
      <c r="A4500" s="3">
        <f t="shared" si="71"/>
        <v>4499</v>
      </c>
      <c r="B4500" s="65" t="s">
        <v>6718</v>
      </c>
      <c r="C4500" s="1">
        <v>8074631913</v>
      </c>
      <c r="E4500" s="17" t="s">
        <v>4946</v>
      </c>
      <c r="F4500" s="65" t="s">
        <v>6719</v>
      </c>
      <c r="G4500" s="3" t="s">
        <v>295</v>
      </c>
      <c r="H4500" s="2" t="s">
        <v>6158</v>
      </c>
      <c r="I4500" s="3" t="s">
        <v>42</v>
      </c>
      <c r="J4500" s="31">
        <v>45944</v>
      </c>
      <c r="K4500" s="31">
        <v>45956</v>
      </c>
      <c r="L4500" s="31">
        <v>45968</v>
      </c>
      <c r="M4500" s="31">
        <v>46023</v>
      </c>
      <c r="N4500" s="31"/>
      <c r="O4500" s="3" t="s">
        <v>297</v>
      </c>
    </row>
    <row r="4501" spans="1:15">
      <c r="A4501" s="3">
        <f t="shared" si="71"/>
        <v>4500</v>
      </c>
      <c r="B4501" s="65" t="s">
        <v>6720</v>
      </c>
      <c r="C4501" s="1">
        <v>7502373087</v>
      </c>
      <c r="E4501" s="17" t="s">
        <v>4946</v>
      </c>
      <c r="F4501" s="65" t="s">
        <v>6721</v>
      </c>
      <c r="G4501" s="3" t="s">
        <v>295</v>
      </c>
      <c r="H4501" s="2" t="s">
        <v>6158</v>
      </c>
      <c r="I4501" s="3" t="s">
        <v>42</v>
      </c>
      <c r="J4501" s="31">
        <v>45944</v>
      </c>
      <c r="K4501" s="31">
        <v>45956</v>
      </c>
      <c r="L4501" s="31">
        <v>45968</v>
      </c>
      <c r="M4501" s="31">
        <v>46023</v>
      </c>
      <c r="N4501" s="31"/>
      <c r="O4501" s="3" t="s">
        <v>297</v>
      </c>
    </row>
    <row r="4502" spans="1:15">
      <c r="A4502" s="3">
        <f t="shared" si="71"/>
        <v>4501</v>
      </c>
      <c r="B4502" s="65" t="s">
        <v>6722</v>
      </c>
      <c r="C4502" s="1">
        <v>9131514682</v>
      </c>
      <c r="E4502" s="17" t="s">
        <v>6452</v>
      </c>
      <c r="F4502" s="65" t="s">
        <v>308</v>
      </c>
      <c r="G4502" s="3" t="s">
        <v>424</v>
      </c>
      <c r="H4502" s="2" t="s">
        <v>162</v>
      </c>
      <c r="I4502" s="3" t="s">
        <v>94</v>
      </c>
      <c r="J4502" s="31">
        <v>45944</v>
      </c>
      <c r="K4502" s="31">
        <v>45960</v>
      </c>
      <c r="L4502" s="31"/>
      <c r="M4502" s="31"/>
      <c r="N4502" s="31"/>
      <c r="O4502" s="3" t="s">
        <v>425</v>
      </c>
    </row>
    <row r="4503" spans="1:15">
      <c r="A4503" s="3">
        <f t="shared" si="71"/>
        <v>4502</v>
      </c>
      <c r="B4503" s="65" t="s">
        <v>6723</v>
      </c>
      <c r="C4503" s="1">
        <v>9621648804</v>
      </c>
      <c r="D4503" s="1">
        <v>7860164319</v>
      </c>
      <c r="E4503" s="17" t="s">
        <v>6452</v>
      </c>
      <c r="F4503" s="65" t="s">
        <v>308</v>
      </c>
      <c r="G4503" s="3" t="s">
        <v>416</v>
      </c>
      <c r="H4503" s="2" t="s">
        <v>162</v>
      </c>
      <c r="I4503" s="3" t="s">
        <v>94</v>
      </c>
      <c r="J4503" s="31">
        <v>45944</v>
      </c>
      <c r="K4503" s="31">
        <v>45960</v>
      </c>
      <c r="L4503" s="31"/>
      <c r="M4503" s="31"/>
      <c r="N4503" s="31"/>
      <c r="O4503" s="3" t="s">
        <v>297</v>
      </c>
    </row>
    <row r="4504" spans="1:15">
      <c r="A4504" s="3">
        <f t="shared" si="71"/>
        <v>4503</v>
      </c>
      <c r="B4504" s="65" t="s">
        <v>6724</v>
      </c>
      <c r="C4504" s="1">
        <v>8931884123</v>
      </c>
      <c r="E4504" s="17" t="s">
        <v>6452</v>
      </c>
      <c r="F4504" s="65" t="s">
        <v>308</v>
      </c>
      <c r="G4504" s="3" t="s">
        <v>424</v>
      </c>
      <c r="H4504" s="2" t="s">
        <v>162</v>
      </c>
      <c r="I4504" s="3" t="s">
        <v>94</v>
      </c>
      <c r="J4504" s="31">
        <v>45944</v>
      </c>
      <c r="K4504" s="31">
        <v>45960</v>
      </c>
      <c r="L4504" s="31"/>
      <c r="M4504" s="31"/>
      <c r="N4504" s="31"/>
      <c r="O4504" s="3" t="s">
        <v>425</v>
      </c>
    </row>
    <row r="4505" spans="1:15">
      <c r="A4505" s="3">
        <f t="shared" ref="A4505:A4566" si="72">ROW()-1</f>
        <v>4504</v>
      </c>
      <c r="B4505" s="65" t="s">
        <v>6725</v>
      </c>
      <c r="C4505" s="1">
        <v>9966843717</v>
      </c>
      <c r="E4505" s="17" t="s">
        <v>6452</v>
      </c>
      <c r="F4505" s="65" t="s">
        <v>308</v>
      </c>
      <c r="G4505" s="3" t="s">
        <v>424</v>
      </c>
      <c r="H4505" s="2" t="s">
        <v>162</v>
      </c>
      <c r="I4505" s="3" t="s">
        <v>94</v>
      </c>
      <c r="J4505" s="31">
        <v>45944</v>
      </c>
      <c r="K4505" s="31">
        <v>45960</v>
      </c>
      <c r="L4505" s="31"/>
      <c r="M4505" s="31"/>
      <c r="N4505" s="31"/>
      <c r="O4505" s="3" t="s">
        <v>425</v>
      </c>
    </row>
    <row r="4506" spans="1:15">
      <c r="A4506" s="3">
        <f t="shared" si="72"/>
        <v>4505</v>
      </c>
      <c r="B4506" s="65" t="s">
        <v>6726</v>
      </c>
      <c r="C4506" s="1">
        <v>9100489259</v>
      </c>
      <c r="E4506" s="17" t="s">
        <v>6555</v>
      </c>
      <c r="F4506" s="65" t="s">
        <v>6727</v>
      </c>
      <c r="G4506" s="3" t="s">
        <v>18</v>
      </c>
      <c r="H4506" s="2" t="s">
        <v>679</v>
      </c>
      <c r="I4506" s="3" t="s">
        <v>42</v>
      </c>
      <c r="J4506" s="31">
        <v>45944</v>
      </c>
      <c r="K4506" s="31">
        <v>45946</v>
      </c>
      <c r="L4506" s="31"/>
      <c r="M4506" s="31"/>
      <c r="N4506" s="31"/>
      <c r="O4506" s="3" t="s">
        <v>297</v>
      </c>
    </row>
    <row r="4507" spans="1:15">
      <c r="A4507" s="3">
        <f t="shared" si="72"/>
        <v>4506</v>
      </c>
      <c r="B4507" s="65" t="s">
        <v>6728</v>
      </c>
      <c r="C4507" s="1">
        <v>9395576765</v>
      </c>
      <c r="E4507" s="17" t="s">
        <v>5059</v>
      </c>
      <c r="F4507" s="65"/>
      <c r="G4507" s="3" t="s">
        <v>424</v>
      </c>
      <c r="H4507" s="2" t="s">
        <v>42</v>
      </c>
      <c r="I4507" s="3" t="s">
        <v>42</v>
      </c>
      <c r="J4507" s="31">
        <v>45944</v>
      </c>
      <c r="K4507" s="31">
        <v>45954</v>
      </c>
      <c r="L4507" s="31"/>
      <c r="M4507" s="31"/>
      <c r="N4507" s="31"/>
      <c r="O4507" s="3" t="s">
        <v>425</v>
      </c>
    </row>
    <row r="4508" spans="1:15">
      <c r="A4508" s="3">
        <f t="shared" si="72"/>
        <v>4507</v>
      </c>
      <c r="B4508" s="65" t="s">
        <v>6729</v>
      </c>
      <c r="C4508" s="1">
        <v>9985867656</v>
      </c>
      <c r="E4508" s="17" t="s">
        <v>5059</v>
      </c>
      <c r="F4508" s="65"/>
      <c r="G4508" s="3" t="s">
        <v>424</v>
      </c>
      <c r="H4508" s="2" t="s">
        <v>42</v>
      </c>
      <c r="I4508" s="3" t="s">
        <v>42</v>
      </c>
      <c r="J4508" s="31">
        <v>45944</v>
      </c>
      <c r="K4508" s="31">
        <v>45954</v>
      </c>
      <c r="L4508" s="31"/>
      <c r="M4508" s="31"/>
      <c r="N4508" s="31"/>
      <c r="O4508" s="3" t="s">
        <v>425</v>
      </c>
    </row>
    <row r="4509" spans="1:15">
      <c r="A4509" s="3">
        <f t="shared" si="72"/>
        <v>4508</v>
      </c>
      <c r="B4509" s="65" t="s">
        <v>6730</v>
      </c>
      <c r="C4509" s="1">
        <v>9629357529</v>
      </c>
      <c r="E4509" s="17" t="s">
        <v>4963</v>
      </c>
      <c r="F4509" s="65"/>
      <c r="G4509" s="3" t="s">
        <v>16</v>
      </c>
      <c r="H4509" s="2" t="s">
        <v>999</v>
      </c>
      <c r="I4509" s="3" t="s">
        <v>42</v>
      </c>
      <c r="J4509" s="31">
        <v>45944</v>
      </c>
      <c r="K4509" s="31">
        <v>45945</v>
      </c>
      <c r="L4509" s="31">
        <v>45959</v>
      </c>
      <c r="M4509" s="31">
        <v>46007</v>
      </c>
      <c r="N4509" s="31">
        <v>46006</v>
      </c>
      <c r="O4509" s="3" t="s">
        <v>297</v>
      </c>
    </row>
    <row r="4510" spans="1:15">
      <c r="A4510" s="3">
        <f t="shared" si="72"/>
        <v>4509</v>
      </c>
      <c r="B4510" s="65" t="s">
        <v>6731</v>
      </c>
      <c r="C4510" s="1">
        <v>8125356622</v>
      </c>
      <c r="E4510" s="17" t="s">
        <v>4963</v>
      </c>
      <c r="F4510" s="65"/>
      <c r="G4510" s="3" t="s">
        <v>424</v>
      </c>
      <c r="H4510" s="2" t="s">
        <v>999</v>
      </c>
      <c r="I4510" s="3" t="s">
        <v>42</v>
      </c>
      <c r="J4510" s="31">
        <v>45944</v>
      </c>
      <c r="K4510" s="31">
        <v>45945</v>
      </c>
      <c r="L4510" s="31"/>
      <c r="M4510" s="31"/>
      <c r="N4510" s="31"/>
      <c r="O4510" s="3" t="s">
        <v>425</v>
      </c>
    </row>
    <row r="4511" spans="1:15">
      <c r="A4511" s="3">
        <f t="shared" si="72"/>
        <v>4510</v>
      </c>
      <c r="B4511" s="65" t="s">
        <v>6732</v>
      </c>
      <c r="C4511" s="1">
        <v>9676955766</v>
      </c>
      <c r="E4511" s="17" t="s">
        <v>4963</v>
      </c>
      <c r="F4511" s="65"/>
      <c r="G4511" s="3" t="s">
        <v>708</v>
      </c>
      <c r="H4511" s="2" t="s">
        <v>999</v>
      </c>
      <c r="I4511" s="3" t="s">
        <v>42</v>
      </c>
      <c r="J4511" s="31">
        <v>45944</v>
      </c>
      <c r="K4511" s="31">
        <v>45945</v>
      </c>
      <c r="L4511" s="31"/>
      <c r="M4511" s="31"/>
      <c r="N4511" s="31"/>
      <c r="O4511" s="3" t="s">
        <v>297</v>
      </c>
    </row>
    <row r="4512" spans="1:15">
      <c r="A4512" s="3">
        <f t="shared" si="72"/>
        <v>4511</v>
      </c>
      <c r="B4512" s="65" t="s">
        <v>6733</v>
      </c>
      <c r="C4512" s="1">
        <v>9704955528</v>
      </c>
      <c r="D4512" s="1">
        <v>9490572892</v>
      </c>
      <c r="E4512" s="17" t="s">
        <v>6734</v>
      </c>
      <c r="F4512" s="65" t="s">
        <v>6735</v>
      </c>
      <c r="G4512" s="3" t="s">
        <v>708</v>
      </c>
      <c r="H4512" s="2" t="s">
        <v>42</v>
      </c>
      <c r="I4512" s="3" t="s">
        <v>42</v>
      </c>
      <c r="J4512" s="31">
        <v>45945</v>
      </c>
      <c r="K4512" s="31">
        <v>45981</v>
      </c>
      <c r="L4512" s="31"/>
      <c r="M4512" s="31"/>
      <c r="N4512" s="31"/>
      <c r="O4512" s="3" t="s">
        <v>297</v>
      </c>
    </row>
    <row r="4513" spans="1:15">
      <c r="A4513" s="3">
        <f t="shared" si="72"/>
        <v>4512</v>
      </c>
      <c r="B4513" s="65" t="s">
        <v>6736</v>
      </c>
      <c r="C4513" s="1">
        <v>9949396688</v>
      </c>
      <c r="E4513" s="17" t="s">
        <v>6734</v>
      </c>
      <c r="F4513" s="65" t="s">
        <v>6737</v>
      </c>
      <c r="G4513" s="3" t="s">
        <v>708</v>
      </c>
      <c r="H4513" s="2" t="s">
        <v>42</v>
      </c>
      <c r="I4513" s="3" t="s">
        <v>42</v>
      </c>
      <c r="J4513" s="31">
        <v>45945</v>
      </c>
      <c r="K4513" s="31">
        <v>45981</v>
      </c>
      <c r="L4513" s="31"/>
      <c r="M4513" s="31"/>
      <c r="N4513" s="31"/>
      <c r="O4513" s="3" t="s">
        <v>297</v>
      </c>
    </row>
    <row r="4514" spans="1:15">
      <c r="A4514" s="3">
        <f t="shared" si="72"/>
        <v>4513</v>
      </c>
      <c r="B4514" s="65" t="s">
        <v>6738</v>
      </c>
      <c r="C4514" s="1">
        <v>9603268000</v>
      </c>
      <c r="E4514" s="17" t="s">
        <v>6734</v>
      </c>
      <c r="F4514" s="65" t="s">
        <v>3573</v>
      </c>
      <c r="G4514" s="2" t="s">
        <v>424</v>
      </c>
      <c r="H4514" s="2" t="s">
        <v>42</v>
      </c>
      <c r="I4514" s="3" t="s">
        <v>42</v>
      </c>
      <c r="J4514" s="31">
        <v>45945</v>
      </c>
      <c r="K4514" s="31">
        <v>45981</v>
      </c>
      <c r="L4514" s="31"/>
      <c r="M4514" s="31"/>
      <c r="N4514" s="31"/>
      <c r="O4514" s="2" t="s">
        <v>749</v>
      </c>
    </row>
    <row r="4515" spans="1:15">
      <c r="A4515" s="3">
        <f t="shared" si="72"/>
        <v>4514</v>
      </c>
      <c r="B4515" s="65" t="s">
        <v>6739</v>
      </c>
      <c r="C4515" s="1">
        <v>9177667769</v>
      </c>
      <c r="E4515" s="17" t="s">
        <v>6734</v>
      </c>
      <c r="F4515" s="65" t="s">
        <v>6740</v>
      </c>
      <c r="G4515" s="2" t="s">
        <v>424</v>
      </c>
      <c r="H4515" s="2" t="s">
        <v>42</v>
      </c>
      <c r="I4515" s="3" t="s">
        <v>42</v>
      </c>
      <c r="J4515" s="31">
        <v>45945</v>
      </c>
      <c r="K4515" s="31">
        <v>45981</v>
      </c>
      <c r="L4515" s="31"/>
      <c r="M4515" s="31"/>
      <c r="N4515" s="31"/>
      <c r="O4515" s="2" t="s">
        <v>749</v>
      </c>
    </row>
    <row r="4516" spans="1:15">
      <c r="A4516" s="3">
        <f t="shared" si="72"/>
        <v>4515</v>
      </c>
      <c r="B4516" s="65" t="s">
        <v>6741</v>
      </c>
      <c r="C4516" s="1">
        <v>9866000822</v>
      </c>
      <c r="E4516" s="17" t="s">
        <v>1899</v>
      </c>
      <c r="F4516" s="65" t="s">
        <v>6742</v>
      </c>
      <c r="G4516" s="3" t="s">
        <v>708</v>
      </c>
      <c r="H4516" s="2" t="s">
        <v>42</v>
      </c>
      <c r="I4516" s="3" t="s">
        <v>42</v>
      </c>
      <c r="J4516" s="31">
        <v>45945</v>
      </c>
      <c r="K4516" s="31">
        <v>45981</v>
      </c>
      <c r="L4516" s="31"/>
      <c r="M4516" s="31"/>
      <c r="N4516" s="31"/>
      <c r="O4516" s="3" t="s">
        <v>297</v>
      </c>
    </row>
    <row r="4517" spans="1:15">
      <c r="A4517" s="3">
        <f t="shared" si="72"/>
        <v>4516</v>
      </c>
      <c r="B4517" s="65" t="s">
        <v>6743</v>
      </c>
      <c r="C4517" s="1">
        <v>7995454683</v>
      </c>
      <c r="E4517" s="17" t="s">
        <v>4609</v>
      </c>
      <c r="F4517" s="65" t="s">
        <v>6744</v>
      </c>
      <c r="G4517" s="3" t="s">
        <v>424</v>
      </c>
      <c r="H4517" s="2" t="s">
        <v>5774</v>
      </c>
      <c r="I4517" s="3" t="s">
        <v>42</v>
      </c>
      <c r="J4517" s="31">
        <v>45945</v>
      </c>
      <c r="K4517" s="31">
        <v>45951</v>
      </c>
      <c r="L4517" s="31"/>
      <c r="M4517" s="31"/>
      <c r="N4517" s="31"/>
      <c r="O4517" s="3" t="s">
        <v>425</v>
      </c>
    </row>
    <row r="4518" spans="1:15">
      <c r="A4518" s="3">
        <f t="shared" si="72"/>
        <v>4517</v>
      </c>
      <c r="B4518" s="65" t="s">
        <v>6745</v>
      </c>
      <c r="C4518" s="1">
        <v>8178736463</v>
      </c>
      <c r="E4518" s="17" t="s">
        <v>6596</v>
      </c>
      <c r="F4518" s="65"/>
      <c r="G4518" s="3" t="s">
        <v>16</v>
      </c>
      <c r="H4518" s="2" t="s">
        <v>368</v>
      </c>
      <c r="I4518" s="3" t="s">
        <v>94</v>
      </c>
      <c r="J4518" s="31">
        <v>45941</v>
      </c>
      <c r="K4518" s="31">
        <v>45943</v>
      </c>
      <c r="L4518" s="31">
        <v>45945</v>
      </c>
      <c r="M4518" s="31">
        <v>45958</v>
      </c>
      <c r="N4518" s="31">
        <v>45958</v>
      </c>
      <c r="O4518" s="3" t="s">
        <v>297</v>
      </c>
    </row>
    <row r="4519" spans="1:15">
      <c r="A4519" s="3">
        <f t="shared" si="72"/>
        <v>4518</v>
      </c>
      <c r="B4519" s="65" t="s">
        <v>6746</v>
      </c>
      <c r="C4519" s="1">
        <v>6204061416</v>
      </c>
      <c r="E4519" s="17" t="s">
        <v>6747</v>
      </c>
      <c r="F4519" s="65"/>
      <c r="G4519" s="3" t="s">
        <v>295</v>
      </c>
      <c r="H4519" s="2" t="s">
        <v>94</v>
      </c>
      <c r="I4519" s="3" t="s">
        <v>94</v>
      </c>
      <c r="J4519" s="31">
        <v>45941</v>
      </c>
      <c r="K4519" s="31">
        <v>45943</v>
      </c>
      <c r="L4519" s="31">
        <v>45945</v>
      </c>
      <c r="M4519" s="31">
        <v>45960</v>
      </c>
      <c r="N4519" s="31"/>
      <c r="O4519" s="3" t="s">
        <v>297</v>
      </c>
    </row>
    <row r="4520" spans="1:15">
      <c r="A4520" s="3">
        <f t="shared" si="72"/>
        <v>4519</v>
      </c>
      <c r="B4520" s="65" t="s">
        <v>6748</v>
      </c>
      <c r="C4520" s="1">
        <v>9933602611</v>
      </c>
      <c r="E4520" s="17" t="s">
        <v>6464</v>
      </c>
      <c r="F4520" s="65"/>
      <c r="G4520" s="3" t="s">
        <v>16</v>
      </c>
      <c r="H4520" s="2" t="s">
        <v>296</v>
      </c>
      <c r="I4520" s="3" t="s">
        <v>94</v>
      </c>
      <c r="J4520" s="31">
        <v>45941</v>
      </c>
      <c r="K4520" s="31">
        <v>45943</v>
      </c>
      <c r="L4520" s="31">
        <v>45945</v>
      </c>
      <c r="M4520" s="31">
        <v>45976</v>
      </c>
      <c r="N4520" s="31">
        <v>45978</v>
      </c>
      <c r="O4520" s="3" t="s">
        <v>297</v>
      </c>
    </row>
    <row r="4521" spans="1:15">
      <c r="A4521" s="3">
        <f t="shared" si="72"/>
        <v>4520</v>
      </c>
      <c r="B4521" s="65" t="s">
        <v>6749</v>
      </c>
      <c r="C4521" s="1">
        <v>9676725899</v>
      </c>
      <c r="E4521" s="17" t="s">
        <v>6610</v>
      </c>
      <c r="F4521" s="65"/>
      <c r="G4521" s="3" t="s">
        <v>16</v>
      </c>
      <c r="H4521" s="2" t="s">
        <v>5163</v>
      </c>
      <c r="I4521" s="3" t="s">
        <v>94</v>
      </c>
      <c r="J4521" s="31">
        <v>45941</v>
      </c>
      <c r="K4521" s="31">
        <v>45943</v>
      </c>
      <c r="L4521" s="31">
        <v>45945</v>
      </c>
      <c r="M4521" s="31">
        <v>46003</v>
      </c>
      <c r="N4521" s="31">
        <v>45999</v>
      </c>
      <c r="O4521" s="3" t="s">
        <v>297</v>
      </c>
    </row>
    <row r="4522" spans="1:15">
      <c r="A4522" s="3">
        <f t="shared" si="72"/>
        <v>4521</v>
      </c>
      <c r="B4522" s="65" t="s">
        <v>6750</v>
      </c>
      <c r="C4522" s="1">
        <v>8818973693</v>
      </c>
      <c r="E4522" s="17" t="s">
        <v>6685</v>
      </c>
      <c r="F4522" s="65"/>
      <c r="G4522" s="3" t="s">
        <v>295</v>
      </c>
      <c r="H4522" s="2" t="s">
        <v>815</v>
      </c>
      <c r="I4522" s="3" t="s">
        <v>94</v>
      </c>
      <c r="J4522" s="31">
        <v>45941</v>
      </c>
      <c r="K4522" s="31">
        <v>45943</v>
      </c>
      <c r="L4522" s="31">
        <v>45945</v>
      </c>
      <c r="M4522" s="31">
        <v>45971</v>
      </c>
      <c r="N4522" s="31"/>
      <c r="O4522" s="3" t="s">
        <v>297</v>
      </c>
    </row>
    <row r="4523" spans="1:15">
      <c r="A4523" s="3">
        <f t="shared" si="72"/>
        <v>4522</v>
      </c>
      <c r="B4523" s="65" t="s">
        <v>6751</v>
      </c>
      <c r="C4523" s="1">
        <v>9949109804</v>
      </c>
      <c r="E4523" s="3" t="s">
        <v>6752</v>
      </c>
      <c r="F4523" s="65" t="s">
        <v>6753</v>
      </c>
      <c r="G4523" s="3" t="s">
        <v>16</v>
      </c>
      <c r="H4523" s="2" t="s">
        <v>361</v>
      </c>
      <c r="I4523" s="3" t="s">
        <v>42</v>
      </c>
      <c r="J4523" s="31">
        <v>45945</v>
      </c>
      <c r="K4523" s="31">
        <v>45945</v>
      </c>
      <c r="L4523" s="31">
        <v>45947</v>
      </c>
      <c r="M4523" s="31">
        <v>46069</v>
      </c>
      <c r="N4523" s="31">
        <v>45980</v>
      </c>
      <c r="O4523" s="3" t="s">
        <v>297</v>
      </c>
    </row>
    <row r="4524" spans="1:15">
      <c r="A4524" s="3">
        <f t="shared" si="72"/>
        <v>4523</v>
      </c>
      <c r="B4524" s="65" t="s">
        <v>6754</v>
      </c>
      <c r="C4524" s="1">
        <v>9441369771</v>
      </c>
      <c r="E4524" s="17" t="s">
        <v>6755</v>
      </c>
      <c r="F4524" s="65" t="s">
        <v>2251</v>
      </c>
      <c r="G4524" s="3" t="s">
        <v>1175</v>
      </c>
      <c r="H4524" s="2" t="s">
        <v>3240</v>
      </c>
      <c r="I4524" s="3" t="s">
        <v>42</v>
      </c>
      <c r="J4524" s="31">
        <v>45945</v>
      </c>
      <c r="K4524" s="31"/>
      <c r="L4524" s="31"/>
      <c r="M4524" s="31"/>
      <c r="N4524" s="31"/>
      <c r="O4524" s="3" t="s">
        <v>1004</v>
      </c>
    </row>
    <row r="4525" spans="1:15">
      <c r="A4525" s="3">
        <f t="shared" si="72"/>
        <v>4524</v>
      </c>
      <c r="B4525" s="65" t="s">
        <v>6756</v>
      </c>
      <c r="C4525" s="1">
        <v>9100825059</v>
      </c>
      <c r="E4525" s="17" t="s">
        <v>6757</v>
      </c>
      <c r="F4525" s="65" t="s">
        <v>6758</v>
      </c>
      <c r="G4525" s="3" t="s">
        <v>764</v>
      </c>
      <c r="H4525" s="2" t="s">
        <v>3240</v>
      </c>
      <c r="I4525" s="3" t="s">
        <v>42</v>
      </c>
      <c r="J4525" s="31">
        <v>45945</v>
      </c>
      <c r="K4525" s="31">
        <v>45994</v>
      </c>
      <c r="L4525" s="31"/>
      <c r="M4525" s="31"/>
      <c r="N4525" s="31"/>
      <c r="O4525" s="3" t="s">
        <v>425</v>
      </c>
    </row>
    <row r="4526" spans="1:15">
      <c r="A4526" s="3">
        <f t="shared" si="72"/>
        <v>4525</v>
      </c>
      <c r="B4526" s="65" t="s">
        <v>6759</v>
      </c>
      <c r="C4526" s="1">
        <v>9160639253</v>
      </c>
      <c r="E4526" s="17" t="s">
        <v>6533</v>
      </c>
      <c r="F4526" s="65"/>
      <c r="G4526" s="3" t="s">
        <v>16</v>
      </c>
      <c r="H4526" s="2" t="s">
        <v>41</v>
      </c>
      <c r="I4526" s="3" t="s">
        <v>88</v>
      </c>
      <c r="J4526" s="31">
        <v>45940</v>
      </c>
      <c r="K4526" s="31">
        <v>45943</v>
      </c>
      <c r="L4526" s="31">
        <v>45945</v>
      </c>
      <c r="M4526" s="31">
        <v>45976</v>
      </c>
      <c r="N4526" s="31">
        <v>45945</v>
      </c>
      <c r="O4526" s="3" t="s">
        <v>297</v>
      </c>
    </row>
    <row r="4527" spans="1:15">
      <c r="A4527" s="3">
        <f t="shared" si="72"/>
        <v>4526</v>
      </c>
      <c r="B4527" s="65" t="s">
        <v>6760</v>
      </c>
      <c r="C4527" s="1">
        <v>9908599943</v>
      </c>
      <c r="E4527" s="17" t="s">
        <v>6761</v>
      </c>
      <c r="F4527" s="65"/>
      <c r="G4527" s="3" t="s">
        <v>16</v>
      </c>
      <c r="H4527" s="2" t="s">
        <v>999</v>
      </c>
      <c r="I4527" s="3" t="s">
        <v>88</v>
      </c>
      <c r="J4527" s="31">
        <v>45940</v>
      </c>
      <c r="K4527" s="31">
        <v>45943</v>
      </c>
      <c r="L4527" s="31">
        <v>45945</v>
      </c>
      <c r="M4527" s="31">
        <v>45976</v>
      </c>
      <c r="N4527" s="31">
        <v>45966</v>
      </c>
      <c r="O4527" s="3" t="s">
        <v>297</v>
      </c>
    </row>
    <row r="4528" spans="1:15">
      <c r="A4528" s="3">
        <f t="shared" si="72"/>
        <v>4527</v>
      </c>
      <c r="B4528" s="65" t="s">
        <v>6762</v>
      </c>
      <c r="C4528" s="1">
        <v>9704466092</v>
      </c>
      <c r="E4528" s="17" t="s">
        <v>4576</v>
      </c>
      <c r="F4528" s="65"/>
      <c r="G4528" s="3" t="s">
        <v>16</v>
      </c>
      <c r="H4528" s="2" t="s">
        <v>999</v>
      </c>
      <c r="I4528" s="3" t="s">
        <v>88</v>
      </c>
      <c r="J4528" s="31">
        <v>45940</v>
      </c>
      <c r="K4528" s="31">
        <v>45943</v>
      </c>
      <c r="L4528" s="31">
        <v>45945</v>
      </c>
      <c r="M4528" s="31">
        <v>45976</v>
      </c>
      <c r="N4528" s="31">
        <v>45953</v>
      </c>
      <c r="O4528" s="3" t="s">
        <v>297</v>
      </c>
    </row>
    <row r="4529" spans="1:15">
      <c r="A4529" s="3">
        <f t="shared" si="72"/>
        <v>4528</v>
      </c>
      <c r="B4529" s="65" t="s">
        <v>6763</v>
      </c>
      <c r="C4529" s="1">
        <v>7039979697</v>
      </c>
      <c r="E4529" s="17" t="s">
        <v>6764</v>
      </c>
      <c r="F4529" s="65"/>
      <c r="G4529" s="3" t="s">
        <v>16</v>
      </c>
      <c r="H4529" s="2" t="s">
        <v>5566</v>
      </c>
      <c r="I4529" s="3" t="s">
        <v>88</v>
      </c>
      <c r="J4529" s="31">
        <v>45940</v>
      </c>
      <c r="K4529" s="31">
        <v>45943</v>
      </c>
      <c r="L4529" s="31">
        <v>45945</v>
      </c>
      <c r="M4529" s="31">
        <v>45976</v>
      </c>
      <c r="N4529" s="31">
        <v>45945</v>
      </c>
      <c r="O4529" s="3" t="s">
        <v>297</v>
      </c>
    </row>
    <row r="4530" spans="1:15">
      <c r="A4530" s="3">
        <f t="shared" si="72"/>
        <v>4529</v>
      </c>
      <c r="B4530" s="65" t="s">
        <v>6765</v>
      </c>
      <c r="C4530" s="1">
        <v>9523830359</v>
      </c>
      <c r="E4530" s="17" t="s">
        <v>6766</v>
      </c>
      <c r="F4530" s="65"/>
      <c r="G4530" s="3" t="s">
        <v>16</v>
      </c>
      <c r="H4530" s="2" t="s">
        <v>361</v>
      </c>
      <c r="I4530" s="3" t="s">
        <v>88</v>
      </c>
      <c r="J4530" s="31">
        <v>45940</v>
      </c>
      <c r="K4530" s="31">
        <v>45943</v>
      </c>
      <c r="L4530" s="31">
        <v>45945</v>
      </c>
      <c r="M4530" s="31">
        <v>46021</v>
      </c>
      <c r="N4530" s="31">
        <v>46031</v>
      </c>
      <c r="O4530" s="3" t="s">
        <v>297</v>
      </c>
    </row>
    <row r="4531" spans="1:15">
      <c r="A4531" s="3">
        <f t="shared" si="72"/>
        <v>4530</v>
      </c>
      <c r="B4531" s="65" t="s">
        <v>6767</v>
      </c>
      <c r="C4531" s="1">
        <v>9392245504</v>
      </c>
      <c r="E4531" s="17" t="s">
        <v>6686</v>
      </c>
      <c r="F4531" s="65" t="s">
        <v>1827</v>
      </c>
      <c r="G4531" s="3" t="s">
        <v>18</v>
      </c>
      <c r="H4531" s="2" t="s">
        <v>815</v>
      </c>
      <c r="I4531" s="3" t="s">
        <v>94</v>
      </c>
      <c r="J4531" s="31">
        <v>45945</v>
      </c>
      <c r="K4531" s="31">
        <v>45946</v>
      </c>
      <c r="L4531" s="31">
        <v>45947</v>
      </c>
      <c r="M4531" s="31">
        <v>45955</v>
      </c>
      <c r="N4531" s="31"/>
      <c r="O4531" s="3" t="s">
        <v>297</v>
      </c>
    </row>
    <row r="4532" spans="1:15">
      <c r="A4532" s="3">
        <f t="shared" si="72"/>
        <v>4531</v>
      </c>
      <c r="B4532" s="65" t="s">
        <v>457</v>
      </c>
      <c r="C4532" s="1">
        <v>9682393331</v>
      </c>
      <c r="E4532" s="17" t="s">
        <v>6683</v>
      </c>
      <c r="F4532" s="65" t="s">
        <v>272</v>
      </c>
      <c r="G4532" s="3" t="s">
        <v>416</v>
      </c>
      <c r="H4532" s="2" t="s">
        <v>815</v>
      </c>
      <c r="I4532" s="3" t="s">
        <v>94</v>
      </c>
      <c r="J4532" s="31">
        <v>45945</v>
      </c>
      <c r="K4532" s="31">
        <v>45946</v>
      </c>
      <c r="L4532" s="31"/>
      <c r="M4532" s="31"/>
      <c r="N4532" s="31"/>
      <c r="O4532" s="3" t="s">
        <v>297</v>
      </c>
    </row>
    <row r="4533" spans="1:15">
      <c r="A4533" s="3">
        <f t="shared" si="72"/>
        <v>4532</v>
      </c>
      <c r="B4533" s="65" t="s">
        <v>4490</v>
      </c>
      <c r="C4533" s="1">
        <v>8541082682</v>
      </c>
      <c r="E4533" s="17" t="s">
        <v>6689</v>
      </c>
      <c r="F4533" s="65" t="s">
        <v>272</v>
      </c>
      <c r="G4533" s="3" t="s">
        <v>16</v>
      </c>
      <c r="H4533" s="2" t="s">
        <v>815</v>
      </c>
      <c r="I4533" s="3" t="s">
        <v>94</v>
      </c>
      <c r="J4533" s="31">
        <v>45945</v>
      </c>
      <c r="K4533" s="31">
        <v>45946</v>
      </c>
      <c r="L4533" s="31">
        <v>45947</v>
      </c>
      <c r="M4533" s="31">
        <v>45957</v>
      </c>
      <c r="N4533" s="31">
        <v>45992</v>
      </c>
      <c r="O4533" s="3" t="s">
        <v>297</v>
      </c>
    </row>
    <row r="4534" spans="1:15">
      <c r="A4534" s="3">
        <f t="shared" si="72"/>
        <v>4533</v>
      </c>
      <c r="B4534" s="65" t="s">
        <v>6768</v>
      </c>
      <c r="C4534" s="1">
        <v>8423190893</v>
      </c>
      <c r="D4534" s="1">
        <v>6009383493</v>
      </c>
      <c r="E4534" s="17" t="s">
        <v>5904</v>
      </c>
      <c r="F4534" s="65"/>
      <c r="G4534" s="3" t="s">
        <v>16</v>
      </c>
      <c r="H4534" s="2" t="s">
        <v>5774</v>
      </c>
      <c r="I4534" s="3" t="s">
        <v>42</v>
      </c>
      <c r="J4534" s="31">
        <v>45940</v>
      </c>
      <c r="K4534" s="31">
        <v>45943</v>
      </c>
      <c r="L4534" s="31">
        <v>45945</v>
      </c>
      <c r="M4534" s="31">
        <v>45976</v>
      </c>
      <c r="N4534" s="31">
        <v>45947</v>
      </c>
      <c r="O4534" s="3" t="s">
        <v>297</v>
      </c>
    </row>
    <row r="4535" spans="1:15">
      <c r="A4535" s="3">
        <f t="shared" si="72"/>
        <v>4534</v>
      </c>
      <c r="B4535" s="65" t="s">
        <v>6769</v>
      </c>
      <c r="C4535" s="1">
        <v>7207296166</v>
      </c>
      <c r="E4535" s="17" t="s">
        <v>135</v>
      </c>
      <c r="F4535" s="65" t="s">
        <v>6770</v>
      </c>
      <c r="G4535" s="3" t="s">
        <v>16</v>
      </c>
      <c r="H4535" s="2" t="s">
        <v>815</v>
      </c>
      <c r="I4535" s="3" t="s">
        <v>42</v>
      </c>
      <c r="J4535" s="31">
        <v>45945</v>
      </c>
      <c r="K4535" s="31">
        <v>45945</v>
      </c>
      <c r="L4535" s="31">
        <v>45946</v>
      </c>
      <c r="M4535" s="31">
        <v>45978</v>
      </c>
      <c r="N4535" s="31">
        <v>45961</v>
      </c>
      <c r="O4535" s="3" t="s">
        <v>297</v>
      </c>
    </row>
    <row r="4536" spans="1:15">
      <c r="A4536" s="3">
        <f t="shared" si="72"/>
        <v>4535</v>
      </c>
      <c r="B4536" s="65" t="s">
        <v>6771</v>
      </c>
      <c r="C4536" s="1">
        <v>8499029485</v>
      </c>
      <c r="E4536" s="17" t="s">
        <v>4963</v>
      </c>
      <c r="F4536" s="65" t="s">
        <v>6772</v>
      </c>
      <c r="G4536" s="3" t="s">
        <v>424</v>
      </c>
      <c r="H4536" s="2" t="s">
        <v>679</v>
      </c>
      <c r="I4536" s="3" t="s">
        <v>42</v>
      </c>
      <c r="J4536" s="31">
        <v>45946</v>
      </c>
      <c r="K4536" s="31">
        <v>45947</v>
      </c>
      <c r="L4536" s="31"/>
      <c r="M4536" s="31"/>
      <c r="N4536" s="31"/>
      <c r="O4536" s="3" t="s">
        <v>425</v>
      </c>
    </row>
    <row r="4537" spans="1:15">
      <c r="A4537" s="3">
        <f t="shared" si="72"/>
        <v>4536</v>
      </c>
      <c r="B4537" s="65" t="s">
        <v>6773</v>
      </c>
      <c r="C4537" s="1">
        <v>9441128127</v>
      </c>
      <c r="D4537" s="1">
        <v>9491353727</v>
      </c>
      <c r="E4537" s="17" t="s">
        <v>6774</v>
      </c>
      <c r="F4537" s="65" t="s">
        <v>6775</v>
      </c>
      <c r="G4537" s="3" t="s">
        <v>424</v>
      </c>
      <c r="H4537" s="2" t="s">
        <v>2183</v>
      </c>
      <c r="I4537" s="3" t="s">
        <v>88</v>
      </c>
      <c r="J4537" s="31">
        <v>45947</v>
      </c>
      <c r="K4537" s="31">
        <v>46013</v>
      </c>
      <c r="L4537" s="31"/>
      <c r="M4537" s="31"/>
      <c r="N4537" s="31"/>
      <c r="O4537" s="3" t="s">
        <v>749</v>
      </c>
    </row>
    <row r="4538" spans="1:15">
      <c r="A4538" s="3">
        <f t="shared" si="72"/>
        <v>4537</v>
      </c>
      <c r="B4538" s="65" t="s">
        <v>6776</v>
      </c>
      <c r="C4538" s="1">
        <v>8897959677</v>
      </c>
      <c r="D4538" s="1">
        <v>7842266778</v>
      </c>
      <c r="E4538" s="17" t="s">
        <v>6774</v>
      </c>
      <c r="F4538" s="65" t="s">
        <v>877</v>
      </c>
      <c r="G4538" s="3" t="s">
        <v>416</v>
      </c>
      <c r="H4538" s="2" t="s">
        <v>2183</v>
      </c>
      <c r="I4538" s="3" t="s">
        <v>88</v>
      </c>
      <c r="J4538" s="31">
        <v>45947</v>
      </c>
      <c r="K4538" s="31">
        <v>45956</v>
      </c>
      <c r="L4538" s="31"/>
      <c r="M4538" s="31"/>
      <c r="N4538" s="31"/>
      <c r="O4538" s="3" t="s">
        <v>297</v>
      </c>
    </row>
    <row r="4539" spans="1:15">
      <c r="A4539" s="3">
        <f t="shared" si="72"/>
        <v>4538</v>
      </c>
      <c r="B4539" s="65" t="s">
        <v>6777</v>
      </c>
      <c r="C4539" s="1">
        <v>9893293430</v>
      </c>
      <c r="D4539" s="1">
        <v>6302998468</v>
      </c>
      <c r="E4539" s="17" t="s">
        <v>6774</v>
      </c>
      <c r="F4539" s="65" t="s">
        <v>6775</v>
      </c>
      <c r="G4539" s="3" t="s">
        <v>424</v>
      </c>
      <c r="H4539" s="2" t="s">
        <v>2183</v>
      </c>
      <c r="I4539" s="3" t="s">
        <v>88</v>
      </c>
      <c r="J4539" s="31">
        <v>45947</v>
      </c>
      <c r="K4539" s="31">
        <v>46013</v>
      </c>
      <c r="L4539" s="31"/>
      <c r="M4539" s="31"/>
      <c r="N4539" s="31"/>
      <c r="O4539" s="3" t="s">
        <v>749</v>
      </c>
    </row>
    <row r="4540" spans="1:15">
      <c r="A4540" s="3">
        <f t="shared" si="72"/>
        <v>4539</v>
      </c>
      <c r="B4540" s="65" t="s">
        <v>6778</v>
      </c>
      <c r="C4540" s="1">
        <v>8966909025</v>
      </c>
      <c r="D4540" s="1">
        <v>7879304488</v>
      </c>
      <c r="E4540" s="17" t="s">
        <v>6779</v>
      </c>
      <c r="F4540" s="65" t="s">
        <v>6780</v>
      </c>
      <c r="G4540" s="3" t="s">
        <v>416</v>
      </c>
      <c r="H4540" s="2" t="s">
        <v>2183</v>
      </c>
      <c r="I4540" s="3" t="s">
        <v>88</v>
      </c>
      <c r="J4540" s="31">
        <v>45947</v>
      </c>
      <c r="K4540" s="31">
        <v>46055</v>
      </c>
      <c r="L4540" s="31"/>
      <c r="M4540" s="31"/>
      <c r="N4540" s="31"/>
      <c r="O4540" s="3" t="s">
        <v>297</v>
      </c>
    </row>
    <row r="4541" spans="1:15">
      <c r="A4541" s="3">
        <f t="shared" si="72"/>
        <v>4540</v>
      </c>
      <c r="B4541" s="65" t="s">
        <v>6781</v>
      </c>
      <c r="C4541" s="1">
        <v>9687680323</v>
      </c>
      <c r="E4541" s="17" t="s">
        <v>6774</v>
      </c>
      <c r="F4541" s="65" t="s">
        <v>6775</v>
      </c>
      <c r="G4541" s="3" t="s">
        <v>416</v>
      </c>
      <c r="H4541" s="2" t="s">
        <v>2183</v>
      </c>
      <c r="I4541" s="3" t="s">
        <v>88</v>
      </c>
      <c r="J4541" s="31">
        <v>45947</v>
      </c>
      <c r="K4541" s="31">
        <v>45960</v>
      </c>
      <c r="L4541" s="31"/>
      <c r="M4541" s="31"/>
      <c r="N4541" s="31"/>
      <c r="O4541" s="3" t="s">
        <v>297</v>
      </c>
    </row>
    <row r="4542" spans="1:15">
      <c r="A4542" s="3">
        <f t="shared" si="72"/>
        <v>4541</v>
      </c>
      <c r="B4542" s="65" t="s">
        <v>6782</v>
      </c>
      <c r="C4542" s="1">
        <v>7030798465</v>
      </c>
      <c r="E4542" s="17" t="s">
        <v>1425</v>
      </c>
      <c r="F4542" s="65" t="s">
        <v>2199</v>
      </c>
      <c r="G4542" s="3" t="s">
        <v>416</v>
      </c>
      <c r="H4542" s="2" t="s">
        <v>41</v>
      </c>
      <c r="I4542" s="3" t="s">
        <v>88</v>
      </c>
      <c r="J4542" s="31">
        <v>45947</v>
      </c>
      <c r="K4542" s="31">
        <v>45947</v>
      </c>
      <c r="L4542" s="31"/>
      <c r="M4542" s="31"/>
      <c r="N4542" s="31"/>
      <c r="O4542" s="3" t="s">
        <v>297</v>
      </c>
    </row>
    <row r="4543" spans="1:15">
      <c r="A4543" s="3">
        <f t="shared" si="72"/>
        <v>4542</v>
      </c>
      <c r="B4543" s="65" t="s">
        <v>6783</v>
      </c>
      <c r="C4543" s="1">
        <v>9036196757</v>
      </c>
      <c r="E4543" s="17" t="s">
        <v>1425</v>
      </c>
      <c r="F4543" s="65" t="s">
        <v>972</v>
      </c>
      <c r="G4543" s="3" t="s">
        <v>416</v>
      </c>
      <c r="H4543" s="2" t="s">
        <v>41</v>
      </c>
      <c r="I4543" s="3" t="s">
        <v>88</v>
      </c>
      <c r="J4543" s="31">
        <v>45947</v>
      </c>
      <c r="K4543" s="31">
        <v>45947</v>
      </c>
      <c r="L4543" s="31"/>
      <c r="M4543" s="31"/>
      <c r="N4543" s="31"/>
      <c r="O4543" s="3" t="s">
        <v>297</v>
      </c>
    </row>
    <row r="4544" spans="1:15">
      <c r="A4544" s="3">
        <f t="shared" si="72"/>
        <v>4543</v>
      </c>
      <c r="B4544" s="65" t="s">
        <v>6784</v>
      </c>
      <c r="C4544" s="1">
        <v>9908992375</v>
      </c>
      <c r="E4544" s="17" t="s">
        <v>6785</v>
      </c>
      <c r="F4544" s="65"/>
      <c r="G4544" s="3" t="s">
        <v>295</v>
      </c>
      <c r="H4544" s="2" t="s">
        <v>94</v>
      </c>
      <c r="I4544" s="3" t="s">
        <v>94</v>
      </c>
      <c r="J4544" s="31">
        <v>45945</v>
      </c>
      <c r="K4544" s="31">
        <v>45946</v>
      </c>
      <c r="L4544" s="31">
        <v>45947</v>
      </c>
      <c r="M4544" s="31">
        <v>45964</v>
      </c>
      <c r="N4544" s="31"/>
      <c r="O4544" s="3" t="s">
        <v>297</v>
      </c>
    </row>
    <row r="4545" spans="1:15">
      <c r="A4545" s="3">
        <f t="shared" si="72"/>
        <v>4544</v>
      </c>
      <c r="B4545" s="65" t="s">
        <v>3174</v>
      </c>
      <c r="C4545" s="1">
        <v>9418866077</v>
      </c>
      <c r="E4545" s="17" t="s">
        <v>6786</v>
      </c>
      <c r="F4545" s="65"/>
      <c r="G4545" s="3" t="s">
        <v>295</v>
      </c>
      <c r="H4545" s="2" t="s">
        <v>94</v>
      </c>
      <c r="I4545" s="3" t="s">
        <v>94</v>
      </c>
      <c r="J4545" s="31">
        <v>45945</v>
      </c>
      <c r="K4545" s="31">
        <v>45946</v>
      </c>
      <c r="L4545" s="31">
        <v>45947</v>
      </c>
      <c r="M4545" s="31">
        <v>45972</v>
      </c>
      <c r="N4545" s="31"/>
      <c r="O4545" s="3" t="s">
        <v>297</v>
      </c>
    </row>
    <row r="4546" spans="1:15">
      <c r="A4546" s="3">
        <f t="shared" si="72"/>
        <v>4545</v>
      </c>
      <c r="B4546" s="65" t="s">
        <v>4472</v>
      </c>
      <c r="C4546" s="1">
        <v>8755315530</v>
      </c>
      <c r="E4546" s="17" t="s">
        <v>6621</v>
      </c>
      <c r="F4546" s="65"/>
      <c r="G4546" s="3" t="s">
        <v>16</v>
      </c>
      <c r="H4546" s="2" t="s">
        <v>296</v>
      </c>
      <c r="I4546" s="3" t="s">
        <v>94</v>
      </c>
      <c r="J4546" s="31">
        <v>45945</v>
      </c>
      <c r="K4546" s="31">
        <v>45946</v>
      </c>
      <c r="L4546" s="31">
        <v>45947</v>
      </c>
      <c r="M4546" s="31">
        <v>45971</v>
      </c>
      <c r="N4546" s="31">
        <v>45968</v>
      </c>
      <c r="O4546" s="3" t="s">
        <v>297</v>
      </c>
    </row>
    <row r="4547" spans="1:15">
      <c r="A4547" s="3">
        <f t="shared" si="72"/>
        <v>4546</v>
      </c>
      <c r="B4547" s="65" t="s">
        <v>6787</v>
      </c>
      <c r="C4547" s="1">
        <v>6261110334</v>
      </c>
      <c r="E4547" s="17" t="s">
        <v>6788</v>
      </c>
      <c r="F4547" s="65"/>
      <c r="G4547" s="3" t="s">
        <v>16</v>
      </c>
      <c r="H4547" s="2" t="s">
        <v>930</v>
      </c>
      <c r="I4547" s="3" t="s">
        <v>94</v>
      </c>
      <c r="J4547" s="31">
        <v>45945</v>
      </c>
      <c r="K4547" s="31">
        <v>45946</v>
      </c>
      <c r="L4547" s="31">
        <v>45947</v>
      </c>
      <c r="M4547" s="31">
        <v>45957</v>
      </c>
      <c r="N4547" s="31">
        <v>45962</v>
      </c>
      <c r="O4547" s="3" t="s">
        <v>297</v>
      </c>
    </row>
    <row r="4548" spans="1:15">
      <c r="A4548" s="3">
        <f t="shared" si="72"/>
        <v>4547</v>
      </c>
      <c r="B4548" s="65" t="s">
        <v>6789</v>
      </c>
      <c r="C4548" s="1">
        <v>6266402406</v>
      </c>
      <c r="E4548" s="17" t="s">
        <v>6788</v>
      </c>
      <c r="F4548" s="65"/>
      <c r="G4548" s="3" t="s">
        <v>16</v>
      </c>
      <c r="H4548" s="2" t="s">
        <v>913</v>
      </c>
      <c r="I4548" s="3" t="s">
        <v>94</v>
      </c>
      <c r="J4548" s="31">
        <v>45945</v>
      </c>
      <c r="K4548" s="31">
        <v>45946</v>
      </c>
      <c r="L4548" s="31">
        <v>45947</v>
      </c>
      <c r="M4548" s="31">
        <v>45971</v>
      </c>
      <c r="N4548" s="31">
        <v>45971</v>
      </c>
      <c r="O4548" s="3" t="s">
        <v>297</v>
      </c>
    </row>
    <row r="4549" spans="1:15">
      <c r="A4549" s="3">
        <f t="shared" si="72"/>
        <v>4548</v>
      </c>
      <c r="B4549" s="65" t="s">
        <v>6790</v>
      </c>
      <c r="C4549" s="1">
        <v>7396268356</v>
      </c>
      <c r="E4549" s="17" t="s">
        <v>6613</v>
      </c>
      <c r="F4549" s="65"/>
      <c r="G4549" s="3" t="s">
        <v>16</v>
      </c>
      <c r="H4549" s="2" t="s">
        <v>1605</v>
      </c>
      <c r="I4549" s="3" t="s">
        <v>94</v>
      </c>
      <c r="J4549" s="31">
        <v>45945</v>
      </c>
      <c r="K4549" s="31">
        <v>45946</v>
      </c>
      <c r="L4549" s="31">
        <v>45947</v>
      </c>
      <c r="M4549" s="31">
        <v>45957</v>
      </c>
      <c r="N4549" s="31">
        <v>45967</v>
      </c>
      <c r="O4549" s="3" t="s">
        <v>297</v>
      </c>
    </row>
    <row r="4550" spans="1:15">
      <c r="A4550" s="3">
        <f t="shared" si="72"/>
        <v>4549</v>
      </c>
      <c r="B4550" s="65" t="s">
        <v>1607</v>
      </c>
      <c r="C4550" s="1">
        <v>8817864949</v>
      </c>
      <c r="E4550" s="17" t="s">
        <v>6791</v>
      </c>
      <c r="F4550" s="65"/>
      <c r="G4550" s="3" t="s">
        <v>16</v>
      </c>
      <c r="H4550" s="2" t="s">
        <v>94</v>
      </c>
      <c r="I4550" s="3" t="s">
        <v>94</v>
      </c>
      <c r="J4550" s="31">
        <v>45945</v>
      </c>
      <c r="K4550" s="31">
        <v>45946</v>
      </c>
      <c r="L4550" s="31">
        <v>45947</v>
      </c>
      <c r="M4550" s="31">
        <v>45966</v>
      </c>
      <c r="N4550" s="31">
        <v>45966</v>
      </c>
      <c r="O4550" s="3" t="s">
        <v>297</v>
      </c>
    </row>
    <row r="4551" spans="1:15">
      <c r="A4551" s="3">
        <f t="shared" si="72"/>
        <v>4550</v>
      </c>
      <c r="B4551" s="65" t="s">
        <v>6792</v>
      </c>
      <c r="C4551" s="1">
        <v>9074455221</v>
      </c>
      <c r="E4551" s="17" t="s">
        <v>6443</v>
      </c>
      <c r="F4551" s="65"/>
      <c r="G4551" s="3" t="s">
        <v>16</v>
      </c>
      <c r="H4551" s="2" t="s">
        <v>361</v>
      </c>
      <c r="I4551" s="3" t="s">
        <v>94</v>
      </c>
      <c r="J4551" s="31">
        <v>45945</v>
      </c>
      <c r="K4551" s="31">
        <v>45946</v>
      </c>
      <c r="L4551" s="31">
        <v>45947</v>
      </c>
      <c r="M4551" s="31">
        <v>45971</v>
      </c>
      <c r="N4551" s="31">
        <v>45975</v>
      </c>
      <c r="O4551" s="3" t="s">
        <v>297</v>
      </c>
    </row>
    <row r="4552" spans="1:15">
      <c r="A4552" s="3">
        <f t="shared" si="72"/>
        <v>4551</v>
      </c>
      <c r="B4552" s="65" t="s">
        <v>6793</v>
      </c>
      <c r="C4552" s="1">
        <v>9755309935</v>
      </c>
      <c r="E4552" s="17" t="s">
        <v>1937</v>
      </c>
      <c r="F4552" s="65"/>
      <c r="G4552" s="3" t="s">
        <v>16</v>
      </c>
      <c r="H4552" s="2" t="s">
        <v>930</v>
      </c>
      <c r="I4552" s="3" t="s">
        <v>94</v>
      </c>
      <c r="J4552" s="31">
        <v>45945</v>
      </c>
      <c r="K4552" s="31">
        <v>45946</v>
      </c>
      <c r="L4552" s="31">
        <v>45947</v>
      </c>
      <c r="M4552" s="31">
        <v>45971</v>
      </c>
      <c r="N4552" s="31">
        <v>45999</v>
      </c>
      <c r="O4552" s="3" t="s">
        <v>297</v>
      </c>
    </row>
    <row r="4553" spans="1:15">
      <c r="A4553" s="3">
        <f t="shared" si="72"/>
        <v>4552</v>
      </c>
      <c r="B4553" s="65" t="s">
        <v>6794</v>
      </c>
      <c r="C4553" s="1">
        <v>7355284862</v>
      </c>
      <c r="E4553" s="17" t="s">
        <v>6343</v>
      </c>
      <c r="F4553" s="65"/>
      <c r="G4553" s="3" t="s">
        <v>16</v>
      </c>
      <c r="H4553" s="2" t="s">
        <v>913</v>
      </c>
      <c r="I4553" s="3" t="s">
        <v>94</v>
      </c>
      <c r="J4553" s="31">
        <v>45945</v>
      </c>
      <c r="K4553" s="31">
        <v>45946</v>
      </c>
      <c r="L4553" s="31">
        <v>45947</v>
      </c>
      <c r="M4553" s="31">
        <v>45972</v>
      </c>
      <c r="N4553" s="31">
        <v>45972</v>
      </c>
      <c r="O4553" s="3" t="s">
        <v>297</v>
      </c>
    </row>
    <row r="4554" spans="1:15">
      <c r="A4554" s="3">
        <f t="shared" si="72"/>
        <v>4553</v>
      </c>
      <c r="B4554" s="65" t="s">
        <v>6795</v>
      </c>
      <c r="C4554" s="1">
        <v>9491384655</v>
      </c>
      <c r="E4554" s="17" t="s">
        <v>6796</v>
      </c>
      <c r="F4554" s="65"/>
      <c r="G4554" s="3" t="s">
        <v>416</v>
      </c>
      <c r="H4554" s="2" t="s">
        <v>5774</v>
      </c>
      <c r="I4554" s="3" t="s">
        <v>42</v>
      </c>
      <c r="J4554" s="31">
        <v>45945</v>
      </c>
      <c r="K4554" s="31">
        <v>45947</v>
      </c>
      <c r="L4554" s="31"/>
      <c r="M4554" s="31"/>
      <c r="N4554" s="31"/>
      <c r="O4554" s="3" t="s">
        <v>297</v>
      </c>
    </row>
    <row r="4555" spans="1:15">
      <c r="A4555" s="3">
        <f t="shared" si="72"/>
        <v>4554</v>
      </c>
      <c r="B4555" s="65" t="s">
        <v>6797</v>
      </c>
      <c r="C4555" s="1">
        <v>8468060138</v>
      </c>
      <c r="E4555" s="17" t="s">
        <v>6798</v>
      </c>
      <c r="F4555" s="65" t="s">
        <v>6799</v>
      </c>
      <c r="G4555" s="3" t="s">
        <v>16</v>
      </c>
      <c r="H4555" s="2" t="s">
        <v>42</v>
      </c>
      <c r="I4555" s="3" t="s">
        <v>42</v>
      </c>
      <c r="J4555" s="31">
        <v>45947</v>
      </c>
      <c r="K4555" s="31">
        <v>45981</v>
      </c>
      <c r="L4555" s="31">
        <v>45982</v>
      </c>
      <c r="M4555" s="31">
        <v>46025</v>
      </c>
      <c r="N4555" s="31">
        <v>46018</v>
      </c>
      <c r="O4555" s="3" t="s">
        <v>297</v>
      </c>
    </row>
    <row r="4556" spans="1:15">
      <c r="A4556" s="3">
        <f t="shared" si="72"/>
        <v>4555</v>
      </c>
      <c r="B4556" s="65" t="s">
        <v>6800</v>
      </c>
      <c r="C4556" s="1">
        <v>8687429952</v>
      </c>
      <c r="D4556" s="1">
        <v>7905156110</v>
      </c>
      <c r="E4556" s="17" t="s">
        <v>6798</v>
      </c>
      <c r="F4556" s="65" t="s">
        <v>6801</v>
      </c>
      <c r="G4556" s="2" t="s">
        <v>424</v>
      </c>
      <c r="H4556" s="2" t="s">
        <v>42</v>
      </c>
      <c r="I4556" s="3" t="s">
        <v>42</v>
      </c>
      <c r="J4556" s="31">
        <v>45947</v>
      </c>
      <c r="K4556" s="31">
        <v>45981</v>
      </c>
      <c r="L4556" s="31"/>
      <c r="M4556" s="31"/>
      <c r="N4556" s="31"/>
      <c r="O4556" s="2" t="s">
        <v>749</v>
      </c>
    </row>
    <row r="4557" spans="1:15">
      <c r="A4557" s="3">
        <f t="shared" si="72"/>
        <v>4556</v>
      </c>
      <c r="B4557" s="65" t="s">
        <v>6802</v>
      </c>
      <c r="C4557" s="1">
        <v>8770144253</v>
      </c>
      <c r="E4557" s="17" t="s">
        <v>6798</v>
      </c>
      <c r="F4557" s="65" t="s">
        <v>4806</v>
      </c>
      <c r="G4557" s="2" t="s">
        <v>424</v>
      </c>
      <c r="H4557" s="2" t="s">
        <v>42</v>
      </c>
      <c r="I4557" s="3" t="s">
        <v>42</v>
      </c>
      <c r="J4557" s="31">
        <v>45947</v>
      </c>
      <c r="K4557" s="31">
        <v>45981</v>
      </c>
      <c r="L4557" s="31"/>
      <c r="M4557" s="31"/>
      <c r="N4557" s="31"/>
      <c r="O4557" s="2" t="s">
        <v>749</v>
      </c>
    </row>
    <row r="4558" spans="1:15">
      <c r="A4558" s="3">
        <f t="shared" si="72"/>
        <v>4557</v>
      </c>
      <c r="B4558" s="65" t="s">
        <v>6803</v>
      </c>
      <c r="C4558" s="1">
        <v>8190954139</v>
      </c>
      <c r="E4558" s="17" t="s">
        <v>1318</v>
      </c>
      <c r="F4558" s="65" t="s">
        <v>308</v>
      </c>
      <c r="G4558" s="3" t="s">
        <v>424</v>
      </c>
      <c r="H4558" s="2" t="s">
        <v>674</v>
      </c>
      <c r="I4558" s="3" t="s">
        <v>94</v>
      </c>
      <c r="J4558" s="31">
        <v>45938</v>
      </c>
      <c r="K4558" s="31">
        <v>45964</v>
      </c>
      <c r="L4558" s="31"/>
      <c r="M4558" s="31"/>
      <c r="N4558" s="31"/>
      <c r="O4558" s="3" t="s">
        <v>425</v>
      </c>
    </row>
    <row r="4559" spans="1:15">
      <c r="A4559" s="3">
        <f t="shared" si="72"/>
        <v>4558</v>
      </c>
      <c r="B4559" s="65" t="s">
        <v>2386</v>
      </c>
      <c r="C4559" s="1">
        <v>8417005959</v>
      </c>
      <c r="E4559" s="17" t="s">
        <v>1318</v>
      </c>
      <c r="F4559" s="65" t="s">
        <v>308</v>
      </c>
      <c r="G4559" s="3" t="s">
        <v>424</v>
      </c>
      <c r="H4559" s="2" t="s">
        <v>674</v>
      </c>
      <c r="I4559" s="3" t="s">
        <v>94</v>
      </c>
      <c r="J4559" s="31">
        <v>45938</v>
      </c>
      <c r="K4559" s="31">
        <v>45951</v>
      </c>
      <c r="L4559" s="31"/>
      <c r="M4559" s="31"/>
      <c r="N4559" s="31"/>
      <c r="O4559" s="3" t="s">
        <v>425</v>
      </c>
    </row>
    <row r="4560" spans="1:15">
      <c r="A4560" s="3">
        <f t="shared" si="72"/>
        <v>4559</v>
      </c>
      <c r="B4560" s="65" t="s">
        <v>6804</v>
      </c>
      <c r="C4560" s="1">
        <v>9679752992</v>
      </c>
      <c r="D4560" s="1">
        <v>7679315776</v>
      </c>
      <c r="E4560" s="17" t="s">
        <v>5214</v>
      </c>
      <c r="F4560" s="65" t="s">
        <v>308</v>
      </c>
      <c r="G4560" s="3" t="s">
        <v>16</v>
      </c>
      <c r="H4560" s="2" t="s">
        <v>674</v>
      </c>
      <c r="I4560" s="3" t="s">
        <v>94</v>
      </c>
      <c r="J4560" s="31">
        <v>45938</v>
      </c>
      <c r="K4560" s="31">
        <v>45954</v>
      </c>
      <c r="L4560" s="31">
        <v>45961</v>
      </c>
      <c r="M4560" s="31">
        <v>45978</v>
      </c>
      <c r="N4560" s="31">
        <v>45978</v>
      </c>
      <c r="O4560" s="3" t="s">
        <v>297</v>
      </c>
    </row>
    <row r="4561" spans="1:15">
      <c r="A4561" s="3">
        <f t="shared" si="72"/>
        <v>4560</v>
      </c>
      <c r="B4561" s="65" t="s">
        <v>6805</v>
      </c>
      <c r="C4561" s="1">
        <v>9838978001</v>
      </c>
      <c r="E4561" s="17" t="s">
        <v>5767</v>
      </c>
      <c r="F4561" s="65" t="s">
        <v>612</v>
      </c>
      <c r="G4561" s="3" t="s">
        <v>16</v>
      </c>
      <c r="H4561" s="2" t="s">
        <v>674</v>
      </c>
      <c r="I4561" s="3" t="s">
        <v>94</v>
      </c>
      <c r="J4561" s="31">
        <v>45938</v>
      </c>
      <c r="K4561" s="31">
        <v>45954</v>
      </c>
      <c r="L4561" s="31">
        <v>45961</v>
      </c>
      <c r="M4561" s="31">
        <v>45981</v>
      </c>
      <c r="N4561" s="31">
        <v>45978</v>
      </c>
      <c r="O4561" s="3" t="s">
        <v>297</v>
      </c>
    </row>
    <row r="4562" spans="1:15">
      <c r="A4562" s="3">
        <f t="shared" si="72"/>
        <v>4561</v>
      </c>
      <c r="B4562" s="65" t="s">
        <v>6806</v>
      </c>
      <c r="C4562" s="1">
        <v>7033829879</v>
      </c>
      <c r="E4562" s="17" t="s">
        <v>5685</v>
      </c>
      <c r="F4562" s="65" t="s">
        <v>3632</v>
      </c>
      <c r="G4562" s="3" t="s">
        <v>424</v>
      </c>
      <c r="H4562" s="2" t="s">
        <v>674</v>
      </c>
      <c r="I4562" s="3" t="s">
        <v>94</v>
      </c>
      <c r="J4562" s="31">
        <v>45938</v>
      </c>
      <c r="K4562" s="31">
        <v>45951</v>
      </c>
      <c r="L4562" s="31"/>
      <c r="M4562" s="31"/>
      <c r="N4562" s="31"/>
      <c r="O4562" s="3" t="s">
        <v>749</v>
      </c>
    </row>
    <row r="4563" spans="1:15">
      <c r="A4563" s="3">
        <f t="shared" si="72"/>
        <v>4562</v>
      </c>
      <c r="B4563" s="65" t="s">
        <v>6807</v>
      </c>
      <c r="C4563" s="1">
        <v>8142434040</v>
      </c>
      <c r="D4563" s="1">
        <v>9849488808</v>
      </c>
      <c r="E4563" s="17" t="s">
        <v>6808</v>
      </c>
      <c r="F4563" s="65" t="s">
        <v>6809</v>
      </c>
      <c r="G4563" s="3" t="s">
        <v>708</v>
      </c>
      <c r="H4563" s="2" t="s">
        <v>2425</v>
      </c>
      <c r="I4563" s="3" t="s">
        <v>42</v>
      </c>
      <c r="J4563" s="31">
        <v>45951</v>
      </c>
      <c r="K4563" s="31">
        <v>45952</v>
      </c>
      <c r="L4563" s="31"/>
      <c r="M4563" s="31"/>
      <c r="N4563" s="31"/>
      <c r="O4563" s="3" t="s">
        <v>297</v>
      </c>
    </row>
    <row r="4564" spans="1:15">
      <c r="A4564" s="3">
        <f t="shared" si="72"/>
        <v>4563</v>
      </c>
      <c r="B4564" s="65" t="s">
        <v>6810</v>
      </c>
      <c r="C4564" s="1">
        <v>9344182210</v>
      </c>
      <c r="D4564" s="1">
        <v>7010895802</v>
      </c>
      <c r="E4564" s="17" t="s">
        <v>6489</v>
      </c>
      <c r="F4564" s="65" t="s">
        <v>6811</v>
      </c>
      <c r="G4564" s="2" t="s">
        <v>424</v>
      </c>
      <c r="H4564" s="2" t="s">
        <v>5774</v>
      </c>
      <c r="I4564" s="3" t="s">
        <v>42</v>
      </c>
      <c r="J4564" s="31">
        <v>45951</v>
      </c>
      <c r="K4564" s="31">
        <v>45981</v>
      </c>
      <c r="L4564" s="31"/>
      <c r="M4564" s="31"/>
      <c r="N4564" s="31"/>
      <c r="O4564" s="2" t="s">
        <v>749</v>
      </c>
    </row>
    <row r="4565" spans="1:15">
      <c r="A4565" s="3">
        <f t="shared" si="72"/>
        <v>4564</v>
      </c>
      <c r="B4565" s="65" t="s">
        <v>6812</v>
      </c>
      <c r="C4565" s="1">
        <v>8149463391</v>
      </c>
      <c r="E4565" s="17" t="s">
        <v>5525</v>
      </c>
      <c r="F4565" s="65" t="s">
        <v>277</v>
      </c>
      <c r="G4565" s="3" t="s">
        <v>416</v>
      </c>
      <c r="H4565" s="2" t="s">
        <v>296</v>
      </c>
      <c r="I4565" s="3" t="s">
        <v>94</v>
      </c>
      <c r="J4565" s="31">
        <v>45951</v>
      </c>
      <c r="K4565" s="31">
        <v>45954</v>
      </c>
      <c r="L4565" s="31"/>
      <c r="M4565" s="31"/>
      <c r="N4565" s="31"/>
      <c r="O4565" s="3" t="s">
        <v>297</v>
      </c>
    </row>
    <row r="4566" spans="1:15">
      <c r="A4566" s="3">
        <f t="shared" si="72"/>
        <v>4565</v>
      </c>
      <c r="B4566" s="65" t="s">
        <v>6813</v>
      </c>
      <c r="C4566" s="1">
        <v>8319109232</v>
      </c>
      <c r="D4566" s="1">
        <v>9938661395</v>
      </c>
      <c r="E4566" s="17" t="s">
        <v>5525</v>
      </c>
      <c r="F4566" s="65" t="s">
        <v>644</v>
      </c>
      <c r="G4566" s="3" t="s">
        <v>416</v>
      </c>
      <c r="H4566" s="2" t="s">
        <v>296</v>
      </c>
      <c r="I4566" s="3" t="s">
        <v>94</v>
      </c>
      <c r="J4566" s="31">
        <v>45951</v>
      </c>
      <c r="K4566" s="31">
        <v>45952</v>
      </c>
      <c r="L4566" s="31"/>
      <c r="M4566" s="31"/>
      <c r="N4566" s="31"/>
      <c r="O4566" s="3" t="s">
        <v>297</v>
      </c>
    </row>
    <row r="4567" spans="1:15">
      <c r="A4567" s="3">
        <f t="shared" ref="A4567:A4617" si="73">ROW()-1</f>
        <v>4566</v>
      </c>
      <c r="B4567" s="65" t="s">
        <v>3096</v>
      </c>
      <c r="C4567" s="1">
        <v>8292533345</v>
      </c>
      <c r="E4567" s="17" t="s">
        <v>6402</v>
      </c>
      <c r="F4567" s="65" t="s">
        <v>569</v>
      </c>
      <c r="G4567" s="3" t="s">
        <v>424</v>
      </c>
      <c r="H4567" s="2" t="s">
        <v>913</v>
      </c>
      <c r="I4567" s="3" t="s">
        <v>94</v>
      </c>
      <c r="J4567" s="31">
        <v>45951</v>
      </c>
      <c r="K4567" s="31">
        <v>45954</v>
      </c>
      <c r="L4567" s="31"/>
      <c r="M4567" s="31"/>
      <c r="N4567" s="31"/>
      <c r="O4567" s="3" t="s">
        <v>425</v>
      </c>
    </row>
    <row r="4568" spans="1:15">
      <c r="A4568" s="3">
        <f t="shared" si="73"/>
        <v>4567</v>
      </c>
      <c r="B4568" s="65" t="s">
        <v>6814</v>
      </c>
      <c r="C4568" s="1">
        <v>6362918932</v>
      </c>
      <c r="E4568" s="17" t="s">
        <v>6402</v>
      </c>
      <c r="F4568" s="65" t="s">
        <v>569</v>
      </c>
      <c r="G4568" s="3" t="s">
        <v>416</v>
      </c>
      <c r="H4568" s="2" t="s">
        <v>913</v>
      </c>
      <c r="I4568" s="3" t="s">
        <v>94</v>
      </c>
      <c r="J4568" s="31">
        <v>45951</v>
      </c>
      <c r="K4568" s="31">
        <v>45954</v>
      </c>
      <c r="L4568" s="31"/>
      <c r="M4568" s="31"/>
      <c r="N4568" s="31"/>
      <c r="O4568" s="3" t="s">
        <v>297</v>
      </c>
    </row>
    <row r="4569" spans="1:15">
      <c r="A4569" s="3">
        <f t="shared" si="73"/>
        <v>4568</v>
      </c>
      <c r="B4569" s="65" t="s">
        <v>6815</v>
      </c>
      <c r="C4569" s="1">
        <v>7032953038</v>
      </c>
      <c r="E4569" s="17" t="s">
        <v>6402</v>
      </c>
      <c r="F4569" s="65" t="s">
        <v>569</v>
      </c>
      <c r="G4569" s="3" t="s">
        <v>16</v>
      </c>
      <c r="H4569" s="2" t="s">
        <v>913</v>
      </c>
      <c r="I4569" s="3" t="s">
        <v>94</v>
      </c>
      <c r="J4569" s="31">
        <v>45951</v>
      </c>
      <c r="K4569" s="31">
        <v>45954</v>
      </c>
      <c r="L4569" s="31">
        <v>45959</v>
      </c>
      <c r="M4569" s="31">
        <v>45999</v>
      </c>
      <c r="N4569" s="31">
        <v>46006</v>
      </c>
      <c r="O4569" s="3" t="s">
        <v>297</v>
      </c>
    </row>
    <row r="4570" spans="1:15">
      <c r="A4570" s="3">
        <f t="shared" si="73"/>
        <v>4569</v>
      </c>
      <c r="B4570" s="65" t="s">
        <v>6816</v>
      </c>
      <c r="C4570" s="1">
        <v>7489894827</v>
      </c>
      <c r="E4570" s="17" t="s">
        <v>6817</v>
      </c>
      <c r="F4570" s="65" t="s">
        <v>569</v>
      </c>
      <c r="G4570" s="3" t="s">
        <v>424</v>
      </c>
      <c r="H4570" s="2" t="s">
        <v>913</v>
      </c>
      <c r="I4570" s="3" t="s">
        <v>94</v>
      </c>
      <c r="J4570" s="31">
        <v>45951</v>
      </c>
      <c r="K4570" s="31">
        <v>45957</v>
      </c>
      <c r="L4570" s="31"/>
      <c r="M4570" s="31"/>
      <c r="N4570" s="31"/>
      <c r="O4570" s="3" t="s">
        <v>425</v>
      </c>
    </row>
    <row r="4571" spans="1:15">
      <c r="A4571" s="3">
        <f t="shared" si="73"/>
        <v>4570</v>
      </c>
      <c r="B4571" s="65" t="s">
        <v>6818</v>
      </c>
      <c r="C4571" s="1">
        <v>8142678459</v>
      </c>
      <c r="E4571" s="17" t="s">
        <v>6817</v>
      </c>
      <c r="F4571" s="65" t="s">
        <v>569</v>
      </c>
      <c r="G4571" s="3" t="s">
        <v>416</v>
      </c>
      <c r="H4571" s="2" t="s">
        <v>913</v>
      </c>
      <c r="I4571" s="3" t="s">
        <v>94</v>
      </c>
      <c r="J4571" s="31">
        <v>45951</v>
      </c>
      <c r="K4571" s="31">
        <v>45956</v>
      </c>
      <c r="L4571" s="31"/>
      <c r="M4571" s="31"/>
      <c r="N4571" s="31"/>
      <c r="O4571" s="3" t="s">
        <v>297</v>
      </c>
    </row>
    <row r="4572" spans="1:15">
      <c r="A4572" s="3">
        <f t="shared" si="73"/>
        <v>4571</v>
      </c>
      <c r="B4572" s="65" t="s">
        <v>6819</v>
      </c>
      <c r="C4572" s="1">
        <v>6305891885</v>
      </c>
      <c r="D4572" s="1">
        <v>8985953822</v>
      </c>
      <c r="E4572" s="17" t="s">
        <v>3777</v>
      </c>
      <c r="F4572" s="65"/>
      <c r="G4572" s="2" t="s">
        <v>424</v>
      </c>
      <c r="H4572" s="2" t="s">
        <v>785</v>
      </c>
      <c r="I4572" s="3" t="s">
        <v>42</v>
      </c>
      <c r="J4572" s="31">
        <v>45952</v>
      </c>
      <c r="K4572" s="31">
        <v>45981</v>
      </c>
      <c r="L4572" s="31"/>
      <c r="M4572" s="31"/>
      <c r="N4572" s="31"/>
      <c r="O4572" s="2" t="s">
        <v>749</v>
      </c>
    </row>
    <row r="4573" spans="1:15">
      <c r="A4573" s="3">
        <f t="shared" si="73"/>
        <v>4572</v>
      </c>
      <c r="B4573" s="65" t="s">
        <v>6820</v>
      </c>
      <c r="C4573" s="1">
        <v>8096027176</v>
      </c>
      <c r="E4573" s="17" t="s">
        <v>4483</v>
      </c>
      <c r="F4573" s="65"/>
      <c r="G4573" s="3" t="s">
        <v>16</v>
      </c>
      <c r="H4573" s="2" t="s">
        <v>162</v>
      </c>
      <c r="I4573" s="3" t="s">
        <v>42</v>
      </c>
      <c r="J4573" s="31">
        <v>45952</v>
      </c>
      <c r="K4573" s="31">
        <v>45975</v>
      </c>
      <c r="L4573" s="31">
        <v>45975</v>
      </c>
      <c r="M4573" s="31">
        <v>45996</v>
      </c>
      <c r="N4573" s="31">
        <v>46001</v>
      </c>
      <c r="O4573" s="3" t="s">
        <v>297</v>
      </c>
    </row>
    <row r="4574" spans="1:15">
      <c r="A4574" s="3">
        <f t="shared" si="73"/>
        <v>4573</v>
      </c>
      <c r="B4574" s="65" t="s">
        <v>6821</v>
      </c>
      <c r="C4574" s="1">
        <v>9989926691</v>
      </c>
      <c r="E4574" s="17" t="s">
        <v>6489</v>
      </c>
      <c r="F4574" s="65"/>
      <c r="G4574" s="3" t="s">
        <v>708</v>
      </c>
      <c r="H4574" s="2" t="s">
        <v>679</v>
      </c>
      <c r="I4574" s="3" t="s">
        <v>42</v>
      </c>
      <c r="J4574" s="31">
        <v>45952</v>
      </c>
      <c r="K4574" s="31">
        <v>45952</v>
      </c>
      <c r="L4574" s="31"/>
      <c r="M4574" s="31"/>
      <c r="N4574" s="31"/>
      <c r="O4574" s="3" t="s">
        <v>297</v>
      </c>
    </row>
    <row r="4575" spans="1:15">
      <c r="A4575" s="3">
        <f t="shared" si="73"/>
        <v>4574</v>
      </c>
      <c r="B4575" s="65" t="s">
        <v>1217</v>
      </c>
      <c r="C4575" s="1">
        <v>7607402443</v>
      </c>
      <c r="D4575" s="1">
        <v>8299471507</v>
      </c>
      <c r="E4575" s="17" t="s">
        <v>6822</v>
      </c>
      <c r="F4575" s="65" t="s">
        <v>308</v>
      </c>
      <c r="G4575" s="3" t="s">
        <v>16</v>
      </c>
      <c r="H4575" s="2" t="s">
        <v>930</v>
      </c>
      <c r="I4575" s="3" t="s">
        <v>94</v>
      </c>
      <c r="J4575" s="31">
        <v>45952</v>
      </c>
      <c r="K4575" s="31">
        <v>45952</v>
      </c>
      <c r="L4575" s="31">
        <v>45954</v>
      </c>
      <c r="M4575" s="31">
        <v>45996</v>
      </c>
      <c r="N4575" s="31">
        <v>45990</v>
      </c>
      <c r="O4575" s="3" t="s">
        <v>297</v>
      </c>
    </row>
    <row r="4576" spans="1:15">
      <c r="A4576" s="3">
        <f t="shared" si="73"/>
        <v>4575</v>
      </c>
      <c r="B4576" s="65" t="s">
        <v>3030</v>
      </c>
      <c r="C4576" s="1">
        <v>9119979360</v>
      </c>
      <c r="E4576" s="17" t="s">
        <v>6822</v>
      </c>
      <c r="F4576" s="65" t="s">
        <v>308</v>
      </c>
      <c r="G4576" s="3" t="s">
        <v>416</v>
      </c>
      <c r="H4576" s="2" t="s">
        <v>930</v>
      </c>
      <c r="I4576" s="3" t="s">
        <v>94</v>
      </c>
      <c r="J4576" s="31">
        <v>45952</v>
      </c>
      <c r="K4576" s="31">
        <v>45952</v>
      </c>
      <c r="L4576" s="31"/>
      <c r="M4576" s="31"/>
      <c r="N4576" s="31"/>
      <c r="O4576" s="3" t="s">
        <v>297</v>
      </c>
    </row>
    <row r="4577" spans="1:15">
      <c r="A4577" s="3">
        <f t="shared" si="73"/>
        <v>4576</v>
      </c>
      <c r="B4577" s="65" t="s">
        <v>6823</v>
      </c>
      <c r="C4577" s="1">
        <v>8887573548</v>
      </c>
      <c r="E4577" s="17" t="s">
        <v>6822</v>
      </c>
      <c r="F4577" s="65" t="s">
        <v>308</v>
      </c>
      <c r="G4577" s="3" t="s">
        <v>16</v>
      </c>
      <c r="H4577" s="2" t="s">
        <v>930</v>
      </c>
      <c r="I4577" s="3" t="s">
        <v>94</v>
      </c>
      <c r="J4577" s="31">
        <v>45952</v>
      </c>
      <c r="K4577" s="31">
        <v>45952</v>
      </c>
      <c r="L4577" s="31">
        <v>45954</v>
      </c>
      <c r="M4577" s="31">
        <v>45986</v>
      </c>
      <c r="N4577" s="31">
        <v>45986</v>
      </c>
      <c r="O4577" s="3" t="s">
        <v>297</v>
      </c>
    </row>
    <row r="4578" spans="1:15">
      <c r="A4578" s="3">
        <f t="shared" si="73"/>
        <v>4577</v>
      </c>
      <c r="B4578" s="65" t="s">
        <v>6824</v>
      </c>
      <c r="C4578" s="1">
        <v>7095457308</v>
      </c>
      <c r="E4578" s="17" t="s">
        <v>6755</v>
      </c>
      <c r="F4578" s="65"/>
      <c r="G4578" s="3" t="s">
        <v>16</v>
      </c>
      <c r="H4578" s="2" t="s">
        <v>3240</v>
      </c>
      <c r="I4578" s="3" t="s">
        <v>42</v>
      </c>
      <c r="J4578" s="31">
        <v>45951</v>
      </c>
      <c r="K4578" s="31">
        <v>45957</v>
      </c>
      <c r="L4578" s="31">
        <v>45959</v>
      </c>
      <c r="M4578" s="31">
        <v>45992</v>
      </c>
      <c r="N4578" s="31">
        <v>45996</v>
      </c>
      <c r="O4578" s="3" t="s">
        <v>297</v>
      </c>
    </row>
    <row r="4579" spans="1:15">
      <c r="A4579" s="3">
        <f t="shared" si="73"/>
        <v>4578</v>
      </c>
      <c r="B4579" s="65" t="s">
        <v>6825</v>
      </c>
      <c r="C4579" s="1">
        <v>9133229129</v>
      </c>
      <c r="E4579" s="17" t="s">
        <v>1899</v>
      </c>
      <c r="F4579" s="65" t="s">
        <v>6742</v>
      </c>
      <c r="G4579" s="3" t="s">
        <v>708</v>
      </c>
      <c r="H4579" s="2" t="s">
        <v>42</v>
      </c>
      <c r="I4579" s="3" t="s">
        <v>42</v>
      </c>
      <c r="J4579" s="31">
        <v>45952</v>
      </c>
      <c r="K4579" s="31">
        <v>45981</v>
      </c>
      <c r="L4579" s="31"/>
      <c r="M4579" s="31"/>
      <c r="N4579" s="31"/>
      <c r="O4579" s="3" t="s">
        <v>297</v>
      </c>
    </row>
    <row r="4580" spans="1:15">
      <c r="A4580" s="3">
        <f t="shared" si="73"/>
        <v>4579</v>
      </c>
      <c r="B4580" s="65" t="s">
        <v>6826</v>
      </c>
      <c r="C4580" s="1">
        <v>8328272638</v>
      </c>
      <c r="D4580" s="1">
        <v>8885272638</v>
      </c>
      <c r="E4580" s="3" t="s">
        <v>6827</v>
      </c>
      <c r="F4580" s="65" t="s">
        <v>6828</v>
      </c>
      <c r="G4580" s="3" t="s">
        <v>16</v>
      </c>
      <c r="H4580" s="2" t="s">
        <v>999</v>
      </c>
      <c r="I4580" s="3" t="s">
        <v>88</v>
      </c>
      <c r="J4580" s="31">
        <v>45952</v>
      </c>
      <c r="K4580" s="31">
        <v>45954</v>
      </c>
      <c r="L4580" s="31">
        <v>45954</v>
      </c>
      <c r="M4580" s="31">
        <v>46001</v>
      </c>
      <c r="N4580" s="31">
        <v>45988</v>
      </c>
      <c r="O4580" s="3" t="s">
        <v>297</v>
      </c>
    </row>
    <row r="4581" spans="1:15">
      <c r="A4581" s="3">
        <f t="shared" si="73"/>
        <v>4580</v>
      </c>
      <c r="B4581" s="65" t="s">
        <v>6829</v>
      </c>
      <c r="C4581" s="1">
        <v>8328419668</v>
      </c>
      <c r="E4581" s="17" t="s">
        <v>4576</v>
      </c>
      <c r="F4581" s="65" t="s">
        <v>3002</v>
      </c>
      <c r="G4581" s="3" t="s">
        <v>424</v>
      </c>
      <c r="H4581" s="2" t="s">
        <v>999</v>
      </c>
      <c r="I4581" s="3" t="s">
        <v>88</v>
      </c>
      <c r="J4581" s="31">
        <v>45952</v>
      </c>
      <c r="K4581" s="31">
        <v>45987</v>
      </c>
      <c r="L4581" s="31"/>
      <c r="M4581" s="31"/>
      <c r="N4581" s="31"/>
      <c r="O4581" s="3" t="s">
        <v>749</v>
      </c>
    </row>
    <row r="4582" spans="1:15">
      <c r="A4582" s="3">
        <f t="shared" si="73"/>
        <v>4581</v>
      </c>
      <c r="B4582" s="65" t="s">
        <v>6830</v>
      </c>
      <c r="C4582" s="1">
        <v>8319213563</v>
      </c>
      <c r="E4582" s="17" t="s">
        <v>4576</v>
      </c>
      <c r="F4582" s="65" t="s">
        <v>5800</v>
      </c>
      <c r="G4582" s="3" t="s">
        <v>764</v>
      </c>
      <c r="H4582" s="2" t="s">
        <v>999</v>
      </c>
      <c r="I4582" s="3" t="s">
        <v>88</v>
      </c>
      <c r="J4582" s="31">
        <v>45952</v>
      </c>
      <c r="K4582" s="31">
        <v>45987</v>
      </c>
      <c r="L4582" s="31"/>
      <c r="M4582" s="31"/>
      <c r="N4582" s="31"/>
      <c r="O4582" s="3" t="s">
        <v>425</v>
      </c>
    </row>
    <row r="4583" spans="1:15">
      <c r="A4583" s="3">
        <f t="shared" si="73"/>
        <v>4582</v>
      </c>
      <c r="B4583" s="65" t="s">
        <v>6831</v>
      </c>
      <c r="C4583" s="1">
        <v>9668020335</v>
      </c>
      <c r="D4583" s="1">
        <v>8328896974</v>
      </c>
      <c r="E4583" s="17" t="s">
        <v>4576</v>
      </c>
      <c r="F4583" s="65" t="s">
        <v>6832</v>
      </c>
      <c r="G4583" s="3" t="s">
        <v>764</v>
      </c>
      <c r="H4583" s="2" t="s">
        <v>999</v>
      </c>
      <c r="I4583" s="3" t="s">
        <v>88</v>
      </c>
      <c r="J4583" s="31">
        <v>45952</v>
      </c>
      <c r="K4583" s="31">
        <v>45987</v>
      </c>
      <c r="L4583" s="31"/>
      <c r="M4583" s="31"/>
      <c r="N4583" s="31"/>
      <c r="O4583" s="3" t="s">
        <v>425</v>
      </c>
    </row>
    <row r="4584" spans="1:15">
      <c r="A4584" s="3">
        <f t="shared" si="73"/>
        <v>4583</v>
      </c>
      <c r="B4584" s="65" t="s">
        <v>6833</v>
      </c>
      <c r="C4584" s="1">
        <v>7905057275</v>
      </c>
      <c r="E4584" s="17" t="s">
        <v>4576</v>
      </c>
      <c r="F4584" s="65" t="s">
        <v>1999</v>
      </c>
      <c r="G4584" s="3" t="s">
        <v>416</v>
      </c>
      <c r="H4584" s="2" t="s">
        <v>999</v>
      </c>
      <c r="I4584" s="3" t="s">
        <v>88</v>
      </c>
      <c r="J4584" s="31">
        <v>45952</v>
      </c>
      <c r="K4584" s="31">
        <v>45954</v>
      </c>
      <c r="L4584" s="31"/>
      <c r="M4584" s="31"/>
      <c r="N4584" s="31"/>
      <c r="O4584" s="3" t="s">
        <v>297</v>
      </c>
    </row>
    <row r="4585" spans="1:15">
      <c r="A4585" s="3">
        <f t="shared" si="73"/>
        <v>4584</v>
      </c>
      <c r="B4585" s="65" t="s">
        <v>6834</v>
      </c>
      <c r="C4585" s="1">
        <v>7382158118</v>
      </c>
      <c r="D4585" s="1">
        <v>8332862867</v>
      </c>
      <c r="E4585" s="17" t="s">
        <v>4576</v>
      </c>
      <c r="F4585" s="65" t="s">
        <v>569</v>
      </c>
      <c r="G4585" s="3" t="s">
        <v>764</v>
      </c>
      <c r="H4585" s="2" t="s">
        <v>999</v>
      </c>
      <c r="I4585" s="3" t="s">
        <v>88</v>
      </c>
      <c r="J4585" s="31">
        <v>45952</v>
      </c>
      <c r="K4585" s="31">
        <v>45987</v>
      </c>
      <c r="L4585" s="31"/>
      <c r="M4585" s="31"/>
      <c r="N4585" s="31"/>
      <c r="O4585" s="3" t="s">
        <v>425</v>
      </c>
    </row>
    <row r="4586" spans="1:15">
      <c r="A4586" s="3">
        <f t="shared" si="73"/>
        <v>4585</v>
      </c>
      <c r="B4586" s="65" t="s">
        <v>3200</v>
      </c>
      <c r="C4586" s="1">
        <v>9901350347</v>
      </c>
      <c r="E4586" s="3" t="s">
        <v>6835</v>
      </c>
      <c r="F4586" s="65" t="s">
        <v>569</v>
      </c>
      <c r="G4586" s="3" t="s">
        <v>16</v>
      </c>
      <c r="H4586" s="2" t="s">
        <v>999</v>
      </c>
      <c r="I4586" s="3" t="s">
        <v>88</v>
      </c>
      <c r="J4586" s="31">
        <v>45952</v>
      </c>
      <c r="K4586" s="31">
        <v>45952</v>
      </c>
      <c r="L4586" s="31">
        <v>45952</v>
      </c>
      <c r="M4586" s="31">
        <v>45989</v>
      </c>
      <c r="N4586" s="31">
        <v>45989</v>
      </c>
      <c r="O4586" s="3" t="s">
        <v>297</v>
      </c>
    </row>
    <row r="4587" spans="1:15">
      <c r="A4587" s="3">
        <f t="shared" si="73"/>
        <v>4586</v>
      </c>
      <c r="B4587" s="65" t="s">
        <v>6836</v>
      </c>
      <c r="C4587" s="1">
        <v>8144524273</v>
      </c>
      <c r="D4587" s="1">
        <v>9438615663</v>
      </c>
      <c r="E4587" s="17" t="s">
        <v>4576</v>
      </c>
      <c r="F4587" s="65" t="s">
        <v>1312</v>
      </c>
      <c r="G4587" s="3" t="s">
        <v>16</v>
      </c>
      <c r="H4587" s="2" t="s">
        <v>999</v>
      </c>
      <c r="I4587" s="3" t="s">
        <v>88</v>
      </c>
      <c r="J4587" s="31">
        <v>45952</v>
      </c>
      <c r="K4587" s="31">
        <v>45952</v>
      </c>
      <c r="L4587" s="31">
        <v>45952</v>
      </c>
      <c r="M4587" s="31">
        <v>45983</v>
      </c>
      <c r="N4587" s="31">
        <v>45982</v>
      </c>
      <c r="O4587" s="3" t="s">
        <v>297</v>
      </c>
    </row>
    <row r="4588" spans="1:15">
      <c r="A4588" s="3">
        <f t="shared" si="73"/>
        <v>4587</v>
      </c>
      <c r="B4588" s="65" t="s">
        <v>6837</v>
      </c>
      <c r="C4588" s="1">
        <v>7093076013</v>
      </c>
      <c r="E4588" s="17" t="s">
        <v>6761</v>
      </c>
      <c r="F4588" s="65" t="s">
        <v>6838</v>
      </c>
      <c r="G4588" s="3" t="s">
        <v>764</v>
      </c>
      <c r="H4588" s="2" t="s">
        <v>999</v>
      </c>
      <c r="I4588" s="3" t="s">
        <v>88</v>
      </c>
      <c r="J4588" s="31">
        <v>45952</v>
      </c>
      <c r="K4588" s="31">
        <v>45987</v>
      </c>
      <c r="L4588" s="31"/>
      <c r="M4588" s="31"/>
      <c r="N4588" s="31"/>
      <c r="O4588" s="3" t="s">
        <v>425</v>
      </c>
    </row>
    <row r="4589" spans="1:15">
      <c r="A4589" s="3">
        <f t="shared" si="73"/>
        <v>4588</v>
      </c>
      <c r="B4589" s="65" t="s">
        <v>6839</v>
      </c>
      <c r="C4589" s="1">
        <v>9848433943</v>
      </c>
      <c r="E4589" s="17" t="s">
        <v>6761</v>
      </c>
      <c r="F4589" s="65" t="s">
        <v>4236</v>
      </c>
      <c r="G4589" s="3" t="s">
        <v>764</v>
      </c>
      <c r="H4589" s="2" t="s">
        <v>999</v>
      </c>
      <c r="I4589" s="3" t="s">
        <v>88</v>
      </c>
      <c r="J4589" s="31">
        <v>45952</v>
      </c>
      <c r="K4589" s="31">
        <v>45987</v>
      </c>
      <c r="L4589" s="31"/>
      <c r="M4589" s="31"/>
      <c r="N4589" s="31"/>
      <c r="O4589" s="3" t="s">
        <v>425</v>
      </c>
    </row>
    <row r="4590" spans="1:15">
      <c r="A4590" s="3">
        <f t="shared" si="73"/>
        <v>4589</v>
      </c>
      <c r="B4590" s="65" t="s">
        <v>6840</v>
      </c>
      <c r="C4590" s="1">
        <v>8374747669</v>
      </c>
      <c r="E4590" s="17" t="s">
        <v>6761</v>
      </c>
      <c r="F4590" s="65" t="s">
        <v>308</v>
      </c>
      <c r="G4590" s="3" t="s">
        <v>764</v>
      </c>
      <c r="H4590" s="2" t="s">
        <v>999</v>
      </c>
      <c r="I4590" s="3" t="s">
        <v>88</v>
      </c>
      <c r="J4590" s="31">
        <v>45952</v>
      </c>
      <c r="K4590" s="31">
        <v>45987</v>
      </c>
      <c r="L4590" s="31"/>
      <c r="M4590" s="31"/>
      <c r="N4590" s="31"/>
      <c r="O4590" s="3" t="s">
        <v>425</v>
      </c>
    </row>
    <row r="4591" spans="1:15">
      <c r="A4591" s="3">
        <f t="shared" si="73"/>
        <v>4590</v>
      </c>
      <c r="B4591" s="65" t="s">
        <v>6841</v>
      </c>
      <c r="C4591" s="1">
        <v>9966114296</v>
      </c>
      <c r="D4591" s="1">
        <v>9490188769</v>
      </c>
      <c r="E4591" s="17" t="s">
        <v>6761</v>
      </c>
      <c r="F4591" s="65" t="s">
        <v>329</v>
      </c>
      <c r="G4591" s="3" t="s">
        <v>764</v>
      </c>
      <c r="H4591" s="2" t="s">
        <v>999</v>
      </c>
      <c r="I4591" s="3" t="s">
        <v>88</v>
      </c>
      <c r="J4591" s="31">
        <v>45952</v>
      </c>
      <c r="K4591" s="31">
        <v>45987</v>
      </c>
      <c r="L4591" s="31"/>
      <c r="M4591" s="31"/>
      <c r="N4591" s="31"/>
      <c r="O4591" s="3" t="s">
        <v>425</v>
      </c>
    </row>
    <row r="4592" spans="1:15">
      <c r="A4592" s="3">
        <f t="shared" si="73"/>
        <v>4591</v>
      </c>
      <c r="B4592" s="65" t="s">
        <v>6842</v>
      </c>
      <c r="C4592" s="1">
        <v>9014730262</v>
      </c>
      <c r="E4592" s="17" t="s">
        <v>6761</v>
      </c>
      <c r="F4592" s="65" t="s">
        <v>1999</v>
      </c>
      <c r="G4592" s="3" t="s">
        <v>16</v>
      </c>
      <c r="H4592" s="2" t="s">
        <v>999</v>
      </c>
      <c r="I4592" s="3" t="s">
        <v>88</v>
      </c>
      <c r="J4592" s="31">
        <v>45952</v>
      </c>
      <c r="K4592" s="31">
        <v>45967</v>
      </c>
      <c r="L4592" s="31">
        <v>45967</v>
      </c>
      <c r="M4592" s="31">
        <v>45997</v>
      </c>
      <c r="N4592" s="31">
        <v>45979</v>
      </c>
      <c r="O4592" s="3" t="s">
        <v>297</v>
      </c>
    </row>
    <row r="4593" spans="1:15">
      <c r="A4593" s="3">
        <f t="shared" si="73"/>
        <v>4592</v>
      </c>
      <c r="B4593" s="65" t="s">
        <v>6843</v>
      </c>
      <c r="E4593" s="17" t="s">
        <v>5709</v>
      </c>
      <c r="F4593" s="65"/>
      <c r="G4593" s="3" t="s">
        <v>16</v>
      </c>
      <c r="H4593" s="2"/>
      <c r="I4593" s="3" t="s">
        <v>88</v>
      </c>
      <c r="J4593" s="31"/>
      <c r="K4593" s="31"/>
      <c r="L4593" s="31"/>
      <c r="M4593" s="31"/>
      <c r="N4593" s="31"/>
      <c r="O4593" s="3" t="s">
        <v>297</v>
      </c>
    </row>
    <row r="4594" spans="1:15">
      <c r="A4594" s="3">
        <f t="shared" si="73"/>
        <v>4593</v>
      </c>
      <c r="B4594" s="65" t="s">
        <v>6844</v>
      </c>
      <c r="C4594" s="1">
        <v>9133615339</v>
      </c>
      <c r="E4594" s="17" t="s">
        <v>4483</v>
      </c>
      <c r="F4594" s="65" t="s">
        <v>308</v>
      </c>
      <c r="G4594" s="3" t="s">
        <v>424</v>
      </c>
      <c r="H4594" s="2" t="s">
        <v>162</v>
      </c>
      <c r="I4594" s="3" t="s">
        <v>42</v>
      </c>
      <c r="J4594" s="31">
        <v>45952</v>
      </c>
      <c r="K4594" s="31">
        <v>45974</v>
      </c>
      <c r="L4594" s="31"/>
      <c r="M4594" s="31"/>
      <c r="N4594" s="31"/>
      <c r="O4594" s="3" t="s">
        <v>749</v>
      </c>
    </row>
    <row r="4595" spans="1:15">
      <c r="A4595" s="3">
        <f t="shared" si="73"/>
        <v>4594</v>
      </c>
      <c r="B4595" s="65" t="s">
        <v>6845</v>
      </c>
      <c r="C4595" s="1">
        <v>6304181452</v>
      </c>
      <c r="E4595" s="17" t="s">
        <v>6796</v>
      </c>
      <c r="F4595" s="65"/>
      <c r="G4595" s="3" t="s">
        <v>16</v>
      </c>
      <c r="H4595" s="2" t="s">
        <v>5774</v>
      </c>
      <c r="I4595" s="3" t="s">
        <v>42</v>
      </c>
      <c r="J4595" s="31">
        <v>45947</v>
      </c>
      <c r="K4595" s="31">
        <v>45947</v>
      </c>
      <c r="L4595" s="31">
        <v>45959</v>
      </c>
      <c r="M4595" s="31">
        <v>45986</v>
      </c>
      <c r="N4595" s="31">
        <v>45985</v>
      </c>
      <c r="O4595" s="3" t="s">
        <v>297</v>
      </c>
    </row>
    <row r="4596" spans="1:15">
      <c r="A4596" s="3">
        <f t="shared" si="73"/>
        <v>4595</v>
      </c>
      <c r="B4596" s="65" t="s">
        <v>6846</v>
      </c>
      <c r="E4596" s="17" t="s">
        <v>5713</v>
      </c>
      <c r="F4596" s="65"/>
      <c r="G4596" s="3" t="s">
        <v>16</v>
      </c>
      <c r="H4596" s="2"/>
      <c r="I4596" s="3" t="s">
        <v>88</v>
      </c>
      <c r="J4596" s="31"/>
      <c r="K4596" s="31"/>
      <c r="L4596" s="31"/>
      <c r="M4596" s="31"/>
      <c r="N4596" s="31"/>
      <c r="O4596" s="3" t="s">
        <v>297</v>
      </c>
    </row>
    <row r="4597" spans="1:15">
      <c r="A4597" s="3">
        <f t="shared" si="73"/>
        <v>4596</v>
      </c>
      <c r="B4597" s="65" t="s">
        <v>6847</v>
      </c>
      <c r="E4597" s="17" t="s">
        <v>5326</v>
      </c>
      <c r="F4597" s="65"/>
      <c r="G4597" s="3" t="s">
        <v>16</v>
      </c>
      <c r="H4597" s="2"/>
      <c r="I4597" s="3" t="s">
        <v>88</v>
      </c>
      <c r="J4597" s="31"/>
      <c r="K4597" s="31"/>
      <c r="L4597" s="31"/>
      <c r="M4597" s="31"/>
      <c r="N4597" s="31"/>
      <c r="O4597" s="3" t="s">
        <v>297</v>
      </c>
    </row>
    <row r="4598" spans="1:15">
      <c r="A4598" s="3">
        <f t="shared" si="73"/>
        <v>4597</v>
      </c>
      <c r="B4598" s="65" t="s">
        <v>6848</v>
      </c>
      <c r="E4598" s="17" t="s">
        <v>5660</v>
      </c>
      <c r="F4598" s="65"/>
      <c r="G4598" s="3" t="s">
        <v>16</v>
      </c>
      <c r="H4598" s="2"/>
      <c r="I4598" s="3" t="s">
        <v>88</v>
      </c>
      <c r="J4598" s="31"/>
      <c r="K4598" s="31"/>
      <c r="L4598" s="31"/>
      <c r="M4598" s="31"/>
      <c r="N4598" s="31"/>
      <c r="O4598" s="3" t="s">
        <v>297</v>
      </c>
    </row>
    <row r="4599" spans="1:15">
      <c r="A4599" s="3">
        <f t="shared" si="73"/>
        <v>4598</v>
      </c>
      <c r="B4599" s="65" t="s">
        <v>6849</v>
      </c>
      <c r="E4599" s="17" t="s">
        <v>5802</v>
      </c>
      <c r="F4599" s="65"/>
      <c r="G4599" s="3" t="s">
        <v>16</v>
      </c>
      <c r="H4599" s="2"/>
      <c r="I4599" s="3" t="s">
        <v>88</v>
      </c>
      <c r="J4599" s="31"/>
      <c r="K4599" s="31"/>
      <c r="L4599" s="31"/>
      <c r="M4599" s="31"/>
      <c r="N4599" s="31"/>
      <c r="O4599" s="3" t="s">
        <v>297</v>
      </c>
    </row>
    <row r="4600" spans="1:15">
      <c r="A4600" s="3">
        <f t="shared" si="73"/>
        <v>4599</v>
      </c>
      <c r="B4600" s="65" t="s">
        <v>6850</v>
      </c>
      <c r="C4600" s="1">
        <v>8926014505</v>
      </c>
      <c r="E4600" s="17" t="s">
        <v>6822</v>
      </c>
      <c r="F4600" s="65" t="s">
        <v>308</v>
      </c>
      <c r="G4600" s="3" t="s">
        <v>16</v>
      </c>
      <c r="H4600" s="2" t="s">
        <v>930</v>
      </c>
      <c r="I4600" s="3" t="s">
        <v>94</v>
      </c>
      <c r="J4600" s="31">
        <v>45952</v>
      </c>
      <c r="K4600" s="31">
        <v>45958</v>
      </c>
      <c r="L4600" s="31">
        <v>45961</v>
      </c>
      <c r="M4600" s="31">
        <v>45990</v>
      </c>
      <c r="N4600" s="31">
        <v>45994</v>
      </c>
      <c r="O4600" s="3" t="s">
        <v>297</v>
      </c>
    </row>
    <row r="4601" spans="1:15">
      <c r="A4601" s="3">
        <f t="shared" si="73"/>
        <v>4600</v>
      </c>
      <c r="B4601" s="65" t="s">
        <v>6851</v>
      </c>
      <c r="C4601" s="1">
        <v>7081927051</v>
      </c>
      <c r="D4601" s="1">
        <v>7570819270</v>
      </c>
      <c r="E4601" s="17" t="s">
        <v>6822</v>
      </c>
      <c r="F4601" s="65" t="s">
        <v>308</v>
      </c>
      <c r="G4601" s="3" t="s">
        <v>424</v>
      </c>
      <c r="H4601" s="2" t="s">
        <v>930</v>
      </c>
      <c r="I4601" s="3" t="s">
        <v>94</v>
      </c>
      <c r="J4601" s="31">
        <v>45952</v>
      </c>
      <c r="K4601" s="31">
        <v>45959</v>
      </c>
      <c r="L4601" s="31"/>
      <c r="M4601" s="31"/>
      <c r="N4601" s="31"/>
      <c r="O4601" s="3" t="s">
        <v>425</v>
      </c>
    </row>
    <row r="4602" spans="1:15">
      <c r="A4602" s="3">
        <f t="shared" si="73"/>
        <v>4601</v>
      </c>
      <c r="B4602" s="65" t="s">
        <v>6852</v>
      </c>
      <c r="C4602" s="1">
        <v>9936904773</v>
      </c>
      <c r="E4602" s="17" t="s">
        <v>6822</v>
      </c>
      <c r="F4602" s="65" t="s">
        <v>308</v>
      </c>
      <c r="G4602" s="3" t="s">
        <v>424</v>
      </c>
      <c r="H4602" s="2" t="s">
        <v>930</v>
      </c>
      <c r="I4602" s="3" t="s">
        <v>94</v>
      </c>
      <c r="J4602" s="31">
        <v>45952</v>
      </c>
      <c r="K4602" s="31">
        <v>45959</v>
      </c>
      <c r="L4602" s="31"/>
      <c r="M4602" s="31"/>
      <c r="N4602" s="31"/>
      <c r="O4602" s="3" t="s">
        <v>425</v>
      </c>
    </row>
    <row r="4603" spans="1:15">
      <c r="A4603" s="3">
        <f t="shared" si="73"/>
        <v>4602</v>
      </c>
      <c r="B4603" s="65" t="s">
        <v>6853</v>
      </c>
      <c r="C4603" s="1">
        <v>7982091878</v>
      </c>
      <c r="E4603" s="17" t="s">
        <v>6822</v>
      </c>
      <c r="F4603" s="65" t="s">
        <v>308</v>
      </c>
      <c r="G4603" s="3" t="s">
        <v>16</v>
      </c>
      <c r="H4603" s="2" t="s">
        <v>930</v>
      </c>
      <c r="I4603" s="3" t="s">
        <v>94</v>
      </c>
      <c r="J4603" s="31">
        <v>45952</v>
      </c>
      <c r="K4603" s="31">
        <v>45958</v>
      </c>
      <c r="L4603" s="31">
        <v>45965</v>
      </c>
      <c r="M4603" s="31">
        <v>45995</v>
      </c>
      <c r="N4603" s="31">
        <v>45998</v>
      </c>
      <c r="O4603" s="3" t="s">
        <v>297</v>
      </c>
    </row>
    <row r="4604" spans="1:15">
      <c r="A4604" s="3">
        <f t="shared" si="73"/>
        <v>4603</v>
      </c>
      <c r="B4604" s="65" t="s">
        <v>6854</v>
      </c>
      <c r="C4604" s="1">
        <v>9598715321</v>
      </c>
      <c r="E4604" s="17" t="s">
        <v>6822</v>
      </c>
      <c r="F4604" s="65" t="s">
        <v>308</v>
      </c>
      <c r="G4604" s="3" t="s">
        <v>424</v>
      </c>
      <c r="H4604" s="2" t="s">
        <v>930</v>
      </c>
      <c r="I4604" s="3" t="s">
        <v>94</v>
      </c>
      <c r="J4604" s="31">
        <v>45952</v>
      </c>
      <c r="K4604" s="31">
        <v>45959</v>
      </c>
      <c r="L4604" s="31"/>
      <c r="M4604" s="31"/>
      <c r="N4604" s="31"/>
      <c r="O4604" s="3" t="s">
        <v>425</v>
      </c>
    </row>
    <row r="4605" spans="1:15">
      <c r="A4605" s="3">
        <f t="shared" si="73"/>
        <v>4604</v>
      </c>
      <c r="B4605" s="65" t="s">
        <v>6855</v>
      </c>
      <c r="C4605" s="1">
        <v>9466606783</v>
      </c>
      <c r="E4605" s="17" t="s">
        <v>6856</v>
      </c>
      <c r="F4605" s="65" t="s">
        <v>308</v>
      </c>
      <c r="G4605" s="3" t="s">
        <v>424</v>
      </c>
      <c r="H4605" s="2" t="s">
        <v>930</v>
      </c>
      <c r="I4605" s="3" t="s">
        <v>94</v>
      </c>
      <c r="J4605" s="31">
        <v>45952</v>
      </c>
      <c r="K4605" s="31">
        <v>45959</v>
      </c>
      <c r="L4605" s="31"/>
      <c r="M4605" s="31"/>
      <c r="N4605" s="31"/>
      <c r="O4605" s="3" t="s">
        <v>425</v>
      </c>
    </row>
    <row r="4606" spans="1:15">
      <c r="A4606" s="3">
        <f t="shared" si="73"/>
        <v>4605</v>
      </c>
      <c r="B4606" s="65" t="s">
        <v>6857</v>
      </c>
      <c r="C4606" s="1">
        <v>9755553768</v>
      </c>
      <c r="E4606" s="17" t="s">
        <v>6856</v>
      </c>
      <c r="F4606" s="65" t="s">
        <v>308</v>
      </c>
      <c r="G4606" s="3" t="s">
        <v>16</v>
      </c>
      <c r="H4606" s="2" t="s">
        <v>930</v>
      </c>
      <c r="I4606" s="3" t="s">
        <v>94</v>
      </c>
      <c r="J4606" s="31">
        <v>45952</v>
      </c>
      <c r="K4606" s="31">
        <v>45958</v>
      </c>
      <c r="L4606" s="31">
        <v>45961</v>
      </c>
      <c r="M4606" s="31">
        <v>46009</v>
      </c>
      <c r="N4606" s="31">
        <v>46009</v>
      </c>
      <c r="O4606" s="3" t="s">
        <v>297</v>
      </c>
    </row>
    <row r="4607" spans="1:15">
      <c r="A4607" s="3">
        <f t="shared" si="73"/>
        <v>4606</v>
      </c>
      <c r="B4607" s="65" t="s">
        <v>6858</v>
      </c>
      <c r="C4607" s="1">
        <v>7748828770</v>
      </c>
      <c r="E4607" s="17" t="s">
        <v>6856</v>
      </c>
      <c r="F4607" s="65" t="s">
        <v>308</v>
      </c>
      <c r="G4607" s="3" t="s">
        <v>16</v>
      </c>
      <c r="H4607" s="2" t="s">
        <v>930</v>
      </c>
      <c r="I4607" s="3" t="s">
        <v>94</v>
      </c>
      <c r="J4607" s="31">
        <v>45952</v>
      </c>
      <c r="K4607" s="31">
        <v>45958</v>
      </c>
      <c r="L4607" s="31">
        <v>45968</v>
      </c>
      <c r="M4607" s="31">
        <v>45998</v>
      </c>
      <c r="N4607" s="31">
        <v>46004</v>
      </c>
      <c r="O4607" s="3" t="s">
        <v>297</v>
      </c>
    </row>
    <row r="4608" spans="1:15">
      <c r="A4608" s="3">
        <f t="shared" si="73"/>
        <v>4607</v>
      </c>
      <c r="B4608" s="65" t="s">
        <v>6859</v>
      </c>
      <c r="C4608" s="1">
        <v>7679702783</v>
      </c>
      <c r="E4608" s="17" t="s">
        <v>6856</v>
      </c>
      <c r="F4608" s="65" t="s">
        <v>308</v>
      </c>
      <c r="G4608" s="3" t="s">
        <v>16</v>
      </c>
      <c r="H4608" s="2" t="s">
        <v>930</v>
      </c>
      <c r="I4608" s="3" t="s">
        <v>94</v>
      </c>
      <c r="J4608" s="31">
        <v>45952</v>
      </c>
      <c r="K4608" s="31">
        <v>45958</v>
      </c>
      <c r="L4608" s="31">
        <v>45961</v>
      </c>
      <c r="M4608" s="31">
        <v>46003</v>
      </c>
      <c r="N4608" s="31">
        <v>46004</v>
      </c>
      <c r="O4608" s="3" t="s">
        <v>297</v>
      </c>
    </row>
    <row r="4609" spans="1:33">
      <c r="A4609" s="3">
        <f t="shared" si="73"/>
        <v>4608</v>
      </c>
      <c r="B4609" s="65" t="s">
        <v>6860</v>
      </c>
      <c r="C4609" s="1">
        <v>9382417341</v>
      </c>
      <c r="E4609" s="17" t="s">
        <v>6856</v>
      </c>
      <c r="F4609" s="65" t="s">
        <v>308</v>
      </c>
      <c r="G4609" s="3" t="s">
        <v>16</v>
      </c>
      <c r="H4609" s="2" t="s">
        <v>930</v>
      </c>
      <c r="I4609" s="3" t="s">
        <v>94</v>
      </c>
      <c r="J4609" s="31">
        <v>45952</v>
      </c>
      <c r="K4609" s="31">
        <v>45958</v>
      </c>
      <c r="L4609" s="31">
        <v>45965</v>
      </c>
      <c r="M4609" s="31">
        <v>46003</v>
      </c>
      <c r="N4609" s="31">
        <v>46004</v>
      </c>
      <c r="O4609" s="3" t="s">
        <v>297</v>
      </c>
    </row>
    <row r="4610" spans="1:33">
      <c r="A4610" s="3">
        <f t="shared" si="73"/>
        <v>4609</v>
      </c>
      <c r="B4610" s="65" t="s">
        <v>6861</v>
      </c>
      <c r="C4610" s="1">
        <v>7999518513</v>
      </c>
      <c r="E4610" s="17" t="s">
        <v>6817</v>
      </c>
      <c r="F4610" s="65" t="s">
        <v>569</v>
      </c>
      <c r="G4610" s="3" t="s">
        <v>424</v>
      </c>
      <c r="H4610" s="2" t="s">
        <v>913</v>
      </c>
      <c r="I4610" s="3" t="s">
        <v>94</v>
      </c>
      <c r="J4610" s="31">
        <v>45952</v>
      </c>
      <c r="K4610" s="31">
        <v>45956</v>
      </c>
      <c r="L4610" s="31"/>
      <c r="M4610" s="31"/>
      <c r="N4610" s="31"/>
      <c r="O4610" s="3" t="s">
        <v>425</v>
      </c>
    </row>
    <row r="4611" spans="1:33">
      <c r="A4611" s="3">
        <f t="shared" si="73"/>
        <v>4610</v>
      </c>
      <c r="B4611" s="65" t="s">
        <v>6862</v>
      </c>
      <c r="C4611" s="1">
        <v>9302863814</v>
      </c>
      <c r="E4611" s="17" t="s">
        <v>6863</v>
      </c>
      <c r="F4611" s="65" t="s">
        <v>569</v>
      </c>
      <c r="G4611" s="3" t="s">
        <v>416</v>
      </c>
      <c r="H4611" s="2" t="s">
        <v>913</v>
      </c>
      <c r="I4611" s="3" t="s">
        <v>94</v>
      </c>
      <c r="J4611" s="31">
        <v>45952</v>
      </c>
      <c r="K4611" s="31">
        <v>45967</v>
      </c>
      <c r="L4611" s="31"/>
      <c r="M4611" s="31"/>
      <c r="N4611" s="31"/>
      <c r="O4611" s="3" t="s">
        <v>297</v>
      </c>
    </row>
    <row r="4612" spans="1:33">
      <c r="A4612" s="3">
        <f t="shared" si="73"/>
        <v>4611</v>
      </c>
      <c r="B4612" s="65" t="s">
        <v>6864</v>
      </c>
      <c r="C4612" s="1">
        <v>9777641503</v>
      </c>
      <c r="D4612" s="1">
        <v>9348556701</v>
      </c>
      <c r="E4612" s="17" t="s">
        <v>6863</v>
      </c>
      <c r="F4612" s="65" t="s">
        <v>569</v>
      </c>
      <c r="G4612" s="3" t="s">
        <v>424</v>
      </c>
      <c r="H4612" s="2" t="s">
        <v>913</v>
      </c>
      <c r="I4612" s="3" t="s">
        <v>94</v>
      </c>
      <c r="J4612" s="31">
        <v>45952</v>
      </c>
      <c r="K4612" s="31">
        <v>45958</v>
      </c>
      <c r="L4612" s="31"/>
      <c r="M4612" s="31"/>
      <c r="N4612" s="31"/>
      <c r="O4612" s="3" t="s">
        <v>425</v>
      </c>
    </row>
    <row r="4613" spans="1:33">
      <c r="A4613" s="3">
        <f t="shared" si="73"/>
        <v>4612</v>
      </c>
      <c r="B4613" s="65" t="s">
        <v>6865</v>
      </c>
      <c r="C4613" s="1">
        <v>8210106837</v>
      </c>
      <c r="D4613" s="1">
        <v>9973142291</v>
      </c>
      <c r="E4613" s="17" t="s">
        <v>6863</v>
      </c>
      <c r="F4613" s="65" t="s">
        <v>569</v>
      </c>
      <c r="G4613" s="3" t="s">
        <v>16</v>
      </c>
      <c r="H4613" s="2" t="s">
        <v>913</v>
      </c>
      <c r="I4613" s="3" t="s">
        <v>94</v>
      </c>
      <c r="J4613" s="31">
        <v>45952</v>
      </c>
      <c r="K4613" s="31">
        <v>45958</v>
      </c>
      <c r="L4613" s="31">
        <v>45961</v>
      </c>
      <c r="M4613" s="31">
        <v>45997</v>
      </c>
      <c r="N4613" s="31">
        <v>45997</v>
      </c>
      <c r="O4613" s="3" t="s">
        <v>297</v>
      </c>
    </row>
    <row r="4614" spans="1:33">
      <c r="A4614" s="3">
        <f t="shared" si="73"/>
        <v>4613</v>
      </c>
      <c r="B4614" s="65" t="s">
        <v>6866</v>
      </c>
      <c r="C4614" s="1">
        <v>9951721652</v>
      </c>
      <c r="E4614" s="17" t="s">
        <v>6867</v>
      </c>
      <c r="F4614" s="65" t="s">
        <v>1421</v>
      </c>
      <c r="G4614" s="2" t="s">
        <v>330</v>
      </c>
      <c r="H4614" s="2" t="s">
        <v>361</v>
      </c>
      <c r="I4614" s="3" t="s">
        <v>42</v>
      </c>
      <c r="J4614" s="31">
        <v>45953</v>
      </c>
      <c r="K4614" s="31">
        <v>45953</v>
      </c>
      <c r="L4614" s="31">
        <v>45954</v>
      </c>
      <c r="M4614" s="31">
        <v>45992</v>
      </c>
      <c r="N4614" s="31">
        <v>45992</v>
      </c>
      <c r="O4614" s="3" t="s">
        <v>297</v>
      </c>
    </row>
    <row r="4615" spans="1:33">
      <c r="A4615" s="3">
        <f t="shared" si="73"/>
        <v>4614</v>
      </c>
      <c r="B4615" s="65" t="s">
        <v>6868</v>
      </c>
      <c r="C4615" s="1">
        <v>9499510382</v>
      </c>
      <c r="E4615" s="17" t="s">
        <v>6761</v>
      </c>
      <c r="F4615" s="65" t="s">
        <v>2697</v>
      </c>
      <c r="G4615" s="3" t="s">
        <v>16</v>
      </c>
      <c r="H4615" s="2" t="s">
        <v>590</v>
      </c>
      <c r="I4615" s="3" t="s">
        <v>88</v>
      </c>
      <c r="J4615" s="31">
        <v>45945</v>
      </c>
      <c r="K4615" s="31">
        <v>45951</v>
      </c>
      <c r="L4615" s="31">
        <v>45952</v>
      </c>
      <c r="M4615" s="31">
        <v>46003</v>
      </c>
      <c r="N4615" s="31">
        <v>46003</v>
      </c>
      <c r="O4615" s="3" t="s">
        <v>297</v>
      </c>
      <c r="Q4615" t="s">
        <v>2697</v>
      </c>
      <c r="R4615" t="s">
        <v>2697</v>
      </c>
      <c r="S4615" t="s">
        <v>2697</v>
      </c>
      <c r="T4615" t="s">
        <v>2697</v>
      </c>
      <c r="U4615" t="s">
        <v>2697</v>
      </c>
      <c r="V4615" t="s">
        <v>2697</v>
      </c>
      <c r="W4615" t="s">
        <v>2697</v>
      </c>
      <c r="X4615" t="s">
        <v>2697</v>
      </c>
      <c r="Y4615" t="s">
        <v>2697</v>
      </c>
      <c r="Z4615" t="s">
        <v>2697</v>
      </c>
      <c r="AA4615" t="s">
        <v>2697</v>
      </c>
      <c r="AB4615" t="s">
        <v>2697</v>
      </c>
      <c r="AC4615" t="s">
        <v>2697</v>
      </c>
      <c r="AD4615" t="s">
        <v>2697</v>
      </c>
      <c r="AE4615" t="s">
        <v>2697</v>
      </c>
      <c r="AF4615" t="s">
        <v>2697</v>
      </c>
      <c r="AG4615" t="s">
        <v>2697</v>
      </c>
    </row>
    <row r="4616" spans="1:33">
      <c r="A4616" s="3">
        <f t="shared" si="73"/>
        <v>4615</v>
      </c>
      <c r="B4616" s="65" t="s">
        <v>6869</v>
      </c>
      <c r="C4616" s="1">
        <v>9554552895</v>
      </c>
      <c r="D4616" s="1">
        <v>9076480450</v>
      </c>
      <c r="E4616" s="17" t="s">
        <v>6870</v>
      </c>
      <c r="F4616" s="65" t="s">
        <v>6871</v>
      </c>
      <c r="G4616" s="3" t="s">
        <v>424</v>
      </c>
      <c r="H4616" s="2" t="s">
        <v>296</v>
      </c>
      <c r="I4616" s="3" t="s">
        <v>88</v>
      </c>
      <c r="J4616" s="31">
        <v>45954</v>
      </c>
      <c r="K4616" s="31">
        <v>45955</v>
      </c>
      <c r="L4616" s="31"/>
      <c r="M4616" s="31"/>
      <c r="N4616" s="31"/>
      <c r="O4616" s="3" t="s">
        <v>425</v>
      </c>
    </row>
    <row r="4617" spans="1:33">
      <c r="A4617" s="3">
        <f t="shared" si="73"/>
        <v>4616</v>
      </c>
      <c r="B4617" s="65" t="s">
        <v>6872</v>
      </c>
      <c r="C4617" s="1">
        <v>8871166836</v>
      </c>
      <c r="E4617" s="17" t="s">
        <v>5585</v>
      </c>
      <c r="F4617" s="65" t="s">
        <v>6873</v>
      </c>
      <c r="G4617" s="3" t="s">
        <v>424</v>
      </c>
      <c r="H4617" s="2" t="s">
        <v>296</v>
      </c>
      <c r="I4617" s="3" t="s">
        <v>88</v>
      </c>
      <c r="J4617" s="31">
        <v>45954</v>
      </c>
      <c r="K4617" s="31">
        <v>45964</v>
      </c>
      <c r="L4617" s="31"/>
      <c r="M4617" s="31"/>
      <c r="N4617" s="31"/>
      <c r="O4617" s="3" t="s">
        <v>425</v>
      </c>
    </row>
    <row r="4618" spans="1:33">
      <c r="A4618" s="3">
        <f t="shared" ref="A4618:A4675" si="74">ROW()-1</f>
        <v>4617</v>
      </c>
      <c r="B4618" s="65" t="s">
        <v>6874</v>
      </c>
      <c r="C4618" s="1">
        <v>7796365383</v>
      </c>
      <c r="E4618" s="17" t="s">
        <v>5585</v>
      </c>
      <c r="F4618" s="65" t="s">
        <v>2630</v>
      </c>
      <c r="G4618" s="3" t="s">
        <v>424</v>
      </c>
      <c r="H4618" s="2" t="s">
        <v>296</v>
      </c>
      <c r="I4618" s="3" t="s">
        <v>88</v>
      </c>
      <c r="J4618" s="31">
        <v>45954</v>
      </c>
      <c r="K4618" s="31">
        <v>45964</v>
      </c>
      <c r="L4618" s="31"/>
      <c r="M4618" s="31"/>
      <c r="N4618" s="31"/>
      <c r="O4618" s="3" t="s">
        <v>425</v>
      </c>
    </row>
    <row r="4619" spans="1:33">
      <c r="A4619" s="3">
        <f t="shared" si="74"/>
        <v>4618</v>
      </c>
      <c r="B4619" s="65" t="s">
        <v>6875</v>
      </c>
      <c r="C4619" s="1">
        <v>8458023093</v>
      </c>
      <c r="E4619" s="17" t="s">
        <v>6867</v>
      </c>
      <c r="F4619" s="65" t="s">
        <v>507</v>
      </c>
      <c r="G4619" s="3" t="s">
        <v>16</v>
      </c>
      <c r="H4619" s="2" t="s">
        <v>361</v>
      </c>
      <c r="I4619" s="3" t="s">
        <v>42</v>
      </c>
      <c r="J4619" s="31">
        <v>45954</v>
      </c>
      <c r="K4619" s="31">
        <v>45954</v>
      </c>
      <c r="L4619" s="31">
        <v>45954</v>
      </c>
      <c r="M4619" s="31">
        <v>45976</v>
      </c>
      <c r="N4619" s="31">
        <v>45974</v>
      </c>
      <c r="O4619" s="3" t="s">
        <v>297</v>
      </c>
    </row>
    <row r="4620" spans="1:33">
      <c r="A4620" s="3">
        <f t="shared" si="74"/>
        <v>4619</v>
      </c>
      <c r="B4620" s="65" t="s">
        <v>6876</v>
      </c>
      <c r="C4620" s="1">
        <v>6207491542</v>
      </c>
      <c r="E4620" s="17" t="s">
        <v>6867</v>
      </c>
      <c r="F4620" s="65" t="s">
        <v>4051</v>
      </c>
      <c r="G4620" s="3" t="s">
        <v>18</v>
      </c>
      <c r="H4620" s="2" t="s">
        <v>361</v>
      </c>
      <c r="I4620" s="3" t="s">
        <v>42</v>
      </c>
      <c r="J4620" s="31">
        <v>45954</v>
      </c>
      <c r="K4620" s="31">
        <v>45954</v>
      </c>
      <c r="L4620" s="31"/>
      <c r="M4620" s="31"/>
      <c r="N4620" s="31"/>
      <c r="O4620" s="3" t="s">
        <v>297</v>
      </c>
    </row>
    <row r="4621" spans="1:33">
      <c r="A4621" s="3">
        <f t="shared" si="74"/>
        <v>4620</v>
      </c>
      <c r="B4621" s="65" t="s">
        <v>6877</v>
      </c>
      <c r="C4621" s="1">
        <v>8919273268</v>
      </c>
      <c r="E4621" s="17" t="s">
        <v>4483</v>
      </c>
      <c r="F4621" s="65" t="s">
        <v>6878</v>
      </c>
      <c r="G4621" s="3" t="s">
        <v>424</v>
      </c>
      <c r="H4621" s="2" t="s">
        <v>162</v>
      </c>
      <c r="I4621" s="3" t="s">
        <v>42</v>
      </c>
      <c r="J4621" s="31">
        <v>45954</v>
      </c>
      <c r="K4621" s="31">
        <v>45974</v>
      </c>
      <c r="L4621" s="31"/>
      <c r="M4621" s="31"/>
      <c r="N4621" s="31"/>
      <c r="O4621" s="3" t="s">
        <v>749</v>
      </c>
    </row>
    <row r="4622" spans="1:33">
      <c r="A4622" s="3">
        <f t="shared" si="74"/>
        <v>4621</v>
      </c>
      <c r="B4622" s="65" t="s">
        <v>5858</v>
      </c>
      <c r="C4622" s="1">
        <v>7382406245</v>
      </c>
      <c r="E4622" s="17" t="s">
        <v>3777</v>
      </c>
      <c r="F4622" s="65" t="s">
        <v>1772</v>
      </c>
      <c r="G4622" s="3" t="s">
        <v>424</v>
      </c>
      <c r="H4622" s="2" t="s">
        <v>785</v>
      </c>
      <c r="I4622" s="3" t="s">
        <v>42</v>
      </c>
      <c r="J4622" s="31">
        <v>45954</v>
      </c>
      <c r="K4622" s="31">
        <v>45954</v>
      </c>
      <c r="L4622" s="31"/>
      <c r="M4622" s="31"/>
      <c r="N4622" s="31"/>
      <c r="O4622" s="3" t="s">
        <v>425</v>
      </c>
    </row>
    <row r="4623" spans="1:33">
      <c r="A4623" s="3">
        <f t="shared" si="74"/>
        <v>4622</v>
      </c>
      <c r="B4623" s="65" t="s">
        <v>6879</v>
      </c>
      <c r="C4623" s="1">
        <v>9491764409</v>
      </c>
      <c r="E4623" s="17" t="s">
        <v>3777</v>
      </c>
      <c r="F4623" s="65" t="s">
        <v>2697</v>
      </c>
      <c r="G4623" s="3" t="s">
        <v>424</v>
      </c>
      <c r="H4623" s="2" t="s">
        <v>785</v>
      </c>
      <c r="I4623" s="3" t="s">
        <v>42</v>
      </c>
      <c r="J4623" s="31">
        <v>45954</v>
      </c>
      <c r="K4623" s="31">
        <v>45954</v>
      </c>
      <c r="L4623" s="31"/>
      <c r="M4623" s="31"/>
      <c r="N4623" s="31"/>
      <c r="O4623" s="3" t="s">
        <v>425</v>
      </c>
    </row>
    <row r="4624" spans="1:33">
      <c r="A4624" s="3">
        <f t="shared" si="74"/>
        <v>4623</v>
      </c>
      <c r="B4624" s="65" t="s">
        <v>6880</v>
      </c>
      <c r="C4624" s="1">
        <v>9140398190</v>
      </c>
      <c r="E4624" s="17" t="s">
        <v>6236</v>
      </c>
      <c r="F4624" s="65" t="s">
        <v>3447</v>
      </c>
      <c r="G4624" s="3" t="s">
        <v>16</v>
      </c>
      <c r="H4624" s="2" t="s">
        <v>3240</v>
      </c>
      <c r="I4624" s="3" t="s">
        <v>42</v>
      </c>
      <c r="J4624" s="31">
        <v>45954</v>
      </c>
      <c r="K4624" s="31">
        <v>45978</v>
      </c>
      <c r="L4624" s="31">
        <v>45982</v>
      </c>
      <c r="M4624" s="31">
        <v>46032</v>
      </c>
      <c r="N4624" s="31">
        <v>46001</v>
      </c>
      <c r="O4624" s="3" t="s">
        <v>297</v>
      </c>
    </row>
    <row r="4625" spans="1:15">
      <c r="A4625" s="3">
        <f t="shared" si="74"/>
        <v>4624</v>
      </c>
      <c r="B4625" s="65" t="s">
        <v>6881</v>
      </c>
      <c r="C4625" s="1">
        <v>8897962238</v>
      </c>
      <c r="E4625" s="3" t="s">
        <v>6199</v>
      </c>
      <c r="F4625" s="65" t="s">
        <v>6882</v>
      </c>
      <c r="G4625" s="3" t="s">
        <v>16</v>
      </c>
      <c r="H4625" s="2" t="s">
        <v>3240</v>
      </c>
      <c r="I4625" s="3" t="s">
        <v>42</v>
      </c>
      <c r="J4625" s="31">
        <v>45954</v>
      </c>
      <c r="K4625" s="31">
        <v>45978</v>
      </c>
      <c r="L4625" s="31">
        <v>45982</v>
      </c>
      <c r="M4625" s="31">
        <v>46006</v>
      </c>
      <c r="N4625" s="31">
        <v>46006</v>
      </c>
      <c r="O4625" s="3" t="s">
        <v>297</v>
      </c>
    </row>
    <row r="4626" spans="1:15">
      <c r="A4626" s="3">
        <f t="shared" si="74"/>
        <v>4625</v>
      </c>
      <c r="B4626" s="65" t="s">
        <v>6883</v>
      </c>
      <c r="C4626" s="1">
        <v>9455330550</v>
      </c>
      <c r="D4626" s="1">
        <v>7410068812</v>
      </c>
      <c r="E4626" s="3" t="s">
        <v>6199</v>
      </c>
      <c r="F4626" s="65" t="s">
        <v>6884</v>
      </c>
      <c r="G4626" s="3" t="s">
        <v>416</v>
      </c>
      <c r="H4626" s="2" t="s">
        <v>3240</v>
      </c>
      <c r="I4626" s="3" t="s">
        <v>42</v>
      </c>
      <c r="J4626" s="31">
        <v>45954</v>
      </c>
      <c r="K4626" s="31">
        <v>45978</v>
      </c>
      <c r="L4626" s="31"/>
      <c r="M4626" s="31"/>
      <c r="N4626" s="31"/>
      <c r="O4626" s="3" t="s">
        <v>297</v>
      </c>
    </row>
    <row r="4627" spans="1:15">
      <c r="A4627" s="3">
        <f t="shared" si="74"/>
        <v>4626</v>
      </c>
      <c r="B4627" s="65" t="s">
        <v>6885</v>
      </c>
      <c r="C4627" s="1">
        <v>9907459531</v>
      </c>
      <c r="E4627" s="17" t="s">
        <v>5173</v>
      </c>
      <c r="F4627" s="65" t="s">
        <v>6886</v>
      </c>
      <c r="G4627" s="3" t="s">
        <v>16</v>
      </c>
      <c r="H4627" s="2" t="s">
        <v>3240</v>
      </c>
      <c r="I4627" s="3" t="s">
        <v>42</v>
      </c>
      <c r="J4627" s="31">
        <v>45954</v>
      </c>
      <c r="K4627" s="31">
        <v>45978</v>
      </c>
      <c r="L4627" s="31">
        <v>45982</v>
      </c>
      <c r="M4627" s="31">
        <v>45996</v>
      </c>
      <c r="N4627" s="31">
        <v>45996</v>
      </c>
      <c r="O4627" s="3" t="s">
        <v>297</v>
      </c>
    </row>
    <row r="4628" spans="1:15">
      <c r="A4628" s="3">
        <f t="shared" si="74"/>
        <v>4627</v>
      </c>
      <c r="B4628" s="65" t="s">
        <v>6887</v>
      </c>
      <c r="C4628" s="1">
        <v>8106823226</v>
      </c>
      <c r="E4628" s="3" t="s">
        <v>6199</v>
      </c>
      <c r="F4628" s="65" t="s">
        <v>6888</v>
      </c>
      <c r="G4628" s="3" t="s">
        <v>16</v>
      </c>
      <c r="H4628" s="2" t="s">
        <v>3240</v>
      </c>
      <c r="I4628" s="3" t="s">
        <v>42</v>
      </c>
      <c r="J4628" s="31">
        <v>45954</v>
      </c>
      <c r="K4628" s="31">
        <v>45978</v>
      </c>
      <c r="L4628" s="31">
        <v>45982</v>
      </c>
      <c r="M4628" s="31">
        <v>46001</v>
      </c>
      <c r="N4628" s="31">
        <v>46000</v>
      </c>
      <c r="O4628" s="3" t="s">
        <v>297</v>
      </c>
    </row>
    <row r="4629" spans="1:15">
      <c r="A4629" s="3">
        <f t="shared" si="74"/>
        <v>4628</v>
      </c>
      <c r="B4629" s="65" t="s">
        <v>6889</v>
      </c>
      <c r="C4629" s="1">
        <v>7680857483</v>
      </c>
      <c r="E4629" s="17" t="s">
        <v>5904</v>
      </c>
      <c r="F4629" s="65" t="s">
        <v>6890</v>
      </c>
      <c r="G4629" s="3" t="s">
        <v>764</v>
      </c>
      <c r="H4629" s="2" t="s">
        <v>5774</v>
      </c>
      <c r="I4629" s="3" t="s">
        <v>42</v>
      </c>
      <c r="J4629" s="31">
        <v>45954</v>
      </c>
      <c r="K4629" s="31">
        <v>45968</v>
      </c>
      <c r="L4629" s="31"/>
      <c r="M4629" s="31"/>
      <c r="N4629" s="31"/>
      <c r="O4629" s="3" t="s">
        <v>425</v>
      </c>
    </row>
    <row r="4630" spans="1:15">
      <c r="A4630" s="3">
        <f t="shared" si="74"/>
        <v>4629</v>
      </c>
      <c r="B4630" s="65" t="s">
        <v>6891</v>
      </c>
      <c r="C4630" s="1">
        <v>6309171381</v>
      </c>
      <c r="E4630" s="17" t="s">
        <v>5904</v>
      </c>
      <c r="F4630" s="65" t="s">
        <v>6892</v>
      </c>
      <c r="G4630" s="3" t="s">
        <v>764</v>
      </c>
      <c r="H4630" s="2" t="s">
        <v>5774</v>
      </c>
      <c r="I4630" s="3" t="s">
        <v>42</v>
      </c>
      <c r="J4630" s="31">
        <v>45954</v>
      </c>
      <c r="K4630" s="31">
        <v>45968</v>
      </c>
      <c r="L4630" s="31"/>
      <c r="M4630" s="31"/>
      <c r="N4630" s="31"/>
      <c r="O4630" s="3" t="s">
        <v>425</v>
      </c>
    </row>
    <row r="4631" spans="1:15">
      <c r="A4631" s="3">
        <f t="shared" si="74"/>
        <v>4630</v>
      </c>
      <c r="B4631" s="65" t="s">
        <v>827</v>
      </c>
      <c r="C4631" s="1">
        <v>8084737149</v>
      </c>
      <c r="E4631" s="17" t="s">
        <v>6893</v>
      </c>
      <c r="F4631" s="65"/>
      <c r="G4631" s="3" t="s">
        <v>16</v>
      </c>
      <c r="H4631" s="2" t="s">
        <v>94</v>
      </c>
      <c r="I4631" s="3" t="s">
        <v>94</v>
      </c>
      <c r="J4631" s="31">
        <v>45945</v>
      </c>
      <c r="K4631" s="31">
        <v>45951</v>
      </c>
      <c r="L4631" s="31">
        <v>45954</v>
      </c>
      <c r="M4631" s="31">
        <v>45971</v>
      </c>
      <c r="N4631" s="31">
        <v>45993</v>
      </c>
      <c r="O4631" s="3" t="s">
        <v>297</v>
      </c>
    </row>
    <row r="4632" spans="1:15">
      <c r="A4632" s="3">
        <f t="shared" si="74"/>
        <v>4631</v>
      </c>
      <c r="B4632" s="65" t="s">
        <v>6894</v>
      </c>
      <c r="C4632" s="1">
        <v>7987275511</v>
      </c>
      <c r="E4632" s="17" t="s">
        <v>6409</v>
      </c>
      <c r="F4632" s="65"/>
      <c r="G4632" s="3" t="s">
        <v>16</v>
      </c>
      <c r="H4632" s="2" t="s">
        <v>930</v>
      </c>
      <c r="I4632" s="3" t="s">
        <v>94</v>
      </c>
      <c r="J4632" s="31">
        <v>45945</v>
      </c>
      <c r="K4632" s="31">
        <v>45951</v>
      </c>
      <c r="L4632" s="31">
        <v>45954</v>
      </c>
      <c r="M4632" s="31">
        <v>45976</v>
      </c>
      <c r="N4632" s="31">
        <v>45978</v>
      </c>
      <c r="O4632" s="3" t="s">
        <v>297</v>
      </c>
    </row>
    <row r="4633" spans="1:15">
      <c r="A4633" s="3">
        <f t="shared" si="74"/>
        <v>4632</v>
      </c>
      <c r="B4633" s="65" t="s">
        <v>6895</v>
      </c>
      <c r="C4633" s="1">
        <v>9755453721</v>
      </c>
      <c r="E4633" s="17" t="s">
        <v>6822</v>
      </c>
      <c r="F4633" s="65"/>
      <c r="G4633" s="3" t="s">
        <v>16</v>
      </c>
      <c r="H4633" s="2" t="s">
        <v>930</v>
      </c>
      <c r="I4633" s="3" t="s">
        <v>94</v>
      </c>
      <c r="J4633" s="31">
        <v>45945</v>
      </c>
      <c r="K4633" s="31">
        <v>45951</v>
      </c>
      <c r="L4633" s="31">
        <v>45954</v>
      </c>
      <c r="M4633" s="31">
        <v>45986</v>
      </c>
      <c r="N4633" s="31">
        <v>45986</v>
      </c>
      <c r="O4633" s="3" t="s">
        <v>297</v>
      </c>
    </row>
    <row r="4634" spans="1:15">
      <c r="A4634" s="3">
        <f t="shared" si="74"/>
        <v>4633</v>
      </c>
      <c r="B4634" s="65" t="s">
        <v>4429</v>
      </c>
      <c r="C4634" s="1">
        <v>6392108713</v>
      </c>
      <c r="E4634" s="17" t="s">
        <v>5469</v>
      </c>
      <c r="F4634" s="65"/>
      <c r="G4634" s="3" t="s">
        <v>16</v>
      </c>
      <c r="H4634" s="2" t="s">
        <v>1096</v>
      </c>
      <c r="I4634" s="3" t="s">
        <v>94</v>
      </c>
      <c r="J4634" s="31">
        <v>45945</v>
      </c>
      <c r="K4634" s="31">
        <v>45951</v>
      </c>
      <c r="L4634" s="31">
        <v>45954</v>
      </c>
      <c r="M4634" s="31">
        <v>45962</v>
      </c>
      <c r="N4634" s="31">
        <v>45965</v>
      </c>
      <c r="O4634" s="3" t="s">
        <v>297</v>
      </c>
    </row>
    <row r="4635" spans="1:15">
      <c r="A4635" s="3">
        <f t="shared" si="74"/>
        <v>4634</v>
      </c>
      <c r="B4635" s="65" t="s">
        <v>6896</v>
      </c>
      <c r="C4635" s="1">
        <v>9755330929</v>
      </c>
      <c r="E4635" s="17" t="s">
        <v>5469</v>
      </c>
      <c r="F4635" s="65"/>
      <c r="G4635" s="3" t="s">
        <v>295</v>
      </c>
      <c r="H4635" s="2" t="s">
        <v>1096</v>
      </c>
      <c r="I4635" s="3" t="s">
        <v>94</v>
      </c>
      <c r="J4635" s="31">
        <v>45945</v>
      </c>
      <c r="K4635" s="31">
        <v>45951</v>
      </c>
      <c r="L4635" s="31">
        <v>45954</v>
      </c>
      <c r="M4635" s="31">
        <v>45986</v>
      </c>
      <c r="N4635" s="31"/>
      <c r="O4635" s="3" t="s">
        <v>297</v>
      </c>
    </row>
    <row r="4636" spans="1:15">
      <c r="A4636" s="3">
        <f t="shared" si="74"/>
        <v>4635</v>
      </c>
      <c r="B4636" s="65" t="s">
        <v>6897</v>
      </c>
      <c r="C4636" s="1">
        <v>9494771778</v>
      </c>
      <c r="E4636" s="17" t="s">
        <v>5904</v>
      </c>
      <c r="F4636" s="65"/>
      <c r="G4636" s="3" t="s">
        <v>16</v>
      </c>
      <c r="H4636" s="2" t="s">
        <v>5774</v>
      </c>
      <c r="I4636" s="3" t="s">
        <v>42</v>
      </c>
      <c r="J4636" s="31">
        <v>45948</v>
      </c>
      <c r="K4636" s="31">
        <v>45951</v>
      </c>
      <c r="L4636" s="31">
        <v>45954</v>
      </c>
      <c r="M4636" s="31">
        <v>45962</v>
      </c>
      <c r="N4636" s="31">
        <v>45962</v>
      </c>
      <c r="O4636" s="3" t="s">
        <v>297</v>
      </c>
    </row>
    <row r="4637" spans="1:15">
      <c r="A4637" s="3">
        <f t="shared" si="74"/>
        <v>4636</v>
      </c>
      <c r="B4637" s="65" t="s">
        <v>6898</v>
      </c>
      <c r="C4637" s="1">
        <v>9402229194</v>
      </c>
      <c r="E4637" s="17" t="s">
        <v>5904</v>
      </c>
      <c r="F4637" s="65"/>
      <c r="G4637" s="3" t="s">
        <v>16</v>
      </c>
      <c r="H4637" s="2" t="s">
        <v>5774</v>
      </c>
      <c r="I4637" s="3" t="s">
        <v>42</v>
      </c>
      <c r="J4637" s="31">
        <v>45948</v>
      </c>
      <c r="K4637" s="31">
        <v>45951</v>
      </c>
      <c r="L4637" s="31">
        <v>45954</v>
      </c>
      <c r="M4637" s="31">
        <v>45976</v>
      </c>
      <c r="N4637" s="31">
        <v>45973</v>
      </c>
      <c r="O4637" s="3" t="s">
        <v>297</v>
      </c>
    </row>
    <row r="4638" spans="1:15">
      <c r="A4638" s="3">
        <f t="shared" si="74"/>
        <v>4637</v>
      </c>
      <c r="B4638" s="65" t="s">
        <v>6899</v>
      </c>
      <c r="C4638" s="1">
        <v>9493640719</v>
      </c>
      <c r="E4638" s="17" t="s">
        <v>4946</v>
      </c>
      <c r="F4638" s="65"/>
      <c r="G4638" s="3" t="s">
        <v>16</v>
      </c>
      <c r="H4638" s="2" t="s">
        <v>6158</v>
      </c>
      <c r="I4638" s="3" t="s">
        <v>42</v>
      </c>
      <c r="J4638" s="31">
        <v>45948</v>
      </c>
      <c r="K4638" s="31">
        <v>45951</v>
      </c>
      <c r="L4638" s="31">
        <v>45954</v>
      </c>
      <c r="M4638" s="31">
        <v>45976</v>
      </c>
      <c r="N4638" s="31">
        <v>45975</v>
      </c>
      <c r="O4638" s="3" t="s">
        <v>297</v>
      </c>
    </row>
    <row r="4639" spans="1:15">
      <c r="A4639" s="3">
        <f t="shared" si="74"/>
        <v>4638</v>
      </c>
      <c r="B4639" s="65" t="s">
        <v>6900</v>
      </c>
      <c r="E4639" s="17" t="s">
        <v>6901</v>
      </c>
      <c r="F4639" s="65"/>
      <c r="G4639" s="3" t="s">
        <v>16</v>
      </c>
      <c r="H4639" s="2"/>
      <c r="I4639" s="3" t="s">
        <v>88</v>
      </c>
      <c r="J4639" s="31"/>
      <c r="K4639" s="31"/>
      <c r="L4639" s="31"/>
      <c r="M4639" s="31"/>
      <c r="N4639" s="31"/>
      <c r="O4639" s="3" t="s">
        <v>297</v>
      </c>
    </row>
    <row r="4640" spans="1:15">
      <c r="A4640" s="3">
        <f t="shared" si="74"/>
        <v>4639</v>
      </c>
      <c r="B4640" s="65" t="s">
        <v>6902</v>
      </c>
      <c r="E4640" s="17" t="s">
        <v>6903</v>
      </c>
      <c r="F4640" s="65"/>
      <c r="G4640" s="3" t="s">
        <v>16</v>
      </c>
      <c r="H4640" s="2"/>
      <c r="I4640" s="3" t="s">
        <v>88</v>
      </c>
      <c r="J4640" s="31"/>
      <c r="K4640" s="31"/>
      <c r="L4640" s="31"/>
      <c r="M4640" s="31"/>
      <c r="N4640" s="31"/>
      <c r="O4640" s="3" t="s">
        <v>297</v>
      </c>
    </row>
    <row r="4641" spans="1:15">
      <c r="A4641" s="3">
        <f t="shared" si="74"/>
        <v>4640</v>
      </c>
      <c r="B4641" s="65" t="s">
        <v>6904</v>
      </c>
      <c r="E4641" s="17" t="s">
        <v>6903</v>
      </c>
      <c r="F4641" s="65"/>
      <c r="G4641" s="3" t="s">
        <v>16</v>
      </c>
      <c r="H4641" s="2"/>
      <c r="I4641" s="3" t="s">
        <v>88</v>
      </c>
      <c r="J4641" s="31"/>
      <c r="K4641" s="31"/>
      <c r="L4641" s="31"/>
      <c r="M4641" s="31"/>
      <c r="N4641" s="31"/>
      <c r="O4641" s="3" t="s">
        <v>297</v>
      </c>
    </row>
    <row r="4642" spans="1:15">
      <c r="A4642" s="3">
        <f t="shared" si="74"/>
        <v>4641</v>
      </c>
      <c r="B4642" s="65" t="s">
        <v>6905</v>
      </c>
      <c r="E4642" s="17" t="s">
        <v>6906</v>
      </c>
      <c r="F4642" s="65"/>
      <c r="G4642" s="3" t="s">
        <v>16</v>
      </c>
      <c r="H4642" s="2"/>
      <c r="I4642" s="3" t="s">
        <v>88</v>
      </c>
      <c r="J4642" s="31"/>
      <c r="K4642" s="31"/>
      <c r="L4642" s="31"/>
      <c r="M4642" s="31"/>
      <c r="N4642" s="31"/>
      <c r="O4642" s="3" t="s">
        <v>297</v>
      </c>
    </row>
    <row r="4643" spans="1:15">
      <c r="A4643" s="3">
        <f t="shared" si="74"/>
        <v>4642</v>
      </c>
      <c r="B4643" s="65" t="s">
        <v>6907</v>
      </c>
      <c r="E4643" s="17" t="s">
        <v>6908</v>
      </c>
      <c r="F4643" s="65"/>
      <c r="G4643" s="3" t="s">
        <v>16</v>
      </c>
      <c r="H4643" s="2"/>
      <c r="I4643" s="3" t="s">
        <v>88</v>
      </c>
      <c r="J4643" s="31"/>
      <c r="K4643" s="31"/>
      <c r="L4643" s="31"/>
      <c r="M4643" s="31"/>
      <c r="N4643" s="31"/>
      <c r="O4643" s="3" t="s">
        <v>297</v>
      </c>
    </row>
    <row r="4644" spans="1:15">
      <c r="A4644" s="3">
        <f t="shared" si="74"/>
        <v>4643</v>
      </c>
      <c r="B4644" s="65" t="s">
        <v>6909</v>
      </c>
      <c r="E4644" s="17" t="s">
        <v>6901</v>
      </c>
      <c r="F4644" s="65"/>
      <c r="G4644" s="3" t="s">
        <v>16</v>
      </c>
      <c r="H4644" s="2"/>
      <c r="I4644" s="3" t="s">
        <v>88</v>
      </c>
      <c r="J4644" s="31"/>
      <c r="K4644" s="31"/>
      <c r="L4644" s="31"/>
      <c r="M4644" s="31"/>
      <c r="N4644" s="31"/>
      <c r="O4644" s="3" t="s">
        <v>297</v>
      </c>
    </row>
    <row r="4645" spans="1:15">
      <c r="A4645" s="3">
        <f t="shared" si="74"/>
        <v>4644</v>
      </c>
      <c r="B4645" s="65" t="s">
        <v>6910</v>
      </c>
      <c r="E4645" s="17" t="s">
        <v>6903</v>
      </c>
      <c r="F4645" s="65"/>
      <c r="G4645" s="3" t="s">
        <v>16</v>
      </c>
      <c r="H4645" s="2"/>
      <c r="I4645" s="3" t="s">
        <v>88</v>
      </c>
      <c r="J4645" s="31"/>
      <c r="K4645" s="31"/>
      <c r="L4645" s="31"/>
      <c r="M4645" s="31"/>
      <c r="N4645" s="31"/>
      <c r="O4645" s="3" t="s">
        <v>297</v>
      </c>
    </row>
    <row r="4646" spans="1:15">
      <c r="A4646" s="3">
        <f t="shared" si="74"/>
        <v>4645</v>
      </c>
      <c r="B4646" s="65" t="s">
        <v>6911</v>
      </c>
      <c r="E4646" s="17" t="s">
        <v>6903</v>
      </c>
      <c r="F4646" s="65"/>
      <c r="G4646" s="3" t="s">
        <v>16</v>
      </c>
      <c r="H4646" s="2"/>
      <c r="I4646" s="3" t="s">
        <v>88</v>
      </c>
      <c r="J4646" s="31"/>
      <c r="K4646" s="31"/>
      <c r="L4646" s="31"/>
      <c r="M4646" s="31"/>
      <c r="N4646" s="31"/>
      <c r="O4646" s="3" t="s">
        <v>297</v>
      </c>
    </row>
    <row r="4647" spans="1:15">
      <c r="A4647" s="3">
        <f t="shared" si="74"/>
        <v>4646</v>
      </c>
      <c r="B4647" s="65" t="s">
        <v>6912</v>
      </c>
      <c r="C4647" s="1">
        <v>6300302476</v>
      </c>
      <c r="D4647" s="1">
        <v>9701648076</v>
      </c>
      <c r="E4647" s="17" t="s">
        <v>6796</v>
      </c>
      <c r="F4647" s="65" t="s">
        <v>277</v>
      </c>
      <c r="G4647" s="3" t="s">
        <v>16</v>
      </c>
      <c r="H4647" s="2" t="s">
        <v>5774</v>
      </c>
      <c r="I4647" s="3" t="s">
        <v>42</v>
      </c>
      <c r="J4647" s="31">
        <v>45955</v>
      </c>
      <c r="K4647" s="31">
        <v>45965</v>
      </c>
      <c r="L4647" s="31">
        <v>45968</v>
      </c>
      <c r="M4647" s="31">
        <v>46006</v>
      </c>
      <c r="N4647" s="31">
        <v>46006</v>
      </c>
      <c r="O4647" s="3" t="s">
        <v>297</v>
      </c>
    </row>
    <row r="4648" spans="1:15">
      <c r="A4648" s="3">
        <f t="shared" si="74"/>
        <v>4647</v>
      </c>
      <c r="B4648" s="65" t="s">
        <v>6913</v>
      </c>
      <c r="C4648" s="1">
        <v>7581901335</v>
      </c>
      <c r="E4648" s="17" t="s">
        <v>6914</v>
      </c>
      <c r="F4648" s="65" t="s">
        <v>1027</v>
      </c>
      <c r="G4648" s="3" t="s">
        <v>16</v>
      </c>
      <c r="H4648" s="2" t="s">
        <v>930</v>
      </c>
      <c r="I4648" s="3" t="s">
        <v>94</v>
      </c>
      <c r="J4648" s="31">
        <v>45955</v>
      </c>
      <c r="K4648" s="31">
        <v>45957</v>
      </c>
      <c r="L4648" s="31">
        <v>45959</v>
      </c>
      <c r="M4648" s="31">
        <v>45974</v>
      </c>
      <c r="N4648" s="31">
        <v>45973</v>
      </c>
      <c r="O4648" s="3" t="s">
        <v>297</v>
      </c>
    </row>
    <row r="4649" spans="1:15">
      <c r="A4649" s="3">
        <f t="shared" si="74"/>
        <v>4648</v>
      </c>
      <c r="B4649" s="65" t="s">
        <v>6915</v>
      </c>
      <c r="C4649" s="1">
        <v>7068992791</v>
      </c>
      <c r="E4649" s="17" t="s">
        <v>6914</v>
      </c>
      <c r="F4649" s="65" t="s">
        <v>6916</v>
      </c>
      <c r="G4649" s="3" t="s">
        <v>424</v>
      </c>
      <c r="H4649" s="2" t="s">
        <v>930</v>
      </c>
      <c r="I4649" s="3" t="s">
        <v>94</v>
      </c>
      <c r="J4649" s="31">
        <v>45955</v>
      </c>
      <c r="K4649" s="31">
        <v>45957</v>
      </c>
      <c r="L4649" s="31"/>
      <c r="M4649" s="31"/>
      <c r="N4649" s="31"/>
      <c r="O4649" s="3" t="s">
        <v>425</v>
      </c>
    </row>
    <row r="4650" spans="1:15">
      <c r="A4650" s="3">
        <f t="shared" si="74"/>
        <v>4649</v>
      </c>
      <c r="B4650" s="65" t="s">
        <v>6917</v>
      </c>
      <c r="C4650" s="1">
        <v>9926771701</v>
      </c>
      <c r="E4650" s="17" t="s">
        <v>6914</v>
      </c>
      <c r="F4650" s="65" t="s">
        <v>6918</v>
      </c>
      <c r="G4650" s="3" t="s">
        <v>16</v>
      </c>
      <c r="H4650" s="2" t="s">
        <v>930</v>
      </c>
      <c r="I4650" s="3" t="s">
        <v>94</v>
      </c>
      <c r="J4650" s="31">
        <v>45955</v>
      </c>
      <c r="K4650" s="31">
        <v>45957</v>
      </c>
      <c r="L4650" s="31">
        <v>45959</v>
      </c>
      <c r="M4650" s="31">
        <v>45979</v>
      </c>
      <c r="N4650" s="31">
        <v>45972</v>
      </c>
      <c r="O4650" s="3" t="s">
        <v>297</v>
      </c>
    </row>
    <row r="4651" spans="1:15">
      <c r="A4651" s="3">
        <f t="shared" si="74"/>
        <v>4650</v>
      </c>
      <c r="B4651" s="65" t="s">
        <v>3174</v>
      </c>
      <c r="C4651" s="1">
        <v>9939255837</v>
      </c>
      <c r="E4651" s="3" t="s">
        <v>6199</v>
      </c>
      <c r="F4651" s="65" t="s">
        <v>6919</v>
      </c>
      <c r="G4651" s="3" t="s">
        <v>416</v>
      </c>
      <c r="H4651" s="2" t="s">
        <v>3240</v>
      </c>
      <c r="I4651" s="3" t="s">
        <v>42</v>
      </c>
      <c r="J4651" s="31">
        <v>45957</v>
      </c>
      <c r="K4651" s="31">
        <v>45994</v>
      </c>
      <c r="L4651" s="31"/>
      <c r="M4651" s="31"/>
      <c r="N4651" s="31"/>
      <c r="O4651" s="3" t="s">
        <v>297</v>
      </c>
    </row>
    <row r="4652" spans="1:15">
      <c r="A4652" s="3">
        <f t="shared" si="74"/>
        <v>4651</v>
      </c>
      <c r="B4652" s="65" t="s">
        <v>6920</v>
      </c>
      <c r="C4652" s="1">
        <v>6393182887</v>
      </c>
      <c r="D4652" s="1">
        <v>8414029228</v>
      </c>
      <c r="E4652" s="17" t="s">
        <v>5173</v>
      </c>
      <c r="F4652" s="65" t="s">
        <v>6921</v>
      </c>
      <c r="G4652" s="3" t="s">
        <v>424</v>
      </c>
      <c r="H4652" s="2" t="s">
        <v>3240</v>
      </c>
      <c r="I4652" s="3" t="s">
        <v>42</v>
      </c>
      <c r="J4652" s="31">
        <v>45957</v>
      </c>
      <c r="K4652" s="31">
        <v>45968</v>
      </c>
      <c r="L4652" s="31"/>
      <c r="M4652" s="31"/>
      <c r="N4652" s="31"/>
      <c r="O4652" s="3" t="s">
        <v>425</v>
      </c>
    </row>
    <row r="4653" spans="1:15">
      <c r="A4653" s="3">
        <f t="shared" si="74"/>
        <v>4652</v>
      </c>
      <c r="B4653" s="65" t="s">
        <v>6922</v>
      </c>
      <c r="C4653" s="1">
        <v>7019541521</v>
      </c>
      <c r="E4653" s="3" t="s">
        <v>6199</v>
      </c>
      <c r="F4653" s="65" t="s">
        <v>6923</v>
      </c>
      <c r="G4653" s="3" t="s">
        <v>16</v>
      </c>
      <c r="H4653" s="2" t="s">
        <v>3240</v>
      </c>
      <c r="I4653" s="3" t="s">
        <v>42</v>
      </c>
      <c r="J4653" s="31">
        <v>45957</v>
      </c>
      <c r="K4653" s="31">
        <v>45994</v>
      </c>
      <c r="L4653" s="31">
        <v>46000</v>
      </c>
      <c r="M4653" s="31">
        <v>46023</v>
      </c>
      <c r="N4653" s="31">
        <v>46027</v>
      </c>
      <c r="O4653" s="3" t="s">
        <v>297</v>
      </c>
    </row>
    <row r="4654" spans="1:15">
      <c r="A4654" s="3">
        <f t="shared" si="74"/>
        <v>4653</v>
      </c>
      <c r="B4654" s="65" t="s">
        <v>6924</v>
      </c>
      <c r="C4654" s="1">
        <v>9079782355</v>
      </c>
      <c r="E4654" s="17" t="s">
        <v>6925</v>
      </c>
      <c r="F4654" s="65" t="s">
        <v>5046</v>
      </c>
      <c r="G4654" s="3" t="s">
        <v>16</v>
      </c>
      <c r="H4654" s="2" t="s">
        <v>913</v>
      </c>
      <c r="I4654" s="3" t="s">
        <v>94</v>
      </c>
      <c r="J4654" s="31">
        <v>45957</v>
      </c>
      <c r="K4654" s="31">
        <v>45974</v>
      </c>
      <c r="L4654" s="31">
        <v>45981</v>
      </c>
      <c r="M4654" s="31">
        <v>45993</v>
      </c>
      <c r="N4654" s="31">
        <v>45992</v>
      </c>
      <c r="O4654" s="3" t="s">
        <v>297</v>
      </c>
    </row>
    <row r="4655" spans="1:15">
      <c r="A4655" s="3">
        <f t="shared" si="74"/>
        <v>4654</v>
      </c>
      <c r="B4655" s="65" t="s">
        <v>6926</v>
      </c>
      <c r="C4655" s="1">
        <v>9797612777</v>
      </c>
      <c r="E4655" s="17" t="s">
        <v>6925</v>
      </c>
      <c r="F4655" s="65" t="s">
        <v>972</v>
      </c>
      <c r="G4655" s="3" t="s">
        <v>424</v>
      </c>
      <c r="H4655" s="2" t="s">
        <v>913</v>
      </c>
      <c r="I4655" s="3" t="s">
        <v>94</v>
      </c>
      <c r="J4655" s="31">
        <v>45957</v>
      </c>
      <c r="K4655" s="31">
        <v>45975</v>
      </c>
      <c r="L4655" s="31"/>
      <c r="M4655" s="31"/>
      <c r="N4655" s="31"/>
      <c r="O4655" s="3" t="s">
        <v>425</v>
      </c>
    </row>
    <row r="4656" spans="1:15">
      <c r="A4656" s="3">
        <f t="shared" si="74"/>
        <v>4655</v>
      </c>
      <c r="B4656" s="65" t="s">
        <v>6927</v>
      </c>
      <c r="C4656" s="1">
        <v>7688821740</v>
      </c>
      <c r="D4656" s="1">
        <v>9664417656</v>
      </c>
      <c r="E4656" s="17" t="s">
        <v>6925</v>
      </c>
      <c r="F4656" s="65" t="s">
        <v>6928</v>
      </c>
      <c r="G4656" s="3" t="s">
        <v>424</v>
      </c>
      <c r="H4656" s="2" t="s">
        <v>913</v>
      </c>
      <c r="I4656" s="3" t="s">
        <v>94</v>
      </c>
      <c r="J4656" s="31">
        <v>45957</v>
      </c>
      <c r="K4656" s="31">
        <v>45974</v>
      </c>
      <c r="L4656" s="31"/>
      <c r="M4656" s="31"/>
      <c r="N4656" s="31"/>
      <c r="O4656" s="3" t="s">
        <v>425</v>
      </c>
    </row>
    <row r="4657" spans="1:15">
      <c r="A4657" s="3">
        <f t="shared" si="74"/>
        <v>4656</v>
      </c>
      <c r="B4657" s="65" t="s">
        <v>6929</v>
      </c>
      <c r="C4657" s="1">
        <v>6295047298</v>
      </c>
      <c r="D4657" s="1">
        <v>7318817285</v>
      </c>
      <c r="E4657" s="17" t="s">
        <v>6796</v>
      </c>
      <c r="F4657" s="65" t="s">
        <v>294</v>
      </c>
      <c r="G4657" s="3" t="s">
        <v>1175</v>
      </c>
      <c r="H4657" s="2" t="s">
        <v>6158</v>
      </c>
      <c r="I4657" s="3" t="s">
        <v>42</v>
      </c>
      <c r="J4657" s="31">
        <v>45957</v>
      </c>
      <c r="K4657" s="31"/>
      <c r="L4657" s="31"/>
      <c r="M4657" s="31"/>
      <c r="N4657" s="31"/>
      <c r="O4657" s="3" t="s">
        <v>1004</v>
      </c>
    </row>
    <row r="4658" spans="1:15">
      <c r="A4658" s="3">
        <f t="shared" si="74"/>
        <v>4657</v>
      </c>
      <c r="B4658" s="65" t="s">
        <v>571</v>
      </c>
      <c r="C4658" s="1">
        <v>9131778763</v>
      </c>
      <c r="D4658" s="1">
        <v>7024257892</v>
      </c>
      <c r="E4658" s="17" t="s">
        <v>6914</v>
      </c>
      <c r="F4658" s="65" t="s">
        <v>384</v>
      </c>
      <c r="G4658" s="3" t="s">
        <v>16</v>
      </c>
      <c r="H4658" s="2" t="s">
        <v>913</v>
      </c>
      <c r="I4658" s="3" t="s">
        <v>94</v>
      </c>
      <c r="J4658" s="31">
        <v>45957</v>
      </c>
      <c r="K4658" s="31">
        <v>45967</v>
      </c>
      <c r="L4658" s="31">
        <v>45968</v>
      </c>
      <c r="M4658" s="31">
        <v>45975</v>
      </c>
      <c r="N4658" s="31">
        <v>45979</v>
      </c>
      <c r="O4658" s="3" t="s">
        <v>297</v>
      </c>
    </row>
    <row r="4659" spans="1:15">
      <c r="A4659" s="3">
        <f t="shared" si="74"/>
        <v>4658</v>
      </c>
      <c r="B4659" s="65" t="s">
        <v>6930</v>
      </c>
      <c r="C4659" s="1">
        <v>7007804858</v>
      </c>
      <c r="E4659" s="17" t="s">
        <v>6914</v>
      </c>
      <c r="F4659" s="65" t="s">
        <v>6931</v>
      </c>
      <c r="G4659" s="3" t="s">
        <v>18</v>
      </c>
      <c r="H4659" s="2" t="s">
        <v>913</v>
      </c>
      <c r="I4659" s="3" t="s">
        <v>94</v>
      </c>
      <c r="J4659" s="31">
        <v>45957</v>
      </c>
      <c r="K4659" s="31">
        <v>45967</v>
      </c>
      <c r="L4659" s="31"/>
      <c r="M4659" s="31"/>
      <c r="N4659" s="31"/>
      <c r="O4659" s="3" t="s">
        <v>297</v>
      </c>
    </row>
    <row r="4660" spans="1:15">
      <c r="A4660" s="3">
        <f t="shared" si="74"/>
        <v>4659</v>
      </c>
      <c r="B4660" s="65" t="s">
        <v>6932</v>
      </c>
      <c r="C4660" s="1">
        <v>9229049132</v>
      </c>
      <c r="E4660" s="17" t="s">
        <v>6933</v>
      </c>
      <c r="F4660" s="65" t="s">
        <v>1935</v>
      </c>
      <c r="G4660" s="3" t="s">
        <v>16</v>
      </c>
      <c r="H4660" s="2" t="s">
        <v>913</v>
      </c>
      <c r="I4660" s="3" t="s">
        <v>94</v>
      </c>
      <c r="J4660" s="31">
        <v>45957</v>
      </c>
      <c r="K4660" s="31">
        <v>45959</v>
      </c>
      <c r="L4660" s="31">
        <v>45961</v>
      </c>
      <c r="M4660" s="31">
        <v>45992</v>
      </c>
      <c r="N4660" s="31">
        <v>45994</v>
      </c>
      <c r="O4660" s="3" t="s">
        <v>297</v>
      </c>
    </row>
    <row r="4661" spans="1:15">
      <c r="A4661" s="3">
        <f t="shared" si="74"/>
        <v>4660</v>
      </c>
      <c r="B4661" s="65" t="s">
        <v>6934</v>
      </c>
      <c r="C4661" s="1">
        <v>9649181452</v>
      </c>
      <c r="E4661" s="17" t="s">
        <v>5592</v>
      </c>
      <c r="F4661" s="65" t="s">
        <v>4867</v>
      </c>
      <c r="G4661" s="3" t="s">
        <v>16</v>
      </c>
      <c r="H4661" s="2" t="s">
        <v>296</v>
      </c>
      <c r="I4661" s="3" t="s">
        <v>94</v>
      </c>
      <c r="J4661" s="31">
        <v>45957</v>
      </c>
      <c r="K4661" s="31">
        <v>45968</v>
      </c>
      <c r="L4661" s="31">
        <v>45972</v>
      </c>
      <c r="M4661" s="31">
        <v>46010</v>
      </c>
      <c r="N4661" s="31">
        <v>46010</v>
      </c>
      <c r="O4661" s="3" t="s">
        <v>297</v>
      </c>
    </row>
    <row r="4662" spans="1:15">
      <c r="A4662" s="3">
        <f t="shared" si="74"/>
        <v>4661</v>
      </c>
      <c r="B4662" s="65" t="s">
        <v>6935</v>
      </c>
      <c r="C4662" s="1">
        <v>6392299031</v>
      </c>
      <c r="E4662" s="17" t="s">
        <v>5771</v>
      </c>
      <c r="F4662" s="65" t="s">
        <v>6936</v>
      </c>
      <c r="G4662" s="3" t="s">
        <v>416</v>
      </c>
      <c r="H4662" s="2" t="s">
        <v>296</v>
      </c>
      <c r="I4662" s="3" t="s">
        <v>94</v>
      </c>
      <c r="J4662" s="31">
        <v>45957</v>
      </c>
      <c r="K4662" s="31">
        <v>45961</v>
      </c>
      <c r="L4662" s="31"/>
      <c r="M4662" s="31"/>
      <c r="N4662" s="31"/>
      <c r="O4662" s="3" t="s">
        <v>297</v>
      </c>
    </row>
    <row r="4663" spans="1:15">
      <c r="A4663" s="3">
        <f t="shared" si="74"/>
        <v>4662</v>
      </c>
      <c r="B4663" s="65" t="s">
        <v>6937</v>
      </c>
      <c r="C4663" s="1">
        <v>8759265967</v>
      </c>
      <c r="E4663" s="17" t="s">
        <v>5771</v>
      </c>
      <c r="F4663" s="65" t="s">
        <v>294</v>
      </c>
      <c r="G4663" s="3" t="s">
        <v>424</v>
      </c>
      <c r="H4663" s="2" t="s">
        <v>296</v>
      </c>
      <c r="I4663" s="3" t="s">
        <v>94</v>
      </c>
      <c r="J4663" s="31">
        <v>45957</v>
      </c>
      <c r="K4663" s="31">
        <v>45968</v>
      </c>
      <c r="L4663" s="31"/>
      <c r="M4663" s="31"/>
      <c r="N4663" s="31"/>
      <c r="O4663" s="3" t="s">
        <v>425</v>
      </c>
    </row>
    <row r="4664" spans="1:15">
      <c r="A4664" s="3">
        <f t="shared" si="74"/>
        <v>4663</v>
      </c>
      <c r="B4664" s="65" t="s">
        <v>6938</v>
      </c>
      <c r="C4664" s="1">
        <v>8085198304</v>
      </c>
      <c r="E4664" s="17" t="s">
        <v>6939</v>
      </c>
      <c r="F4664" s="65" t="s">
        <v>6940</v>
      </c>
      <c r="G4664" s="3" t="s">
        <v>416</v>
      </c>
      <c r="H4664" s="2" t="s">
        <v>357</v>
      </c>
      <c r="I4664" s="3" t="s">
        <v>88</v>
      </c>
      <c r="J4664" s="31">
        <v>45958</v>
      </c>
      <c r="K4664" s="31">
        <v>45958</v>
      </c>
      <c r="L4664" s="31"/>
      <c r="M4664" s="31"/>
      <c r="N4664" s="31"/>
      <c r="O4664" s="3" t="s">
        <v>297</v>
      </c>
    </row>
    <row r="4665" spans="1:15">
      <c r="A4665" s="3">
        <f t="shared" si="74"/>
        <v>4664</v>
      </c>
      <c r="B4665" s="65" t="s">
        <v>6458</v>
      </c>
      <c r="C4665" s="1">
        <v>9306744141</v>
      </c>
      <c r="E4665" s="17" t="s">
        <v>6939</v>
      </c>
      <c r="F4665" s="65" t="s">
        <v>1918</v>
      </c>
      <c r="G4665" s="3" t="s">
        <v>416</v>
      </c>
      <c r="H4665" s="2" t="s">
        <v>357</v>
      </c>
      <c r="I4665" s="3" t="s">
        <v>88</v>
      </c>
      <c r="J4665" s="31">
        <v>45958</v>
      </c>
      <c r="K4665" s="31">
        <v>45958</v>
      </c>
      <c r="L4665" s="31"/>
      <c r="M4665" s="31"/>
      <c r="N4665" s="31"/>
      <c r="O4665" s="3" t="s">
        <v>297</v>
      </c>
    </row>
    <row r="4666" spans="1:15">
      <c r="A4666" s="3">
        <f t="shared" si="74"/>
        <v>4665</v>
      </c>
      <c r="B4666" s="65" t="s">
        <v>6941</v>
      </c>
      <c r="C4666" s="1">
        <v>9014891369</v>
      </c>
      <c r="E4666" s="17" t="s">
        <v>6939</v>
      </c>
      <c r="F4666" s="65" t="s">
        <v>6940</v>
      </c>
      <c r="G4666" s="2" t="s">
        <v>295</v>
      </c>
      <c r="H4666" s="2" t="s">
        <v>357</v>
      </c>
      <c r="I4666" s="3" t="s">
        <v>88</v>
      </c>
      <c r="J4666" s="31">
        <v>45958</v>
      </c>
      <c r="K4666" s="31">
        <v>45959</v>
      </c>
      <c r="L4666" s="31">
        <v>45961</v>
      </c>
      <c r="M4666" s="31">
        <v>45992</v>
      </c>
      <c r="N4666" s="31"/>
      <c r="O4666" s="3" t="s">
        <v>297</v>
      </c>
    </row>
    <row r="4667" spans="1:15">
      <c r="A4667" s="3">
        <f t="shared" si="74"/>
        <v>4666</v>
      </c>
      <c r="B4667" s="65" t="s">
        <v>6942</v>
      </c>
      <c r="C4667" s="1">
        <v>9652821523</v>
      </c>
      <c r="E4667" s="17" t="s">
        <v>6939</v>
      </c>
      <c r="F4667" s="65" t="s">
        <v>3813</v>
      </c>
      <c r="G4667" s="3" t="s">
        <v>18</v>
      </c>
      <c r="H4667" s="2" t="s">
        <v>357</v>
      </c>
      <c r="I4667" s="3" t="s">
        <v>88</v>
      </c>
      <c r="J4667" s="31">
        <v>45958</v>
      </c>
      <c r="K4667" s="31">
        <v>45959</v>
      </c>
      <c r="L4667" s="31"/>
      <c r="M4667" s="31"/>
      <c r="N4667" s="31"/>
      <c r="O4667" s="3" t="s">
        <v>297</v>
      </c>
    </row>
    <row r="4668" spans="1:15">
      <c r="A4668" s="3">
        <f t="shared" si="74"/>
        <v>4667</v>
      </c>
      <c r="B4668" s="65" t="s">
        <v>1217</v>
      </c>
      <c r="C4668" s="1">
        <v>9529070436</v>
      </c>
      <c r="D4668" s="1">
        <v>9529070427</v>
      </c>
      <c r="E4668" s="17" t="s">
        <v>6489</v>
      </c>
      <c r="F4668" s="65" t="s">
        <v>6943</v>
      </c>
      <c r="G4668" s="3" t="s">
        <v>708</v>
      </c>
      <c r="H4668" s="2" t="s">
        <v>679</v>
      </c>
      <c r="I4668" s="3" t="s">
        <v>42</v>
      </c>
      <c r="J4668" s="31">
        <v>45958</v>
      </c>
      <c r="K4668" s="31">
        <v>45981</v>
      </c>
      <c r="L4668" s="31"/>
      <c r="M4668" s="31"/>
      <c r="N4668" s="31"/>
      <c r="O4668" s="3" t="s">
        <v>297</v>
      </c>
    </row>
    <row r="4669" spans="1:15">
      <c r="A4669" s="3">
        <f t="shared" si="74"/>
        <v>4668</v>
      </c>
      <c r="B4669" s="65" t="s">
        <v>6944</v>
      </c>
      <c r="C4669" s="1">
        <v>9550313212</v>
      </c>
      <c r="E4669" s="17" t="s">
        <v>4609</v>
      </c>
      <c r="F4669" s="65" t="s">
        <v>6945</v>
      </c>
      <c r="G4669" s="3" t="s">
        <v>424</v>
      </c>
      <c r="H4669" s="2" t="s">
        <v>679</v>
      </c>
      <c r="I4669" s="3" t="s">
        <v>42</v>
      </c>
      <c r="J4669" s="31">
        <v>45958</v>
      </c>
      <c r="K4669" s="31">
        <v>45961</v>
      </c>
      <c r="L4669" s="31"/>
      <c r="M4669" s="31"/>
      <c r="N4669" s="31"/>
      <c r="O4669" s="3" t="s">
        <v>425</v>
      </c>
    </row>
    <row r="4670" spans="1:15">
      <c r="A4670" s="3">
        <f t="shared" si="74"/>
        <v>4669</v>
      </c>
      <c r="B4670" s="65" t="s">
        <v>6946</v>
      </c>
      <c r="C4670" s="1">
        <v>9366652451</v>
      </c>
      <c r="D4670" s="1">
        <v>9010302162</v>
      </c>
      <c r="E4670" s="17" t="s">
        <v>4609</v>
      </c>
      <c r="F4670" s="65" t="s">
        <v>744</v>
      </c>
      <c r="G4670" s="3" t="s">
        <v>764</v>
      </c>
      <c r="H4670" s="2" t="s">
        <v>679</v>
      </c>
      <c r="I4670" s="3" t="s">
        <v>42</v>
      </c>
      <c r="J4670" s="31">
        <v>45958</v>
      </c>
      <c r="K4670" s="31">
        <v>45981</v>
      </c>
      <c r="L4670" s="31"/>
      <c r="M4670" s="31"/>
      <c r="N4670" s="31"/>
      <c r="O4670" s="3" t="s">
        <v>425</v>
      </c>
    </row>
    <row r="4671" spans="1:15">
      <c r="A4671" s="3">
        <f t="shared" si="74"/>
        <v>4670</v>
      </c>
      <c r="B4671" s="65" t="s">
        <v>6947</v>
      </c>
      <c r="C4671" s="1">
        <v>9908019106</v>
      </c>
      <c r="E4671" s="17" t="s">
        <v>6489</v>
      </c>
      <c r="F4671" s="65" t="s">
        <v>6948</v>
      </c>
      <c r="G4671" s="3" t="s">
        <v>708</v>
      </c>
      <c r="H4671" s="2" t="s">
        <v>679</v>
      </c>
      <c r="I4671" s="3" t="s">
        <v>42</v>
      </c>
      <c r="J4671" s="31">
        <v>45958</v>
      </c>
      <c r="K4671" s="31">
        <v>45981</v>
      </c>
      <c r="L4671" s="31"/>
      <c r="M4671" s="31"/>
      <c r="N4671" s="31"/>
      <c r="O4671" s="3" t="s">
        <v>297</v>
      </c>
    </row>
    <row r="4672" spans="1:15">
      <c r="A4672" s="3">
        <f t="shared" si="74"/>
        <v>4671</v>
      </c>
      <c r="B4672" s="65" t="s">
        <v>6949</v>
      </c>
      <c r="C4672" s="1">
        <v>9550899238</v>
      </c>
      <c r="E4672" s="17" t="s">
        <v>6950</v>
      </c>
      <c r="F4672" s="65" t="s">
        <v>6951</v>
      </c>
      <c r="G4672" s="3" t="s">
        <v>18</v>
      </c>
      <c r="H4672" s="2" t="s">
        <v>42</v>
      </c>
      <c r="I4672" s="3" t="s">
        <v>42</v>
      </c>
      <c r="J4672" s="31">
        <v>45958</v>
      </c>
      <c r="K4672" s="31"/>
      <c r="L4672" s="31"/>
      <c r="M4672" s="31"/>
      <c r="N4672" s="31"/>
      <c r="O4672" s="3" t="s">
        <v>1004</v>
      </c>
    </row>
    <row r="4673" spans="1:15">
      <c r="A4673" s="3">
        <f t="shared" si="74"/>
        <v>4672</v>
      </c>
      <c r="B4673" s="65" t="s">
        <v>6952</v>
      </c>
      <c r="C4673" s="1">
        <v>9630149494</v>
      </c>
      <c r="E4673" s="17" t="s">
        <v>6422</v>
      </c>
      <c r="F4673" s="65" t="s">
        <v>303</v>
      </c>
      <c r="G4673" s="3" t="s">
        <v>416</v>
      </c>
      <c r="H4673" s="2" t="s">
        <v>913</v>
      </c>
      <c r="I4673" s="3" t="s">
        <v>94</v>
      </c>
      <c r="J4673" s="31">
        <v>45958</v>
      </c>
      <c r="K4673" s="31">
        <v>45976</v>
      </c>
      <c r="L4673" s="31"/>
      <c r="M4673" s="31"/>
      <c r="N4673" s="31"/>
      <c r="O4673" s="3" t="s">
        <v>297</v>
      </c>
    </row>
    <row r="4674" spans="1:15">
      <c r="A4674" s="3">
        <f t="shared" si="74"/>
        <v>4673</v>
      </c>
      <c r="B4674" s="65" t="s">
        <v>6953</v>
      </c>
      <c r="C4674" s="1">
        <v>8687834203</v>
      </c>
      <c r="D4674" s="1">
        <v>9011459885</v>
      </c>
      <c r="E4674" s="17" t="s">
        <v>6954</v>
      </c>
      <c r="F4674" s="65" t="s">
        <v>4082</v>
      </c>
      <c r="G4674" s="3" t="s">
        <v>16</v>
      </c>
      <c r="H4674" s="2" t="s">
        <v>913</v>
      </c>
      <c r="I4674" s="3" t="s">
        <v>94</v>
      </c>
      <c r="J4674" s="31">
        <v>45958</v>
      </c>
      <c r="K4674" s="31">
        <v>45976</v>
      </c>
      <c r="L4674" s="31">
        <v>45981</v>
      </c>
      <c r="M4674" s="31">
        <v>45999</v>
      </c>
      <c r="N4674" s="31">
        <v>45997</v>
      </c>
      <c r="O4674" s="3" t="s">
        <v>297</v>
      </c>
    </row>
    <row r="4675" spans="1:15">
      <c r="A4675" s="3">
        <f t="shared" si="74"/>
        <v>4674</v>
      </c>
      <c r="B4675" s="65" t="s">
        <v>6955</v>
      </c>
      <c r="C4675" s="1">
        <v>9157255831</v>
      </c>
      <c r="D4675" s="1">
        <v>9026041042</v>
      </c>
      <c r="E4675" s="17" t="s">
        <v>6422</v>
      </c>
      <c r="F4675" s="65" t="s">
        <v>4082</v>
      </c>
      <c r="G4675" s="3" t="s">
        <v>16</v>
      </c>
      <c r="H4675" s="2" t="s">
        <v>913</v>
      </c>
      <c r="I4675" s="3" t="s">
        <v>94</v>
      </c>
      <c r="J4675" s="31">
        <v>45958</v>
      </c>
      <c r="K4675" s="31">
        <v>45976</v>
      </c>
      <c r="L4675" s="31">
        <v>45981</v>
      </c>
      <c r="M4675" s="31">
        <v>45999</v>
      </c>
      <c r="N4675" s="31">
        <v>45997</v>
      </c>
      <c r="O4675" s="3" t="s">
        <v>297</v>
      </c>
    </row>
    <row r="4676" spans="1:15">
      <c r="A4676" s="3">
        <f t="shared" ref="A4676:A4739" si="75">ROW()-1</f>
        <v>4675</v>
      </c>
      <c r="B4676" s="65" t="s">
        <v>6956</v>
      </c>
      <c r="C4676" s="1">
        <v>7090705263</v>
      </c>
      <c r="E4676" s="17" t="s">
        <v>6957</v>
      </c>
      <c r="F4676" s="65" t="s">
        <v>4082</v>
      </c>
      <c r="G4676" s="3" t="s">
        <v>16</v>
      </c>
      <c r="H4676" s="2" t="s">
        <v>913</v>
      </c>
      <c r="I4676" s="3" t="s">
        <v>94</v>
      </c>
      <c r="J4676" s="31">
        <v>45958</v>
      </c>
      <c r="K4676" s="31">
        <v>45976</v>
      </c>
      <c r="L4676" s="31">
        <v>45981</v>
      </c>
      <c r="M4676" s="31">
        <v>45999</v>
      </c>
      <c r="N4676" s="31">
        <v>45999</v>
      </c>
      <c r="O4676" s="3" t="s">
        <v>297</v>
      </c>
    </row>
    <row r="4677" spans="1:15">
      <c r="A4677" s="3">
        <f t="shared" si="75"/>
        <v>4676</v>
      </c>
      <c r="B4677" s="65" t="s">
        <v>6958</v>
      </c>
      <c r="C4677" s="1">
        <v>9813605642</v>
      </c>
      <c r="E4677" s="17" t="s">
        <v>6422</v>
      </c>
      <c r="F4677" s="65" t="s">
        <v>303</v>
      </c>
      <c r="G4677" s="3" t="s">
        <v>424</v>
      </c>
      <c r="H4677" s="2" t="s">
        <v>913</v>
      </c>
      <c r="I4677" s="3" t="s">
        <v>94</v>
      </c>
      <c r="J4677" s="31">
        <v>45958</v>
      </c>
      <c r="K4677" s="31">
        <v>45978</v>
      </c>
      <c r="L4677" s="31"/>
      <c r="M4677" s="31"/>
      <c r="N4677" s="31"/>
      <c r="O4677" s="3" t="s">
        <v>425</v>
      </c>
    </row>
    <row r="4678" spans="1:15">
      <c r="A4678" s="3">
        <f t="shared" si="75"/>
        <v>4677</v>
      </c>
      <c r="B4678" s="65" t="s">
        <v>6959</v>
      </c>
      <c r="C4678" s="1">
        <v>9479061312</v>
      </c>
      <c r="D4678" s="1">
        <v>7014695220</v>
      </c>
      <c r="E4678" s="17" t="s">
        <v>6422</v>
      </c>
      <c r="F4678" s="65" t="s">
        <v>303</v>
      </c>
      <c r="G4678" s="3" t="s">
        <v>416</v>
      </c>
      <c r="H4678" s="2" t="s">
        <v>913</v>
      </c>
      <c r="I4678" s="3" t="s">
        <v>94</v>
      </c>
      <c r="J4678" s="31">
        <v>45958</v>
      </c>
      <c r="K4678" s="31">
        <v>45981</v>
      </c>
      <c r="L4678" s="31"/>
      <c r="M4678" s="31"/>
      <c r="N4678" s="31"/>
      <c r="O4678" s="3" t="s">
        <v>297</v>
      </c>
    </row>
    <row r="4679" spans="1:15">
      <c r="A4679" s="3">
        <f t="shared" si="75"/>
        <v>4678</v>
      </c>
      <c r="B4679" s="65" t="s">
        <v>6960</v>
      </c>
      <c r="C4679" s="1">
        <v>8349755659</v>
      </c>
      <c r="E4679" s="17" t="s">
        <v>6422</v>
      </c>
      <c r="F4679" s="65" t="s">
        <v>1011</v>
      </c>
      <c r="G4679" s="3" t="s">
        <v>424</v>
      </c>
      <c r="H4679" s="2" t="s">
        <v>913</v>
      </c>
      <c r="I4679" s="3" t="s">
        <v>94</v>
      </c>
      <c r="J4679" s="31">
        <v>45958</v>
      </c>
      <c r="K4679" s="31">
        <v>45979</v>
      </c>
      <c r="L4679" s="31"/>
      <c r="M4679" s="31"/>
      <c r="N4679" s="31"/>
      <c r="O4679" s="3" t="s">
        <v>425</v>
      </c>
    </row>
    <row r="4680" spans="1:15">
      <c r="A4680" s="3">
        <f t="shared" si="75"/>
        <v>4679</v>
      </c>
      <c r="B4680" s="65" t="s">
        <v>6961</v>
      </c>
      <c r="C4680" s="1">
        <v>9455592012</v>
      </c>
      <c r="D4680" s="1">
        <v>9695235029</v>
      </c>
      <c r="E4680" s="17" t="s">
        <v>6422</v>
      </c>
      <c r="F4680" s="65" t="s">
        <v>303</v>
      </c>
      <c r="G4680" s="3" t="s">
        <v>416</v>
      </c>
      <c r="H4680" s="2" t="s">
        <v>913</v>
      </c>
      <c r="I4680" s="3" t="s">
        <v>94</v>
      </c>
      <c r="J4680" s="31">
        <v>45958</v>
      </c>
      <c r="K4680" s="31">
        <v>45978</v>
      </c>
      <c r="L4680" s="31"/>
      <c r="M4680" s="31"/>
      <c r="N4680" s="31"/>
      <c r="O4680" s="3" t="s">
        <v>297</v>
      </c>
    </row>
    <row r="4681" spans="1:15">
      <c r="A4681" s="3">
        <f t="shared" si="75"/>
        <v>4680</v>
      </c>
      <c r="B4681" s="65" t="s">
        <v>1974</v>
      </c>
      <c r="C4681" s="1">
        <v>7007396537</v>
      </c>
      <c r="E4681" s="17" t="s">
        <v>6957</v>
      </c>
      <c r="F4681" s="65" t="s">
        <v>4082</v>
      </c>
      <c r="G4681" s="3" t="s">
        <v>16</v>
      </c>
      <c r="H4681" s="2" t="s">
        <v>913</v>
      </c>
      <c r="I4681" s="3" t="s">
        <v>94</v>
      </c>
      <c r="J4681" s="31">
        <v>45958</v>
      </c>
      <c r="K4681" s="31">
        <v>45979</v>
      </c>
      <c r="L4681" s="31">
        <v>45981</v>
      </c>
      <c r="M4681" s="31">
        <v>45992</v>
      </c>
      <c r="N4681" s="31">
        <v>45992</v>
      </c>
      <c r="O4681" s="3" t="s">
        <v>297</v>
      </c>
    </row>
    <row r="4682" spans="1:15">
      <c r="A4682" s="3">
        <f t="shared" si="75"/>
        <v>4681</v>
      </c>
      <c r="B4682" s="65" t="s">
        <v>6962</v>
      </c>
      <c r="C4682" s="1">
        <v>8957872811</v>
      </c>
      <c r="E4682" s="17" t="s">
        <v>6954</v>
      </c>
      <c r="F4682" s="65" t="s">
        <v>1011</v>
      </c>
      <c r="G4682" s="3" t="s">
        <v>424</v>
      </c>
      <c r="H4682" s="2" t="s">
        <v>930</v>
      </c>
      <c r="I4682" s="3" t="s">
        <v>94</v>
      </c>
      <c r="J4682" s="31">
        <v>45958</v>
      </c>
      <c r="K4682" s="31">
        <v>45964</v>
      </c>
      <c r="L4682" s="31"/>
      <c r="M4682" s="31"/>
      <c r="N4682" s="31"/>
      <c r="O4682" s="3" t="s">
        <v>425</v>
      </c>
    </row>
    <row r="4683" spans="1:15">
      <c r="A4683" s="3">
        <f t="shared" si="75"/>
        <v>4682</v>
      </c>
      <c r="B4683" s="65" t="s">
        <v>6963</v>
      </c>
      <c r="C4683" s="1">
        <v>7011472727</v>
      </c>
      <c r="E4683" s="17" t="s">
        <v>6954</v>
      </c>
      <c r="F4683" s="65" t="s">
        <v>303</v>
      </c>
      <c r="G4683" s="3" t="s">
        <v>16</v>
      </c>
      <c r="H4683" s="2" t="s">
        <v>930</v>
      </c>
      <c r="I4683" s="3" t="s">
        <v>94</v>
      </c>
      <c r="J4683" s="31">
        <v>45958</v>
      </c>
      <c r="K4683" s="31">
        <v>45962</v>
      </c>
      <c r="L4683" s="31">
        <v>45968</v>
      </c>
      <c r="M4683" s="31">
        <v>45983</v>
      </c>
      <c r="N4683" s="31">
        <v>45982</v>
      </c>
      <c r="O4683" s="3" t="s">
        <v>297</v>
      </c>
    </row>
    <row r="4684" spans="1:15">
      <c r="A4684" s="3">
        <f t="shared" si="75"/>
        <v>4683</v>
      </c>
      <c r="B4684" s="65" t="s">
        <v>6964</v>
      </c>
      <c r="C4684" s="1">
        <v>8795205474</v>
      </c>
      <c r="E4684" s="17" t="s">
        <v>6954</v>
      </c>
      <c r="F4684" s="65" t="s">
        <v>303</v>
      </c>
      <c r="G4684" s="3" t="s">
        <v>16</v>
      </c>
      <c r="H4684" s="2" t="s">
        <v>930</v>
      </c>
      <c r="I4684" s="3" t="s">
        <v>94</v>
      </c>
      <c r="J4684" s="31">
        <v>45958</v>
      </c>
      <c r="K4684" s="31">
        <v>45962</v>
      </c>
      <c r="L4684" s="31">
        <v>45968</v>
      </c>
      <c r="M4684" s="31">
        <v>45983</v>
      </c>
      <c r="N4684" s="31">
        <v>45986</v>
      </c>
      <c r="O4684" s="3" t="s">
        <v>297</v>
      </c>
    </row>
    <row r="4685" spans="1:15">
      <c r="A4685" s="3">
        <f t="shared" si="75"/>
        <v>4684</v>
      </c>
      <c r="B4685" s="65" t="s">
        <v>6965</v>
      </c>
      <c r="C4685" s="1">
        <v>7905655782</v>
      </c>
      <c r="E4685" s="17" t="s">
        <v>6954</v>
      </c>
      <c r="F4685" s="65" t="s">
        <v>1011</v>
      </c>
      <c r="G4685" s="3" t="s">
        <v>16</v>
      </c>
      <c r="H4685" s="2" t="s">
        <v>930</v>
      </c>
      <c r="I4685" s="3" t="s">
        <v>94</v>
      </c>
      <c r="J4685" s="31">
        <v>45958</v>
      </c>
      <c r="K4685" s="31">
        <v>45962</v>
      </c>
      <c r="L4685" s="31">
        <v>45968</v>
      </c>
      <c r="M4685" s="31">
        <v>45978</v>
      </c>
      <c r="N4685" s="31">
        <v>45986</v>
      </c>
      <c r="O4685" s="3" t="s">
        <v>297</v>
      </c>
    </row>
    <row r="4686" spans="1:15">
      <c r="A4686" s="3">
        <f t="shared" si="75"/>
        <v>4685</v>
      </c>
      <c r="B4686" s="65" t="s">
        <v>6966</v>
      </c>
      <c r="C4686" s="1">
        <v>9490226160</v>
      </c>
      <c r="E4686" s="17" t="s">
        <v>6954</v>
      </c>
      <c r="F4686" s="65" t="s">
        <v>1011</v>
      </c>
      <c r="G4686" s="3" t="s">
        <v>424</v>
      </c>
      <c r="H4686" s="2" t="s">
        <v>930</v>
      </c>
      <c r="I4686" s="3" t="s">
        <v>94</v>
      </c>
      <c r="J4686" s="31">
        <v>45958</v>
      </c>
      <c r="K4686" s="31">
        <v>45962</v>
      </c>
      <c r="L4686" s="31"/>
      <c r="M4686" s="31"/>
      <c r="N4686" s="31"/>
      <c r="O4686" s="3" t="s">
        <v>425</v>
      </c>
    </row>
    <row r="4687" spans="1:15">
      <c r="A4687" s="3">
        <f t="shared" si="75"/>
        <v>4686</v>
      </c>
      <c r="B4687" s="65" t="s">
        <v>6967</v>
      </c>
      <c r="C4687" s="1">
        <v>8009564425</v>
      </c>
      <c r="E4687" s="17" t="s">
        <v>6954</v>
      </c>
      <c r="F4687" s="65" t="s">
        <v>303</v>
      </c>
      <c r="G4687" s="3" t="s">
        <v>16</v>
      </c>
      <c r="H4687" s="2" t="s">
        <v>930</v>
      </c>
      <c r="I4687" s="3" t="s">
        <v>94</v>
      </c>
      <c r="J4687" s="31">
        <v>45958</v>
      </c>
      <c r="K4687" s="31">
        <v>45962</v>
      </c>
      <c r="L4687" s="31">
        <v>45968</v>
      </c>
      <c r="M4687" s="31">
        <v>45983</v>
      </c>
      <c r="N4687" s="31">
        <v>45984</v>
      </c>
      <c r="O4687" s="3" t="s">
        <v>297</v>
      </c>
    </row>
    <row r="4688" spans="1:15">
      <c r="A4688" s="3">
        <f t="shared" si="75"/>
        <v>4687</v>
      </c>
      <c r="B4688" s="65" t="s">
        <v>6968</v>
      </c>
      <c r="C4688" s="1">
        <v>9340102710</v>
      </c>
      <c r="E4688" s="17" t="s">
        <v>6954</v>
      </c>
      <c r="F4688" s="65" t="s">
        <v>303</v>
      </c>
      <c r="G4688" s="3" t="s">
        <v>424</v>
      </c>
      <c r="H4688" s="2" t="s">
        <v>930</v>
      </c>
      <c r="I4688" s="3" t="s">
        <v>94</v>
      </c>
      <c r="J4688" s="31">
        <v>45958</v>
      </c>
      <c r="K4688" s="31">
        <v>45962</v>
      </c>
      <c r="L4688" s="31"/>
      <c r="M4688" s="31"/>
      <c r="N4688" s="31"/>
      <c r="O4688" s="3" t="s">
        <v>425</v>
      </c>
    </row>
    <row r="4689" spans="1:15">
      <c r="A4689" s="3">
        <f t="shared" si="75"/>
        <v>4688</v>
      </c>
      <c r="B4689" s="65" t="s">
        <v>6969</v>
      </c>
      <c r="C4689" s="1">
        <v>9664715896</v>
      </c>
      <c r="E4689" s="17" t="s">
        <v>6817</v>
      </c>
      <c r="F4689" s="65" t="s">
        <v>569</v>
      </c>
      <c r="G4689" s="3" t="s">
        <v>424</v>
      </c>
      <c r="H4689" s="2" t="s">
        <v>913</v>
      </c>
      <c r="I4689" s="3" t="s">
        <v>94</v>
      </c>
      <c r="J4689" s="31">
        <v>45959</v>
      </c>
      <c r="K4689" s="31">
        <v>45972</v>
      </c>
      <c r="L4689" s="31"/>
      <c r="M4689" s="31"/>
      <c r="N4689" s="31"/>
      <c r="O4689" s="3" t="s">
        <v>425</v>
      </c>
    </row>
    <row r="4690" spans="1:15">
      <c r="A4690" s="3">
        <f t="shared" si="75"/>
        <v>4689</v>
      </c>
      <c r="B4690" s="65" t="s">
        <v>6970</v>
      </c>
      <c r="C4690" s="1">
        <v>8076425456</v>
      </c>
      <c r="D4690" s="1">
        <v>7860687929</v>
      </c>
      <c r="E4690" s="17" t="s">
        <v>6863</v>
      </c>
      <c r="F4690" s="65" t="s">
        <v>569</v>
      </c>
      <c r="G4690" s="3" t="s">
        <v>424</v>
      </c>
      <c r="H4690" s="2" t="s">
        <v>913</v>
      </c>
      <c r="I4690" s="3" t="s">
        <v>94</v>
      </c>
      <c r="J4690" s="31">
        <v>45959</v>
      </c>
      <c r="K4690" s="31">
        <v>45974</v>
      </c>
      <c r="L4690" s="31"/>
      <c r="M4690" s="31"/>
      <c r="N4690" s="31"/>
      <c r="O4690" s="3" t="s">
        <v>425</v>
      </c>
    </row>
    <row r="4691" spans="1:15">
      <c r="A4691" s="3">
        <f t="shared" si="75"/>
        <v>4690</v>
      </c>
      <c r="B4691" s="65" t="s">
        <v>6971</v>
      </c>
      <c r="C4691" s="1">
        <v>9492522033</v>
      </c>
      <c r="D4691" s="1">
        <v>9885383033</v>
      </c>
      <c r="E4691" s="17" t="s">
        <v>6863</v>
      </c>
      <c r="F4691" s="65" t="s">
        <v>569</v>
      </c>
      <c r="G4691" s="3" t="s">
        <v>16</v>
      </c>
      <c r="H4691" s="2" t="s">
        <v>913</v>
      </c>
      <c r="I4691" s="3" t="s">
        <v>94</v>
      </c>
      <c r="J4691" s="31">
        <v>45959</v>
      </c>
      <c r="K4691" s="31">
        <v>45968</v>
      </c>
      <c r="L4691" s="31">
        <v>45972</v>
      </c>
      <c r="M4691" s="31">
        <v>45988</v>
      </c>
      <c r="N4691" s="31">
        <v>45987</v>
      </c>
      <c r="O4691" s="3" t="s">
        <v>297</v>
      </c>
    </row>
    <row r="4692" spans="1:15">
      <c r="A4692" s="3">
        <f t="shared" si="75"/>
        <v>4691</v>
      </c>
      <c r="B4692" s="65" t="s">
        <v>6972</v>
      </c>
      <c r="C4692" s="1">
        <v>9894278819</v>
      </c>
      <c r="E4692" s="17" t="s">
        <v>6863</v>
      </c>
      <c r="F4692" s="65" t="s">
        <v>569</v>
      </c>
      <c r="G4692" s="3" t="s">
        <v>416</v>
      </c>
      <c r="H4692" s="2" t="s">
        <v>913</v>
      </c>
      <c r="I4692" s="3" t="s">
        <v>94</v>
      </c>
      <c r="J4692" s="31">
        <v>45959</v>
      </c>
      <c r="K4692" s="31">
        <v>45972</v>
      </c>
      <c r="L4692" s="31"/>
      <c r="M4692" s="31"/>
      <c r="N4692" s="31"/>
      <c r="O4692" s="3" t="s">
        <v>297</v>
      </c>
    </row>
    <row r="4693" spans="1:15">
      <c r="A4693" s="3">
        <f t="shared" si="75"/>
        <v>4692</v>
      </c>
      <c r="B4693" s="65" t="s">
        <v>6973</v>
      </c>
      <c r="C4693" s="1">
        <v>9326583303</v>
      </c>
      <c r="E4693" s="17" t="s">
        <v>6402</v>
      </c>
      <c r="F4693" s="65" t="s">
        <v>569</v>
      </c>
      <c r="G4693" s="3" t="s">
        <v>424</v>
      </c>
      <c r="H4693" s="2" t="s">
        <v>913</v>
      </c>
      <c r="I4693" s="3" t="s">
        <v>94</v>
      </c>
      <c r="J4693" s="31">
        <v>45959</v>
      </c>
      <c r="K4693" s="31">
        <v>45975</v>
      </c>
      <c r="L4693" s="31"/>
      <c r="M4693" s="31"/>
      <c r="N4693" s="31"/>
      <c r="O4693" s="3" t="s">
        <v>425</v>
      </c>
    </row>
    <row r="4694" spans="1:15">
      <c r="A4694" s="3">
        <f t="shared" si="75"/>
        <v>4693</v>
      </c>
      <c r="B4694" s="65" t="s">
        <v>6974</v>
      </c>
      <c r="C4694" s="1">
        <v>9542819578</v>
      </c>
      <c r="E4694" s="17" t="s">
        <v>6817</v>
      </c>
      <c r="F4694" s="65" t="s">
        <v>569</v>
      </c>
      <c r="G4694" s="3" t="s">
        <v>424</v>
      </c>
      <c r="H4694" s="2" t="s">
        <v>913</v>
      </c>
      <c r="I4694" s="3" t="s">
        <v>94</v>
      </c>
      <c r="J4694" s="31">
        <v>45959</v>
      </c>
      <c r="K4694" s="31">
        <v>45974</v>
      </c>
      <c r="L4694" s="31"/>
      <c r="M4694" s="31"/>
      <c r="N4694" s="31"/>
      <c r="O4694" s="3" t="s">
        <v>425</v>
      </c>
    </row>
    <row r="4695" spans="1:15">
      <c r="A4695" s="3">
        <f t="shared" si="75"/>
        <v>4694</v>
      </c>
      <c r="B4695" s="65" t="s">
        <v>6975</v>
      </c>
      <c r="C4695" s="1">
        <v>8769036917</v>
      </c>
      <c r="E4695" s="17" t="s">
        <v>6976</v>
      </c>
      <c r="F4695" s="65" t="s">
        <v>308</v>
      </c>
      <c r="G4695" s="3" t="s">
        <v>16</v>
      </c>
      <c r="H4695" s="2" t="s">
        <v>930</v>
      </c>
      <c r="I4695" s="3" t="s">
        <v>94</v>
      </c>
      <c r="J4695" s="31">
        <v>45959</v>
      </c>
      <c r="K4695" s="31">
        <v>45962</v>
      </c>
      <c r="L4695" s="31">
        <v>45968</v>
      </c>
      <c r="M4695" s="31">
        <v>45983</v>
      </c>
      <c r="N4695" s="31">
        <v>45993</v>
      </c>
      <c r="O4695" s="3" t="s">
        <v>297</v>
      </c>
    </row>
    <row r="4696" spans="1:15">
      <c r="A4696" s="3">
        <f t="shared" si="75"/>
        <v>4695</v>
      </c>
      <c r="B4696" s="65" t="s">
        <v>6977</v>
      </c>
      <c r="C4696" s="1">
        <v>9838021054</v>
      </c>
      <c r="D4696" s="1">
        <v>9140000000</v>
      </c>
      <c r="E4696" s="17" t="s">
        <v>6856</v>
      </c>
      <c r="F4696" s="65" t="s">
        <v>308</v>
      </c>
      <c r="G4696" s="3" t="s">
        <v>295</v>
      </c>
      <c r="H4696" s="2" t="s">
        <v>930</v>
      </c>
      <c r="I4696" s="3" t="s">
        <v>94</v>
      </c>
      <c r="J4696" s="31">
        <v>45959</v>
      </c>
      <c r="K4696" s="31">
        <v>45962</v>
      </c>
      <c r="L4696" s="31">
        <v>45972</v>
      </c>
      <c r="M4696" s="31">
        <v>46002</v>
      </c>
      <c r="N4696" s="31"/>
      <c r="O4696" s="3" t="s">
        <v>297</v>
      </c>
    </row>
    <row r="4697" spans="1:15">
      <c r="A4697" s="3">
        <f t="shared" si="75"/>
        <v>4696</v>
      </c>
      <c r="B4697" s="65" t="s">
        <v>6978</v>
      </c>
      <c r="C4697" s="1">
        <v>8917283927</v>
      </c>
      <c r="D4697" s="1">
        <v>9776700000</v>
      </c>
      <c r="E4697" s="17" t="s">
        <v>6976</v>
      </c>
      <c r="F4697" s="65" t="s">
        <v>308</v>
      </c>
      <c r="G4697" s="3" t="s">
        <v>16</v>
      </c>
      <c r="H4697" s="2" t="s">
        <v>930</v>
      </c>
      <c r="I4697" s="3" t="s">
        <v>94</v>
      </c>
      <c r="J4697" s="31">
        <v>45959</v>
      </c>
      <c r="K4697" s="31">
        <v>45962</v>
      </c>
      <c r="L4697" s="31">
        <v>45972</v>
      </c>
      <c r="M4697" s="31">
        <v>46002</v>
      </c>
      <c r="N4697" s="31">
        <v>46006</v>
      </c>
      <c r="O4697" s="3" t="s">
        <v>297</v>
      </c>
    </row>
    <row r="4698" spans="1:15">
      <c r="A4698" s="3">
        <f t="shared" si="75"/>
        <v>4697</v>
      </c>
      <c r="B4698" s="65" t="s">
        <v>6979</v>
      </c>
      <c r="C4698" s="1">
        <v>8249405177</v>
      </c>
      <c r="E4698" s="17" t="s">
        <v>6976</v>
      </c>
      <c r="F4698" s="65" t="s">
        <v>308</v>
      </c>
      <c r="G4698" s="3" t="s">
        <v>424</v>
      </c>
      <c r="H4698" s="2" t="s">
        <v>930</v>
      </c>
      <c r="I4698" s="3" t="s">
        <v>94</v>
      </c>
      <c r="J4698" s="31">
        <v>45959</v>
      </c>
      <c r="K4698" s="31">
        <v>45964</v>
      </c>
      <c r="L4698" s="31"/>
      <c r="M4698" s="31"/>
      <c r="N4698" s="31"/>
      <c r="O4698" s="3" t="s">
        <v>425</v>
      </c>
    </row>
    <row r="4699" spans="1:15">
      <c r="A4699" s="3">
        <f t="shared" si="75"/>
        <v>4698</v>
      </c>
      <c r="B4699" s="65" t="s">
        <v>6980</v>
      </c>
      <c r="C4699" s="1">
        <v>7080398019</v>
      </c>
      <c r="D4699" s="1">
        <v>6386199094</v>
      </c>
      <c r="E4699" s="17" t="s">
        <v>6976</v>
      </c>
      <c r="F4699" s="65" t="s">
        <v>308</v>
      </c>
      <c r="G4699" s="3" t="s">
        <v>295</v>
      </c>
      <c r="H4699" s="2" t="s">
        <v>930</v>
      </c>
      <c r="I4699" s="3" t="s">
        <v>94</v>
      </c>
      <c r="J4699" s="31">
        <v>45959</v>
      </c>
      <c r="K4699" s="31">
        <v>45962</v>
      </c>
      <c r="L4699" s="31">
        <v>45968</v>
      </c>
      <c r="M4699" s="31">
        <v>45999</v>
      </c>
      <c r="N4699" s="31"/>
      <c r="O4699" s="3" t="s">
        <v>297</v>
      </c>
    </row>
    <row r="4700" spans="1:15">
      <c r="A4700" s="3">
        <f t="shared" si="75"/>
        <v>4699</v>
      </c>
      <c r="B4700" s="65" t="s">
        <v>6981</v>
      </c>
      <c r="C4700" s="1">
        <v>9337881014</v>
      </c>
      <c r="D4700" s="1">
        <v>8908713481</v>
      </c>
      <c r="E4700" s="17" t="s">
        <v>6976</v>
      </c>
      <c r="F4700" s="65" t="s">
        <v>308</v>
      </c>
      <c r="G4700" s="3" t="s">
        <v>424</v>
      </c>
      <c r="H4700" s="2" t="s">
        <v>930</v>
      </c>
      <c r="I4700" s="3" t="s">
        <v>94</v>
      </c>
      <c r="J4700" s="31">
        <v>45959</v>
      </c>
      <c r="K4700" s="31">
        <v>45962</v>
      </c>
      <c r="L4700" s="31"/>
      <c r="M4700" s="31"/>
      <c r="N4700" s="31"/>
      <c r="O4700" s="3" t="s">
        <v>425</v>
      </c>
    </row>
    <row r="4701" spans="1:15">
      <c r="A4701" s="3">
        <f t="shared" si="75"/>
        <v>4700</v>
      </c>
      <c r="B4701" s="65" t="s">
        <v>6982</v>
      </c>
      <c r="C4701" s="1">
        <v>7376375152</v>
      </c>
      <c r="E4701" s="17" t="s">
        <v>6976</v>
      </c>
      <c r="F4701" s="65" t="s">
        <v>308</v>
      </c>
      <c r="G4701" s="3" t="s">
        <v>416</v>
      </c>
      <c r="H4701" s="2" t="s">
        <v>930</v>
      </c>
      <c r="I4701" s="3" t="s">
        <v>94</v>
      </c>
      <c r="J4701" s="31">
        <v>45959</v>
      </c>
      <c r="K4701" s="31">
        <v>45964</v>
      </c>
      <c r="L4701" s="31"/>
      <c r="M4701" s="31"/>
      <c r="N4701" s="31"/>
      <c r="O4701" s="3" t="s">
        <v>297</v>
      </c>
    </row>
    <row r="4702" spans="1:15">
      <c r="A4702" s="3">
        <f t="shared" si="75"/>
        <v>4701</v>
      </c>
      <c r="B4702" s="65" t="s">
        <v>6983</v>
      </c>
      <c r="C4702" s="1">
        <v>7272884487</v>
      </c>
      <c r="E4702" s="17" t="s">
        <v>6976</v>
      </c>
      <c r="F4702" s="65" t="s">
        <v>308</v>
      </c>
      <c r="G4702" s="3" t="s">
        <v>424</v>
      </c>
      <c r="H4702" s="2" t="s">
        <v>930</v>
      </c>
      <c r="I4702" s="3" t="s">
        <v>94</v>
      </c>
      <c r="J4702" s="31">
        <v>45959</v>
      </c>
      <c r="K4702" s="31">
        <v>45964</v>
      </c>
      <c r="L4702" s="31"/>
      <c r="M4702" s="31"/>
      <c r="N4702" s="31"/>
      <c r="O4702" s="3" t="s">
        <v>425</v>
      </c>
    </row>
    <row r="4703" spans="1:15">
      <c r="A4703" s="3">
        <f t="shared" si="75"/>
        <v>4702</v>
      </c>
      <c r="B4703" s="65" t="s">
        <v>6984</v>
      </c>
      <c r="C4703" s="1">
        <v>8090092586</v>
      </c>
      <c r="E4703" s="17" t="s">
        <v>6422</v>
      </c>
      <c r="F4703" s="65" t="s">
        <v>308</v>
      </c>
      <c r="G4703" s="3" t="s">
        <v>16</v>
      </c>
      <c r="H4703" s="2" t="s">
        <v>930</v>
      </c>
      <c r="I4703" s="3" t="s">
        <v>94</v>
      </c>
      <c r="J4703" s="31">
        <v>45959</v>
      </c>
      <c r="K4703" s="31">
        <v>45964</v>
      </c>
      <c r="L4703" s="31">
        <v>45968</v>
      </c>
      <c r="M4703" s="31">
        <v>45998</v>
      </c>
      <c r="N4703" s="31">
        <v>46001</v>
      </c>
      <c r="O4703" s="3" t="s">
        <v>297</v>
      </c>
    </row>
    <row r="4704" spans="1:15">
      <c r="A4704" s="3">
        <f t="shared" si="75"/>
        <v>4703</v>
      </c>
      <c r="B4704" s="65" t="s">
        <v>422</v>
      </c>
      <c r="C4704" s="1">
        <v>9956436760</v>
      </c>
      <c r="E4704" s="17" t="s">
        <v>6817</v>
      </c>
      <c r="F4704" s="65" t="s">
        <v>308</v>
      </c>
      <c r="G4704" s="3" t="s">
        <v>16</v>
      </c>
      <c r="H4704" s="2" t="s">
        <v>930</v>
      </c>
      <c r="I4704" s="3" t="s">
        <v>94</v>
      </c>
      <c r="J4704" s="31">
        <v>45959</v>
      </c>
      <c r="K4704" s="31">
        <v>45964</v>
      </c>
      <c r="L4704" s="31">
        <v>45972</v>
      </c>
      <c r="M4704" s="31">
        <v>46002</v>
      </c>
      <c r="N4704" s="31">
        <v>46005</v>
      </c>
      <c r="O4704" s="3" t="s">
        <v>297</v>
      </c>
    </row>
    <row r="4705" spans="1:15">
      <c r="A4705" s="3">
        <f t="shared" si="75"/>
        <v>4704</v>
      </c>
      <c r="B4705" s="65" t="s">
        <v>6985</v>
      </c>
      <c r="C4705" s="1">
        <v>6302354645</v>
      </c>
      <c r="D4705" s="1">
        <v>9040103358</v>
      </c>
      <c r="E4705" s="17" t="s">
        <v>6976</v>
      </c>
      <c r="F4705" s="65" t="s">
        <v>308</v>
      </c>
      <c r="G4705" s="3" t="s">
        <v>16</v>
      </c>
      <c r="H4705" s="2" t="s">
        <v>930</v>
      </c>
      <c r="I4705" s="3" t="s">
        <v>94</v>
      </c>
      <c r="J4705" s="31">
        <v>45959</v>
      </c>
      <c r="K4705" s="31">
        <v>45964</v>
      </c>
      <c r="L4705" s="31">
        <v>45968</v>
      </c>
      <c r="M4705" s="31">
        <v>45998</v>
      </c>
      <c r="N4705" s="31">
        <v>46002</v>
      </c>
      <c r="O4705" s="3" t="s">
        <v>297</v>
      </c>
    </row>
    <row r="4706" spans="1:15">
      <c r="A4706" s="3">
        <f t="shared" si="75"/>
        <v>4705</v>
      </c>
      <c r="B4706" s="65" t="s">
        <v>6986</v>
      </c>
      <c r="C4706" s="1">
        <v>7540995548</v>
      </c>
      <c r="E4706" s="17" t="s">
        <v>5836</v>
      </c>
      <c r="F4706" s="65" t="s">
        <v>1555</v>
      </c>
      <c r="G4706" s="3" t="s">
        <v>764</v>
      </c>
      <c r="H4706" s="2" t="s">
        <v>815</v>
      </c>
      <c r="I4706" s="3" t="s">
        <v>94</v>
      </c>
      <c r="J4706" s="31">
        <v>45959</v>
      </c>
      <c r="K4706" s="31">
        <v>45961</v>
      </c>
      <c r="L4706" s="31"/>
      <c r="M4706" s="31"/>
      <c r="N4706" s="31"/>
      <c r="O4706" s="3" t="s">
        <v>425</v>
      </c>
    </row>
    <row r="4707" spans="1:15">
      <c r="A4707" s="3">
        <f t="shared" si="75"/>
        <v>4706</v>
      </c>
      <c r="B4707" s="65" t="s">
        <v>6987</v>
      </c>
      <c r="C4707" s="1">
        <v>9340545624</v>
      </c>
      <c r="E4707" s="17" t="s">
        <v>5836</v>
      </c>
      <c r="F4707" s="65" t="s">
        <v>6988</v>
      </c>
      <c r="G4707" s="3" t="s">
        <v>416</v>
      </c>
      <c r="H4707" s="2" t="s">
        <v>815</v>
      </c>
      <c r="I4707" s="3" t="s">
        <v>94</v>
      </c>
      <c r="J4707" s="31">
        <v>45959</v>
      </c>
      <c r="K4707" s="31">
        <v>45961</v>
      </c>
      <c r="L4707" s="31"/>
      <c r="M4707" s="31"/>
      <c r="N4707" s="31"/>
      <c r="O4707" s="3" t="s">
        <v>297</v>
      </c>
    </row>
    <row r="4708" spans="1:15">
      <c r="A4708" s="3">
        <f t="shared" si="75"/>
        <v>4707</v>
      </c>
      <c r="B4708" s="65" t="s">
        <v>6989</v>
      </c>
      <c r="C4708" s="1">
        <v>7077473946</v>
      </c>
      <c r="E4708" s="17" t="s">
        <v>5836</v>
      </c>
      <c r="F4708" s="65" t="s">
        <v>1555</v>
      </c>
      <c r="G4708" s="3" t="s">
        <v>416</v>
      </c>
      <c r="H4708" s="2" t="s">
        <v>815</v>
      </c>
      <c r="I4708" s="3" t="s">
        <v>94</v>
      </c>
      <c r="J4708" s="31">
        <v>45959</v>
      </c>
      <c r="K4708" s="31">
        <v>45961</v>
      </c>
      <c r="L4708" s="31"/>
      <c r="M4708" s="31"/>
      <c r="N4708" s="31"/>
      <c r="O4708" s="3" t="s">
        <v>297</v>
      </c>
    </row>
    <row r="4709" spans="1:15">
      <c r="A4709" s="3">
        <f t="shared" si="75"/>
        <v>4708</v>
      </c>
      <c r="B4709" s="65" t="s">
        <v>1524</v>
      </c>
      <c r="C4709" s="1">
        <v>7398529290</v>
      </c>
      <c r="E4709" s="17" t="s">
        <v>5836</v>
      </c>
      <c r="F4709" s="65" t="s">
        <v>6990</v>
      </c>
      <c r="G4709" s="3" t="s">
        <v>416</v>
      </c>
      <c r="H4709" s="2" t="s">
        <v>815</v>
      </c>
      <c r="I4709" s="3" t="s">
        <v>94</v>
      </c>
      <c r="J4709" s="31">
        <v>45959</v>
      </c>
      <c r="K4709" s="31">
        <v>45961</v>
      </c>
      <c r="L4709" s="31"/>
      <c r="M4709" s="31"/>
      <c r="N4709" s="31"/>
      <c r="O4709" s="3" t="s">
        <v>297</v>
      </c>
    </row>
    <row r="4710" spans="1:15">
      <c r="A4710" s="3">
        <f t="shared" si="75"/>
        <v>4709</v>
      </c>
      <c r="B4710" s="65" t="s">
        <v>6991</v>
      </c>
      <c r="C4710" s="1">
        <v>6299447166</v>
      </c>
      <c r="E4710" s="17" t="s">
        <v>6992</v>
      </c>
      <c r="F4710" s="65" t="s">
        <v>6993</v>
      </c>
      <c r="G4710" s="3" t="s">
        <v>764</v>
      </c>
      <c r="H4710" s="2" t="s">
        <v>815</v>
      </c>
      <c r="I4710" s="3" t="s">
        <v>94</v>
      </c>
      <c r="J4710" s="31">
        <v>45959</v>
      </c>
      <c r="K4710" s="31">
        <v>45961</v>
      </c>
      <c r="L4710" s="31"/>
      <c r="M4710" s="31"/>
      <c r="N4710" s="31"/>
      <c r="O4710" s="3" t="s">
        <v>425</v>
      </c>
    </row>
    <row r="4711" spans="1:15">
      <c r="A4711" s="3">
        <f t="shared" si="75"/>
        <v>4710</v>
      </c>
      <c r="B4711" s="65" t="s">
        <v>5847</v>
      </c>
      <c r="C4711" s="1">
        <v>7985640912</v>
      </c>
      <c r="E4711" s="17" t="s">
        <v>6992</v>
      </c>
      <c r="F4711" s="65" t="s">
        <v>1555</v>
      </c>
      <c r="G4711" s="3" t="s">
        <v>18</v>
      </c>
      <c r="H4711" s="2" t="s">
        <v>815</v>
      </c>
      <c r="I4711" s="3" t="s">
        <v>94</v>
      </c>
      <c r="J4711" s="31">
        <v>45959</v>
      </c>
      <c r="K4711" s="31">
        <v>45961</v>
      </c>
      <c r="L4711" s="31"/>
      <c r="M4711" s="31"/>
      <c r="N4711" s="31"/>
      <c r="O4711" s="3" t="s">
        <v>297</v>
      </c>
    </row>
    <row r="4712" spans="1:15">
      <c r="A4712" s="3">
        <f t="shared" si="75"/>
        <v>4711</v>
      </c>
      <c r="B4712" s="65" t="s">
        <v>6994</v>
      </c>
      <c r="C4712" s="1">
        <v>9369375065</v>
      </c>
      <c r="E4712" s="17" t="s">
        <v>6992</v>
      </c>
      <c r="F4712" s="65" t="s">
        <v>1827</v>
      </c>
      <c r="G4712" s="3" t="s">
        <v>764</v>
      </c>
      <c r="H4712" s="2" t="s">
        <v>815</v>
      </c>
      <c r="I4712" s="3" t="s">
        <v>94</v>
      </c>
      <c r="J4712" s="31">
        <v>45959</v>
      </c>
      <c r="K4712" s="31">
        <v>45961</v>
      </c>
      <c r="L4712" s="31"/>
      <c r="M4712" s="31"/>
      <c r="N4712" s="31"/>
      <c r="O4712" s="3" t="s">
        <v>425</v>
      </c>
    </row>
    <row r="4713" spans="1:15">
      <c r="A4713" s="3">
        <f t="shared" si="75"/>
        <v>4712</v>
      </c>
      <c r="B4713" s="65" t="s">
        <v>6995</v>
      </c>
      <c r="C4713" s="1">
        <v>7491973840</v>
      </c>
      <c r="E4713" s="17" t="s">
        <v>6992</v>
      </c>
      <c r="F4713" s="65" t="s">
        <v>1555</v>
      </c>
      <c r="G4713" s="3" t="s">
        <v>764</v>
      </c>
      <c r="H4713" s="2" t="s">
        <v>815</v>
      </c>
      <c r="I4713" s="3" t="s">
        <v>94</v>
      </c>
      <c r="J4713" s="31">
        <v>45959</v>
      </c>
      <c r="K4713" s="31">
        <v>45961</v>
      </c>
      <c r="L4713" s="31"/>
      <c r="M4713" s="31"/>
      <c r="N4713" s="31"/>
      <c r="O4713" s="3" t="s">
        <v>425</v>
      </c>
    </row>
    <row r="4714" spans="1:15">
      <c r="A4714" s="3">
        <f t="shared" si="75"/>
        <v>4713</v>
      </c>
      <c r="B4714" s="65" t="s">
        <v>6996</v>
      </c>
      <c r="C4714" s="1">
        <v>9797098862</v>
      </c>
      <c r="E4714" s="17" t="s">
        <v>6992</v>
      </c>
      <c r="F4714" s="65" t="s">
        <v>823</v>
      </c>
      <c r="G4714" s="3" t="s">
        <v>764</v>
      </c>
      <c r="H4714" s="2" t="s">
        <v>815</v>
      </c>
      <c r="I4714" s="3" t="s">
        <v>94</v>
      </c>
      <c r="J4714" s="31">
        <v>45959</v>
      </c>
      <c r="K4714" s="31">
        <v>45961</v>
      </c>
      <c r="L4714" s="31"/>
      <c r="M4714" s="31"/>
      <c r="N4714" s="31"/>
      <c r="O4714" s="3" t="s">
        <v>425</v>
      </c>
    </row>
    <row r="4715" spans="1:15">
      <c r="A4715" s="3">
        <f t="shared" si="75"/>
        <v>4714</v>
      </c>
      <c r="B4715" s="65" t="s">
        <v>6997</v>
      </c>
      <c r="C4715" s="1">
        <v>8081326214</v>
      </c>
      <c r="E4715" s="17" t="s">
        <v>6992</v>
      </c>
      <c r="F4715" s="65" t="s">
        <v>823</v>
      </c>
      <c r="G4715" s="3" t="s">
        <v>16</v>
      </c>
      <c r="H4715" s="2" t="s">
        <v>815</v>
      </c>
      <c r="I4715" s="3" t="s">
        <v>94</v>
      </c>
      <c r="J4715" s="31">
        <v>45959</v>
      </c>
      <c r="K4715" s="31">
        <v>45961</v>
      </c>
      <c r="L4715" s="31">
        <v>45965</v>
      </c>
      <c r="M4715" s="31">
        <v>45995</v>
      </c>
      <c r="N4715" s="31">
        <v>45992</v>
      </c>
      <c r="O4715" s="3" t="s">
        <v>297</v>
      </c>
    </row>
    <row r="4716" spans="1:15">
      <c r="A4716" s="3">
        <f t="shared" si="75"/>
        <v>4715</v>
      </c>
      <c r="B4716" s="65" t="s">
        <v>385</v>
      </c>
      <c r="C4716" s="1">
        <v>8223071245</v>
      </c>
      <c r="E4716" s="17" t="s">
        <v>6998</v>
      </c>
      <c r="F4716" s="65" t="s">
        <v>1555</v>
      </c>
      <c r="G4716" s="3" t="s">
        <v>764</v>
      </c>
      <c r="H4716" s="2" t="s">
        <v>815</v>
      </c>
      <c r="I4716" s="3" t="s">
        <v>94</v>
      </c>
      <c r="J4716" s="31">
        <v>45959</v>
      </c>
      <c r="K4716" s="31">
        <v>45961</v>
      </c>
      <c r="L4716" s="31"/>
      <c r="M4716" s="31"/>
      <c r="N4716" s="31"/>
      <c r="O4716" s="3" t="s">
        <v>425</v>
      </c>
    </row>
    <row r="4717" spans="1:15">
      <c r="A4717" s="3">
        <f t="shared" si="75"/>
        <v>4716</v>
      </c>
      <c r="B4717" s="65" t="s">
        <v>6999</v>
      </c>
      <c r="C4717" s="1">
        <v>7280843944</v>
      </c>
      <c r="D4717" s="1">
        <v>8294651149</v>
      </c>
      <c r="E4717" s="17" t="s">
        <v>6998</v>
      </c>
      <c r="F4717" s="65" t="s">
        <v>1827</v>
      </c>
      <c r="G4717" s="3" t="s">
        <v>764</v>
      </c>
      <c r="H4717" s="2" t="s">
        <v>815</v>
      </c>
      <c r="I4717" s="3" t="s">
        <v>94</v>
      </c>
      <c r="J4717" s="31">
        <v>45959</v>
      </c>
      <c r="K4717" s="31">
        <v>45961</v>
      </c>
      <c r="L4717" s="31"/>
      <c r="M4717" s="31"/>
      <c r="N4717" s="31"/>
      <c r="O4717" s="3" t="s">
        <v>425</v>
      </c>
    </row>
    <row r="4718" spans="1:15">
      <c r="A4718" s="3">
        <f t="shared" si="75"/>
        <v>4717</v>
      </c>
      <c r="B4718" s="65" t="s">
        <v>7000</v>
      </c>
      <c r="C4718" s="1">
        <v>7354404147</v>
      </c>
      <c r="E4718" s="17" t="s">
        <v>6992</v>
      </c>
      <c r="F4718" s="65" t="s">
        <v>823</v>
      </c>
      <c r="G4718" s="3" t="s">
        <v>16</v>
      </c>
      <c r="H4718" s="2" t="s">
        <v>815</v>
      </c>
      <c r="I4718" s="3" t="s">
        <v>94</v>
      </c>
      <c r="J4718" s="31">
        <v>45959</v>
      </c>
      <c r="K4718" s="31">
        <v>45961</v>
      </c>
      <c r="L4718" s="31">
        <v>45965</v>
      </c>
      <c r="M4718" s="31">
        <v>45985</v>
      </c>
      <c r="N4718" s="31">
        <v>45988</v>
      </c>
      <c r="O4718" s="3" t="s">
        <v>297</v>
      </c>
    </row>
    <row r="4719" spans="1:15">
      <c r="A4719" s="3">
        <f t="shared" si="75"/>
        <v>4718</v>
      </c>
      <c r="B4719" s="65" t="s">
        <v>7001</v>
      </c>
      <c r="C4719" s="1">
        <v>8004535802</v>
      </c>
      <c r="E4719" s="17" t="s">
        <v>6650</v>
      </c>
      <c r="F4719" s="65" t="s">
        <v>1827</v>
      </c>
      <c r="G4719" s="3" t="s">
        <v>16</v>
      </c>
      <c r="H4719" s="2" t="s">
        <v>815</v>
      </c>
      <c r="I4719" s="3" t="s">
        <v>94</v>
      </c>
      <c r="J4719" s="31">
        <v>45959</v>
      </c>
      <c r="K4719" s="31">
        <v>45961</v>
      </c>
      <c r="L4719" s="31">
        <v>45965</v>
      </c>
      <c r="M4719" s="31">
        <v>45995</v>
      </c>
      <c r="N4719" s="31">
        <v>46000</v>
      </c>
      <c r="O4719" s="3" t="s">
        <v>297</v>
      </c>
    </row>
    <row r="4720" spans="1:15">
      <c r="A4720" s="3">
        <f t="shared" si="75"/>
        <v>4719</v>
      </c>
      <c r="B4720" s="65" t="s">
        <v>7002</v>
      </c>
      <c r="C4720" s="1">
        <v>7857977069</v>
      </c>
      <c r="E4720" s="17" t="s">
        <v>6998</v>
      </c>
      <c r="F4720" s="65" t="s">
        <v>1555</v>
      </c>
      <c r="G4720" s="3" t="s">
        <v>16</v>
      </c>
      <c r="H4720" s="2" t="s">
        <v>815</v>
      </c>
      <c r="I4720" s="3" t="s">
        <v>94</v>
      </c>
      <c r="J4720" s="31">
        <v>45959</v>
      </c>
      <c r="K4720" s="31">
        <v>45961</v>
      </c>
      <c r="L4720" s="31">
        <v>45965</v>
      </c>
      <c r="M4720" s="31">
        <v>45980</v>
      </c>
      <c r="N4720" s="31">
        <v>45984</v>
      </c>
      <c r="O4720" s="3" t="s">
        <v>297</v>
      </c>
    </row>
    <row r="4721" spans="1:15">
      <c r="A4721" s="3">
        <f t="shared" si="75"/>
        <v>4720</v>
      </c>
      <c r="B4721" s="65" t="s">
        <v>7003</v>
      </c>
      <c r="C4721" s="1">
        <v>7756990800</v>
      </c>
      <c r="E4721" s="17" t="s">
        <v>6998</v>
      </c>
      <c r="F4721" s="65" t="s">
        <v>823</v>
      </c>
      <c r="G4721" s="3" t="s">
        <v>764</v>
      </c>
      <c r="H4721" s="2" t="s">
        <v>815</v>
      </c>
      <c r="I4721" s="3" t="s">
        <v>94</v>
      </c>
      <c r="J4721" s="31">
        <v>45959</v>
      </c>
      <c r="K4721" s="31">
        <v>45961</v>
      </c>
      <c r="L4721" s="31"/>
      <c r="M4721" s="31"/>
      <c r="N4721" s="31"/>
      <c r="O4721" s="3" t="s">
        <v>425</v>
      </c>
    </row>
    <row r="4722" spans="1:15">
      <c r="A4722" s="3">
        <f t="shared" si="75"/>
        <v>4721</v>
      </c>
      <c r="B4722" s="65" t="s">
        <v>2754</v>
      </c>
      <c r="C4722" s="1">
        <v>8528455468</v>
      </c>
      <c r="E4722" s="17" t="s">
        <v>6998</v>
      </c>
      <c r="F4722" s="65" t="s">
        <v>1555</v>
      </c>
      <c r="G4722" s="3" t="s">
        <v>416</v>
      </c>
      <c r="H4722" s="2" t="s">
        <v>815</v>
      </c>
      <c r="I4722" s="3" t="s">
        <v>94</v>
      </c>
      <c r="J4722" s="31">
        <v>45959</v>
      </c>
      <c r="K4722" s="31">
        <v>45979</v>
      </c>
      <c r="L4722" s="31"/>
      <c r="M4722" s="31"/>
      <c r="N4722" s="31"/>
      <c r="O4722" s="3" t="s">
        <v>297</v>
      </c>
    </row>
    <row r="4723" spans="1:15">
      <c r="A4723" s="3">
        <f t="shared" si="75"/>
        <v>4722</v>
      </c>
      <c r="B4723" s="65" t="s">
        <v>7004</v>
      </c>
      <c r="C4723" s="1">
        <v>6268213286</v>
      </c>
      <c r="E4723" s="17" t="s">
        <v>6998</v>
      </c>
      <c r="F4723" s="65" t="s">
        <v>1555</v>
      </c>
      <c r="G4723" s="3" t="s">
        <v>16</v>
      </c>
      <c r="H4723" s="2" t="s">
        <v>815</v>
      </c>
      <c r="I4723" s="3" t="s">
        <v>94</v>
      </c>
      <c r="J4723" s="31">
        <v>45959</v>
      </c>
      <c r="K4723" s="31">
        <v>45961</v>
      </c>
      <c r="L4723" s="31">
        <v>45965</v>
      </c>
      <c r="M4723" s="31">
        <v>45985</v>
      </c>
      <c r="N4723" s="31">
        <v>45988</v>
      </c>
      <c r="O4723" s="3" t="s">
        <v>297</v>
      </c>
    </row>
    <row r="4724" spans="1:15">
      <c r="A4724" s="3">
        <f t="shared" si="75"/>
        <v>4723</v>
      </c>
      <c r="B4724" s="65" t="s">
        <v>7005</v>
      </c>
      <c r="C4724" s="1">
        <v>9896040637</v>
      </c>
      <c r="E4724" s="17" t="s">
        <v>5361</v>
      </c>
      <c r="F4724" s="65" t="s">
        <v>823</v>
      </c>
      <c r="G4724" s="3" t="s">
        <v>295</v>
      </c>
      <c r="H4724" s="2" t="s">
        <v>815</v>
      </c>
      <c r="I4724" s="3" t="s">
        <v>94</v>
      </c>
      <c r="J4724" s="31">
        <v>45959</v>
      </c>
      <c r="K4724" s="31">
        <v>45961</v>
      </c>
      <c r="L4724" s="31">
        <v>45965</v>
      </c>
      <c r="M4724" s="31">
        <v>45996</v>
      </c>
      <c r="N4724" s="31"/>
      <c r="O4724" s="3" t="s">
        <v>297</v>
      </c>
    </row>
    <row r="4725" spans="1:15">
      <c r="A4725" s="3">
        <f t="shared" si="75"/>
        <v>4724</v>
      </c>
      <c r="B4725" s="65" t="s">
        <v>7006</v>
      </c>
      <c r="C4725" s="1">
        <v>8238027842</v>
      </c>
      <c r="E4725" s="17" t="s">
        <v>6555</v>
      </c>
      <c r="F4725" s="65" t="s">
        <v>1402</v>
      </c>
      <c r="G4725" s="3" t="s">
        <v>16</v>
      </c>
      <c r="H4725" s="2" t="s">
        <v>5774</v>
      </c>
      <c r="I4725" s="3" t="s">
        <v>42</v>
      </c>
      <c r="J4725" s="31">
        <v>45959</v>
      </c>
      <c r="K4725" s="31">
        <v>45962</v>
      </c>
      <c r="L4725" s="31">
        <v>45968</v>
      </c>
      <c r="M4725" s="31">
        <v>46073</v>
      </c>
      <c r="N4725" s="31">
        <v>46034</v>
      </c>
      <c r="O4725" s="3" t="s">
        <v>297</v>
      </c>
    </row>
    <row r="4726" spans="1:15">
      <c r="A4726" s="3">
        <f t="shared" si="75"/>
        <v>4725</v>
      </c>
      <c r="B4726" s="65" t="s">
        <v>7007</v>
      </c>
      <c r="C4726" s="1">
        <v>7339372965</v>
      </c>
      <c r="E4726" s="17" t="s">
        <v>7008</v>
      </c>
      <c r="F4726" s="65"/>
      <c r="G4726" s="3" t="s">
        <v>16</v>
      </c>
      <c r="H4726" s="2" t="s">
        <v>6158</v>
      </c>
      <c r="I4726" s="3" t="s">
        <v>42</v>
      </c>
      <c r="J4726" s="31">
        <v>45955</v>
      </c>
      <c r="K4726" s="31">
        <v>45957</v>
      </c>
      <c r="L4726" s="31">
        <v>45959</v>
      </c>
      <c r="M4726" s="31">
        <v>45992</v>
      </c>
      <c r="N4726" s="31">
        <v>45992</v>
      </c>
      <c r="O4726" s="3" t="s">
        <v>297</v>
      </c>
    </row>
    <row r="4727" spans="1:15">
      <c r="A4727" s="3">
        <f t="shared" si="75"/>
        <v>4726</v>
      </c>
      <c r="B4727" s="65" t="s">
        <v>7009</v>
      </c>
      <c r="C4727" s="1">
        <v>9381250894</v>
      </c>
      <c r="E4727" s="17" t="s">
        <v>5776</v>
      </c>
      <c r="F4727" s="65"/>
      <c r="G4727" s="3" t="s">
        <v>18</v>
      </c>
      <c r="H4727" s="2" t="s">
        <v>6158</v>
      </c>
      <c r="I4727" s="3" t="s">
        <v>42</v>
      </c>
      <c r="J4727" s="31">
        <v>45955</v>
      </c>
      <c r="K4727" s="31">
        <v>45957</v>
      </c>
      <c r="L4727" s="31">
        <v>45959</v>
      </c>
      <c r="M4727" s="31">
        <v>45992</v>
      </c>
      <c r="N4727" s="31"/>
      <c r="O4727" s="3" t="s">
        <v>297</v>
      </c>
    </row>
    <row r="4728" spans="1:15">
      <c r="A4728" s="3">
        <f t="shared" si="75"/>
        <v>4727</v>
      </c>
      <c r="B4728" s="65" t="s">
        <v>7010</v>
      </c>
      <c r="C4728" s="1">
        <v>8074644917</v>
      </c>
      <c r="E4728" s="17" t="s">
        <v>2821</v>
      </c>
      <c r="F4728" s="65"/>
      <c r="G4728" s="3" t="s">
        <v>16</v>
      </c>
      <c r="H4728" s="2" t="s">
        <v>6158</v>
      </c>
      <c r="I4728" s="3" t="s">
        <v>42</v>
      </c>
      <c r="J4728" s="31">
        <v>45955</v>
      </c>
      <c r="K4728" s="31">
        <v>45957</v>
      </c>
      <c r="L4728" s="31">
        <v>45959</v>
      </c>
      <c r="M4728" s="31">
        <v>45981</v>
      </c>
      <c r="N4728" s="31">
        <v>45981</v>
      </c>
      <c r="O4728" s="3" t="s">
        <v>297</v>
      </c>
    </row>
    <row r="4729" spans="1:15">
      <c r="A4729" s="3">
        <f t="shared" si="75"/>
        <v>4728</v>
      </c>
      <c r="B4729" s="65" t="s">
        <v>4490</v>
      </c>
      <c r="C4729" s="1">
        <v>7084245727</v>
      </c>
      <c r="E4729" s="17" t="s">
        <v>7011</v>
      </c>
      <c r="F4729" s="65" t="s">
        <v>7012</v>
      </c>
      <c r="G4729" s="3" t="s">
        <v>16</v>
      </c>
      <c r="H4729" s="2" t="s">
        <v>913</v>
      </c>
      <c r="I4729" s="3" t="s">
        <v>94</v>
      </c>
      <c r="J4729" s="31">
        <v>45959</v>
      </c>
      <c r="K4729" s="31">
        <v>45978</v>
      </c>
      <c r="L4729" s="31">
        <v>45981</v>
      </c>
      <c r="M4729" s="31">
        <v>46009</v>
      </c>
      <c r="N4729" s="31">
        <v>46000</v>
      </c>
      <c r="O4729" s="3" t="s">
        <v>297</v>
      </c>
    </row>
    <row r="4730" spans="1:15">
      <c r="A4730" s="3">
        <f t="shared" si="75"/>
        <v>4729</v>
      </c>
      <c r="B4730" s="65" t="s">
        <v>7013</v>
      </c>
      <c r="C4730" s="1">
        <v>9340743823</v>
      </c>
      <c r="D4730" s="1">
        <v>8964885151</v>
      </c>
      <c r="E4730" s="17" t="s">
        <v>6914</v>
      </c>
      <c r="F4730" s="65" t="s">
        <v>7014</v>
      </c>
      <c r="G4730" s="3" t="s">
        <v>16</v>
      </c>
      <c r="H4730" s="2" t="s">
        <v>913</v>
      </c>
      <c r="I4730" s="3" t="s">
        <v>94</v>
      </c>
      <c r="J4730" s="31">
        <v>45959</v>
      </c>
      <c r="K4730" s="31">
        <v>45983</v>
      </c>
      <c r="L4730" s="31">
        <v>45989</v>
      </c>
      <c r="M4730" s="31">
        <v>46004</v>
      </c>
      <c r="N4730" s="31">
        <v>45995</v>
      </c>
      <c r="O4730" s="3" t="s">
        <v>297</v>
      </c>
    </row>
    <row r="4731" spans="1:15">
      <c r="A4731" s="3">
        <f t="shared" si="75"/>
        <v>4730</v>
      </c>
      <c r="B4731" s="65" t="s">
        <v>7015</v>
      </c>
      <c r="C4731" s="1">
        <v>9058899273</v>
      </c>
      <c r="E4731" s="17" t="s">
        <v>7011</v>
      </c>
      <c r="F4731" s="65" t="s">
        <v>7016</v>
      </c>
      <c r="G4731" s="3" t="s">
        <v>424</v>
      </c>
      <c r="H4731" s="2" t="s">
        <v>913</v>
      </c>
      <c r="I4731" s="3" t="s">
        <v>94</v>
      </c>
      <c r="J4731" s="31">
        <v>45959</v>
      </c>
      <c r="K4731" s="31">
        <v>45978</v>
      </c>
      <c r="L4731" s="31"/>
      <c r="M4731" s="31"/>
      <c r="N4731" s="31"/>
      <c r="O4731" s="3" t="s">
        <v>425</v>
      </c>
    </row>
    <row r="4732" spans="1:15">
      <c r="A4732" s="3">
        <f t="shared" si="75"/>
        <v>4731</v>
      </c>
      <c r="B4732" s="65" t="s">
        <v>7017</v>
      </c>
      <c r="C4732" s="1">
        <v>6294895725</v>
      </c>
      <c r="D4732" s="1">
        <v>8372886840</v>
      </c>
      <c r="E4732" s="17" t="s">
        <v>6796</v>
      </c>
      <c r="F4732" s="65" t="s">
        <v>3002</v>
      </c>
      <c r="G4732" s="3" t="s">
        <v>1175</v>
      </c>
      <c r="H4732" s="2" t="s">
        <v>6158</v>
      </c>
      <c r="I4732" s="3" t="s">
        <v>42</v>
      </c>
      <c r="J4732" s="31">
        <v>45960</v>
      </c>
      <c r="K4732" s="31"/>
      <c r="L4732" s="31"/>
      <c r="M4732" s="31"/>
      <c r="N4732" s="31"/>
      <c r="O4732" s="3" t="s">
        <v>1004</v>
      </c>
    </row>
    <row r="4733" spans="1:15">
      <c r="A4733" s="3">
        <f t="shared" si="75"/>
        <v>4732</v>
      </c>
      <c r="B4733" s="65" t="s">
        <v>7018</v>
      </c>
      <c r="C4733" s="1">
        <v>7407479035</v>
      </c>
      <c r="D4733" s="1">
        <v>7908733596</v>
      </c>
      <c r="E4733" s="17" t="s">
        <v>6796</v>
      </c>
      <c r="F4733" s="65" t="s">
        <v>294</v>
      </c>
      <c r="G4733" s="3" t="s">
        <v>1175</v>
      </c>
      <c r="H4733" s="2" t="s">
        <v>6158</v>
      </c>
      <c r="I4733" s="3" t="s">
        <v>42</v>
      </c>
      <c r="J4733" s="31">
        <v>45960</v>
      </c>
      <c r="K4733" s="31"/>
      <c r="L4733" s="31"/>
      <c r="M4733" s="31"/>
      <c r="N4733" s="31"/>
      <c r="O4733" s="3" t="s">
        <v>1004</v>
      </c>
    </row>
    <row r="4734" spans="1:15">
      <c r="A4734" s="3">
        <f t="shared" si="75"/>
        <v>4733</v>
      </c>
      <c r="B4734" s="65" t="s">
        <v>7019</v>
      </c>
      <c r="C4734" s="1">
        <v>9494458183</v>
      </c>
      <c r="E4734" s="17" t="s">
        <v>7020</v>
      </c>
      <c r="F4734" s="65" t="s">
        <v>7021</v>
      </c>
      <c r="G4734" s="3" t="s">
        <v>16</v>
      </c>
      <c r="H4734" s="2" t="s">
        <v>815</v>
      </c>
      <c r="I4734" s="3" t="s">
        <v>42</v>
      </c>
      <c r="J4734" s="31">
        <v>45960</v>
      </c>
      <c r="K4734" s="31">
        <v>46050</v>
      </c>
      <c r="L4734" s="31">
        <v>46052</v>
      </c>
      <c r="M4734" s="31">
        <v>46062</v>
      </c>
      <c r="N4734" s="31">
        <v>46055</v>
      </c>
      <c r="O4734" s="3" t="s">
        <v>297</v>
      </c>
    </row>
    <row r="4735" spans="1:15">
      <c r="A4735" s="3">
        <f t="shared" si="75"/>
        <v>4734</v>
      </c>
      <c r="B4735" s="65" t="s">
        <v>7022</v>
      </c>
      <c r="C4735" s="1">
        <v>6371359965</v>
      </c>
      <c r="E4735" s="17" t="s">
        <v>2854</v>
      </c>
      <c r="F4735" s="65" t="s">
        <v>1827</v>
      </c>
      <c r="G4735" s="3" t="s">
        <v>416</v>
      </c>
      <c r="H4735" s="2" t="s">
        <v>815</v>
      </c>
      <c r="I4735" s="3" t="s">
        <v>42</v>
      </c>
      <c r="J4735" s="31">
        <v>45960</v>
      </c>
      <c r="K4735" s="31">
        <v>45961</v>
      </c>
      <c r="L4735" s="31"/>
      <c r="M4735" s="31"/>
      <c r="N4735" s="31"/>
      <c r="O4735" s="3" t="s">
        <v>297</v>
      </c>
    </row>
    <row r="4736" spans="1:15">
      <c r="A4736" s="3">
        <f t="shared" si="75"/>
        <v>4735</v>
      </c>
      <c r="B4736" s="65" t="s">
        <v>7023</v>
      </c>
      <c r="C4736" s="1">
        <v>7525993823</v>
      </c>
      <c r="D4736" s="1">
        <v>8004220177</v>
      </c>
      <c r="E4736" s="17" t="s">
        <v>5173</v>
      </c>
      <c r="F4736" s="65" t="s">
        <v>2697</v>
      </c>
      <c r="G4736" s="3" t="s">
        <v>764</v>
      </c>
      <c r="H4736" s="2" t="s">
        <v>3240</v>
      </c>
      <c r="I4736" s="3" t="s">
        <v>42</v>
      </c>
      <c r="J4736" s="31">
        <v>45960</v>
      </c>
      <c r="K4736" s="31">
        <v>45968</v>
      </c>
      <c r="L4736" s="31"/>
      <c r="M4736" s="31"/>
      <c r="N4736" s="31"/>
      <c r="O4736" s="3" t="s">
        <v>425</v>
      </c>
    </row>
    <row r="4737" spans="1:15">
      <c r="A4737" s="3">
        <f t="shared" si="75"/>
        <v>4736</v>
      </c>
      <c r="B4737" s="65" t="s">
        <v>7024</v>
      </c>
      <c r="C4737" s="1">
        <v>6309850723</v>
      </c>
      <c r="E4737" s="3" t="s">
        <v>6199</v>
      </c>
      <c r="F4737" s="65" t="s">
        <v>7025</v>
      </c>
      <c r="G4737" s="3" t="s">
        <v>416</v>
      </c>
      <c r="H4737" s="2" t="s">
        <v>3240</v>
      </c>
      <c r="I4737" s="3" t="s">
        <v>42</v>
      </c>
      <c r="J4737" s="31">
        <v>45960</v>
      </c>
      <c r="K4737" s="31">
        <v>45994</v>
      </c>
      <c r="L4737" s="31"/>
      <c r="M4737" s="31"/>
      <c r="N4737" s="31"/>
      <c r="O4737" s="3" t="s">
        <v>297</v>
      </c>
    </row>
    <row r="4738" spans="1:15">
      <c r="A4738" s="3">
        <f t="shared" si="75"/>
        <v>4737</v>
      </c>
      <c r="B4738" s="65" t="s">
        <v>7026</v>
      </c>
      <c r="C4738" s="1">
        <v>9550654533</v>
      </c>
      <c r="E4738" s="17" t="s">
        <v>6236</v>
      </c>
      <c r="F4738" s="65" t="s">
        <v>1011</v>
      </c>
      <c r="G4738" s="3" t="s">
        <v>295</v>
      </c>
      <c r="H4738" s="2" t="s">
        <v>3240</v>
      </c>
      <c r="I4738" s="3" t="s">
        <v>42</v>
      </c>
      <c r="J4738" s="31">
        <v>45960</v>
      </c>
      <c r="K4738" s="31">
        <v>45968</v>
      </c>
      <c r="L4738" s="31">
        <v>46028</v>
      </c>
      <c r="M4738" s="31">
        <v>46042</v>
      </c>
      <c r="N4738" s="31"/>
      <c r="O4738" s="3" t="s">
        <v>297</v>
      </c>
    </row>
    <row r="4739" spans="1:15">
      <c r="A4739" s="3">
        <f t="shared" si="75"/>
        <v>4738</v>
      </c>
      <c r="B4739" s="65" t="s">
        <v>7027</v>
      </c>
      <c r="C4739" s="1">
        <v>7007275128</v>
      </c>
      <c r="D4739" s="1">
        <v>9621992473</v>
      </c>
      <c r="E4739" s="3" t="s">
        <v>6199</v>
      </c>
      <c r="F4739" s="65" t="s">
        <v>1011</v>
      </c>
      <c r="G4739" s="3" t="s">
        <v>16</v>
      </c>
      <c r="H4739" s="2" t="s">
        <v>3240</v>
      </c>
      <c r="I4739" s="3" t="s">
        <v>42</v>
      </c>
      <c r="J4739" s="31">
        <v>45960</v>
      </c>
      <c r="K4739" s="31">
        <v>45968</v>
      </c>
      <c r="L4739" s="31">
        <v>45975</v>
      </c>
      <c r="M4739" s="31">
        <v>46006</v>
      </c>
      <c r="N4739" s="31">
        <v>46007</v>
      </c>
      <c r="O4739" s="3" t="s">
        <v>297</v>
      </c>
    </row>
    <row r="4740" spans="1:15">
      <c r="A4740" s="3">
        <f t="shared" ref="A4740:A4768" si="76">ROW()-1</f>
        <v>4739</v>
      </c>
      <c r="B4740" s="65" t="s">
        <v>7028</v>
      </c>
      <c r="C4740" s="1">
        <v>9652246110</v>
      </c>
      <c r="E4740" s="3" t="s">
        <v>6199</v>
      </c>
      <c r="F4740" s="65" t="s">
        <v>1011</v>
      </c>
      <c r="G4740" s="3" t="s">
        <v>764</v>
      </c>
      <c r="H4740" s="2" t="s">
        <v>3240</v>
      </c>
      <c r="I4740" s="3" t="s">
        <v>42</v>
      </c>
      <c r="J4740" s="31">
        <v>45960</v>
      </c>
      <c r="K4740" s="31">
        <v>46009</v>
      </c>
      <c r="L4740" s="31"/>
      <c r="M4740" s="31"/>
      <c r="N4740" s="31"/>
      <c r="O4740" s="3" t="s">
        <v>425</v>
      </c>
    </row>
    <row r="4741" spans="1:15">
      <c r="A4741" s="3">
        <f t="shared" si="76"/>
        <v>4740</v>
      </c>
      <c r="B4741" s="65" t="s">
        <v>7029</v>
      </c>
      <c r="C4741" s="1">
        <v>6281255176</v>
      </c>
      <c r="E4741" s="17" t="s">
        <v>6236</v>
      </c>
      <c r="F4741" s="65"/>
      <c r="G4741" s="3" t="s">
        <v>7030</v>
      </c>
      <c r="H4741" s="2" t="s">
        <v>3240</v>
      </c>
      <c r="I4741" s="3" t="s">
        <v>42</v>
      </c>
      <c r="J4741" s="31">
        <v>45960</v>
      </c>
      <c r="K4741" s="31"/>
      <c r="L4741" s="31"/>
      <c r="M4741" s="31"/>
      <c r="N4741" s="31"/>
      <c r="O4741" s="3" t="s">
        <v>1004</v>
      </c>
    </row>
    <row r="4742" spans="1:15">
      <c r="A4742" s="3">
        <f t="shared" si="76"/>
        <v>4741</v>
      </c>
      <c r="B4742" s="65" t="s">
        <v>7031</v>
      </c>
      <c r="C4742" s="1">
        <v>8978223753</v>
      </c>
      <c r="E4742" s="17" t="s">
        <v>5173</v>
      </c>
      <c r="F4742" s="65" t="s">
        <v>303</v>
      </c>
      <c r="G4742" s="3" t="s">
        <v>764</v>
      </c>
      <c r="H4742" s="2" t="s">
        <v>3240</v>
      </c>
      <c r="I4742" s="3" t="s">
        <v>42</v>
      </c>
      <c r="J4742" s="31">
        <v>45960</v>
      </c>
      <c r="K4742" s="31">
        <v>45968</v>
      </c>
      <c r="L4742" s="31"/>
      <c r="M4742" s="31"/>
      <c r="N4742" s="31"/>
      <c r="O4742" s="3" t="s">
        <v>425</v>
      </c>
    </row>
    <row r="4743" spans="1:15">
      <c r="A4743" s="3">
        <f t="shared" si="76"/>
        <v>4742</v>
      </c>
      <c r="B4743" s="65" t="s">
        <v>900</v>
      </c>
      <c r="C4743" s="1">
        <v>8341395038</v>
      </c>
      <c r="E4743" s="17" t="s">
        <v>5173</v>
      </c>
      <c r="F4743" s="65" t="s">
        <v>303</v>
      </c>
      <c r="G4743" s="3" t="s">
        <v>18</v>
      </c>
      <c r="H4743" s="2" t="s">
        <v>3240</v>
      </c>
      <c r="I4743" s="3" t="s">
        <v>42</v>
      </c>
      <c r="J4743" s="31">
        <v>45960</v>
      </c>
      <c r="K4743" s="31">
        <v>45968</v>
      </c>
      <c r="L4743" s="31"/>
      <c r="M4743" s="31"/>
      <c r="N4743" s="31"/>
      <c r="O4743" s="3" t="s">
        <v>297</v>
      </c>
    </row>
    <row r="4744" spans="1:15">
      <c r="A4744" s="3">
        <f t="shared" si="76"/>
        <v>4743</v>
      </c>
      <c r="B4744" s="65" t="s">
        <v>3705</v>
      </c>
      <c r="C4744" s="1">
        <v>9981751395</v>
      </c>
      <c r="E4744" s="17" t="s">
        <v>5173</v>
      </c>
      <c r="F4744" s="65" t="s">
        <v>7032</v>
      </c>
      <c r="G4744" s="3" t="s">
        <v>764</v>
      </c>
      <c r="H4744" s="2" t="s">
        <v>3240</v>
      </c>
      <c r="I4744" s="3" t="s">
        <v>42</v>
      </c>
      <c r="J4744" s="31">
        <v>45960</v>
      </c>
      <c r="K4744" s="31">
        <v>45968</v>
      </c>
      <c r="L4744" s="31"/>
      <c r="M4744" s="31"/>
      <c r="N4744" s="31"/>
      <c r="O4744" s="3" t="s">
        <v>425</v>
      </c>
    </row>
    <row r="4745" spans="1:15">
      <c r="A4745" s="3">
        <f t="shared" si="76"/>
        <v>4744</v>
      </c>
      <c r="B4745" s="65" t="s">
        <v>7033</v>
      </c>
      <c r="C4745" s="1">
        <v>9414222000</v>
      </c>
      <c r="E4745" s="17" t="s">
        <v>6914</v>
      </c>
      <c r="F4745" s="65"/>
      <c r="G4745" s="3" t="s">
        <v>295</v>
      </c>
      <c r="H4745" s="2" t="s">
        <v>913</v>
      </c>
      <c r="I4745" s="3" t="s">
        <v>94</v>
      </c>
      <c r="J4745" s="31">
        <v>45955</v>
      </c>
      <c r="K4745" s="31">
        <v>45957</v>
      </c>
      <c r="L4745" s="31">
        <v>45959</v>
      </c>
      <c r="M4745" s="31">
        <v>45979</v>
      </c>
      <c r="N4745" s="31"/>
      <c r="O4745" s="3" t="s">
        <v>297</v>
      </c>
    </row>
    <row r="4746" spans="1:15">
      <c r="A4746" s="3">
        <f t="shared" si="76"/>
        <v>4745</v>
      </c>
      <c r="B4746" s="65" t="s">
        <v>7034</v>
      </c>
      <c r="C4746" s="1">
        <v>8400261448</v>
      </c>
      <c r="E4746" s="17" t="s">
        <v>6914</v>
      </c>
      <c r="F4746" s="65"/>
      <c r="G4746" s="3" t="s">
        <v>16</v>
      </c>
      <c r="H4746" s="2" t="s">
        <v>913</v>
      </c>
      <c r="I4746" s="3" t="s">
        <v>94</v>
      </c>
      <c r="J4746" s="31">
        <v>45955</v>
      </c>
      <c r="K4746" s="31">
        <v>45957</v>
      </c>
      <c r="L4746" s="31">
        <v>45959</v>
      </c>
      <c r="M4746" s="31">
        <v>45978</v>
      </c>
      <c r="N4746" s="31">
        <v>45978</v>
      </c>
      <c r="O4746" s="3" t="s">
        <v>297</v>
      </c>
    </row>
    <row r="4747" spans="1:15">
      <c r="A4747" s="3">
        <f t="shared" si="76"/>
        <v>4746</v>
      </c>
      <c r="B4747" s="65" t="s">
        <v>7035</v>
      </c>
      <c r="C4747" s="1">
        <v>8115873717</v>
      </c>
      <c r="E4747" s="17" t="s">
        <v>6933</v>
      </c>
      <c r="F4747" s="65"/>
      <c r="G4747" s="3" t="s">
        <v>16</v>
      </c>
      <c r="H4747" s="2" t="s">
        <v>913</v>
      </c>
      <c r="I4747" s="3" t="s">
        <v>94</v>
      </c>
      <c r="J4747" s="31">
        <v>45955</v>
      </c>
      <c r="K4747" s="31">
        <v>45957</v>
      </c>
      <c r="L4747" s="31">
        <v>45959</v>
      </c>
      <c r="M4747" s="31">
        <v>45974</v>
      </c>
      <c r="N4747" s="31">
        <v>45978</v>
      </c>
      <c r="O4747" s="3" t="s">
        <v>297</v>
      </c>
    </row>
    <row r="4748" spans="1:15">
      <c r="A4748" s="3">
        <f t="shared" si="76"/>
        <v>4747</v>
      </c>
      <c r="B4748" s="65" t="s">
        <v>7036</v>
      </c>
      <c r="C4748" s="1">
        <v>9008575198</v>
      </c>
      <c r="E4748" s="17" t="s">
        <v>7037</v>
      </c>
      <c r="F4748" s="65"/>
      <c r="G4748" s="3" t="s">
        <v>16</v>
      </c>
      <c r="H4748" s="2" t="s">
        <v>913</v>
      </c>
      <c r="I4748" s="3" t="s">
        <v>94</v>
      </c>
      <c r="J4748" s="31">
        <v>45955</v>
      </c>
      <c r="K4748" s="31">
        <v>45957</v>
      </c>
      <c r="L4748" s="31">
        <v>45959</v>
      </c>
      <c r="M4748" s="31">
        <v>45969</v>
      </c>
      <c r="N4748" s="31">
        <v>45963</v>
      </c>
      <c r="O4748" s="3" t="s">
        <v>297</v>
      </c>
    </row>
    <row r="4749" spans="1:15">
      <c r="A4749" s="3">
        <f t="shared" si="76"/>
        <v>4748</v>
      </c>
      <c r="B4749" s="65" t="s">
        <v>7038</v>
      </c>
      <c r="C4749" s="1">
        <v>9508716070</v>
      </c>
      <c r="E4749" s="17" t="s">
        <v>6870</v>
      </c>
      <c r="F4749" s="65"/>
      <c r="G4749" s="3" t="s">
        <v>16</v>
      </c>
      <c r="H4749" s="2" t="s">
        <v>296</v>
      </c>
      <c r="I4749" s="3" t="s">
        <v>94</v>
      </c>
      <c r="J4749" s="31">
        <v>45955</v>
      </c>
      <c r="K4749" s="31">
        <v>45957</v>
      </c>
      <c r="L4749" s="31">
        <v>45959</v>
      </c>
      <c r="M4749" s="31">
        <v>45971</v>
      </c>
      <c r="N4749" s="31">
        <v>45970</v>
      </c>
      <c r="O4749" s="3" t="s">
        <v>297</v>
      </c>
    </row>
    <row r="4750" spans="1:15">
      <c r="A4750" s="3">
        <f t="shared" si="76"/>
        <v>4749</v>
      </c>
      <c r="B4750" s="65" t="s">
        <v>4871</v>
      </c>
      <c r="C4750" s="1">
        <v>8951494801</v>
      </c>
      <c r="E4750" s="17" t="s">
        <v>6796</v>
      </c>
      <c r="F4750" s="65" t="s">
        <v>3691</v>
      </c>
      <c r="G4750" s="3" t="s">
        <v>424</v>
      </c>
      <c r="H4750" s="2" t="s">
        <v>6158</v>
      </c>
      <c r="I4750" s="3" t="s">
        <v>42</v>
      </c>
      <c r="J4750" s="31">
        <v>45960</v>
      </c>
      <c r="K4750" s="31">
        <v>45965</v>
      </c>
      <c r="L4750" s="31"/>
      <c r="M4750" s="31"/>
      <c r="N4750" s="31"/>
      <c r="O4750" s="3" t="s">
        <v>749</v>
      </c>
    </row>
    <row r="4751" spans="1:15">
      <c r="A4751" s="3">
        <f t="shared" si="76"/>
        <v>4750</v>
      </c>
      <c r="B4751" s="65" t="s">
        <v>7039</v>
      </c>
      <c r="C4751" s="1">
        <v>9337331735</v>
      </c>
      <c r="E4751" s="17" t="s">
        <v>6796</v>
      </c>
      <c r="F4751" s="65" t="s">
        <v>294</v>
      </c>
      <c r="G4751" s="3" t="s">
        <v>18</v>
      </c>
      <c r="H4751" s="2" t="s">
        <v>6158</v>
      </c>
      <c r="I4751" s="3" t="s">
        <v>42</v>
      </c>
      <c r="J4751" s="31">
        <v>45960</v>
      </c>
      <c r="K4751" s="31">
        <v>45965</v>
      </c>
      <c r="L4751" s="31"/>
      <c r="M4751" s="31"/>
      <c r="N4751" s="31"/>
      <c r="O4751" s="3" t="s">
        <v>297</v>
      </c>
    </row>
    <row r="4752" spans="1:15">
      <c r="A4752" s="3">
        <f t="shared" si="76"/>
        <v>4751</v>
      </c>
      <c r="B4752" s="65" t="s">
        <v>7040</v>
      </c>
      <c r="C4752" s="1">
        <v>7702586857</v>
      </c>
      <c r="E4752" s="17" t="s">
        <v>7041</v>
      </c>
      <c r="F4752" s="65"/>
      <c r="G4752" s="3" t="s">
        <v>16</v>
      </c>
      <c r="H4752" s="2" t="s">
        <v>1186</v>
      </c>
      <c r="I4752" s="3" t="s">
        <v>88</v>
      </c>
      <c r="J4752" s="31">
        <v>45955</v>
      </c>
      <c r="K4752" s="31">
        <v>45958</v>
      </c>
      <c r="L4752" s="31">
        <v>45959</v>
      </c>
      <c r="M4752" s="31">
        <v>45990</v>
      </c>
      <c r="N4752" s="31">
        <v>45964</v>
      </c>
      <c r="O4752" s="3" t="s">
        <v>297</v>
      </c>
    </row>
    <row r="4753" spans="1:15">
      <c r="A4753" s="3">
        <f t="shared" si="76"/>
        <v>4752</v>
      </c>
      <c r="B4753" s="65" t="s">
        <v>7042</v>
      </c>
      <c r="C4753" s="1">
        <v>9493274898</v>
      </c>
      <c r="D4753" s="1">
        <v>8919432275</v>
      </c>
      <c r="E4753" s="17" t="s">
        <v>4609</v>
      </c>
      <c r="F4753" s="65" t="s">
        <v>6744</v>
      </c>
      <c r="G4753" s="3" t="s">
        <v>424</v>
      </c>
      <c r="H4753" s="2" t="s">
        <v>5774</v>
      </c>
      <c r="I4753" s="3" t="s">
        <v>42</v>
      </c>
      <c r="J4753" s="31">
        <v>45960</v>
      </c>
      <c r="K4753" s="31">
        <v>45964</v>
      </c>
      <c r="L4753" s="31"/>
      <c r="M4753" s="31"/>
      <c r="N4753" s="31"/>
      <c r="O4753" s="3" t="s">
        <v>425</v>
      </c>
    </row>
    <row r="4754" spans="1:15">
      <c r="A4754" s="3">
        <f t="shared" si="76"/>
        <v>4753</v>
      </c>
      <c r="B4754" s="65" t="s">
        <v>6710</v>
      </c>
      <c r="C4754" s="1">
        <v>7068507675</v>
      </c>
      <c r="E4754" s="17" t="s">
        <v>2854</v>
      </c>
      <c r="F4754" s="65" t="s">
        <v>825</v>
      </c>
      <c r="G4754" s="3" t="s">
        <v>295</v>
      </c>
      <c r="H4754" s="2" t="s">
        <v>815</v>
      </c>
      <c r="I4754" s="3" t="s">
        <v>42</v>
      </c>
      <c r="J4754" s="31">
        <v>45960</v>
      </c>
      <c r="K4754" s="31">
        <v>45965</v>
      </c>
      <c r="L4754" s="31">
        <v>45968</v>
      </c>
      <c r="M4754" s="31">
        <v>46001</v>
      </c>
      <c r="N4754" s="31"/>
      <c r="O4754" s="3" t="s">
        <v>297</v>
      </c>
    </row>
    <row r="4755" spans="1:15">
      <c r="A4755" s="3">
        <f t="shared" si="76"/>
        <v>4754</v>
      </c>
      <c r="B4755" s="65" t="s">
        <v>7043</v>
      </c>
      <c r="C4755" s="1">
        <v>8143828250</v>
      </c>
      <c r="E4755" s="17" t="s">
        <v>7044</v>
      </c>
      <c r="F4755" s="65" t="s">
        <v>1555</v>
      </c>
      <c r="G4755" s="3" t="s">
        <v>18</v>
      </c>
      <c r="H4755" s="2" t="s">
        <v>815</v>
      </c>
      <c r="I4755" s="3" t="s">
        <v>42</v>
      </c>
      <c r="J4755" s="31">
        <v>45960</v>
      </c>
      <c r="K4755" s="31">
        <v>45965</v>
      </c>
      <c r="L4755" s="31"/>
      <c r="M4755" s="31"/>
      <c r="N4755" s="31"/>
      <c r="O4755" s="3" t="s">
        <v>297</v>
      </c>
    </row>
    <row r="4756" spans="1:15">
      <c r="A4756" s="3">
        <f t="shared" si="76"/>
        <v>4755</v>
      </c>
      <c r="B4756" s="65" t="s">
        <v>7045</v>
      </c>
      <c r="C4756" s="1">
        <v>9949521579</v>
      </c>
      <c r="E4756" s="17" t="s">
        <v>7044</v>
      </c>
      <c r="F4756" s="65" t="s">
        <v>7046</v>
      </c>
      <c r="G4756" s="3" t="s">
        <v>16</v>
      </c>
      <c r="H4756" s="2" t="s">
        <v>815</v>
      </c>
      <c r="I4756" s="3" t="s">
        <v>42</v>
      </c>
      <c r="J4756" s="31">
        <v>45960</v>
      </c>
      <c r="K4756" s="31">
        <v>45965</v>
      </c>
      <c r="L4756" s="31">
        <v>45968</v>
      </c>
      <c r="M4756" s="31">
        <v>46001</v>
      </c>
      <c r="N4756" s="31">
        <v>46006</v>
      </c>
      <c r="O4756" s="3" t="s">
        <v>297</v>
      </c>
    </row>
    <row r="4757" spans="1:15">
      <c r="A4757" s="3">
        <f t="shared" si="76"/>
        <v>4756</v>
      </c>
      <c r="B4757" s="65" t="s">
        <v>7047</v>
      </c>
      <c r="C4757" s="1">
        <v>7382682676</v>
      </c>
      <c r="E4757" s="17" t="s">
        <v>6175</v>
      </c>
      <c r="F4757" s="65" t="s">
        <v>7048</v>
      </c>
      <c r="G4757" s="2" t="s">
        <v>295</v>
      </c>
      <c r="H4757" s="2" t="s">
        <v>88</v>
      </c>
      <c r="I4757" s="3" t="s">
        <v>88</v>
      </c>
      <c r="J4757" s="31">
        <v>45961</v>
      </c>
      <c r="K4757" s="31">
        <v>45961</v>
      </c>
      <c r="L4757" s="31">
        <v>45961</v>
      </c>
      <c r="M4757" s="31">
        <v>45992</v>
      </c>
      <c r="N4757" s="31"/>
      <c r="O4757" s="3" t="s">
        <v>297</v>
      </c>
    </row>
    <row r="4758" spans="1:15">
      <c r="A4758" s="3">
        <f t="shared" si="76"/>
        <v>4757</v>
      </c>
      <c r="B4758" s="65" t="s">
        <v>7049</v>
      </c>
      <c r="C4758" s="1">
        <v>9676613012</v>
      </c>
      <c r="E4758" s="17" t="s">
        <v>7050</v>
      </c>
      <c r="F4758" s="65" t="s">
        <v>7051</v>
      </c>
      <c r="G4758" s="3" t="s">
        <v>424</v>
      </c>
      <c r="H4758" s="2" t="s">
        <v>2425</v>
      </c>
      <c r="I4758" s="3" t="s">
        <v>42</v>
      </c>
      <c r="J4758" s="31">
        <v>45961</v>
      </c>
      <c r="K4758" s="31">
        <v>45981</v>
      </c>
      <c r="L4758" s="31"/>
      <c r="M4758" s="31"/>
      <c r="N4758" s="31"/>
      <c r="O4758" s="3" t="s">
        <v>749</v>
      </c>
    </row>
    <row r="4759" spans="1:15">
      <c r="A4759" s="3">
        <f t="shared" si="76"/>
        <v>4758</v>
      </c>
      <c r="B4759" s="65" t="s">
        <v>7052</v>
      </c>
      <c r="C4759" s="1">
        <v>7799508220</v>
      </c>
      <c r="E4759" s="17" t="s">
        <v>7050</v>
      </c>
      <c r="F4759" s="65" t="s">
        <v>7053</v>
      </c>
      <c r="G4759" s="3" t="s">
        <v>424</v>
      </c>
      <c r="H4759" s="2" t="s">
        <v>2425</v>
      </c>
      <c r="I4759" s="3" t="s">
        <v>42</v>
      </c>
      <c r="J4759" s="31">
        <v>45961</v>
      </c>
      <c r="K4759" s="31">
        <v>45981</v>
      </c>
      <c r="L4759" s="31"/>
      <c r="M4759" s="31"/>
      <c r="N4759" s="31"/>
      <c r="O4759" s="3" t="s">
        <v>425</v>
      </c>
    </row>
    <row r="4760" spans="1:15">
      <c r="A4760" s="3">
        <f t="shared" si="76"/>
        <v>4759</v>
      </c>
      <c r="B4760" s="65" t="s">
        <v>7054</v>
      </c>
      <c r="C4760" s="1">
        <v>8970199628</v>
      </c>
      <c r="E4760" s="17" t="s">
        <v>3777</v>
      </c>
      <c r="F4760" s="65" t="s">
        <v>7055</v>
      </c>
      <c r="G4760" s="3" t="s">
        <v>18</v>
      </c>
      <c r="H4760" s="2" t="s">
        <v>785</v>
      </c>
      <c r="I4760" s="3" t="s">
        <v>42</v>
      </c>
      <c r="J4760" s="31">
        <v>45961</v>
      </c>
      <c r="K4760" s="31">
        <v>45996</v>
      </c>
      <c r="L4760" s="31"/>
      <c r="M4760" s="31"/>
      <c r="N4760" s="31"/>
      <c r="O4760" s="3" t="s">
        <v>297</v>
      </c>
    </row>
    <row r="4761" spans="1:15">
      <c r="A4761" s="3">
        <f t="shared" si="76"/>
        <v>4760</v>
      </c>
      <c r="B4761" s="65" t="s">
        <v>7056</v>
      </c>
      <c r="C4761" s="1">
        <v>9932268170</v>
      </c>
      <c r="D4761" s="1">
        <v>9635156764</v>
      </c>
      <c r="E4761" s="17" t="s">
        <v>7057</v>
      </c>
      <c r="F4761" s="65" t="s">
        <v>3002</v>
      </c>
      <c r="G4761" s="3" t="s">
        <v>16</v>
      </c>
      <c r="H4761" s="2" t="s">
        <v>296</v>
      </c>
      <c r="I4761" s="3" t="s">
        <v>94</v>
      </c>
      <c r="J4761" s="31">
        <v>45961</v>
      </c>
      <c r="K4761" s="31">
        <v>45966</v>
      </c>
      <c r="L4761" s="31">
        <v>45968</v>
      </c>
      <c r="M4761" s="31">
        <v>45998</v>
      </c>
      <c r="N4761" s="31">
        <v>46002</v>
      </c>
      <c r="O4761" s="3" t="s">
        <v>297</v>
      </c>
    </row>
    <row r="4762" spans="1:15">
      <c r="A4762" s="3">
        <f t="shared" si="76"/>
        <v>4761</v>
      </c>
      <c r="B4762" s="65" t="s">
        <v>7058</v>
      </c>
      <c r="C4762" s="1">
        <v>7828173263</v>
      </c>
      <c r="E4762" s="17" t="s">
        <v>7057</v>
      </c>
      <c r="F4762" s="65" t="s">
        <v>7059</v>
      </c>
      <c r="G4762" s="3" t="s">
        <v>295</v>
      </c>
      <c r="H4762" s="2" t="s">
        <v>296</v>
      </c>
      <c r="I4762" s="3" t="s">
        <v>94</v>
      </c>
      <c r="J4762" s="31">
        <v>45961</v>
      </c>
      <c r="K4762" s="31">
        <v>45966</v>
      </c>
      <c r="L4762" s="31">
        <v>45968</v>
      </c>
      <c r="M4762" s="31">
        <v>45998</v>
      </c>
      <c r="N4762" s="31"/>
      <c r="O4762" s="3" t="s">
        <v>297</v>
      </c>
    </row>
    <row r="4763" spans="1:15">
      <c r="A4763" s="3">
        <f t="shared" si="76"/>
        <v>4762</v>
      </c>
      <c r="B4763" s="65" t="s">
        <v>7060</v>
      </c>
      <c r="C4763" s="1">
        <v>6260254544</v>
      </c>
      <c r="D4763" s="1">
        <v>7431936930</v>
      </c>
      <c r="E4763" s="17" t="s">
        <v>7061</v>
      </c>
      <c r="F4763" s="65" t="s">
        <v>294</v>
      </c>
      <c r="G4763" s="3" t="s">
        <v>424</v>
      </c>
      <c r="H4763" s="2" t="s">
        <v>296</v>
      </c>
      <c r="I4763" s="3" t="s">
        <v>94</v>
      </c>
      <c r="J4763" s="31">
        <v>45961</v>
      </c>
      <c r="K4763" s="31">
        <v>45968</v>
      </c>
      <c r="L4763" s="31"/>
      <c r="M4763" s="31"/>
      <c r="N4763" s="31"/>
      <c r="O4763" s="3" t="s">
        <v>425</v>
      </c>
    </row>
    <row r="4764" spans="1:15">
      <c r="A4764" s="3">
        <f t="shared" si="76"/>
        <v>4763</v>
      </c>
      <c r="B4764" s="65" t="s">
        <v>7062</v>
      </c>
      <c r="C4764" s="1">
        <v>6281039873</v>
      </c>
      <c r="D4764" s="1">
        <v>8333894343</v>
      </c>
      <c r="E4764" s="17" t="s">
        <v>7063</v>
      </c>
      <c r="F4764" s="65" t="s">
        <v>409</v>
      </c>
      <c r="G4764" s="3" t="s">
        <v>416</v>
      </c>
      <c r="H4764" s="2" t="s">
        <v>296</v>
      </c>
      <c r="I4764" s="3" t="s">
        <v>94</v>
      </c>
      <c r="J4764" s="31">
        <v>45961</v>
      </c>
      <c r="K4764" s="31">
        <v>45995</v>
      </c>
      <c r="L4764" s="31"/>
      <c r="M4764" s="31"/>
      <c r="N4764" s="31"/>
      <c r="O4764" s="3" t="s">
        <v>297</v>
      </c>
    </row>
    <row r="4765" spans="1:15">
      <c r="A4765" s="3">
        <f t="shared" si="76"/>
        <v>4764</v>
      </c>
      <c r="B4765" s="65" t="s">
        <v>7064</v>
      </c>
      <c r="C4765" s="1">
        <v>6281121101</v>
      </c>
      <c r="E4765" s="17" t="s">
        <v>7063</v>
      </c>
      <c r="F4765" s="65" t="s">
        <v>409</v>
      </c>
      <c r="G4765" s="3" t="s">
        <v>16</v>
      </c>
      <c r="H4765" s="2" t="s">
        <v>296</v>
      </c>
      <c r="I4765" s="3" t="s">
        <v>94</v>
      </c>
      <c r="J4765" s="31">
        <v>45961</v>
      </c>
      <c r="K4765" s="31">
        <v>45971</v>
      </c>
      <c r="L4765" s="31">
        <v>45972</v>
      </c>
      <c r="M4765" s="31">
        <v>45982</v>
      </c>
      <c r="N4765" s="31">
        <v>45985</v>
      </c>
      <c r="O4765" s="3" t="s">
        <v>297</v>
      </c>
    </row>
    <row r="4766" spans="1:15">
      <c r="A4766" s="3">
        <f t="shared" si="76"/>
        <v>4765</v>
      </c>
      <c r="B4766" s="65" t="s">
        <v>7065</v>
      </c>
      <c r="C4766" s="1">
        <v>8577991783</v>
      </c>
      <c r="D4766" s="1">
        <v>8787235768</v>
      </c>
      <c r="E4766" s="17" t="s">
        <v>7063</v>
      </c>
      <c r="F4766" s="65" t="s">
        <v>294</v>
      </c>
      <c r="G4766" s="3" t="s">
        <v>16</v>
      </c>
      <c r="H4766" s="2" t="s">
        <v>296</v>
      </c>
      <c r="I4766" s="3" t="s">
        <v>94</v>
      </c>
      <c r="J4766" s="31">
        <v>45961</v>
      </c>
      <c r="K4766" s="31">
        <v>45965</v>
      </c>
      <c r="L4766" s="31">
        <v>45968</v>
      </c>
      <c r="M4766" s="31">
        <v>45983</v>
      </c>
      <c r="N4766" s="31">
        <v>45985</v>
      </c>
      <c r="O4766" s="3" t="s">
        <v>297</v>
      </c>
    </row>
    <row r="4767" spans="1:15">
      <c r="A4767" s="3">
        <f t="shared" si="76"/>
        <v>4766</v>
      </c>
      <c r="B4767" s="65" t="s">
        <v>7066</v>
      </c>
      <c r="C4767" s="1">
        <v>8740987221</v>
      </c>
      <c r="E4767" s="17" t="s">
        <v>5525</v>
      </c>
      <c r="F4767" s="65" t="s">
        <v>3002</v>
      </c>
      <c r="G4767" s="3" t="s">
        <v>18</v>
      </c>
      <c r="H4767" s="2" t="s">
        <v>296</v>
      </c>
      <c r="I4767" s="3" t="s">
        <v>94</v>
      </c>
      <c r="J4767" s="31">
        <v>45961</v>
      </c>
      <c r="K4767" s="31">
        <v>45964</v>
      </c>
      <c r="L4767" s="31"/>
      <c r="M4767" s="31"/>
      <c r="N4767" s="31"/>
      <c r="O4767" s="3" t="s">
        <v>297</v>
      </c>
    </row>
    <row r="4768" spans="1:15">
      <c r="A4768" s="3">
        <f t="shared" si="76"/>
        <v>4767</v>
      </c>
      <c r="B4768" s="65" t="s">
        <v>7067</v>
      </c>
      <c r="C4768" s="1">
        <v>6295047298</v>
      </c>
      <c r="E4768" s="17" t="s">
        <v>5525</v>
      </c>
      <c r="F4768" s="65" t="s">
        <v>294</v>
      </c>
      <c r="G4768" s="3" t="s">
        <v>424</v>
      </c>
      <c r="H4768" s="2" t="s">
        <v>296</v>
      </c>
      <c r="I4768" s="3" t="s">
        <v>94</v>
      </c>
      <c r="J4768" s="31">
        <v>45961</v>
      </c>
      <c r="K4768" s="31">
        <v>45966</v>
      </c>
      <c r="L4768" s="31"/>
      <c r="M4768" s="31"/>
      <c r="N4768" s="31"/>
      <c r="O4768" s="3" t="s">
        <v>425</v>
      </c>
    </row>
    <row r="4769" spans="1:15">
      <c r="A4769" s="3">
        <f>ROW()-1</f>
        <v>4768</v>
      </c>
      <c r="B4769" s="65" t="s">
        <v>7068</v>
      </c>
      <c r="C4769" s="1">
        <v>9985325211</v>
      </c>
      <c r="E4769" s="17" t="s">
        <v>7069</v>
      </c>
      <c r="F4769" s="65"/>
      <c r="G4769" s="3" t="s">
        <v>16</v>
      </c>
      <c r="H4769" s="2" t="s">
        <v>815</v>
      </c>
      <c r="I4769" s="3" t="s">
        <v>88</v>
      </c>
      <c r="J4769" s="31">
        <v>45955</v>
      </c>
      <c r="K4769" s="31">
        <v>45960</v>
      </c>
      <c r="L4769" s="31">
        <v>45961</v>
      </c>
      <c r="M4769" s="31">
        <v>45962</v>
      </c>
      <c r="N4769" s="31">
        <v>45936</v>
      </c>
      <c r="O4769" s="3" t="s">
        <v>297</v>
      </c>
    </row>
    <row r="4770" spans="1:15">
      <c r="A4770" s="3">
        <f t="shared" ref="A4770:A4778" si="77">ROW()-1</f>
        <v>4769</v>
      </c>
      <c r="B4770" s="65" t="s">
        <v>7070</v>
      </c>
      <c r="C4770" s="1">
        <v>9369898213</v>
      </c>
      <c r="E4770" s="17" t="s">
        <v>6422</v>
      </c>
      <c r="F4770" s="65"/>
      <c r="G4770" s="3" t="s">
        <v>295</v>
      </c>
      <c r="H4770" s="2" t="s">
        <v>930</v>
      </c>
      <c r="I4770" s="3" t="s">
        <v>94</v>
      </c>
      <c r="J4770" s="31">
        <v>45955</v>
      </c>
      <c r="K4770" s="31">
        <v>45960</v>
      </c>
      <c r="L4770" s="31">
        <v>45961</v>
      </c>
      <c r="M4770" s="31">
        <v>46004</v>
      </c>
      <c r="N4770" s="31"/>
      <c r="O4770" s="3" t="s">
        <v>297</v>
      </c>
    </row>
    <row r="4771" spans="1:15">
      <c r="A4771" s="3">
        <f t="shared" si="77"/>
        <v>4770</v>
      </c>
      <c r="B4771" s="65" t="s">
        <v>3708</v>
      </c>
      <c r="C4771" s="1">
        <v>9450728996</v>
      </c>
      <c r="E4771" s="17" t="s">
        <v>6933</v>
      </c>
      <c r="F4771" s="65"/>
      <c r="G4771" s="3" t="s">
        <v>16</v>
      </c>
      <c r="H4771" s="2" t="s">
        <v>913</v>
      </c>
      <c r="I4771" s="3" t="s">
        <v>94</v>
      </c>
      <c r="J4771" s="31">
        <v>45955</v>
      </c>
      <c r="K4771" s="31">
        <v>45960</v>
      </c>
      <c r="L4771" s="31">
        <v>45961</v>
      </c>
      <c r="M4771" s="31">
        <v>45981</v>
      </c>
      <c r="N4771" s="31">
        <v>45971</v>
      </c>
      <c r="O4771" s="3" t="s">
        <v>297</v>
      </c>
    </row>
    <row r="4772" spans="1:15">
      <c r="A4772" s="3">
        <f t="shared" si="77"/>
        <v>4771</v>
      </c>
      <c r="B4772" s="65" t="s">
        <v>7071</v>
      </c>
      <c r="C4772" s="1">
        <v>8637201641</v>
      </c>
      <c r="E4772" s="17" t="s">
        <v>7072</v>
      </c>
      <c r="F4772" s="65"/>
      <c r="G4772" s="3" t="s">
        <v>295</v>
      </c>
      <c r="H4772" s="2" t="s">
        <v>5574</v>
      </c>
      <c r="I4772" s="3" t="s">
        <v>94</v>
      </c>
      <c r="J4772" s="31">
        <v>45955</v>
      </c>
      <c r="K4772" s="31">
        <v>45960</v>
      </c>
      <c r="L4772" s="31">
        <v>45961</v>
      </c>
      <c r="M4772" s="31">
        <v>45971</v>
      </c>
      <c r="N4772" s="31"/>
      <c r="O4772" s="3" t="s">
        <v>297</v>
      </c>
    </row>
    <row r="4773" spans="1:15">
      <c r="A4773" s="3">
        <f t="shared" si="77"/>
        <v>4772</v>
      </c>
      <c r="B4773" s="65" t="s">
        <v>7073</v>
      </c>
      <c r="C4773" s="1">
        <v>6261076854</v>
      </c>
      <c r="E4773" s="17" t="s">
        <v>7061</v>
      </c>
      <c r="F4773" s="65"/>
      <c r="G4773" s="3" t="s">
        <v>16</v>
      </c>
      <c r="H4773" s="2" t="s">
        <v>296</v>
      </c>
      <c r="I4773" s="3" t="s">
        <v>94</v>
      </c>
      <c r="J4773" s="31">
        <v>45955</v>
      </c>
      <c r="K4773" s="31">
        <v>45960</v>
      </c>
      <c r="L4773" s="31">
        <v>45961</v>
      </c>
      <c r="M4773" s="31">
        <v>45981</v>
      </c>
      <c r="N4773" s="31">
        <v>45975</v>
      </c>
      <c r="O4773" s="3" t="s">
        <v>297</v>
      </c>
    </row>
    <row r="4774" spans="1:15">
      <c r="A4774" s="3">
        <f t="shared" si="77"/>
        <v>4773</v>
      </c>
      <c r="B4774" s="65" t="s">
        <v>7074</v>
      </c>
      <c r="C4774" s="1">
        <v>6297504782</v>
      </c>
      <c r="E4774" s="17" t="s">
        <v>6796</v>
      </c>
      <c r="F4774" s="65" t="s">
        <v>294</v>
      </c>
      <c r="G4774" s="3" t="s">
        <v>1175</v>
      </c>
      <c r="H4774" s="2" t="s">
        <v>6158</v>
      </c>
      <c r="I4774" s="3" t="s">
        <v>42</v>
      </c>
      <c r="J4774" s="31">
        <v>45961</v>
      </c>
      <c r="K4774" s="31"/>
      <c r="L4774" s="31"/>
      <c r="M4774" s="31"/>
      <c r="N4774" s="31"/>
      <c r="O4774" s="3" t="s">
        <v>1004</v>
      </c>
    </row>
    <row r="4775" spans="1:15">
      <c r="A4775" s="3">
        <f t="shared" si="77"/>
        <v>4774</v>
      </c>
      <c r="B4775" s="65" t="s">
        <v>7075</v>
      </c>
      <c r="C4775" s="1">
        <v>9848050848</v>
      </c>
      <c r="E4775" s="17" t="s">
        <v>7076</v>
      </c>
      <c r="F4775" s="65" t="s">
        <v>7077</v>
      </c>
      <c r="G4775" s="3" t="s">
        <v>416</v>
      </c>
      <c r="H4775" s="2" t="s">
        <v>2183</v>
      </c>
      <c r="I4775" s="3" t="s">
        <v>88</v>
      </c>
      <c r="J4775" s="31">
        <v>45961</v>
      </c>
      <c r="K4775" s="31">
        <v>45982</v>
      </c>
      <c r="L4775" s="31"/>
      <c r="M4775" s="31"/>
      <c r="N4775" s="31"/>
      <c r="O4775" s="3" t="s">
        <v>297</v>
      </c>
    </row>
    <row r="4776" spans="1:15">
      <c r="A4776" s="3">
        <f t="shared" si="77"/>
        <v>4775</v>
      </c>
      <c r="B4776" s="65" t="s">
        <v>7078</v>
      </c>
      <c r="C4776" s="1">
        <v>9705329008</v>
      </c>
      <c r="E4776" s="17" t="s">
        <v>7079</v>
      </c>
      <c r="F4776" s="65" t="s">
        <v>569</v>
      </c>
      <c r="G4776" s="3" t="s">
        <v>295</v>
      </c>
      <c r="H4776" s="2" t="s">
        <v>2183</v>
      </c>
      <c r="I4776" s="3" t="s">
        <v>88</v>
      </c>
      <c r="J4776" s="31">
        <v>45961</v>
      </c>
      <c r="K4776" s="31">
        <v>45969</v>
      </c>
      <c r="L4776" s="31">
        <v>45978</v>
      </c>
      <c r="M4776" s="31">
        <v>46008</v>
      </c>
      <c r="N4776" s="31"/>
      <c r="O4776" s="3" t="s">
        <v>297</v>
      </c>
    </row>
    <row r="4777" spans="1:15">
      <c r="A4777" s="3">
        <f t="shared" si="77"/>
        <v>4776</v>
      </c>
      <c r="B4777" s="65" t="s">
        <v>7080</v>
      </c>
      <c r="C4777" s="1">
        <v>7288943767</v>
      </c>
      <c r="E4777" s="17" t="s">
        <v>7076</v>
      </c>
      <c r="F4777" s="65" t="s">
        <v>308</v>
      </c>
      <c r="G4777" s="3" t="s">
        <v>16</v>
      </c>
      <c r="H4777" s="2" t="s">
        <v>2183</v>
      </c>
      <c r="I4777" s="3" t="s">
        <v>88</v>
      </c>
      <c r="J4777" s="31">
        <v>45961</v>
      </c>
      <c r="K4777" s="31">
        <v>45982</v>
      </c>
      <c r="L4777" s="31">
        <v>45987</v>
      </c>
      <c r="M4777" s="31">
        <v>46042</v>
      </c>
      <c r="N4777" s="31">
        <v>46042</v>
      </c>
      <c r="O4777" s="3" t="s">
        <v>297</v>
      </c>
    </row>
    <row r="4778" spans="1:15">
      <c r="A4778" s="3">
        <f t="shared" si="77"/>
        <v>4777</v>
      </c>
      <c r="B4778" s="65" t="s">
        <v>7081</v>
      </c>
      <c r="C4778" s="1">
        <v>9704492985</v>
      </c>
      <c r="E4778" s="17" t="s">
        <v>7082</v>
      </c>
      <c r="F4778" s="65" t="s">
        <v>7083</v>
      </c>
      <c r="G4778" s="3" t="s">
        <v>764</v>
      </c>
      <c r="H4778" s="2" t="s">
        <v>815</v>
      </c>
      <c r="I4778" s="3" t="s">
        <v>42</v>
      </c>
      <c r="J4778" s="31">
        <v>45961</v>
      </c>
      <c r="K4778" s="31">
        <v>45965</v>
      </c>
      <c r="L4778" s="31"/>
      <c r="M4778" s="31"/>
      <c r="N4778" s="31"/>
      <c r="O4778" s="3" t="s">
        <v>425</v>
      </c>
    </row>
    <row r="4779" spans="1:15">
      <c r="A4779" s="3">
        <f>ROW()-1</f>
        <v>4778</v>
      </c>
      <c r="B4779" s="65" t="s">
        <v>7084</v>
      </c>
      <c r="C4779" s="1">
        <v>6362290502</v>
      </c>
      <c r="E4779" s="17" t="s">
        <v>2821</v>
      </c>
      <c r="F4779" s="65"/>
      <c r="G4779" s="3" t="s">
        <v>16</v>
      </c>
      <c r="H4779" s="2" t="s">
        <v>6158</v>
      </c>
      <c r="I4779" s="3" t="s">
        <v>42</v>
      </c>
      <c r="J4779" s="31">
        <v>45955</v>
      </c>
      <c r="K4779" s="31">
        <v>45960</v>
      </c>
      <c r="L4779" s="31">
        <v>45961</v>
      </c>
      <c r="M4779" s="31">
        <v>45992</v>
      </c>
      <c r="N4779" s="31">
        <v>45983</v>
      </c>
      <c r="O4779" s="3" t="s">
        <v>297</v>
      </c>
    </row>
    <row r="4780" spans="1:15">
      <c r="A4780" s="3">
        <f>ROW()-1</f>
        <v>4779</v>
      </c>
      <c r="B4780" s="65" t="s">
        <v>7085</v>
      </c>
      <c r="C4780" s="1">
        <v>9730457638</v>
      </c>
      <c r="D4780" s="1">
        <v>9371333665</v>
      </c>
      <c r="E4780" s="17" t="s">
        <v>6015</v>
      </c>
      <c r="F4780" s="65" t="s">
        <v>7086</v>
      </c>
      <c r="G4780" s="3" t="s">
        <v>424</v>
      </c>
      <c r="H4780" s="2" t="s">
        <v>1096</v>
      </c>
      <c r="I4780" s="3" t="s">
        <v>94</v>
      </c>
      <c r="J4780" s="31">
        <v>45962</v>
      </c>
      <c r="K4780" s="31">
        <v>45965</v>
      </c>
      <c r="L4780" s="31"/>
      <c r="M4780" s="31"/>
      <c r="N4780" s="31"/>
      <c r="O4780" s="3" t="s">
        <v>425</v>
      </c>
    </row>
    <row r="4781" spans="1:15">
      <c r="A4781" s="3">
        <f>ROW()-1</f>
        <v>4780</v>
      </c>
      <c r="B4781" s="65" t="s">
        <v>7087</v>
      </c>
      <c r="C4781" s="1">
        <v>7702766688</v>
      </c>
      <c r="E4781" s="17" t="s">
        <v>4609</v>
      </c>
      <c r="F4781" s="65" t="s">
        <v>7088</v>
      </c>
      <c r="G4781" s="3" t="s">
        <v>16</v>
      </c>
      <c r="H4781" s="2" t="s">
        <v>5774</v>
      </c>
      <c r="I4781" s="3" t="s">
        <v>42</v>
      </c>
      <c r="J4781" s="31">
        <v>45962</v>
      </c>
      <c r="K4781" s="31">
        <v>45965</v>
      </c>
      <c r="L4781" s="31">
        <v>45975</v>
      </c>
      <c r="M4781" s="31">
        <v>45985</v>
      </c>
      <c r="N4781" s="31">
        <v>45985</v>
      </c>
      <c r="O4781" s="3" t="s">
        <v>297</v>
      </c>
    </row>
    <row r="4782" spans="1:15">
      <c r="A4782" s="3">
        <f>ROW()-1</f>
        <v>4781</v>
      </c>
      <c r="B4782" s="65" t="s">
        <v>7089</v>
      </c>
      <c r="C4782" s="1">
        <v>9908312919</v>
      </c>
      <c r="D4782" s="1">
        <v>6302852166</v>
      </c>
      <c r="E4782" s="1" t="s">
        <v>7090</v>
      </c>
      <c r="F4782" s="65" t="s">
        <v>5003</v>
      </c>
      <c r="G4782" s="3" t="s">
        <v>16</v>
      </c>
      <c r="H4782" s="2" t="s">
        <v>5774</v>
      </c>
      <c r="I4782" s="3" t="s">
        <v>42</v>
      </c>
      <c r="J4782" s="31">
        <v>45962</v>
      </c>
      <c r="K4782" s="31">
        <v>46001</v>
      </c>
      <c r="L4782" s="31">
        <v>46004</v>
      </c>
      <c r="M4782" s="31">
        <v>46041</v>
      </c>
      <c r="N4782" s="31">
        <v>46007</v>
      </c>
      <c r="O4782" s="3" t="s">
        <v>297</v>
      </c>
    </row>
    <row r="4783" spans="1:15">
      <c r="A4783" s="3">
        <f t="shared" ref="A4783:A4798" si="78">ROW()-1</f>
        <v>4782</v>
      </c>
      <c r="B4783" s="65" t="s">
        <v>7091</v>
      </c>
      <c r="C4783" s="1">
        <v>8630708720</v>
      </c>
      <c r="E4783" s="17" t="s">
        <v>7092</v>
      </c>
      <c r="F4783" s="65" t="s">
        <v>461</v>
      </c>
      <c r="G4783" s="3" t="s">
        <v>416</v>
      </c>
      <c r="H4783" s="2" t="s">
        <v>361</v>
      </c>
      <c r="I4783" s="3" t="s">
        <v>94</v>
      </c>
      <c r="J4783" s="31">
        <v>45964</v>
      </c>
      <c r="K4783" s="31">
        <v>45983</v>
      </c>
      <c r="L4783" s="31"/>
      <c r="M4783" s="31"/>
      <c r="N4783" s="31"/>
      <c r="O4783" s="3" t="s">
        <v>297</v>
      </c>
    </row>
    <row r="4784" spans="1:15">
      <c r="A4784" s="3">
        <f t="shared" si="78"/>
        <v>4783</v>
      </c>
      <c r="B4784" s="65" t="s">
        <v>7093</v>
      </c>
      <c r="C4784" s="1">
        <v>7389896753</v>
      </c>
      <c r="E4784" s="17" t="s">
        <v>7094</v>
      </c>
      <c r="F4784" s="65" t="s">
        <v>7095</v>
      </c>
      <c r="G4784" s="3" t="s">
        <v>16</v>
      </c>
      <c r="H4784" s="2" t="s">
        <v>361</v>
      </c>
      <c r="I4784" s="3" t="s">
        <v>94</v>
      </c>
      <c r="J4784" s="31">
        <v>45964</v>
      </c>
      <c r="K4784" s="31">
        <v>45981</v>
      </c>
      <c r="L4784" s="31">
        <v>46010</v>
      </c>
      <c r="M4784" s="31">
        <v>46025</v>
      </c>
      <c r="N4784" s="31">
        <v>46027</v>
      </c>
      <c r="O4784" s="3" t="s">
        <v>297</v>
      </c>
    </row>
    <row r="4785" spans="1:15">
      <c r="A4785" s="3">
        <f t="shared" si="78"/>
        <v>4784</v>
      </c>
      <c r="B4785" s="65" t="s">
        <v>7096</v>
      </c>
      <c r="C4785" s="1">
        <v>7509379428</v>
      </c>
      <c r="E4785" s="17" t="s">
        <v>7092</v>
      </c>
      <c r="F4785" s="65" t="s">
        <v>503</v>
      </c>
      <c r="G4785" s="3" t="s">
        <v>295</v>
      </c>
      <c r="H4785" s="2" t="s">
        <v>361</v>
      </c>
      <c r="I4785" s="3" t="s">
        <v>94</v>
      </c>
      <c r="J4785" s="31">
        <v>45964</v>
      </c>
      <c r="K4785" s="31">
        <v>45981</v>
      </c>
      <c r="L4785" s="31">
        <v>45982</v>
      </c>
      <c r="M4785" s="31">
        <v>46058</v>
      </c>
      <c r="N4785" s="31"/>
      <c r="O4785" s="3" t="s">
        <v>297</v>
      </c>
    </row>
    <row r="4786" spans="1:15">
      <c r="A4786" s="3">
        <f t="shared" si="78"/>
        <v>4785</v>
      </c>
      <c r="B4786" s="65" t="s">
        <v>7097</v>
      </c>
      <c r="C4786" s="1">
        <v>7784081890</v>
      </c>
      <c r="E4786" s="17" t="s">
        <v>7098</v>
      </c>
      <c r="F4786" s="65" t="s">
        <v>507</v>
      </c>
      <c r="G4786" s="3" t="s">
        <v>416</v>
      </c>
      <c r="H4786" s="2" t="s">
        <v>361</v>
      </c>
      <c r="I4786" s="3" t="s">
        <v>94</v>
      </c>
      <c r="J4786" s="31">
        <v>45964</v>
      </c>
      <c r="K4786" s="31">
        <v>45980</v>
      </c>
      <c r="L4786" s="31"/>
      <c r="M4786" s="31"/>
      <c r="N4786" s="31"/>
      <c r="O4786" s="3" t="s">
        <v>297</v>
      </c>
    </row>
    <row r="4787" spans="1:15">
      <c r="A4787" s="3">
        <f t="shared" si="78"/>
        <v>4786</v>
      </c>
      <c r="B4787" s="65" t="s">
        <v>7099</v>
      </c>
      <c r="C4787" s="1">
        <v>7892349851</v>
      </c>
      <c r="E4787" s="17" t="s">
        <v>7098</v>
      </c>
      <c r="F4787" s="65" t="s">
        <v>503</v>
      </c>
      <c r="G4787" s="3" t="s">
        <v>424</v>
      </c>
      <c r="H4787" s="2" t="s">
        <v>361</v>
      </c>
      <c r="I4787" s="3" t="s">
        <v>94</v>
      </c>
      <c r="J4787" s="31">
        <v>45964</v>
      </c>
      <c r="K4787" s="31">
        <v>45981</v>
      </c>
      <c r="L4787" s="31"/>
      <c r="M4787" s="31"/>
      <c r="N4787" s="31"/>
      <c r="O4787" s="3" t="s">
        <v>425</v>
      </c>
    </row>
    <row r="4788" spans="1:15">
      <c r="A4788" s="3">
        <f t="shared" si="78"/>
        <v>4787</v>
      </c>
      <c r="B4788" s="65" t="s">
        <v>6122</v>
      </c>
      <c r="C4788" s="1">
        <v>9693054872</v>
      </c>
      <c r="E4788" s="17" t="s">
        <v>7098</v>
      </c>
      <c r="F4788" s="65" t="s">
        <v>7100</v>
      </c>
      <c r="G4788" s="3" t="s">
        <v>764</v>
      </c>
      <c r="H4788" s="2" t="s">
        <v>361</v>
      </c>
      <c r="I4788" s="3" t="s">
        <v>94</v>
      </c>
      <c r="J4788" s="31">
        <v>45964</v>
      </c>
      <c r="K4788" s="31">
        <v>45981</v>
      </c>
      <c r="L4788" s="31"/>
      <c r="M4788" s="31"/>
      <c r="N4788" s="31"/>
      <c r="O4788" s="3" t="s">
        <v>425</v>
      </c>
    </row>
    <row r="4789" spans="1:15">
      <c r="A4789" s="3">
        <f t="shared" si="78"/>
        <v>4788</v>
      </c>
      <c r="B4789" s="65" t="s">
        <v>7091</v>
      </c>
      <c r="C4789" s="1">
        <v>9523565067</v>
      </c>
      <c r="E4789" s="17" t="s">
        <v>7098</v>
      </c>
      <c r="F4789" s="65" t="s">
        <v>509</v>
      </c>
      <c r="G4789" s="3" t="s">
        <v>416</v>
      </c>
      <c r="H4789" s="2" t="s">
        <v>361</v>
      </c>
      <c r="I4789" s="3" t="s">
        <v>94</v>
      </c>
      <c r="J4789" s="31">
        <v>45964</v>
      </c>
      <c r="K4789" s="31">
        <v>45982</v>
      </c>
      <c r="L4789" s="31"/>
      <c r="M4789" s="31"/>
      <c r="N4789" s="31"/>
      <c r="O4789" s="3" t="s">
        <v>297</v>
      </c>
    </row>
    <row r="4790" spans="1:15">
      <c r="A4790" s="3">
        <f t="shared" si="78"/>
        <v>4789</v>
      </c>
      <c r="B4790" s="65" t="s">
        <v>7101</v>
      </c>
      <c r="C4790" s="1">
        <v>9264484703</v>
      </c>
      <c r="E4790" s="17" t="s">
        <v>7092</v>
      </c>
      <c r="F4790" s="65" t="s">
        <v>7095</v>
      </c>
      <c r="G4790" s="3" t="s">
        <v>764</v>
      </c>
      <c r="H4790" s="2" t="s">
        <v>361</v>
      </c>
      <c r="I4790" s="3" t="s">
        <v>94</v>
      </c>
      <c r="J4790" s="31">
        <v>45964</v>
      </c>
      <c r="K4790" s="31">
        <v>45981</v>
      </c>
      <c r="L4790" s="31"/>
      <c r="M4790" s="31"/>
      <c r="N4790" s="31"/>
      <c r="O4790" s="3" t="s">
        <v>425</v>
      </c>
    </row>
    <row r="4791" spans="1:15">
      <c r="A4791" s="3">
        <f t="shared" si="78"/>
        <v>4790</v>
      </c>
      <c r="B4791" s="65" t="s">
        <v>7102</v>
      </c>
      <c r="C4791" s="1">
        <v>9348623672</v>
      </c>
      <c r="E4791" s="17" t="s">
        <v>7092</v>
      </c>
      <c r="F4791" s="65" t="s">
        <v>507</v>
      </c>
      <c r="G4791" s="3" t="s">
        <v>18</v>
      </c>
      <c r="H4791" s="2" t="s">
        <v>361</v>
      </c>
      <c r="I4791" s="3" t="s">
        <v>94</v>
      </c>
      <c r="J4791" s="31">
        <v>45964</v>
      </c>
      <c r="K4791" s="31">
        <v>45982</v>
      </c>
      <c r="L4791" s="31"/>
      <c r="M4791" s="31"/>
      <c r="N4791" s="31"/>
      <c r="O4791" s="3" t="s">
        <v>297</v>
      </c>
    </row>
    <row r="4792" spans="1:15">
      <c r="A4792" s="3">
        <f t="shared" si="78"/>
        <v>4791</v>
      </c>
      <c r="B4792" s="65" t="s">
        <v>7103</v>
      </c>
      <c r="C4792" s="1">
        <v>8179560085</v>
      </c>
      <c r="E4792" s="17" t="s">
        <v>5904</v>
      </c>
      <c r="F4792" s="65" t="s">
        <v>7104</v>
      </c>
      <c r="G4792" s="3" t="s">
        <v>764</v>
      </c>
      <c r="H4792" s="2" t="s">
        <v>5774</v>
      </c>
      <c r="I4792" s="3" t="s">
        <v>42</v>
      </c>
      <c r="J4792" s="31">
        <v>45964</v>
      </c>
      <c r="K4792" s="31">
        <v>45968</v>
      </c>
      <c r="L4792" s="31"/>
      <c r="M4792" s="31"/>
      <c r="N4792" s="31"/>
      <c r="O4792" s="3" t="s">
        <v>425</v>
      </c>
    </row>
    <row r="4793" spans="1:15">
      <c r="A4793" s="3">
        <f t="shared" si="78"/>
        <v>4792</v>
      </c>
      <c r="B4793" s="65" t="s">
        <v>7105</v>
      </c>
      <c r="C4793" s="1">
        <v>8688258303</v>
      </c>
      <c r="E4793" s="17" t="s">
        <v>5904</v>
      </c>
      <c r="F4793" s="65" t="s">
        <v>7106</v>
      </c>
      <c r="G4793" s="3" t="s">
        <v>16</v>
      </c>
      <c r="H4793" s="2" t="s">
        <v>5774</v>
      </c>
      <c r="I4793" s="3" t="s">
        <v>42</v>
      </c>
      <c r="J4793" s="31">
        <v>45964</v>
      </c>
      <c r="K4793" s="31">
        <v>45968</v>
      </c>
      <c r="L4793" s="31">
        <v>45975</v>
      </c>
      <c r="M4793" s="31">
        <v>46001</v>
      </c>
      <c r="N4793" s="31">
        <v>46001</v>
      </c>
      <c r="O4793" s="3" t="s">
        <v>297</v>
      </c>
    </row>
    <row r="4794" spans="1:15">
      <c r="A4794" s="3">
        <f t="shared" si="78"/>
        <v>4793</v>
      </c>
      <c r="B4794" s="65" t="s">
        <v>7107</v>
      </c>
      <c r="C4794" s="1">
        <v>9398954654</v>
      </c>
      <c r="E4794" s="17" t="s">
        <v>5904</v>
      </c>
      <c r="F4794" s="65" t="s">
        <v>1134</v>
      </c>
      <c r="G4794" s="3" t="s">
        <v>16</v>
      </c>
      <c r="H4794" s="2" t="s">
        <v>5774</v>
      </c>
      <c r="I4794" s="3" t="s">
        <v>42</v>
      </c>
      <c r="J4794" s="31">
        <v>45964</v>
      </c>
      <c r="K4794" s="31">
        <v>45968</v>
      </c>
      <c r="L4794" s="31">
        <v>45989</v>
      </c>
      <c r="M4794" s="31">
        <v>46015</v>
      </c>
      <c r="N4794" s="31">
        <v>46000</v>
      </c>
      <c r="O4794" s="3" t="s">
        <v>297</v>
      </c>
    </row>
    <row r="4795" spans="1:15">
      <c r="A4795" s="3">
        <f t="shared" si="78"/>
        <v>4794</v>
      </c>
      <c r="B4795" s="65" t="s">
        <v>7108</v>
      </c>
      <c r="C4795" s="1">
        <v>8465058429</v>
      </c>
      <c r="E4795" s="17" t="s">
        <v>5904</v>
      </c>
      <c r="F4795" s="65" t="s">
        <v>308</v>
      </c>
      <c r="G4795" s="3" t="s">
        <v>764</v>
      </c>
      <c r="H4795" s="2" t="s">
        <v>5774</v>
      </c>
      <c r="I4795" s="3" t="s">
        <v>42</v>
      </c>
      <c r="J4795" s="31">
        <v>45964</v>
      </c>
      <c r="K4795" s="31">
        <v>45968</v>
      </c>
      <c r="L4795" s="31"/>
      <c r="M4795" s="31"/>
      <c r="N4795" s="31"/>
      <c r="O4795" s="3" t="s">
        <v>425</v>
      </c>
    </row>
    <row r="4796" spans="1:15">
      <c r="A4796" s="3">
        <f t="shared" si="78"/>
        <v>4795</v>
      </c>
      <c r="B4796" s="65" t="s">
        <v>7109</v>
      </c>
      <c r="C4796" s="1">
        <v>8309781345</v>
      </c>
      <c r="E4796" s="17" t="s">
        <v>5904</v>
      </c>
      <c r="F4796" s="65" t="s">
        <v>308</v>
      </c>
      <c r="G4796" s="3" t="s">
        <v>764</v>
      </c>
      <c r="H4796" s="2" t="s">
        <v>5774</v>
      </c>
      <c r="I4796" s="3" t="s">
        <v>42</v>
      </c>
      <c r="J4796" s="31">
        <v>45964</v>
      </c>
      <c r="K4796" s="31">
        <v>45968</v>
      </c>
      <c r="L4796" s="31"/>
      <c r="M4796" s="31"/>
      <c r="N4796" s="31"/>
      <c r="O4796" s="3" t="s">
        <v>425</v>
      </c>
    </row>
    <row r="4797" spans="1:15">
      <c r="A4797" s="3">
        <f t="shared" si="78"/>
        <v>4796</v>
      </c>
      <c r="B4797" s="65" t="s">
        <v>7110</v>
      </c>
      <c r="C4797" s="1">
        <v>8008152432</v>
      </c>
      <c r="E4797" s="17" t="s">
        <v>7111</v>
      </c>
      <c r="F4797" s="65" t="s">
        <v>7112</v>
      </c>
      <c r="G4797" s="3" t="s">
        <v>16</v>
      </c>
      <c r="H4797" s="2" t="s">
        <v>5774</v>
      </c>
      <c r="I4797" s="3" t="s">
        <v>42</v>
      </c>
      <c r="J4797" s="31">
        <v>45964</v>
      </c>
      <c r="K4797" s="31">
        <v>45968</v>
      </c>
      <c r="L4797" s="31">
        <v>45968</v>
      </c>
      <c r="M4797" s="31">
        <v>46001</v>
      </c>
      <c r="N4797" s="31">
        <v>46001</v>
      </c>
      <c r="O4797" s="3" t="s">
        <v>297</v>
      </c>
    </row>
    <row r="4798" spans="1:15">
      <c r="A4798" s="3">
        <f t="shared" si="78"/>
        <v>4797</v>
      </c>
      <c r="B4798" s="65" t="s">
        <v>7113</v>
      </c>
      <c r="C4798" s="1">
        <v>9701515337</v>
      </c>
      <c r="E4798" s="17" t="s">
        <v>7114</v>
      </c>
      <c r="F4798" s="65" t="s">
        <v>7115</v>
      </c>
      <c r="G4798" s="3" t="s">
        <v>330</v>
      </c>
      <c r="H4798" s="2" t="s">
        <v>5774</v>
      </c>
      <c r="I4798" s="3" t="s">
        <v>42</v>
      </c>
      <c r="J4798" s="31">
        <v>45964</v>
      </c>
      <c r="K4798" s="31">
        <v>45968</v>
      </c>
      <c r="L4798" s="31">
        <v>46024</v>
      </c>
      <c r="M4798" s="31">
        <v>46057</v>
      </c>
      <c r="N4798" s="31">
        <v>46057</v>
      </c>
      <c r="O4798" s="3" t="s">
        <v>297</v>
      </c>
    </row>
    <row r="4799" spans="1:15">
      <c r="A4799" s="3">
        <f>ROW()-1</f>
        <v>4798</v>
      </c>
      <c r="B4799" s="65" t="s">
        <v>7116</v>
      </c>
      <c r="E4799" s="17" t="s">
        <v>6452</v>
      </c>
      <c r="F4799" s="65"/>
      <c r="G4799" s="3" t="s">
        <v>16</v>
      </c>
      <c r="H4799" s="2"/>
      <c r="I4799" s="3" t="s">
        <v>94</v>
      </c>
      <c r="J4799" s="31"/>
      <c r="K4799" s="31"/>
      <c r="L4799" s="31"/>
      <c r="M4799" s="31"/>
      <c r="N4799" s="31"/>
      <c r="O4799" s="3" t="s">
        <v>297</v>
      </c>
    </row>
    <row r="4800" spans="1:15">
      <c r="A4800" s="3">
        <f>ROW()-1</f>
        <v>4799</v>
      </c>
      <c r="B4800" s="65" t="s">
        <v>7117</v>
      </c>
      <c r="C4800" s="1">
        <v>7989360175</v>
      </c>
      <c r="E4800" s="17" t="s">
        <v>4609</v>
      </c>
      <c r="F4800" s="65" t="s">
        <v>1199</v>
      </c>
      <c r="G4800" s="3" t="s">
        <v>424</v>
      </c>
      <c r="H4800" s="2" t="s">
        <v>5774</v>
      </c>
      <c r="I4800" s="3" t="s">
        <v>42</v>
      </c>
      <c r="J4800" s="31">
        <v>45965</v>
      </c>
      <c r="K4800" s="31">
        <v>45973</v>
      </c>
      <c r="L4800" s="31"/>
      <c r="M4800" s="31"/>
      <c r="N4800" s="31"/>
      <c r="O4800" s="3" t="s">
        <v>749</v>
      </c>
    </row>
    <row r="4801" spans="1:15">
      <c r="A4801" s="3">
        <f>ROW()-1</f>
        <v>4800</v>
      </c>
      <c r="B4801" s="65" t="s">
        <v>7118</v>
      </c>
      <c r="C4801" s="1">
        <v>8104403211</v>
      </c>
      <c r="E4801" s="17" t="s">
        <v>4609</v>
      </c>
      <c r="F4801" s="65" t="s">
        <v>5003</v>
      </c>
      <c r="G4801" s="3" t="s">
        <v>424</v>
      </c>
      <c r="H4801" s="2" t="s">
        <v>5774</v>
      </c>
      <c r="I4801" s="3" t="s">
        <v>42</v>
      </c>
      <c r="J4801" s="31">
        <v>45965</v>
      </c>
      <c r="K4801" s="31">
        <v>45973</v>
      </c>
      <c r="L4801" s="31"/>
      <c r="M4801" s="31"/>
      <c r="N4801" s="31"/>
      <c r="O4801" s="3" t="s">
        <v>749</v>
      </c>
    </row>
    <row r="4802" spans="1:15">
      <c r="A4802" s="3">
        <f t="shared" ref="A4802:A4849" si="79">ROW()-1</f>
        <v>4801</v>
      </c>
      <c r="B4802" s="65" t="s">
        <v>7119</v>
      </c>
      <c r="C4802" s="1">
        <v>9014198299</v>
      </c>
      <c r="E4802" s="17" t="s">
        <v>5173</v>
      </c>
      <c r="F4802" s="65" t="s">
        <v>1312</v>
      </c>
      <c r="G4802" s="3" t="s">
        <v>764</v>
      </c>
      <c r="H4802" s="2" t="s">
        <v>3240</v>
      </c>
      <c r="I4802" s="3" t="s">
        <v>42</v>
      </c>
      <c r="J4802" s="31">
        <v>45965</v>
      </c>
      <c r="K4802" s="31">
        <v>45968</v>
      </c>
      <c r="L4802" s="31"/>
      <c r="M4802" s="31"/>
      <c r="N4802" s="31"/>
      <c r="O4802" s="3" t="s">
        <v>425</v>
      </c>
    </row>
    <row r="4803" spans="1:15">
      <c r="A4803" s="3">
        <f t="shared" si="79"/>
        <v>4802</v>
      </c>
      <c r="B4803" s="65" t="s">
        <v>7120</v>
      </c>
      <c r="C4803" s="1">
        <v>9161915131</v>
      </c>
      <c r="E4803" s="17" t="s">
        <v>5173</v>
      </c>
      <c r="F4803" s="65" t="s">
        <v>2740</v>
      </c>
      <c r="G4803" s="3" t="s">
        <v>16</v>
      </c>
      <c r="H4803" s="2" t="s">
        <v>3240</v>
      </c>
      <c r="I4803" s="3" t="s">
        <v>42</v>
      </c>
      <c r="J4803" s="31">
        <v>45965</v>
      </c>
      <c r="K4803" s="31">
        <v>45968</v>
      </c>
      <c r="L4803" s="31">
        <v>45975</v>
      </c>
      <c r="M4803" s="31">
        <v>45996</v>
      </c>
      <c r="N4803" s="31">
        <v>45992</v>
      </c>
      <c r="O4803" s="3" t="s">
        <v>297</v>
      </c>
    </row>
    <row r="4804" spans="1:15">
      <c r="A4804" s="3">
        <f t="shared" si="79"/>
        <v>4803</v>
      </c>
      <c r="B4804" s="65" t="s">
        <v>7121</v>
      </c>
      <c r="C4804" s="1">
        <v>6303971681</v>
      </c>
      <c r="E4804" s="3" t="s">
        <v>6080</v>
      </c>
      <c r="F4804" s="65" t="s">
        <v>5110</v>
      </c>
      <c r="G4804" s="3" t="s">
        <v>16</v>
      </c>
      <c r="H4804" s="2" t="s">
        <v>3240</v>
      </c>
      <c r="I4804" s="3" t="s">
        <v>42</v>
      </c>
      <c r="J4804" s="31">
        <v>45965</v>
      </c>
      <c r="K4804" s="31">
        <v>45968</v>
      </c>
      <c r="L4804" s="31">
        <v>45968</v>
      </c>
      <c r="M4804" s="31">
        <v>45978</v>
      </c>
      <c r="N4804" s="31">
        <v>45978</v>
      </c>
      <c r="O4804" s="3" t="s">
        <v>297</v>
      </c>
    </row>
    <row r="4805" spans="1:15">
      <c r="A4805" s="3">
        <f t="shared" si="79"/>
        <v>4804</v>
      </c>
      <c r="B4805" s="65" t="s">
        <v>7122</v>
      </c>
      <c r="C4805" s="1">
        <v>9550783893</v>
      </c>
      <c r="E4805" s="17" t="s">
        <v>5173</v>
      </c>
      <c r="F4805" s="65" t="s">
        <v>7123</v>
      </c>
      <c r="G4805" s="3" t="s">
        <v>416</v>
      </c>
      <c r="H4805" s="2" t="s">
        <v>3240</v>
      </c>
      <c r="I4805" s="3" t="s">
        <v>42</v>
      </c>
      <c r="J4805" s="31">
        <v>45965</v>
      </c>
      <c r="K4805" s="31">
        <v>45968</v>
      </c>
      <c r="L4805" s="31"/>
      <c r="M4805" s="31"/>
      <c r="N4805" s="31"/>
      <c r="O4805" s="3" t="s">
        <v>297</v>
      </c>
    </row>
    <row r="4806" spans="1:15">
      <c r="A4806" s="3">
        <f t="shared" si="79"/>
        <v>4805</v>
      </c>
      <c r="B4806" s="65" t="s">
        <v>7124</v>
      </c>
      <c r="C4806" s="1">
        <v>8179439758</v>
      </c>
      <c r="D4806" s="1">
        <v>7032228754</v>
      </c>
      <c r="E4806" s="17" t="s">
        <v>7125</v>
      </c>
      <c r="F4806" s="65" t="s">
        <v>7126</v>
      </c>
      <c r="G4806" s="3" t="s">
        <v>295</v>
      </c>
      <c r="H4806" s="2" t="s">
        <v>5774</v>
      </c>
      <c r="I4806" s="3" t="s">
        <v>42</v>
      </c>
      <c r="J4806" s="31">
        <v>45965</v>
      </c>
      <c r="K4806" s="31">
        <v>45989</v>
      </c>
      <c r="L4806" s="31">
        <v>46002</v>
      </c>
      <c r="M4806" s="31">
        <v>46063</v>
      </c>
      <c r="N4806" s="31"/>
      <c r="O4806" s="3" t="s">
        <v>297</v>
      </c>
    </row>
    <row r="4807" spans="1:15">
      <c r="A4807" s="3">
        <f t="shared" si="79"/>
        <v>4806</v>
      </c>
      <c r="B4807" s="65" t="s">
        <v>7127</v>
      </c>
      <c r="C4807" s="1">
        <v>9640514315</v>
      </c>
      <c r="E4807" s="17" t="s">
        <v>7128</v>
      </c>
      <c r="F4807" s="65" t="s">
        <v>7129</v>
      </c>
      <c r="G4807" s="2" t="s">
        <v>424</v>
      </c>
      <c r="H4807" s="2" t="s">
        <v>5774</v>
      </c>
      <c r="I4807" s="3" t="s">
        <v>42</v>
      </c>
      <c r="J4807" s="31">
        <v>45965</v>
      </c>
      <c r="K4807" s="31">
        <v>45987</v>
      </c>
      <c r="L4807" s="31"/>
      <c r="M4807" s="31"/>
      <c r="N4807" s="31"/>
      <c r="O4807" s="2" t="s">
        <v>425</v>
      </c>
    </row>
    <row r="4808" spans="1:15">
      <c r="A4808" s="3">
        <f t="shared" si="79"/>
        <v>4807</v>
      </c>
      <c r="B4808" s="65" t="s">
        <v>7130</v>
      </c>
      <c r="C4808" s="1">
        <v>7661849602</v>
      </c>
      <c r="D4808" s="1">
        <v>9490894202</v>
      </c>
      <c r="E4808" s="17" t="s">
        <v>7090</v>
      </c>
      <c r="F4808" s="65" t="s">
        <v>7131</v>
      </c>
      <c r="G4808" s="3" t="s">
        <v>295</v>
      </c>
      <c r="H4808" s="2" t="s">
        <v>5774</v>
      </c>
      <c r="I4808" s="3" t="s">
        <v>42</v>
      </c>
      <c r="J4808" s="31">
        <v>45965</v>
      </c>
      <c r="K4808" s="31">
        <v>45965</v>
      </c>
      <c r="L4808" s="31">
        <v>45968</v>
      </c>
      <c r="M4808" s="31">
        <v>46001</v>
      </c>
      <c r="N4808" s="31"/>
      <c r="O4808" s="3" t="s">
        <v>297</v>
      </c>
    </row>
    <row r="4809" spans="1:15">
      <c r="A4809" s="3">
        <f t="shared" si="79"/>
        <v>4808</v>
      </c>
      <c r="B4809" s="65" t="s">
        <v>7132</v>
      </c>
      <c r="C4809" s="1">
        <v>8464022845</v>
      </c>
      <c r="E4809" s="1" t="s">
        <v>2821</v>
      </c>
      <c r="F4809" s="65" t="s">
        <v>2436</v>
      </c>
      <c r="G4809" s="3" t="s">
        <v>16</v>
      </c>
      <c r="H4809" s="2" t="s">
        <v>5774</v>
      </c>
      <c r="I4809" s="3" t="s">
        <v>42</v>
      </c>
      <c r="J4809" s="31">
        <v>45965</v>
      </c>
      <c r="K4809" s="31">
        <v>45965</v>
      </c>
      <c r="L4809" s="31">
        <v>45968</v>
      </c>
      <c r="M4809" s="31">
        <v>46006</v>
      </c>
      <c r="N4809" s="31">
        <v>46006</v>
      </c>
      <c r="O4809" s="3" t="s">
        <v>297</v>
      </c>
    </row>
    <row r="4810" spans="1:15">
      <c r="A4810" s="3">
        <f t="shared" si="79"/>
        <v>4809</v>
      </c>
      <c r="B4810" s="65" t="s">
        <v>7133</v>
      </c>
      <c r="C4810" s="1">
        <v>7794977941</v>
      </c>
      <c r="E4810" s="17" t="s">
        <v>5915</v>
      </c>
      <c r="F4810" s="65" t="s">
        <v>313</v>
      </c>
      <c r="G4810" s="3" t="s">
        <v>16</v>
      </c>
      <c r="H4810" s="2" t="s">
        <v>5774</v>
      </c>
      <c r="I4810" s="3" t="s">
        <v>42</v>
      </c>
      <c r="J4810" s="31">
        <v>45965</v>
      </c>
      <c r="K4810" s="31">
        <v>46038</v>
      </c>
      <c r="L4810" s="31">
        <v>46041</v>
      </c>
      <c r="M4810" s="31">
        <v>46072</v>
      </c>
      <c r="N4810" s="31">
        <v>46058</v>
      </c>
      <c r="O4810" s="3" t="s">
        <v>297</v>
      </c>
    </row>
    <row r="4811" spans="1:15">
      <c r="A4811" s="3">
        <f t="shared" si="79"/>
        <v>4810</v>
      </c>
      <c r="B4811" s="65" t="s">
        <v>7134</v>
      </c>
      <c r="C4811" s="1">
        <v>7981687733</v>
      </c>
      <c r="E4811" s="17" t="s">
        <v>5503</v>
      </c>
      <c r="F4811" s="65" t="s">
        <v>569</v>
      </c>
      <c r="G4811" s="3" t="s">
        <v>424</v>
      </c>
      <c r="H4811" s="2" t="s">
        <v>296</v>
      </c>
      <c r="I4811" s="3" t="s">
        <v>88</v>
      </c>
      <c r="J4811" s="31">
        <v>45965</v>
      </c>
      <c r="K4811" s="31">
        <v>45971</v>
      </c>
      <c r="L4811" s="31"/>
      <c r="M4811" s="31"/>
      <c r="N4811" s="31"/>
      <c r="O4811" s="3" t="s">
        <v>425</v>
      </c>
    </row>
    <row r="4812" spans="1:15">
      <c r="A4812" s="3">
        <f t="shared" si="79"/>
        <v>4811</v>
      </c>
      <c r="B4812" s="65" t="s">
        <v>7135</v>
      </c>
      <c r="C4812" s="1">
        <v>9494259564</v>
      </c>
      <c r="E4812" s="17" t="s">
        <v>7136</v>
      </c>
      <c r="F4812" s="65" t="s">
        <v>2630</v>
      </c>
      <c r="G4812" s="3" t="s">
        <v>416</v>
      </c>
      <c r="H4812" s="2" t="s">
        <v>296</v>
      </c>
      <c r="I4812" s="3" t="s">
        <v>88</v>
      </c>
      <c r="J4812" s="31">
        <v>45965</v>
      </c>
      <c r="K4812" s="31">
        <v>45980</v>
      </c>
      <c r="L4812" s="31"/>
      <c r="M4812" s="31"/>
      <c r="N4812" s="31"/>
      <c r="O4812" s="3" t="s">
        <v>297</v>
      </c>
    </row>
    <row r="4813" spans="1:15">
      <c r="A4813" s="3">
        <f t="shared" si="79"/>
        <v>4812</v>
      </c>
      <c r="B4813" s="65" t="s">
        <v>7137</v>
      </c>
      <c r="C4813" s="1">
        <v>9490384696</v>
      </c>
      <c r="E4813" s="17" t="s">
        <v>5503</v>
      </c>
      <c r="F4813" s="65" t="s">
        <v>7138</v>
      </c>
      <c r="G4813" s="3" t="s">
        <v>416</v>
      </c>
      <c r="H4813" s="2" t="s">
        <v>296</v>
      </c>
      <c r="I4813" s="3" t="s">
        <v>88</v>
      </c>
      <c r="J4813" s="31">
        <v>45965</v>
      </c>
      <c r="K4813" s="31">
        <v>45972</v>
      </c>
      <c r="L4813" s="31"/>
      <c r="M4813" s="31"/>
      <c r="N4813" s="31"/>
      <c r="O4813" s="3" t="s">
        <v>297</v>
      </c>
    </row>
    <row r="4814" spans="1:15">
      <c r="A4814" s="3">
        <f t="shared" si="79"/>
        <v>4813</v>
      </c>
      <c r="B4814" s="65" t="s">
        <v>7139</v>
      </c>
      <c r="C4814" s="1">
        <v>9666992166</v>
      </c>
      <c r="E4814" s="17" t="s">
        <v>5503</v>
      </c>
      <c r="F4814" s="65" t="s">
        <v>5550</v>
      </c>
      <c r="G4814" s="3" t="s">
        <v>416</v>
      </c>
      <c r="H4814" s="2" t="s">
        <v>296</v>
      </c>
      <c r="I4814" s="3" t="s">
        <v>88</v>
      </c>
      <c r="J4814" s="31">
        <v>45965</v>
      </c>
      <c r="K4814" s="31">
        <v>45971</v>
      </c>
      <c r="L4814" s="31"/>
      <c r="M4814" s="31"/>
      <c r="N4814" s="31"/>
      <c r="O4814" s="3" t="s">
        <v>297</v>
      </c>
    </row>
    <row r="4815" spans="1:15">
      <c r="A4815" s="3">
        <f t="shared" si="79"/>
        <v>4814</v>
      </c>
      <c r="B4815" s="65" t="s">
        <v>7140</v>
      </c>
      <c r="C4815" s="1">
        <v>9014541852</v>
      </c>
      <c r="E4815" s="17" t="s">
        <v>5503</v>
      </c>
      <c r="F4815" s="65" t="s">
        <v>7141</v>
      </c>
      <c r="G4815" s="3" t="s">
        <v>424</v>
      </c>
      <c r="H4815" s="2" t="s">
        <v>296</v>
      </c>
      <c r="I4815" s="3" t="s">
        <v>88</v>
      </c>
      <c r="J4815" s="31">
        <v>45965</v>
      </c>
      <c r="K4815" s="31">
        <v>45971</v>
      </c>
      <c r="L4815" s="31"/>
      <c r="M4815" s="31"/>
      <c r="N4815" s="31"/>
      <c r="O4815" s="3" t="s">
        <v>425</v>
      </c>
    </row>
    <row r="4816" spans="1:15">
      <c r="A4816" s="3">
        <f t="shared" si="79"/>
        <v>4815</v>
      </c>
      <c r="B4816" s="65" t="s">
        <v>7142</v>
      </c>
      <c r="C4816" s="1">
        <v>9480381215</v>
      </c>
      <c r="E4816" s="17" t="s">
        <v>7136</v>
      </c>
      <c r="F4816" s="65" t="s">
        <v>7143</v>
      </c>
      <c r="G4816" s="3" t="s">
        <v>295</v>
      </c>
      <c r="H4816" s="2" t="s">
        <v>296</v>
      </c>
      <c r="I4816" s="3" t="s">
        <v>88</v>
      </c>
      <c r="J4816" s="31">
        <v>45965</v>
      </c>
      <c r="K4816" s="31">
        <v>45980</v>
      </c>
      <c r="L4816" s="31">
        <v>45990</v>
      </c>
      <c r="M4816" s="31">
        <v>46017</v>
      </c>
      <c r="N4816" s="31"/>
      <c r="O4816" s="3" t="s">
        <v>297</v>
      </c>
    </row>
    <row r="4817" spans="1:15">
      <c r="A4817" s="3">
        <f t="shared" si="79"/>
        <v>4816</v>
      </c>
      <c r="B4817" s="65" t="s">
        <v>7144</v>
      </c>
      <c r="C4817" s="1">
        <v>8319502028</v>
      </c>
      <c r="E4817" s="17" t="s">
        <v>7136</v>
      </c>
      <c r="F4817" s="65" t="s">
        <v>2630</v>
      </c>
      <c r="G4817" s="3" t="s">
        <v>424</v>
      </c>
      <c r="H4817" s="2" t="s">
        <v>296</v>
      </c>
      <c r="I4817" s="3" t="s">
        <v>88</v>
      </c>
      <c r="J4817" s="31">
        <v>45965</v>
      </c>
      <c r="K4817" s="31">
        <v>45978</v>
      </c>
      <c r="L4817" s="31"/>
      <c r="M4817" s="31"/>
      <c r="N4817" s="31"/>
      <c r="O4817" s="3" t="s">
        <v>425</v>
      </c>
    </row>
    <row r="4818" spans="1:15">
      <c r="A4818" s="3">
        <f t="shared" si="79"/>
        <v>4817</v>
      </c>
      <c r="B4818" s="65" t="s">
        <v>7145</v>
      </c>
      <c r="C4818" s="1">
        <v>8130835310</v>
      </c>
      <c r="E4818" s="17" t="s">
        <v>7136</v>
      </c>
      <c r="F4818" s="65" t="s">
        <v>7146</v>
      </c>
      <c r="G4818" s="3" t="s">
        <v>424</v>
      </c>
      <c r="H4818" s="2" t="s">
        <v>296</v>
      </c>
      <c r="I4818" s="3" t="s">
        <v>88</v>
      </c>
      <c r="J4818" s="31">
        <v>45965</v>
      </c>
      <c r="K4818" s="31">
        <v>45980</v>
      </c>
      <c r="L4818" s="31"/>
      <c r="M4818" s="31"/>
      <c r="N4818" s="31"/>
      <c r="O4818" s="3" t="s">
        <v>425</v>
      </c>
    </row>
    <row r="4819" spans="1:15">
      <c r="A4819" s="3">
        <f t="shared" si="79"/>
        <v>4818</v>
      </c>
      <c r="B4819" s="65" t="s">
        <v>7147</v>
      </c>
      <c r="C4819" s="1">
        <v>9044309292</v>
      </c>
      <c r="E4819" s="17" t="s">
        <v>5503</v>
      </c>
      <c r="F4819" s="65" t="s">
        <v>7138</v>
      </c>
      <c r="G4819" s="3" t="s">
        <v>424</v>
      </c>
      <c r="H4819" s="2" t="s">
        <v>296</v>
      </c>
      <c r="I4819" s="3" t="s">
        <v>88</v>
      </c>
      <c r="J4819" s="31">
        <v>45965</v>
      </c>
      <c r="K4819" s="31">
        <v>45976</v>
      </c>
      <c r="L4819" s="31"/>
      <c r="M4819" s="31"/>
      <c r="N4819" s="31"/>
      <c r="O4819" s="3" t="s">
        <v>425</v>
      </c>
    </row>
    <row r="4820" spans="1:15">
      <c r="A4820" s="3">
        <f t="shared" si="79"/>
        <v>4819</v>
      </c>
      <c r="B4820" s="65" t="s">
        <v>7148</v>
      </c>
      <c r="C4820" s="1">
        <v>8989868653</v>
      </c>
      <c r="D4820" s="1">
        <v>8823038536</v>
      </c>
      <c r="E4820" s="17" t="s">
        <v>7149</v>
      </c>
      <c r="F4820" s="65" t="s">
        <v>446</v>
      </c>
      <c r="G4820" s="3" t="s">
        <v>18</v>
      </c>
      <c r="H4820" s="2" t="s">
        <v>296</v>
      </c>
      <c r="I4820" s="3" t="s">
        <v>88</v>
      </c>
      <c r="J4820" s="31">
        <v>45965</v>
      </c>
      <c r="K4820" s="31">
        <v>46007</v>
      </c>
      <c r="L4820" s="31"/>
      <c r="M4820" s="31"/>
      <c r="N4820" s="31"/>
      <c r="O4820" s="3" t="s">
        <v>297</v>
      </c>
    </row>
    <row r="4821" spans="1:15">
      <c r="A4821" s="3">
        <f t="shared" si="79"/>
        <v>4820</v>
      </c>
      <c r="B4821" s="65" t="s">
        <v>7150</v>
      </c>
      <c r="C4821" s="1">
        <v>7977183901</v>
      </c>
      <c r="E4821" s="17" t="s">
        <v>5585</v>
      </c>
      <c r="F4821" s="65" t="s">
        <v>4919</v>
      </c>
      <c r="G4821" s="3" t="s">
        <v>424</v>
      </c>
      <c r="H4821" s="2" t="s">
        <v>296</v>
      </c>
      <c r="I4821" s="3" t="s">
        <v>88</v>
      </c>
      <c r="J4821" s="31">
        <v>45965</v>
      </c>
      <c r="K4821" s="31">
        <v>45980</v>
      </c>
      <c r="L4821" s="31"/>
      <c r="M4821" s="31"/>
      <c r="N4821" s="31"/>
      <c r="O4821" s="3" t="s">
        <v>425</v>
      </c>
    </row>
    <row r="4822" spans="1:15">
      <c r="A4822" s="3">
        <f t="shared" si="79"/>
        <v>4821</v>
      </c>
      <c r="B4822" s="65" t="s">
        <v>7151</v>
      </c>
      <c r="C4822" s="1">
        <v>8348055454</v>
      </c>
      <c r="E4822" s="17" t="s">
        <v>5585</v>
      </c>
      <c r="F4822" s="65" t="s">
        <v>6515</v>
      </c>
      <c r="G4822" s="3" t="s">
        <v>424</v>
      </c>
      <c r="H4822" s="2" t="s">
        <v>296</v>
      </c>
      <c r="I4822" s="3" t="s">
        <v>88</v>
      </c>
      <c r="J4822" s="31">
        <v>45965</v>
      </c>
      <c r="K4822" s="31">
        <v>45980</v>
      </c>
      <c r="L4822" s="31"/>
      <c r="M4822" s="31"/>
      <c r="N4822" s="31"/>
      <c r="O4822" s="3" t="s">
        <v>425</v>
      </c>
    </row>
    <row r="4823" spans="1:15">
      <c r="A4823" s="3">
        <f t="shared" si="79"/>
        <v>4822</v>
      </c>
      <c r="B4823" s="65" t="s">
        <v>6600</v>
      </c>
      <c r="C4823" s="1">
        <v>9430404278</v>
      </c>
      <c r="E4823" s="17" t="s">
        <v>5811</v>
      </c>
      <c r="F4823" s="65" t="s">
        <v>7152</v>
      </c>
      <c r="G4823" s="3" t="s">
        <v>416</v>
      </c>
      <c r="H4823" s="2" t="s">
        <v>296</v>
      </c>
      <c r="I4823" s="3" t="s">
        <v>94</v>
      </c>
      <c r="J4823" s="31">
        <v>45966</v>
      </c>
      <c r="K4823" s="31">
        <v>45972</v>
      </c>
      <c r="L4823" s="31"/>
      <c r="M4823" s="31"/>
      <c r="N4823" s="31"/>
      <c r="O4823" s="3" t="s">
        <v>297</v>
      </c>
    </row>
    <row r="4824" spans="1:15">
      <c r="A4824" s="3">
        <f t="shared" si="79"/>
        <v>4823</v>
      </c>
      <c r="B4824" s="65" t="s">
        <v>7153</v>
      </c>
      <c r="C4824" s="1">
        <v>9027653977</v>
      </c>
      <c r="E4824" s="17" t="s">
        <v>6870</v>
      </c>
      <c r="F4824" s="65" t="s">
        <v>278</v>
      </c>
      <c r="G4824" s="3" t="s">
        <v>424</v>
      </c>
      <c r="H4824" s="2" t="s">
        <v>296</v>
      </c>
      <c r="I4824" s="3" t="s">
        <v>94</v>
      </c>
      <c r="J4824" s="31">
        <v>45966</v>
      </c>
      <c r="K4824" s="31">
        <v>45980</v>
      </c>
      <c r="L4824" s="31"/>
      <c r="M4824" s="31"/>
      <c r="N4824" s="31"/>
      <c r="O4824" s="3" t="s">
        <v>749</v>
      </c>
    </row>
    <row r="4825" spans="1:15">
      <c r="A4825" s="3">
        <f t="shared" si="79"/>
        <v>4824</v>
      </c>
      <c r="B4825" s="65" t="s">
        <v>7154</v>
      </c>
      <c r="C4825" s="1">
        <v>8975689388</v>
      </c>
      <c r="E4825" s="17" t="s">
        <v>7155</v>
      </c>
      <c r="F4825" s="65" t="s">
        <v>7156</v>
      </c>
      <c r="G4825" s="3" t="s">
        <v>416</v>
      </c>
      <c r="H4825" s="2" t="s">
        <v>296</v>
      </c>
      <c r="I4825" s="3" t="s">
        <v>94</v>
      </c>
      <c r="J4825" s="31">
        <v>45966</v>
      </c>
      <c r="K4825" s="31">
        <v>46031</v>
      </c>
      <c r="L4825" s="31"/>
      <c r="M4825" s="31"/>
      <c r="N4825" s="31"/>
      <c r="O4825" s="3" t="s">
        <v>297</v>
      </c>
    </row>
    <row r="4826" spans="1:15">
      <c r="A4826" s="3">
        <f t="shared" si="79"/>
        <v>4825</v>
      </c>
      <c r="B4826" s="65" t="s">
        <v>7157</v>
      </c>
      <c r="C4826" s="1">
        <v>7307842095</v>
      </c>
      <c r="D4826" s="1">
        <v>8948970457</v>
      </c>
      <c r="E4826" s="17" t="s">
        <v>6954</v>
      </c>
      <c r="F4826" s="65" t="s">
        <v>303</v>
      </c>
      <c r="G4826" s="3" t="s">
        <v>424</v>
      </c>
      <c r="H4826" s="2" t="s">
        <v>930</v>
      </c>
      <c r="I4826" s="3" t="s">
        <v>94</v>
      </c>
      <c r="J4826" s="31">
        <v>45966</v>
      </c>
      <c r="K4826" s="31">
        <v>45968</v>
      </c>
      <c r="L4826" s="31"/>
      <c r="M4826" s="31"/>
      <c r="N4826" s="31"/>
      <c r="O4826" s="3" t="s">
        <v>425</v>
      </c>
    </row>
    <row r="4827" spans="1:15">
      <c r="A4827" s="3">
        <f t="shared" si="79"/>
        <v>4826</v>
      </c>
      <c r="B4827" s="65" t="s">
        <v>7158</v>
      </c>
      <c r="C4827" s="1">
        <v>8459385920</v>
      </c>
      <c r="E4827" s="17" t="s">
        <v>6954</v>
      </c>
      <c r="F4827" s="65" t="s">
        <v>303</v>
      </c>
      <c r="G4827" s="3" t="s">
        <v>424</v>
      </c>
      <c r="H4827" s="2" t="s">
        <v>930</v>
      </c>
      <c r="I4827" s="3" t="s">
        <v>94</v>
      </c>
      <c r="J4827" s="31">
        <v>45966</v>
      </c>
      <c r="K4827" s="31">
        <v>45968</v>
      </c>
      <c r="L4827" s="31"/>
      <c r="M4827" s="31"/>
      <c r="N4827" s="31"/>
      <c r="O4827" s="3" t="s">
        <v>425</v>
      </c>
    </row>
    <row r="4828" spans="1:15">
      <c r="A4828" s="3">
        <f t="shared" si="79"/>
        <v>4827</v>
      </c>
      <c r="B4828" s="65" t="s">
        <v>7159</v>
      </c>
      <c r="C4828" s="1">
        <v>6372783481</v>
      </c>
      <c r="E4828" s="17" t="s">
        <v>6954</v>
      </c>
      <c r="F4828" s="65" t="s">
        <v>303</v>
      </c>
      <c r="G4828" s="3" t="s">
        <v>416</v>
      </c>
      <c r="H4828" s="2" t="s">
        <v>930</v>
      </c>
      <c r="I4828" s="3" t="s">
        <v>94</v>
      </c>
      <c r="J4828" s="31">
        <v>45966</v>
      </c>
      <c r="K4828" s="31">
        <v>45968</v>
      </c>
      <c r="L4828" s="31"/>
      <c r="M4828" s="31"/>
      <c r="N4828" s="31"/>
      <c r="O4828" s="3" t="s">
        <v>297</v>
      </c>
    </row>
    <row r="4829" spans="1:15">
      <c r="A4829" s="3">
        <f t="shared" si="79"/>
        <v>4828</v>
      </c>
      <c r="B4829" s="65" t="s">
        <v>7160</v>
      </c>
      <c r="C4829" s="1">
        <v>6396040957</v>
      </c>
      <c r="E4829" s="17" t="s">
        <v>6954</v>
      </c>
      <c r="F4829" s="65" t="s">
        <v>303</v>
      </c>
      <c r="G4829" s="3" t="s">
        <v>18</v>
      </c>
      <c r="H4829" s="2" t="s">
        <v>930</v>
      </c>
      <c r="I4829" s="3" t="s">
        <v>94</v>
      </c>
      <c r="J4829" s="31">
        <v>45966</v>
      </c>
      <c r="K4829" s="31">
        <v>45968</v>
      </c>
      <c r="L4829" s="31"/>
      <c r="M4829" s="31"/>
      <c r="N4829" s="31"/>
      <c r="O4829" s="3" t="s">
        <v>297</v>
      </c>
    </row>
    <row r="4830" spans="1:15">
      <c r="A4830" s="3">
        <f t="shared" si="79"/>
        <v>4829</v>
      </c>
      <c r="B4830" s="65" t="s">
        <v>7161</v>
      </c>
      <c r="C4830" s="1">
        <v>7723093943</v>
      </c>
      <c r="E4830" s="17" t="s">
        <v>6957</v>
      </c>
      <c r="F4830" s="65" t="s">
        <v>303</v>
      </c>
      <c r="G4830" s="3" t="s">
        <v>416</v>
      </c>
      <c r="H4830" s="2" t="s">
        <v>930</v>
      </c>
      <c r="I4830" s="3" t="s">
        <v>94</v>
      </c>
      <c r="J4830" s="31">
        <v>45966</v>
      </c>
      <c r="K4830" s="31">
        <v>45968</v>
      </c>
      <c r="L4830" s="31"/>
      <c r="M4830" s="31"/>
      <c r="N4830" s="31"/>
      <c r="O4830" s="3" t="s">
        <v>297</v>
      </c>
    </row>
    <row r="4831" spans="1:15">
      <c r="A4831" s="3">
        <f t="shared" si="79"/>
        <v>4830</v>
      </c>
      <c r="B4831" s="65" t="s">
        <v>2153</v>
      </c>
      <c r="C4831" s="1">
        <v>7860481005</v>
      </c>
      <c r="D4831" s="1">
        <v>9472454162</v>
      </c>
      <c r="E4831" s="17" t="s">
        <v>6957</v>
      </c>
      <c r="F4831" s="65" t="s">
        <v>303</v>
      </c>
      <c r="G4831" s="3" t="s">
        <v>16</v>
      </c>
      <c r="H4831" s="2" t="s">
        <v>930</v>
      </c>
      <c r="I4831" s="3" t="s">
        <v>94</v>
      </c>
      <c r="J4831" s="31">
        <v>45966</v>
      </c>
      <c r="K4831" s="31">
        <v>45969</v>
      </c>
      <c r="L4831" s="31">
        <v>45972</v>
      </c>
      <c r="M4831" s="31">
        <v>45985</v>
      </c>
      <c r="N4831" s="31">
        <v>45982</v>
      </c>
      <c r="O4831" s="3" t="s">
        <v>297</v>
      </c>
    </row>
    <row r="4832" spans="1:15">
      <c r="A4832" s="3">
        <f t="shared" si="79"/>
        <v>4831</v>
      </c>
      <c r="B4832" s="65" t="s">
        <v>7162</v>
      </c>
      <c r="C4832" s="1">
        <v>6388944729</v>
      </c>
      <c r="E4832" s="17" t="s">
        <v>6957</v>
      </c>
      <c r="F4832" s="65" t="s">
        <v>303</v>
      </c>
      <c r="G4832" s="3" t="s">
        <v>416</v>
      </c>
      <c r="H4832" s="2" t="s">
        <v>930</v>
      </c>
      <c r="I4832" s="3" t="s">
        <v>94</v>
      </c>
      <c r="J4832" s="31">
        <v>45966</v>
      </c>
      <c r="K4832" s="31">
        <v>45969</v>
      </c>
      <c r="L4832" s="31"/>
      <c r="M4832" s="31"/>
      <c r="N4832" s="31"/>
      <c r="O4832" s="3" t="s">
        <v>297</v>
      </c>
    </row>
    <row r="4833" spans="1:15">
      <c r="A4833" s="3">
        <f t="shared" si="79"/>
        <v>4832</v>
      </c>
      <c r="B4833" s="65" t="s">
        <v>7163</v>
      </c>
      <c r="C4833" s="1">
        <v>9098590269</v>
      </c>
      <c r="E4833" s="17" t="s">
        <v>6957</v>
      </c>
      <c r="F4833" s="65" t="s">
        <v>303</v>
      </c>
      <c r="G4833" s="3" t="s">
        <v>16</v>
      </c>
      <c r="H4833" s="2" t="s">
        <v>930</v>
      </c>
      <c r="I4833" s="3" t="s">
        <v>94</v>
      </c>
      <c r="J4833" s="31">
        <v>45966</v>
      </c>
      <c r="K4833" s="31">
        <v>45968</v>
      </c>
      <c r="L4833" s="31">
        <v>45972</v>
      </c>
      <c r="M4833" s="31">
        <v>45988</v>
      </c>
      <c r="N4833" s="31">
        <v>45992</v>
      </c>
      <c r="O4833" s="3" t="s">
        <v>297</v>
      </c>
    </row>
    <row r="4834" spans="1:15">
      <c r="A4834" s="3">
        <f t="shared" si="79"/>
        <v>4833</v>
      </c>
      <c r="B4834" s="65" t="s">
        <v>7164</v>
      </c>
      <c r="C4834" s="1">
        <v>9559692984</v>
      </c>
      <c r="E4834" s="17" t="s">
        <v>6957</v>
      </c>
      <c r="F4834" s="65" t="s">
        <v>303</v>
      </c>
      <c r="G4834" s="3" t="s">
        <v>16</v>
      </c>
      <c r="H4834" s="2" t="s">
        <v>930</v>
      </c>
      <c r="I4834" s="3" t="s">
        <v>94</v>
      </c>
      <c r="J4834" s="31">
        <v>45966</v>
      </c>
      <c r="K4834" s="31">
        <v>45968</v>
      </c>
      <c r="L4834" s="31">
        <v>45972</v>
      </c>
      <c r="M4834" s="31">
        <v>45978</v>
      </c>
      <c r="N4834" s="31">
        <v>45978</v>
      </c>
      <c r="O4834" s="3" t="s">
        <v>297</v>
      </c>
    </row>
    <row r="4835" spans="1:15">
      <c r="A4835" s="3">
        <f t="shared" si="79"/>
        <v>4834</v>
      </c>
      <c r="B4835" s="65" t="s">
        <v>7165</v>
      </c>
      <c r="C4835" s="1">
        <v>9951577001</v>
      </c>
      <c r="E4835" s="17" t="s">
        <v>6817</v>
      </c>
      <c r="F4835" s="65" t="s">
        <v>569</v>
      </c>
      <c r="G4835" s="3" t="s">
        <v>416</v>
      </c>
      <c r="H4835" s="2" t="s">
        <v>913</v>
      </c>
      <c r="I4835" s="3" t="s">
        <v>94</v>
      </c>
      <c r="J4835" s="31">
        <v>45966</v>
      </c>
      <c r="K4835" s="31">
        <v>45967</v>
      </c>
      <c r="L4835" s="31"/>
      <c r="M4835" s="31"/>
      <c r="N4835" s="31"/>
      <c r="O4835" s="3" t="s">
        <v>297</v>
      </c>
    </row>
    <row r="4836" spans="1:15">
      <c r="A4836" s="3">
        <f t="shared" si="79"/>
        <v>4835</v>
      </c>
      <c r="B4836" s="65" t="s">
        <v>7166</v>
      </c>
      <c r="C4836" s="1">
        <v>8555032845</v>
      </c>
      <c r="E4836" s="17" t="s">
        <v>5778</v>
      </c>
      <c r="F4836" s="65" t="s">
        <v>7167</v>
      </c>
      <c r="G4836" s="3" t="s">
        <v>1175</v>
      </c>
      <c r="H4836" s="2" t="s">
        <v>6158</v>
      </c>
      <c r="I4836" s="3" t="s">
        <v>42</v>
      </c>
      <c r="J4836" s="31">
        <v>45967</v>
      </c>
      <c r="K4836" s="31"/>
      <c r="L4836" s="31"/>
      <c r="M4836" s="31"/>
      <c r="N4836" s="31"/>
      <c r="O4836" s="3" t="s">
        <v>1004</v>
      </c>
    </row>
    <row r="4837" spans="1:15">
      <c r="A4837" s="3">
        <f t="shared" si="79"/>
        <v>4836</v>
      </c>
      <c r="B4837" s="65" t="s">
        <v>7168</v>
      </c>
      <c r="C4837" s="1">
        <v>9012990193</v>
      </c>
      <c r="E4837" s="17" t="s">
        <v>4609</v>
      </c>
      <c r="F4837" s="65" t="s">
        <v>7169</v>
      </c>
      <c r="G4837" s="3" t="s">
        <v>424</v>
      </c>
      <c r="H4837" s="2" t="s">
        <v>5774</v>
      </c>
      <c r="I4837" s="3" t="s">
        <v>42</v>
      </c>
      <c r="J4837" s="31">
        <v>45967</v>
      </c>
      <c r="K4837" s="31">
        <v>45973</v>
      </c>
      <c r="L4837" s="31"/>
      <c r="M4837" s="31"/>
      <c r="N4837" s="31"/>
      <c r="O4837" s="3" t="s">
        <v>425</v>
      </c>
    </row>
    <row r="4838" spans="1:15">
      <c r="A4838" s="3">
        <f t="shared" si="79"/>
        <v>4837</v>
      </c>
      <c r="B4838" s="65" t="s">
        <v>7170</v>
      </c>
      <c r="C4838" s="1">
        <v>9949450598</v>
      </c>
      <c r="E4838" s="17" t="s">
        <v>4609</v>
      </c>
      <c r="F4838" s="65" t="s">
        <v>5003</v>
      </c>
      <c r="G4838" s="3" t="s">
        <v>424</v>
      </c>
      <c r="H4838" s="2" t="s">
        <v>5774</v>
      </c>
      <c r="I4838" s="3" t="s">
        <v>42</v>
      </c>
      <c r="J4838" s="31">
        <v>45967</v>
      </c>
      <c r="K4838" s="31">
        <v>45973</v>
      </c>
      <c r="L4838" s="31"/>
      <c r="M4838" s="31"/>
      <c r="N4838" s="31"/>
      <c r="O4838" s="3" t="s">
        <v>425</v>
      </c>
    </row>
    <row r="4839" spans="1:15">
      <c r="A4839" s="3">
        <f t="shared" si="79"/>
        <v>4838</v>
      </c>
      <c r="B4839" s="65" t="s">
        <v>5447</v>
      </c>
      <c r="C4839" s="1">
        <v>7326094364</v>
      </c>
      <c r="E4839" s="17" t="s">
        <v>7171</v>
      </c>
      <c r="F4839" s="65"/>
      <c r="G4839" s="3" t="s">
        <v>16</v>
      </c>
      <c r="H4839" s="2" t="s">
        <v>162</v>
      </c>
      <c r="I4839" s="3" t="s">
        <v>94</v>
      </c>
      <c r="J4839" s="31">
        <v>45962</v>
      </c>
      <c r="K4839" s="31">
        <v>45964</v>
      </c>
      <c r="L4839" s="31">
        <v>45965</v>
      </c>
      <c r="M4839" s="31">
        <v>45985</v>
      </c>
      <c r="N4839" s="31">
        <v>45981</v>
      </c>
      <c r="O4839" s="3" t="s">
        <v>297</v>
      </c>
    </row>
    <row r="4840" spans="1:15">
      <c r="A4840" s="3">
        <f t="shared" si="79"/>
        <v>4839</v>
      </c>
      <c r="B4840" s="65" t="s">
        <v>1854</v>
      </c>
      <c r="C4840" s="1">
        <v>8445774119</v>
      </c>
      <c r="E4840" s="17" t="s">
        <v>6457</v>
      </c>
      <c r="F4840" s="65"/>
      <c r="G4840" s="3" t="s">
        <v>16</v>
      </c>
      <c r="H4840" s="2" t="s">
        <v>162</v>
      </c>
      <c r="I4840" s="3" t="s">
        <v>94</v>
      </c>
      <c r="J4840" s="31">
        <v>45962</v>
      </c>
      <c r="K4840" s="31">
        <v>45964</v>
      </c>
      <c r="L4840" s="31">
        <v>45965</v>
      </c>
      <c r="M4840" s="31">
        <v>45980</v>
      </c>
      <c r="N4840" s="31">
        <v>45981</v>
      </c>
      <c r="O4840" s="3" t="s">
        <v>297</v>
      </c>
    </row>
    <row r="4841" spans="1:15">
      <c r="A4841" s="3">
        <f t="shared" si="79"/>
        <v>4840</v>
      </c>
      <c r="B4841" s="65" t="s">
        <v>7172</v>
      </c>
      <c r="C4841" s="1">
        <v>9725303139</v>
      </c>
      <c r="E4841" s="17" t="s">
        <v>7173</v>
      </c>
      <c r="F4841" s="65"/>
      <c r="G4841" s="3" t="s">
        <v>16</v>
      </c>
      <c r="H4841" s="2" t="s">
        <v>5574</v>
      </c>
      <c r="I4841" s="3" t="s">
        <v>94</v>
      </c>
      <c r="J4841" s="31">
        <v>45962</v>
      </c>
      <c r="K4841" s="31">
        <v>45964</v>
      </c>
      <c r="L4841" s="31">
        <v>45965</v>
      </c>
      <c r="M4841" s="31">
        <v>45971</v>
      </c>
      <c r="N4841" s="31">
        <v>45975</v>
      </c>
      <c r="O4841" s="3" t="s">
        <v>297</v>
      </c>
    </row>
    <row r="4842" spans="1:15">
      <c r="A4842" s="3">
        <f t="shared" si="79"/>
        <v>4841</v>
      </c>
      <c r="B4842" s="65" t="s">
        <v>2412</v>
      </c>
      <c r="C4842" s="1">
        <v>7981614283</v>
      </c>
      <c r="E4842" s="17" t="s">
        <v>7174</v>
      </c>
      <c r="F4842" s="65" t="s">
        <v>4362</v>
      </c>
      <c r="G4842" s="3" t="s">
        <v>764</v>
      </c>
      <c r="H4842" s="2" t="s">
        <v>815</v>
      </c>
      <c r="I4842" s="3" t="s">
        <v>88</v>
      </c>
      <c r="J4842" s="31">
        <v>45967</v>
      </c>
      <c r="K4842" s="31">
        <v>45973</v>
      </c>
      <c r="L4842" s="31"/>
      <c r="M4842" s="31"/>
      <c r="N4842" s="31"/>
      <c r="O4842" s="3" t="s">
        <v>425</v>
      </c>
    </row>
    <row r="4843" spans="1:15">
      <c r="A4843" s="3">
        <f t="shared" si="79"/>
        <v>4842</v>
      </c>
      <c r="B4843" s="65" t="s">
        <v>7175</v>
      </c>
      <c r="C4843" s="1">
        <v>8008959017</v>
      </c>
      <c r="E4843" s="17" t="s">
        <v>7174</v>
      </c>
      <c r="F4843" s="65" t="s">
        <v>7176</v>
      </c>
      <c r="G4843" s="3" t="s">
        <v>764</v>
      </c>
      <c r="H4843" s="2" t="s">
        <v>815</v>
      </c>
      <c r="I4843" s="3" t="s">
        <v>88</v>
      </c>
      <c r="J4843" s="31">
        <v>45967</v>
      </c>
      <c r="K4843" s="31">
        <v>45973</v>
      </c>
      <c r="L4843" s="31"/>
      <c r="M4843" s="31"/>
      <c r="N4843" s="31"/>
      <c r="O4843" s="3" t="s">
        <v>425</v>
      </c>
    </row>
    <row r="4844" spans="1:15">
      <c r="A4844" s="3">
        <f t="shared" si="79"/>
        <v>4843</v>
      </c>
      <c r="B4844" s="65" t="s">
        <v>7177</v>
      </c>
      <c r="C4844" s="1">
        <v>6309325209</v>
      </c>
      <c r="E4844" s="17" t="s">
        <v>7174</v>
      </c>
      <c r="F4844" s="65" t="s">
        <v>1835</v>
      </c>
      <c r="G4844" s="3" t="s">
        <v>764</v>
      </c>
      <c r="H4844" s="2" t="s">
        <v>815</v>
      </c>
      <c r="I4844" s="3" t="s">
        <v>88</v>
      </c>
      <c r="J4844" s="31">
        <v>45967</v>
      </c>
      <c r="K4844" s="31">
        <v>45973</v>
      </c>
      <c r="L4844" s="31"/>
      <c r="M4844" s="31"/>
      <c r="N4844" s="31"/>
      <c r="O4844" s="3" t="s">
        <v>425</v>
      </c>
    </row>
    <row r="4845" spans="1:15">
      <c r="A4845" s="3">
        <f t="shared" si="79"/>
        <v>4844</v>
      </c>
      <c r="B4845" s="65" t="s">
        <v>7178</v>
      </c>
      <c r="C4845" s="1">
        <v>8499944700</v>
      </c>
      <c r="E4845" s="17" t="s">
        <v>7179</v>
      </c>
      <c r="F4845" s="65" t="s">
        <v>406</v>
      </c>
      <c r="G4845" s="3" t="s">
        <v>764</v>
      </c>
      <c r="H4845" s="2" t="s">
        <v>815</v>
      </c>
      <c r="I4845" s="3" t="s">
        <v>88</v>
      </c>
      <c r="J4845" s="31">
        <v>45967</v>
      </c>
      <c r="K4845" s="31">
        <v>45973</v>
      </c>
      <c r="L4845" s="31"/>
      <c r="M4845" s="31"/>
      <c r="N4845" s="31"/>
      <c r="O4845" s="3" t="s">
        <v>425</v>
      </c>
    </row>
    <row r="4846" spans="1:15">
      <c r="A4846" s="3">
        <f t="shared" si="79"/>
        <v>4845</v>
      </c>
      <c r="B4846" s="65" t="s">
        <v>2761</v>
      </c>
      <c r="C4846" s="1">
        <v>9676238350</v>
      </c>
      <c r="E4846" s="17" t="s">
        <v>7179</v>
      </c>
      <c r="F4846" s="65" t="s">
        <v>406</v>
      </c>
      <c r="G4846" s="3" t="s">
        <v>764</v>
      </c>
      <c r="H4846" s="2" t="s">
        <v>815</v>
      </c>
      <c r="I4846" s="3" t="s">
        <v>88</v>
      </c>
      <c r="J4846" s="31">
        <v>45967</v>
      </c>
      <c r="K4846" s="31">
        <v>45973</v>
      </c>
      <c r="L4846" s="31"/>
      <c r="M4846" s="31"/>
      <c r="N4846" s="31"/>
      <c r="O4846" s="3" t="s">
        <v>425</v>
      </c>
    </row>
    <row r="4847" spans="1:15">
      <c r="A4847" s="3">
        <f t="shared" si="79"/>
        <v>4846</v>
      </c>
      <c r="B4847" s="65" t="s">
        <v>7180</v>
      </c>
      <c r="C4847" s="1">
        <v>9014284047</v>
      </c>
      <c r="D4847" s="1">
        <v>8333884140</v>
      </c>
      <c r="E4847" s="17" t="s">
        <v>4609</v>
      </c>
      <c r="F4847" s="65" t="s">
        <v>7181</v>
      </c>
      <c r="G4847" s="3" t="s">
        <v>424</v>
      </c>
      <c r="H4847" s="2" t="s">
        <v>5774</v>
      </c>
      <c r="I4847" s="3" t="s">
        <v>42</v>
      </c>
      <c r="J4847" s="31">
        <v>45967</v>
      </c>
      <c r="K4847" s="31">
        <v>45973</v>
      </c>
      <c r="L4847" s="31"/>
      <c r="M4847" s="31"/>
      <c r="N4847" s="31"/>
      <c r="O4847" s="3" t="s">
        <v>749</v>
      </c>
    </row>
    <row r="4848" spans="1:15">
      <c r="A4848" s="3">
        <f t="shared" si="79"/>
        <v>4847</v>
      </c>
      <c r="B4848" s="65" t="s">
        <v>7182</v>
      </c>
      <c r="C4848" s="1">
        <v>9398665941</v>
      </c>
      <c r="E4848" s="17" t="s">
        <v>7183</v>
      </c>
      <c r="F4848" s="65" t="s">
        <v>7184</v>
      </c>
      <c r="G4848" s="3" t="s">
        <v>424</v>
      </c>
      <c r="H4848" s="2" t="s">
        <v>2425</v>
      </c>
      <c r="I4848" s="3" t="s">
        <v>42</v>
      </c>
      <c r="J4848" s="31">
        <v>45967</v>
      </c>
      <c r="K4848" s="31">
        <v>45981</v>
      </c>
      <c r="L4848" s="31"/>
      <c r="M4848" s="31"/>
      <c r="N4848" s="31"/>
      <c r="O4848" s="3" t="s">
        <v>425</v>
      </c>
    </row>
    <row r="4849" spans="1:15">
      <c r="A4849" s="3">
        <f t="shared" si="79"/>
        <v>4848</v>
      </c>
      <c r="B4849" s="65" t="s">
        <v>7185</v>
      </c>
      <c r="C4849" s="1">
        <v>9505206093</v>
      </c>
      <c r="E4849" s="17" t="s">
        <v>7186</v>
      </c>
      <c r="F4849" s="65"/>
      <c r="G4849" s="3" t="s">
        <v>16</v>
      </c>
      <c r="H4849" s="2" t="s">
        <v>999</v>
      </c>
      <c r="I4849" s="3" t="s">
        <v>88</v>
      </c>
      <c r="J4849" s="31">
        <v>45960</v>
      </c>
      <c r="K4849" s="31">
        <v>45964</v>
      </c>
      <c r="L4849" s="31">
        <v>45967</v>
      </c>
      <c r="M4849" s="31">
        <v>46006</v>
      </c>
      <c r="N4849" s="31">
        <v>46006</v>
      </c>
      <c r="O4849" s="3" t="s">
        <v>297</v>
      </c>
    </row>
    <row r="4850" spans="1:15">
      <c r="A4850" s="3">
        <f t="shared" ref="A4850:A4860" si="80">ROW()-1</f>
        <v>4849</v>
      </c>
      <c r="B4850" s="65" t="s">
        <v>7187</v>
      </c>
      <c r="C4850" s="1">
        <v>8125595828</v>
      </c>
      <c r="E4850" s="17" t="s">
        <v>7050</v>
      </c>
      <c r="F4850" s="65" t="s">
        <v>7188</v>
      </c>
      <c r="G4850" s="3" t="s">
        <v>424</v>
      </c>
      <c r="H4850" s="2" t="s">
        <v>2425</v>
      </c>
      <c r="I4850" s="3" t="s">
        <v>42</v>
      </c>
      <c r="J4850" s="31">
        <v>45968</v>
      </c>
      <c r="K4850" s="31">
        <v>45981</v>
      </c>
      <c r="L4850" s="31"/>
      <c r="M4850" s="31"/>
      <c r="N4850" s="31"/>
      <c r="O4850" s="3" t="s">
        <v>425</v>
      </c>
    </row>
    <row r="4851" spans="1:15">
      <c r="A4851" s="3">
        <f t="shared" si="80"/>
        <v>4850</v>
      </c>
      <c r="B4851" s="65" t="s">
        <v>7189</v>
      </c>
      <c r="C4851" s="1">
        <v>9703231915</v>
      </c>
      <c r="E4851" s="17" t="s">
        <v>4963</v>
      </c>
      <c r="F4851" s="65" t="s">
        <v>7190</v>
      </c>
      <c r="G4851" s="2" t="s">
        <v>424</v>
      </c>
      <c r="H4851" s="2" t="s">
        <v>42</v>
      </c>
      <c r="I4851" s="3" t="s">
        <v>42</v>
      </c>
      <c r="J4851" s="31">
        <v>45968</v>
      </c>
      <c r="K4851" s="31">
        <v>45981</v>
      </c>
      <c r="L4851" s="31"/>
      <c r="M4851" s="31"/>
      <c r="N4851" s="31"/>
      <c r="O4851" s="2" t="s">
        <v>749</v>
      </c>
    </row>
    <row r="4852" spans="1:15">
      <c r="A4852" s="3">
        <f t="shared" si="80"/>
        <v>4851</v>
      </c>
      <c r="B4852" s="65" t="s">
        <v>7191</v>
      </c>
      <c r="C4852" s="1">
        <v>8096510710</v>
      </c>
      <c r="E4852" s="17" t="s">
        <v>6489</v>
      </c>
      <c r="F4852" s="65" t="s">
        <v>7192</v>
      </c>
      <c r="G4852" s="2" t="s">
        <v>424</v>
      </c>
      <c r="H4852" s="2" t="s">
        <v>5774</v>
      </c>
      <c r="I4852" s="3" t="s">
        <v>42</v>
      </c>
      <c r="J4852" s="31">
        <v>45968</v>
      </c>
      <c r="K4852" s="31">
        <v>45981</v>
      </c>
      <c r="L4852" s="31"/>
      <c r="M4852" s="31"/>
      <c r="N4852" s="31"/>
      <c r="O4852" s="2" t="s">
        <v>749</v>
      </c>
    </row>
    <row r="4853" spans="1:15">
      <c r="A4853" s="3">
        <f t="shared" si="80"/>
        <v>4852</v>
      </c>
      <c r="B4853" s="65" t="s">
        <v>7193</v>
      </c>
      <c r="C4853" s="1">
        <v>9335572722</v>
      </c>
      <c r="D4853" s="1">
        <v>8127839585</v>
      </c>
      <c r="E4853" s="17" t="s">
        <v>7098</v>
      </c>
      <c r="F4853" s="65" t="s">
        <v>989</v>
      </c>
      <c r="G4853" s="3" t="s">
        <v>16</v>
      </c>
      <c r="H4853" s="2" t="s">
        <v>361</v>
      </c>
      <c r="I4853" s="3" t="s">
        <v>94</v>
      </c>
      <c r="J4853" s="31">
        <v>45968</v>
      </c>
      <c r="K4853" s="31">
        <v>45973</v>
      </c>
      <c r="L4853" s="31">
        <v>45975</v>
      </c>
      <c r="M4853" s="31">
        <v>46005</v>
      </c>
      <c r="N4853" s="31">
        <v>46007</v>
      </c>
      <c r="O4853" s="3" t="s">
        <v>297</v>
      </c>
    </row>
    <row r="4854" spans="1:15">
      <c r="A4854" s="3">
        <f t="shared" si="80"/>
        <v>4853</v>
      </c>
      <c r="B4854" s="65" t="s">
        <v>7194</v>
      </c>
      <c r="C4854" s="1">
        <v>7409469249</v>
      </c>
      <c r="E4854" s="17" t="s">
        <v>7098</v>
      </c>
      <c r="F4854" s="65" t="s">
        <v>989</v>
      </c>
      <c r="G4854" s="3" t="s">
        <v>16</v>
      </c>
      <c r="H4854" s="2" t="s">
        <v>361</v>
      </c>
      <c r="I4854" s="3" t="s">
        <v>94</v>
      </c>
      <c r="J4854" s="31">
        <v>45968</v>
      </c>
      <c r="K4854" s="31">
        <v>45982</v>
      </c>
      <c r="L4854" s="31">
        <v>46002</v>
      </c>
      <c r="M4854" s="31">
        <v>46017</v>
      </c>
      <c r="N4854" s="31">
        <v>46038</v>
      </c>
      <c r="O4854" s="3" t="s">
        <v>297</v>
      </c>
    </row>
    <row r="4855" spans="1:15">
      <c r="A4855" s="3">
        <f t="shared" si="80"/>
        <v>4854</v>
      </c>
      <c r="B4855" s="65" t="s">
        <v>7195</v>
      </c>
      <c r="C4855" s="1">
        <v>7033453600</v>
      </c>
      <c r="E4855" s="17" t="s">
        <v>7098</v>
      </c>
      <c r="F4855" s="65" t="s">
        <v>989</v>
      </c>
      <c r="G4855" s="3" t="s">
        <v>424</v>
      </c>
      <c r="H4855" s="2" t="s">
        <v>361</v>
      </c>
      <c r="I4855" s="3" t="s">
        <v>94</v>
      </c>
      <c r="J4855" s="31">
        <v>45968</v>
      </c>
      <c r="K4855" s="31">
        <v>45982</v>
      </c>
      <c r="L4855" s="31"/>
      <c r="M4855" s="31"/>
      <c r="N4855" s="31"/>
      <c r="O4855" s="3" t="s">
        <v>425</v>
      </c>
    </row>
    <row r="4856" spans="1:15">
      <c r="A4856" s="3">
        <f t="shared" si="80"/>
        <v>4855</v>
      </c>
      <c r="B4856" s="65" t="s">
        <v>7196</v>
      </c>
      <c r="C4856" s="1">
        <v>7505972043</v>
      </c>
      <c r="E4856" s="17" t="s">
        <v>7092</v>
      </c>
      <c r="F4856" s="65" t="s">
        <v>989</v>
      </c>
      <c r="G4856" s="3" t="s">
        <v>295</v>
      </c>
      <c r="H4856" s="2" t="s">
        <v>361</v>
      </c>
      <c r="I4856" s="3" t="s">
        <v>94</v>
      </c>
      <c r="J4856" s="31">
        <v>45968</v>
      </c>
      <c r="K4856" s="31">
        <v>45973</v>
      </c>
      <c r="L4856" s="31">
        <v>45975</v>
      </c>
      <c r="M4856" s="31">
        <v>46000</v>
      </c>
      <c r="N4856" s="31"/>
      <c r="O4856" s="3" t="s">
        <v>297</v>
      </c>
    </row>
    <row r="4857" spans="1:15">
      <c r="A4857" s="3">
        <f t="shared" si="80"/>
        <v>4856</v>
      </c>
      <c r="B4857" s="65" t="s">
        <v>7197</v>
      </c>
      <c r="C4857" s="1">
        <v>9956248817</v>
      </c>
      <c r="D4857" s="1">
        <v>7309950031</v>
      </c>
      <c r="E4857" s="17" t="s">
        <v>7092</v>
      </c>
      <c r="F4857" s="65" t="s">
        <v>461</v>
      </c>
      <c r="G4857" s="3" t="s">
        <v>416</v>
      </c>
      <c r="H4857" s="2" t="s">
        <v>361</v>
      </c>
      <c r="I4857" s="3" t="s">
        <v>94</v>
      </c>
      <c r="J4857" s="31">
        <v>45968</v>
      </c>
      <c r="K4857" s="31">
        <v>45982</v>
      </c>
      <c r="L4857" s="31"/>
      <c r="M4857" s="31"/>
      <c r="N4857" s="31"/>
      <c r="O4857" s="3" t="s">
        <v>297</v>
      </c>
    </row>
    <row r="4858" spans="1:15">
      <c r="A4858" s="3">
        <f t="shared" si="80"/>
        <v>4857</v>
      </c>
      <c r="B4858" s="65" t="s">
        <v>3974</v>
      </c>
      <c r="C4858" s="1">
        <v>7489262235</v>
      </c>
      <c r="E4858" s="17" t="s">
        <v>3073</v>
      </c>
      <c r="F4858" s="65" t="s">
        <v>461</v>
      </c>
      <c r="G4858" s="3" t="s">
        <v>18</v>
      </c>
      <c r="H4858" s="2" t="s">
        <v>361</v>
      </c>
      <c r="I4858" s="3" t="s">
        <v>94</v>
      </c>
      <c r="J4858" s="31">
        <v>45968</v>
      </c>
      <c r="K4858" s="31">
        <v>45982</v>
      </c>
      <c r="L4858" s="31"/>
      <c r="M4858" s="31"/>
      <c r="N4858" s="31"/>
      <c r="O4858" s="3" t="s">
        <v>297</v>
      </c>
    </row>
    <row r="4859" spans="1:15">
      <c r="A4859" s="3">
        <f t="shared" si="80"/>
        <v>4858</v>
      </c>
      <c r="B4859" s="65" t="s">
        <v>7198</v>
      </c>
      <c r="C4859" s="1">
        <v>9651007824</v>
      </c>
      <c r="E4859" s="17" t="s">
        <v>3073</v>
      </c>
      <c r="F4859" s="65" t="s">
        <v>509</v>
      </c>
      <c r="G4859" s="3" t="s">
        <v>416</v>
      </c>
      <c r="H4859" s="2" t="s">
        <v>361</v>
      </c>
      <c r="I4859" s="3" t="s">
        <v>94</v>
      </c>
      <c r="J4859" s="31">
        <v>45968</v>
      </c>
      <c r="K4859" s="31">
        <v>45973</v>
      </c>
      <c r="L4859" s="31"/>
      <c r="M4859" s="31"/>
      <c r="N4859" s="31"/>
      <c r="O4859" s="3" t="s">
        <v>297</v>
      </c>
    </row>
    <row r="4860" spans="1:15">
      <c r="A4860" s="3">
        <f t="shared" si="80"/>
        <v>4859</v>
      </c>
      <c r="B4860" s="65" t="s">
        <v>7199</v>
      </c>
      <c r="C4860" s="1">
        <v>8384826496</v>
      </c>
      <c r="D4860" s="1">
        <v>9460727564</v>
      </c>
      <c r="E4860" s="17" t="s">
        <v>7200</v>
      </c>
      <c r="F4860" s="65" t="s">
        <v>509</v>
      </c>
      <c r="G4860" s="3" t="s">
        <v>295</v>
      </c>
      <c r="H4860" s="2" t="s">
        <v>361</v>
      </c>
      <c r="I4860" s="3" t="s">
        <v>94</v>
      </c>
      <c r="J4860" s="31">
        <v>45968</v>
      </c>
      <c r="K4860" s="31">
        <v>45980</v>
      </c>
      <c r="L4860" s="31">
        <v>45996</v>
      </c>
      <c r="M4860" s="31">
        <v>46076</v>
      </c>
      <c r="N4860" s="31"/>
      <c r="O4860" s="3" t="s">
        <v>297</v>
      </c>
    </row>
    <row r="4861" spans="1:15">
      <c r="A4861" s="3">
        <f t="shared" ref="A4861:A4887" si="81">ROW()-1</f>
        <v>4860</v>
      </c>
      <c r="B4861" s="65" t="s">
        <v>7105</v>
      </c>
      <c r="C4861" s="1">
        <v>9346359723</v>
      </c>
      <c r="E4861" s="17" t="s">
        <v>7044</v>
      </c>
      <c r="F4861" s="65" t="s">
        <v>1827</v>
      </c>
      <c r="G4861" s="3" t="s">
        <v>424</v>
      </c>
      <c r="H4861" s="2" t="s">
        <v>815</v>
      </c>
      <c r="I4861" s="3" t="s">
        <v>42</v>
      </c>
      <c r="J4861" s="31">
        <v>45968</v>
      </c>
      <c r="K4861" s="31">
        <v>45969</v>
      </c>
      <c r="L4861" s="31"/>
      <c r="M4861" s="31"/>
      <c r="N4861" s="31"/>
      <c r="O4861" s="3" t="s">
        <v>425</v>
      </c>
    </row>
    <row r="4862" spans="1:15">
      <c r="A4862" s="3">
        <f t="shared" si="81"/>
        <v>4861</v>
      </c>
      <c r="B4862" s="65" t="s">
        <v>7201</v>
      </c>
      <c r="C4862" s="1">
        <v>8144550107</v>
      </c>
      <c r="E4862" s="17" t="s">
        <v>7044</v>
      </c>
      <c r="F4862" s="65" t="s">
        <v>1827</v>
      </c>
      <c r="G4862" s="3" t="s">
        <v>424</v>
      </c>
      <c r="H4862" s="2" t="s">
        <v>815</v>
      </c>
      <c r="I4862" s="3" t="s">
        <v>42</v>
      </c>
      <c r="J4862" s="31">
        <v>45968</v>
      </c>
      <c r="K4862" s="31">
        <v>45969</v>
      </c>
      <c r="L4862" s="31"/>
      <c r="M4862" s="31"/>
      <c r="N4862" s="31"/>
      <c r="O4862" s="3" t="s">
        <v>425</v>
      </c>
    </row>
    <row r="4863" spans="1:15">
      <c r="A4863" s="3">
        <f t="shared" si="81"/>
        <v>4862</v>
      </c>
      <c r="B4863" s="65" t="s">
        <v>7202</v>
      </c>
      <c r="C4863" s="1">
        <v>9992233214</v>
      </c>
      <c r="E4863" s="17" t="s">
        <v>7044</v>
      </c>
      <c r="F4863" s="65" t="s">
        <v>7203</v>
      </c>
      <c r="G4863" s="3" t="s">
        <v>424</v>
      </c>
      <c r="H4863" s="2" t="s">
        <v>815</v>
      </c>
      <c r="I4863" s="3" t="s">
        <v>42</v>
      </c>
      <c r="J4863" s="31">
        <v>45968</v>
      </c>
      <c r="K4863" s="31">
        <v>45969</v>
      </c>
      <c r="L4863" s="31"/>
      <c r="M4863" s="31"/>
      <c r="N4863" s="31"/>
      <c r="O4863" s="3" t="s">
        <v>425</v>
      </c>
    </row>
    <row r="4864" spans="1:15">
      <c r="A4864" s="3">
        <f t="shared" si="81"/>
        <v>4863</v>
      </c>
      <c r="B4864" s="65" t="s">
        <v>7204</v>
      </c>
      <c r="C4864" s="1">
        <v>9581167065</v>
      </c>
      <c r="E4864" s="17" t="s">
        <v>7082</v>
      </c>
      <c r="F4864" s="65" t="s">
        <v>7205</v>
      </c>
      <c r="G4864" s="3" t="s">
        <v>16</v>
      </c>
      <c r="H4864" s="2" t="s">
        <v>815</v>
      </c>
      <c r="I4864" s="3" t="s">
        <v>42</v>
      </c>
      <c r="J4864" s="31">
        <v>45968</v>
      </c>
      <c r="K4864" s="31">
        <v>45969</v>
      </c>
      <c r="L4864" s="31">
        <v>45975</v>
      </c>
      <c r="M4864" s="31">
        <v>45996</v>
      </c>
      <c r="N4864" s="31">
        <v>45992</v>
      </c>
      <c r="O4864" s="3" t="s">
        <v>297</v>
      </c>
    </row>
    <row r="4865" spans="1:15">
      <c r="A4865" s="3">
        <f t="shared" si="81"/>
        <v>4864</v>
      </c>
      <c r="B4865" s="65" t="s">
        <v>7206</v>
      </c>
      <c r="C4865" s="1">
        <v>9059423910</v>
      </c>
      <c r="E4865" s="17" t="s">
        <v>7186</v>
      </c>
      <c r="F4865" s="65"/>
      <c r="G4865" s="3" t="s">
        <v>16</v>
      </c>
      <c r="H4865" s="2" t="s">
        <v>999</v>
      </c>
      <c r="I4865" s="3" t="s">
        <v>88</v>
      </c>
      <c r="J4865" s="31">
        <v>45962</v>
      </c>
      <c r="K4865" s="31">
        <v>45967</v>
      </c>
      <c r="L4865" s="31">
        <v>45968</v>
      </c>
      <c r="M4865" s="31">
        <v>45998</v>
      </c>
      <c r="N4865" s="31">
        <v>45976</v>
      </c>
      <c r="O4865" s="3" t="s">
        <v>297</v>
      </c>
    </row>
    <row r="4866" spans="1:15">
      <c r="A4866" s="3">
        <f t="shared" si="81"/>
        <v>4865</v>
      </c>
      <c r="B4866" s="65" t="s">
        <v>7207</v>
      </c>
      <c r="C4866" s="1">
        <v>8985842443</v>
      </c>
      <c r="E4866" s="17" t="s">
        <v>6761</v>
      </c>
      <c r="F4866" s="65"/>
      <c r="G4866" s="3" t="s">
        <v>16</v>
      </c>
      <c r="H4866" s="2" t="s">
        <v>999</v>
      </c>
      <c r="I4866" s="3" t="s">
        <v>88</v>
      </c>
      <c r="J4866" s="31">
        <v>45962</v>
      </c>
      <c r="K4866" s="31">
        <v>45967</v>
      </c>
      <c r="L4866" s="31">
        <v>45968</v>
      </c>
      <c r="M4866" s="31">
        <v>45998</v>
      </c>
      <c r="N4866" s="31">
        <v>45969</v>
      </c>
      <c r="O4866" s="3" t="s">
        <v>297</v>
      </c>
    </row>
    <row r="4867" spans="1:15">
      <c r="A4867" s="3">
        <f t="shared" si="81"/>
        <v>4866</v>
      </c>
      <c r="B4867" s="65" t="s">
        <v>7208</v>
      </c>
      <c r="C4867" s="1">
        <v>9912454456</v>
      </c>
      <c r="E4867" s="1" t="s">
        <v>2821</v>
      </c>
      <c r="F4867" s="65" t="s">
        <v>7209</v>
      </c>
      <c r="G4867" s="3" t="s">
        <v>16</v>
      </c>
      <c r="H4867" s="2" t="s">
        <v>5774</v>
      </c>
      <c r="I4867" s="3" t="s">
        <v>42</v>
      </c>
      <c r="J4867" s="31">
        <v>45968</v>
      </c>
      <c r="K4867" s="31">
        <v>45968</v>
      </c>
      <c r="L4867" s="31">
        <v>45968</v>
      </c>
      <c r="M4867" s="31">
        <v>46011</v>
      </c>
      <c r="N4867" s="31">
        <v>46011</v>
      </c>
      <c r="O4867" s="3" t="s">
        <v>297</v>
      </c>
    </row>
    <row r="4868" spans="1:15">
      <c r="A4868" s="3">
        <f t="shared" si="81"/>
        <v>4867</v>
      </c>
      <c r="B4868" s="65" t="s">
        <v>7210</v>
      </c>
      <c r="C4868" s="1">
        <v>8927078487</v>
      </c>
      <c r="E4868" s="17" t="s">
        <v>6796</v>
      </c>
      <c r="F4868" s="65" t="s">
        <v>294</v>
      </c>
      <c r="G4868" s="3" t="s">
        <v>416</v>
      </c>
      <c r="H4868" s="2" t="s">
        <v>5774</v>
      </c>
      <c r="I4868" s="3" t="s">
        <v>42</v>
      </c>
      <c r="J4868" s="31">
        <v>45968</v>
      </c>
      <c r="K4868" s="31">
        <v>45973</v>
      </c>
      <c r="L4868" s="31"/>
      <c r="M4868" s="31"/>
      <c r="N4868" s="31"/>
      <c r="O4868" s="3" t="s">
        <v>297</v>
      </c>
    </row>
    <row r="4869" spans="1:15">
      <c r="A4869" s="3">
        <f t="shared" si="81"/>
        <v>4868</v>
      </c>
      <c r="B4869" s="65" t="s">
        <v>7211</v>
      </c>
      <c r="C4869" s="1">
        <v>9182585682</v>
      </c>
      <c r="E4869" s="17" t="s">
        <v>6796</v>
      </c>
      <c r="F4869" s="65" t="s">
        <v>2196</v>
      </c>
      <c r="G4869" s="3" t="s">
        <v>16</v>
      </c>
      <c r="H4869" s="2" t="s">
        <v>5774</v>
      </c>
      <c r="I4869" s="3" t="s">
        <v>42</v>
      </c>
      <c r="J4869" s="31">
        <v>45968</v>
      </c>
      <c r="K4869" s="31">
        <v>45973</v>
      </c>
      <c r="L4869" s="31">
        <v>45975</v>
      </c>
      <c r="M4869" s="31">
        <v>45999</v>
      </c>
      <c r="N4869" s="31">
        <v>46000</v>
      </c>
      <c r="O4869" s="3" t="s">
        <v>297</v>
      </c>
    </row>
    <row r="4870" spans="1:15">
      <c r="A4870" s="3">
        <f t="shared" si="81"/>
        <v>4869</v>
      </c>
      <c r="B4870" s="65" t="s">
        <v>7212</v>
      </c>
      <c r="C4870" s="1">
        <v>8240266726</v>
      </c>
      <c r="E4870" s="17" t="s">
        <v>6796</v>
      </c>
      <c r="F4870" s="65" t="s">
        <v>294</v>
      </c>
      <c r="G4870" s="3" t="s">
        <v>16</v>
      </c>
      <c r="H4870" s="2" t="s">
        <v>5774</v>
      </c>
      <c r="I4870" s="3" t="s">
        <v>42</v>
      </c>
      <c r="J4870" s="31">
        <v>45968</v>
      </c>
      <c r="K4870" s="31">
        <v>45973</v>
      </c>
      <c r="L4870" s="31">
        <v>45975</v>
      </c>
      <c r="M4870" s="31">
        <v>45996</v>
      </c>
      <c r="N4870" s="31">
        <v>45994</v>
      </c>
      <c r="O4870" s="3" t="s">
        <v>297</v>
      </c>
    </row>
    <row r="4871" spans="1:15">
      <c r="A4871" s="3">
        <f t="shared" si="81"/>
        <v>4870</v>
      </c>
      <c r="B4871" s="65" t="s">
        <v>7213</v>
      </c>
      <c r="C4871" s="1">
        <v>7680854241</v>
      </c>
      <c r="E4871" s="17" t="s">
        <v>6796</v>
      </c>
      <c r="F4871" s="65" t="s">
        <v>294</v>
      </c>
      <c r="G4871" s="3" t="s">
        <v>16</v>
      </c>
      <c r="H4871" s="2" t="s">
        <v>5774</v>
      </c>
      <c r="I4871" s="3" t="s">
        <v>42</v>
      </c>
      <c r="J4871" s="31">
        <v>45968</v>
      </c>
      <c r="K4871" s="31">
        <v>45968</v>
      </c>
      <c r="L4871" s="31">
        <v>45968</v>
      </c>
      <c r="M4871" s="31">
        <v>45978</v>
      </c>
      <c r="N4871" s="31">
        <v>45975</v>
      </c>
      <c r="O4871" s="3" t="s">
        <v>297</v>
      </c>
    </row>
    <row r="4872" spans="1:15">
      <c r="A4872" s="3">
        <f t="shared" si="81"/>
        <v>4871</v>
      </c>
      <c r="B4872" s="65" t="s">
        <v>7214</v>
      </c>
      <c r="C4872" s="1">
        <v>9573029138</v>
      </c>
      <c r="E4872" s="17" t="s">
        <v>5904</v>
      </c>
      <c r="F4872" s="65" t="s">
        <v>451</v>
      </c>
      <c r="G4872" s="3" t="s">
        <v>18</v>
      </c>
      <c r="H4872" s="2" t="s">
        <v>5774</v>
      </c>
      <c r="I4872" s="3" t="s">
        <v>42</v>
      </c>
      <c r="J4872" s="31">
        <v>45968</v>
      </c>
      <c r="K4872" s="31">
        <v>45968</v>
      </c>
      <c r="L4872" s="31">
        <v>45968</v>
      </c>
      <c r="M4872" s="31">
        <v>45985</v>
      </c>
      <c r="N4872" s="31"/>
      <c r="O4872" s="3" t="s">
        <v>297</v>
      </c>
    </row>
    <row r="4873" spans="1:15">
      <c r="A4873" s="3">
        <f t="shared" si="81"/>
        <v>4872</v>
      </c>
      <c r="B4873" s="65" t="s">
        <v>7215</v>
      </c>
      <c r="C4873" s="1">
        <v>8917414033</v>
      </c>
      <c r="E4873" s="17" t="s">
        <v>5904</v>
      </c>
      <c r="F4873" s="65" t="s">
        <v>6538</v>
      </c>
      <c r="G4873" s="2" t="s">
        <v>424</v>
      </c>
      <c r="H4873" s="2" t="s">
        <v>5774</v>
      </c>
      <c r="I4873" s="3" t="s">
        <v>42</v>
      </c>
      <c r="J4873" s="31">
        <v>45968</v>
      </c>
      <c r="K4873" s="31">
        <v>45981</v>
      </c>
      <c r="L4873" s="31"/>
      <c r="M4873" s="31"/>
      <c r="N4873" s="31"/>
      <c r="O4873" s="2" t="s">
        <v>425</v>
      </c>
    </row>
    <row r="4874" spans="1:15">
      <c r="A4874" s="3">
        <f t="shared" si="81"/>
        <v>4873</v>
      </c>
      <c r="B4874" s="65" t="s">
        <v>7216</v>
      </c>
      <c r="C4874" s="1">
        <v>6303047475</v>
      </c>
      <c r="E4874" s="17" t="s">
        <v>5904</v>
      </c>
      <c r="F4874" s="65" t="s">
        <v>5800</v>
      </c>
      <c r="G4874" s="3" t="s">
        <v>1175</v>
      </c>
      <c r="H4874" s="2" t="s">
        <v>5774</v>
      </c>
      <c r="I4874" s="3" t="s">
        <v>42</v>
      </c>
      <c r="J4874" s="31">
        <v>45968</v>
      </c>
      <c r="K4874" s="31"/>
      <c r="L4874" s="31"/>
      <c r="M4874" s="31"/>
      <c r="N4874" s="31"/>
      <c r="O4874" s="3" t="s">
        <v>1004</v>
      </c>
    </row>
    <row r="4875" spans="1:15">
      <c r="A4875" s="3">
        <f t="shared" si="81"/>
        <v>4874</v>
      </c>
      <c r="B4875" s="65" t="s">
        <v>7217</v>
      </c>
      <c r="C4875" s="1">
        <v>9491479774</v>
      </c>
      <c r="E4875" s="17" t="s">
        <v>6537</v>
      </c>
      <c r="F4875" s="65" t="s">
        <v>748</v>
      </c>
      <c r="G4875" s="3" t="s">
        <v>16</v>
      </c>
      <c r="H4875" s="2" t="s">
        <v>5774</v>
      </c>
      <c r="I4875" s="3" t="s">
        <v>42</v>
      </c>
      <c r="J4875" s="31">
        <v>45968</v>
      </c>
      <c r="K4875" s="31">
        <v>45973</v>
      </c>
      <c r="L4875" s="31">
        <v>45982</v>
      </c>
      <c r="M4875" s="31">
        <v>46047</v>
      </c>
      <c r="N4875" s="31">
        <v>46001</v>
      </c>
      <c r="O4875" s="3" t="s">
        <v>297</v>
      </c>
    </row>
    <row r="4876" spans="1:15">
      <c r="A4876" s="3">
        <f t="shared" si="81"/>
        <v>4875</v>
      </c>
      <c r="B4876" s="65" t="s">
        <v>7218</v>
      </c>
      <c r="C4876" s="1">
        <v>9849947275</v>
      </c>
      <c r="E4876" s="17" t="s">
        <v>5904</v>
      </c>
      <c r="F4876" s="65" t="s">
        <v>329</v>
      </c>
      <c r="G4876" s="3" t="s">
        <v>1175</v>
      </c>
      <c r="H4876" s="2" t="s">
        <v>5774</v>
      </c>
      <c r="I4876" s="3" t="s">
        <v>42</v>
      </c>
      <c r="J4876" s="31">
        <v>45968</v>
      </c>
      <c r="K4876" s="31"/>
      <c r="L4876" s="31"/>
      <c r="M4876" s="31"/>
      <c r="N4876" s="31"/>
      <c r="O4876" s="3" t="s">
        <v>1004</v>
      </c>
    </row>
    <row r="4877" spans="1:15">
      <c r="A4877" s="3">
        <f t="shared" si="81"/>
        <v>4876</v>
      </c>
      <c r="B4877" s="65" t="s">
        <v>7219</v>
      </c>
      <c r="C4877" s="1">
        <v>9347537061</v>
      </c>
      <c r="E4877" s="17" t="s">
        <v>5173</v>
      </c>
      <c r="F4877" s="65" t="s">
        <v>7220</v>
      </c>
      <c r="G4877" s="3" t="s">
        <v>16</v>
      </c>
      <c r="H4877" s="2" t="s">
        <v>5774</v>
      </c>
      <c r="I4877" s="3" t="s">
        <v>42</v>
      </c>
      <c r="J4877" s="31">
        <v>45968</v>
      </c>
      <c r="K4877" s="31">
        <v>45973</v>
      </c>
      <c r="L4877" s="31">
        <v>45975</v>
      </c>
      <c r="M4877" s="31">
        <v>45992</v>
      </c>
      <c r="N4877" s="31">
        <v>45992</v>
      </c>
      <c r="O4877" s="3" t="s">
        <v>297</v>
      </c>
    </row>
    <row r="4878" spans="1:15">
      <c r="A4878" s="3">
        <f t="shared" si="81"/>
        <v>4877</v>
      </c>
      <c r="B4878" s="65" t="s">
        <v>7221</v>
      </c>
      <c r="C4878" s="1">
        <v>8637360726</v>
      </c>
      <c r="E4878" s="3" t="s">
        <v>6199</v>
      </c>
      <c r="F4878" s="65" t="s">
        <v>303</v>
      </c>
      <c r="G4878" s="3" t="s">
        <v>16</v>
      </c>
      <c r="H4878" s="2" t="s">
        <v>5774</v>
      </c>
      <c r="I4878" s="3" t="s">
        <v>42</v>
      </c>
      <c r="J4878" s="31">
        <v>45968</v>
      </c>
      <c r="K4878" s="31">
        <v>45973</v>
      </c>
      <c r="L4878" s="31">
        <v>45975</v>
      </c>
      <c r="M4878" s="31">
        <v>45996</v>
      </c>
      <c r="N4878" s="31">
        <v>45996</v>
      </c>
      <c r="O4878" s="3" t="s">
        <v>297</v>
      </c>
    </row>
    <row r="4879" spans="1:15">
      <c r="A4879" s="3">
        <f t="shared" si="81"/>
        <v>4878</v>
      </c>
      <c r="B4879" s="65" t="s">
        <v>7222</v>
      </c>
      <c r="C4879" s="1">
        <v>9676499818</v>
      </c>
      <c r="D4879" s="1">
        <v>9494861612</v>
      </c>
      <c r="E4879" s="17" t="s">
        <v>6236</v>
      </c>
      <c r="F4879" s="65" t="s">
        <v>7223</v>
      </c>
      <c r="G4879" s="3" t="s">
        <v>416</v>
      </c>
      <c r="H4879" s="2" t="s">
        <v>5774</v>
      </c>
      <c r="I4879" s="3" t="s">
        <v>42</v>
      </c>
      <c r="J4879" s="31">
        <v>45968</v>
      </c>
      <c r="K4879" s="31">
        <v>45973</v>
      </c>
      <c r="L4879" s="31"/>
      <c r="M4879" s="31"/>
      <c r="N4879" s="31"/>
      <c r="O4879" s="3" t="s">
        <v>297</v>
      </c>
    </row>
    <row r="4880" spans="1:15">
      <c r="A4880" s="3">
        <f t="shared" si="81"/>
        <v>4879</v>
      </c>
      <c r="B4880" s="65" t="s">
        <v>7224</v>
      </c>
      <c r="C4880" s="1">
        <v>9642344544</v>
      </c>
      <c r="E4880" s="3" t="s">
        <v>6199</v>
      </c>
      <c r="F4880" s="65" t="s">
        <v>7225</v>
      </c>
      <c r="G4880" s="3" t="s">
        <v>416</v>
      </c>
      <c r="H4880" s="2" t="s">
        <v>5774</v>
      </c>
      <c r="I4880" s="3" t="s">
        <v>42</v>
      </c>
      <c r="J4880" s="31">
        <v>45968</v>
      </c>
      <c r="K4880" s="31">
        <v>45975</v>
      </c>
      <c r="L4880" s="31"/>
      <c r="M4880" s="31"/>
      <c r="N4880" s="31"/>
      <c r="O4880" s="3" t="s">
        <v>297</v>
      </c>
    </row>
    <row r="4881" spans="1:15">
      <c r="A4881" s="3">
        <f t="shared" si="81"/>
        <v>4880</v>
      </c>
      <c r="B4881" s="65" t="s">
        <v>7226</v>
      </c>
      <c r="C4881" s="1">
        <v>6266246287</v>
      </c>
      <c r="E4881" s="17" t="s">
        <v>6976</v>
      </c>
      <c r="F4881" s="65"/>
      <c r="G4881" s="3" t="s">
        <v>16</v>
      </c>
      <c r="H4881" s="2" t="s">
        <v>930</v>
      </c>
      <c r="I4881" s="3" t="s">
        <v>94</v>
      </c>
      <c r="J4881" s="31">
        <v>45962</v>
      </c>
      <c r="K4881" s="31">
        <v>45964</v>
      </c>
      <c r="L4881" s="31">
        <v>45968</v>
      </c>
      <c r="M4881" s="31">
        <v>45978</v>
      </c>
      <c r="N4881" s="31">
        <v>45981</v>
      </c>
      <c r="O4881" s="3" t="s">
        <v>297</v>
      </c>
    </row>
    <row r="4882" spans="1:15">
      <c r="A4882" s="3">
        <f t="shared" si="81"/>
        <v>4881</v>
      </c>
      <c r="B4882" s="65" t="s">
        <v>7227</v>
      </c>
      <c r="C4882" s="1">
        <v>9614829815</v>
      </c>
      <c r="E4882" s="17" t="s">
        <v>5227</v>
      </c>
      <c r="F4882" s="65"/>
      <c r="G4882" s="3" t="s">
        <v>16</v>
      </c>
      <c r="H4882" s="2" t="s">
        <v>674</v>
      </c>
      <c r="I4882" s="3" t="s">
        <v>94</v>
      </c>
      <c r="J4882" s="31">
        <v>45962</v>
      </c>
      <c r="K4882" s="31">
        <v>45964</v>
      </c>
      <c r="L4882" s="31">
        <v>45968</v>
      </c>
      <c r="M4882" s="31">
        <v>45983</v>
      </c>
      <c r="N4882" s="31">
        <v>45997</v>
      </c>
      <c r="O4882" s="3" t="s">
        <v>297</v>
      </c>
    </row>
    <row r="4883" spans="1:15">
      <c r="A4883" s="3">
        <f t="shared" si="81"/>
        <v>4882</v>
      </c>
      <c r="B4883" s="65" t="s">
        <v>7228</v>
      </c>
      <c r="C4883" s="1">
        <v>9717040710</v>
      </c>
      <c r="E4883" s="17" t="s">
        <v>5173</v>
      </c>
      <c r="F4883" s="65"/>
      <c r="G4883" s="3" t="s">
        <v>16</v>
      </c>
      <c r="H4883" s="2" t="s">
        <v>5774</v>
      </c>
      <c r="I4883" s="3" t="s">
        <v>42</v>
      </c>
      <c r="J4883" s="31">
        <v>45962</v>
      </c>
      <c r="K4883" s="31">
        <v>45964</v>
      </c>
      <c r="L4883" s="31">
        <v>45968</v>
      </c>
      <c r="M4883" s="31">
        <v>45983</v>
      </c>
      <c r="N4883" s="31">
        <v>45983</v>
      </c>
      <c r="O4883" s="3" t="s">
        <v>297</v>
      </c>
    </row>
    <row r="4884" spans="1:15">
      <c r="A4884" s="3">
        <f t="shared" si="81"/>
        <v>4883</v>
      </c>
      <c r="B4884" s="65" t="s">
        <v>7229</v>
      </c>
      <c r="C4884" s="1">
        <v>9391511374</v>
      </c>
      <c r="E4884" s="17" t="s">
        <v>6080</v>
      </c>
      <c r="F4884" s="65"/>
      <c r="G4884" s="3" t="s">
        <v>16</v>
      </c>
      <c r="H4884" s="2" t="s">
        <v>5774</v>
      </c>
      <c r="I4884" s="3" t="s">
        <v>42</v>
      </c>
      <c r="J4884" s="31">
        <v>45962</v>
      </c>
      <c r="K4884" s="31">
        <v>45964</v>
      </c>
      <c r="L4884" s="31">
        <v>45968</v>
      </c>
      <c r="M4884" s="31">
        <v>45978</v>
      </c>
      <c r="N4884" s="31">
        <v>45978</v>
      </c>
      <c r="O4884" s="3" t="s">
        <v>297</v>
      </c>
    </row>
    <row r="4885" spans="1:15">
      <c r="A4885" s="3">
        <f t="shared" si="81"/>
        <v>4884</v>
      </c>
      <c r="B4885" s="65" t="s">
        <v>7230</v>
      </c>
      <c r="C4885" s="1">
        <v>9704548672</v>
      </c>
      <c r="E4885" s="17" t="s">
        <v>5887</v>
      </c>
      <c r="F4885" s="65"/>
      <c r="G4885" s="3" t="s">
        <v>16</v>
      </c>
      <c r="H4885" s="2" t="s">
        <v>5774</v>
      </c>
      <c r="I4885" s="3" t="s">
        <v>42</v>
      </c>
      <c r="J4885" s="31">
        <v>45962</v>
      </c>
      <c r="K4885" s="31">
        <v>45964</v>
      </c>
      <c r="L4885" s="31">
        <v>45968</v>
      </c>
      <c r="M4885" s="31">
        <v>46011</v>
      </c>
      <c r="N4885" s="31">
        <v>46009</v>
      </c>
      <c r="O4885" s="3" t="s">
        <v>297</v>
      </c>
    </row>
    <row r="4886" spans="1:15">
      <c r="A4886" s="3">
        <f t="shared" si="81"/>
        <v>4885</v>
      </c>
      <c r="B4886" s="65" t="s">
        <v>7231</v>
      </c>
      <c r="C4886" s="1">
        <v>7416981718</v>
      </c>
      <c r="E4886" s="17" t="s">
        <v>6080</v>
      </c>
      <c r="F4886" s="65"/>
      <c r="G4886" s="3" t="s">
        <v>295</v>
      </c>
      <c r="H4886" s="2" t="s">
        <v>5774</v>
      </c>
      <c r="I4886" s="3" t="s">
        <v>42</v>
      </c>
      <c r="J4886" s="31">
        <v>45962</v>
      </c>
      <c r="K4886" s="31">
        <v>45964</v>
      </c>
      <c r="L4886" s="31">
        <v>45968</v>
      </c>
      <c r="M4886" s="31">
        <v>45992</v>
      </c>
      <c r="N4886" s="31"/>
      <c r="O4886" s="3" t="s">
        <v>297</v>
      </c>
    </row>
    <row r="4887" spans="1:15">
      <c r="A4887" s="3">
        <f t="shared" si="81"/>
        <v>4886</v>
      </c>
      <c r="B4887" s="65" t="s">
        <v>7232</v>
      </c>
      <c r="C4887" s="1">
        <v>9705420390</v>
      </c>
      <c r="D4887" s="1">
        <v>9441921151</v>
      </c>
      <c r="E4887" s="17" t="s">
        <v>6774</v>
      </c>
      <c r="F4887" s="65" t="s">
        <v>7233</v>
      </c>
      <c r="G4887" s="3" t="s">
        <v>7030</v>
      </c>
      <c r="H4887" s="2" t="s">
        <v>2183</v>
      </c>
      <c r="I4887" s="3" t="s">
        <v>88</v>
      </c>
      <c r="J4887" s="31">
        <v>45969</v>
      </c>
      <c r="K4887" s="31"/>
      <c r="L4887" s="31"/>
      <c r="M4887" s="31"/>
      <c r="N4887" s="31"/>
      <c r="O4887" s="3" t="s">
        <v>1004</v>
      </c>
    </row>
    <row r="4888" spans="1:15">
      <c r="A4888" s="3">
        <f>ROW()-1</f>
        <v>4887</v>
      </c>
      <c r="B4888" s="65" t="s">
        <v>7234</v>
      </c>
      <c r="C4888" s="1">
        <v>8999049999</v>
      </c>
      <c r="E4888" s="17" t="s">
        <v>6774</v>
      </c>
      <c r="F4888" s="65" t="s">
        <v>7235</v>
      </c>
      <c r="G4888" s="3" t="s">
        <v>15</v>
      </c>
      <c r="H4888" s="2" t="s">
        <v>2183</v>
      </c>
      <c r="I4888" s="3" t="s">
        <v>88</v>
      </c>
      <c r="J4888" s="31">
        <v>45969</v>
      </c>
      <c r="K4888" s="31">
        <v>46094</v>
      </c>
      <c r="L4888" s="31">
        <v>46094</v>
      </c>
      <c r="M4888" s="31">
        <v>46125</v>
      </c>
      <c r="N4888" s="31"/>
      <c r="O4888" s="3" t="s">
        <v>297</v>
      </c>
    </row>
    <row r="4889" spans="1:15">
      <c r="A4889" s="3">
        <f>ROW()-1</f>
        <v>4888</v>
      </c>
      <c r="B4889" s="65" t="s">
        <v>7236</v>
      </c>
      <c r="C4889" s="1">
        <v>9790986692</v>
      </c>
      <c r="E4889" s="17" t="s">
        <v>6808</v>
      </c>
      <c r="F4889" s="65" t="s">
        <v>5003</v>
      </c>
      <c r="G4889" s="2" t="s">
        <v>424</v>
      </c>
      <c r="H4889" s="2" t="s">
        <v>2425</v>
      </c>
      <c r="I4889" s="3" t="s">
        <v>42</v>
      </c>
      <c r="J4889" s="31">
        <v>45969</v>
      </c>
      <c r="K4889" s="31">
        <v>45981</v>
      </c>
      <c r="L4889" s="31"/>
      <c r="M4889" s="31"/>
      <c r="N4889" s="31"/>
      <c r="O4889" s="2" t="s">
        <v>749</v>
      </c>
    </row>
    <row r="4890" spans="1:15">
      <c r="A4890" s="3">
        <f t="shared" ref="A4890:A4893" si="82">ROW()-1</f>
        <v>4889</v>
      </c>
      <c r="B4890" s="65" t="s">
        <v>7237</v>
      </c>
      <c r="C4890" s="1">
        <v>9494662516</v>
      </c>
      <c r="E4890" s="17" t="s">
        <v>7238</v>
      </c>
      <c r="F4890" s="65" t="s">
        <v>7239</v>
      </c>
      <c r="G4890" s="3" t="s">
        <v>16</v>
      </c>
      <c r="H4890" s="2" t="s">
        <v>2183</v>
      </c>
      <c r="I4890" s="3" t="s">
        <v>88</v>
      </c>
      <c r="J4890" s="31">
        <v>45972</v>
      </c>
      <c r="K4890" s="31">
        <v>46049</v>
      </c>
      <c r="L4890" s="31">
        <v>46046</v>
      </c>
      <c r="M4890" s="31">
        <v>46094</v>
      </c>
      <c r="N4890" s="31">
        <v>46094</v>
      </c>
      <c r="O4890" s="3" t="s">
        <v>297</v>
      </c>
    </row>
    <row r="4891" spans="1:15">
      <c r="A4891" s="3">
        <f t="shared" si="82"/>
        <v>4890</v>
      </c>
      <c r="B4891" s="65" t="s">
        <v>7240</v>
      </c>
      <c r="C4891" s="1">
        <v>7894455116</v>
      </c>
      <c r="E4891" s="17" t="s">
        <v>7241</v>
      </c>
      <c r="F4891" s="65" t="s">
        <v>7242</v>
      </c>
      <c r="G4891" s="3" t="s">
        <v>16</v>
      </c>
      <c r="H4891" s="2" t="s">
        <v>2183</v>
      </c>
      <c r="I4891" s="3" t="s">
        <v>88</v>
      </c>
      <c r="J4891" s="31">
        <v>45972</v>
      </c>
      <c r="K4891" s="31">
        <v>45995</v>
      </c>
      <c r="L4891" s="31">
        <v>45990</v>
      </c>
      <c r="M4891" s="31">
        <v>46043</v>
      </c>
      <c r="N4891" s="31">
        <v>46043</v>
      </c>
      <c r="O4891" s="3" t="s">
        <v>297</v>
      </c>
    </row>
    <row r="4892" spans="1:15">
      <c r="A4892" s="3">
        <f t="shared" si="82"/>
        <v>4891</v>
      </c>
      <c r="B4892" s="65" t="s">
        <v>7243</v>
      </c>
      <c r="C4892" s="1">
        <v>8885818289</v>
      </c>
      <c r="D4892" s="1">
        <v>9493373791</v>
      </c>
      <c r="E4892" s="17" t="s">
        <v>7241</v>
      </c>
      <c r="F4892" s="65" t="s">
        <v>7242</v>
      </c>
      <c r="G4892" s="3" t="s">
        <v>7030</v>
      </c>
      <c r="H4892" s="2" t="s">
        <v>2183</v>
      </c>
      <c r="I4892" s="3" t="s">
        <v>88</v>
      </c>
      <c r="J4892" s="31">
        <v>45972</v>
      </c>
      <c r="K4892" s="31"/>
      <c r="L4892" s="31"/>
      <c r="M4892" s="31"/>
      <c r="N4892" s="31"/>
      <c r="O4892" s="3" t="s">
        <v>1004</v>
      </c>
    </row>
    <row r="4893" spans="1:15">
      <c r="A4893" s="3">
        <f t="shared" si="82"/>
        <v>4892</v>
      </c>
      <c r="B4893" s="65" t="s">
        <v>7244</v>
      </c>
      <c r="C4893" s="1">
        <v>9640131559</v>
      </c>
      <c r="E4893" s="17" t="s">
        <v>7241</v>
      </c>
      <c r="F4893" s="65" t="s">
        <v>7242</v>
      </c>
      <c r="G4893" s="3" t="s">
        <v>416</v>
      </c>
      <c r="H4893" s="2" t="s">
        <v>2183</v>
      </c>
      <c r="I4893" s="3" t="s">
        <v>88</v>
      </c>
      <c r="J4893" s="31">
        <v>45972</v>
      </c>
      <c r="K4893" s="31">
        <v>46002</v>
      </c>
      <c r="L4893" s="31"/>
      <c r="M4893" s="31"/>
      <c r="N4893" s="31"/>
      <c r="O4893" s="3" t="s">
        <v>297</v>
      </c>
    </row>
    <row r="4894" spans="1:15">
      <c r="A4894" s="3">
        <f>ROW()-1</f>
        <v>4893</v>
      </c>
      <c r="B4894" s="65" t="s">
        <v>7245</v>
      </c>
      <c r="C4894" s="1">
        <v>9491444480</v>
      </c>
      <c r="E4894" s="17" t="s">
        <v>7241</v>
      </c>
      <c r="F4894" s="65" t="s">
        <v>7242</v>
      </c>
      <c r="G4894" s="3" t="s">
        <v>295</v>
      </c>
      <c r="H4894" s="2" t="s">
        <v>2183</v>
      </c>
      <c r="I4894" s="3" t="s">
        <v>88</v>
      </c>
      <c r="J4894" s="31">
        <v>45972</v>
      </c>
      <c r="K4894" s="31">
        <v>46004</v>
      </c>
      <c r="L4894" s="31">
        <v>46007</v>
      </c>
      <c r="M4894" s="31">
        <v>46104</v>
      </c>
      <c r="N4894" s="31"/>
      <c r="O4894" s="3" t="s">
        <v>297</v>
      </c>
    </row>
    <row r="4895" spans="1:15">
      <c r="A4895" s="3">
        <f t="shared" ref="A4895:A4897" si="83">ROW()-1</f>
        <v>4894</v>
      </c>
      <c r="B4895" s="65" t="s">
        <v>7246</v>
      </c>
      <c r="C4895" s="1">
        <v>6303123166</v>
      </c>
      <c r="E4895" s="17" t="s">
        <v>7247</v>
      </c>
      <c r="F4895" s="65" t="s">
        <v>7248</v>
      </c>
      <c r="G4895" s="3" t="s">
        <v>7030</v>
      </c>
      <c r="H4895" s="2" t="s">
        <v>2183</v>
      </c>
      <c r="I4895" s="3" t="s">
        <v>88</v>
      </c>
      <c r="J4895" s="31">
        <v>45972</v>
      </c>
      <c r="K4895" s="31"/>
      <c r="L4895" s="31"/>
      <c r="M4895" s="31"/>
      <c r="N4895" s="31"/>
      <c r="O4895" s="3" t="s">
        <v>1004</v>
      </c>
    </row>
    <row r="4896" spans="1:15">
      <c r="A4896" s="3">
        <f t="shared" si="83"/>
        <v>4895</v>
      </c>
      <c r="B4896" s="65" t="s">
        <v>7249</v>
      </c>
      <c r="C4896" s="1">
        <v>9440499081</v>
      </c>
      <c r="E4896" s="17" t="s">
        <v>7241</v>
      </c>
      <c r="F4896" s="65" t="s">
        <v>7250</v>
      </c>
      <c r="G4896" s="3" t="s">
        <v>7030</v>
      </c>
      <c r="H4896" s="2" t="s">
        <v>2183</v>
      </c>
      <c r="I4896" s="3" t="s">
        <v>88</v>
      </c>
      <c r="J4896" s="31">
        <v>45972</v>
      </c>
      <c r="K4896" s="31"/>
      <c r="L4896" s="31"/>
      <c r="M4896" s="31"/>
      <c r="N4896" s="31"/>
      <c r="O4896" s="3" t="s">
        <v>1004</v>
      </c>
    </row>
    <row r="4897" spans="1:15">
      <c r="A4897" s="3">
        <f t="shared" si="83"/>
        <v>4896</v>
      </c>
      <c r="B4897" s="65" t="s">
        <v>7251</v>
      </c>
      <c r="C4897" s="1">
        <v>9533331739</v>
      </c>
      <c r="E4897" s="17" t="s">
        <v>7241</v>
      </c>
      <c r="F4897" s="65" t="s">
        <v>7252</v>
      </c>
      <c r="G4897" s="3" t="s">
        <v>7030</v>
      </c>
      <c r="H4897" s="2" t="s">
        <v>2183</v>
      </c>
      <c r="I4897" s="3" t="s">
        <v>88</v>
      </c>
      <c r="J4897" s="31">
        <v>45972</v>
      </c>
      <c r="K4897" s="31"/>
      <c r="L4897" s="31"/>
      <c r="M4897" s="31"/>
      <c r="N4897" s="31"/>
      <c r="O4897" s="3" t="s">
        <v>1004</v>
      </c>
    </row>
    <row r="4898" spans="1:15">
      <c r="A4898" s="3">
        <f t="shared" ref="A4898:A4914" si="84">ROW()-1</f>
        <v>4897</v>
      </c>
      <c r="B4898" s="65" t="s">
        <v>7253</v>
      </c>
      <c r="C4898" s="1">
        <v>7656899772</v>
      </c>
      <c r="E4898" s="17" t="s">
        <v>4609</v>
      </c>
      <c r="F4898" s="65" t="s">
        <v>5003</v>
      </c>
      <c r="G4898" s="3" t="s">
        <v>16</v>
      </c>
      <c r="H4898" s="2" t="s">
        <v>5774</v>
      </c>
      <c r="I4898" s="3" t="s">
        <v>42</v>
      </c>
      <c r="J4898" s="31">
        <v>45968</v>
      </c>
      <c r="K4898" s="31">
        <v>45973</v>
      </c>
      <c r="L4898" s="31">
        <v>45975</v>
      </c>
      <c r="M4898" s="31">
        <v>45996</v>
      </c>
      <c r="N4898" s="31">
        <v>45986</v>
      </c>
      <c r="O4898" s="3" t="s">
        <v>297</v>
      </c>
    </row>
    <row r="4899" spans="1:15">
      <c r="A4899" s="3">
        <f t="shared" si="84"/>
        <v>4898</v>
      </c>
      <c r="B4899" s="65" t="s">
        <v>7254</v>
      </c>
      <c r="C4899" s="1">
        <v>9951528053</v>
      </c>
      <c r="E4899" s="17" t="s">
        <v>6236</v>
      </c>
      <c r="F4899" s="65" t="s">
        <v>6000</v>
      </c>
      <c r="G4899" s="3" t="s">
        <v>7030</v>
      </c>
      <c r="H4899" s="2" t="s">
        <v>3240</v>
      </c>
      <c r="I4899" s="3" t="s">
        <v>42</v>
      </c>
      <c r="J4899" s="31">
        <v>45973</v>
      </c>
      <c r="K4899" s="31"/>
      <c r="L4899" s="31"/>
      <c r="M4899" s="31"/>
      <c r="N4899" s="31"/>
      <c r="O4899" s="3" t="s">
        <v>1004</v>
      </c>
    </row>
    <row r="4900" spans="1:15">
      <c r="A4900" s="3">
        <f t="shared" si="84"/>
        <v>4899</v>
      </c>
      <c r="B4900" s="65" t="s">
        <v>7255</v>
      </c>
      <c r="C4900" s="1">
        <v>6202162773</v>
      </c>
      <c r="E4900" s="17" t="s">
        <v>6236</v>
      </c>
      <c r="F4900" s="65" t="s">
        <v>6000</v>
      </c>
      <c r="G4900" s="3" t="s">
        <v>16</v>
      </c>
      <c r="H4900" s="2" t="s">
        <v>3240</v>
      </c>
      <c r="I4900" s="3" t="s">
        <v>42</v>
      </c>
      <c r="J4900" s="31">
        <v>45973</v>
      </c>
      <c r="K4900" s="31">
        <v>45976</v>
      </c>
      <c r="L4900" s="31">
        <v>46002</v>
      </c>
      <c r="M4900" s="31">
        <v>46034</v>
      </c>
      <c r="N4900" s="31">
        <v>46032</v>
      </c>
      <c r="O4900" s="3" t="s">
        <v>297</v>
      </c>
    </row>
    <row r="4901" spans="1:15">
      <c r="A4901" s="3">
        <f t="shared" si="84"/>
        <v>4900</v>
      </c>
      <c r="B4901" s="65" t="s">
        <v>7256</v>
      </c>
      <c r="C4901" s="1">
        <v>9369508218</v>
      </c>
      <c r="E4901" s="17" t="s">
        <v>6236</v>
      </c>
      <c r="F4901" s="65" t="s">
        <v>3594</v>
      </c>
      <c r="G4901" s="3" t="s">
        <v>16</v>
      </c>
      <c r="H4901" s="2" t="s">
        <v>3240</v>
      </c>
      <c r="I4901" s="3" t="s">
        <v>42</v>
      </c>
      <c r="J4901" s="31">
        <v>45973</v>
      </c>
      <c r="K4901" s="31">
        <v>45976</v>
      </c>
      <c r="L4901" s="31">
        <v>46000</v>
      </c>
      <c r="M4901" s="31">
        <v>46032</v>
      </c>
      <c r="N4901" s="31">
        <v>46074</v>
      </c>
      <c r="O4901" s="3" t="s">
        <v>297</v>
      </c>
    </row>
    <row r="4902" spans="1:15">
      <c r="A4902" s="3">
        <f t="shared" si="84"/>
        <v>4901</v>
      </c>
      <c r="B4902" s="65" t="s">
        <v>7257</v>
      </c>
      <c r="C4902" s="1">
        <v>7231818284</v>
      </c>
      <c r="E4902" s="17" t="s">
        <v>5173</v>
      </c>
      <c r="F4902" s="65" t="s">
        <v>7258</v>
      </c>
      <c r="G4902" s="3" t="s">
        <v>16</v>
      </c>
      <c r="H4902" s="2" t="s">
        <v>3240</v>
      </c>
      <c r="I4902" s="3" t="s">
        <v>42</v>
      </c>
      <c r="J4902" s="31">
        <v>45973</v>
      </c>
      <c r="K4902" s="31">
        <v>45975</v>
      </c>
      <c r="L4902" s="31">
        <v>45975</v>
      </c>
      <c r="M4902" s="31">
        <v>45986</v>
      </c>
      <c r="N4902" s="31">
        <v>45986</v>
      </c>
      <c r="O4902" s="3" t="s">
        <v>297</v>
      </c>
    </row>
    <row r="4903" spans="1:15">
      <c r="A4903" s="3">
        <f t="shared" si="84"/>
        <v>4902</v>
      </c>
      <c r="B4903" s="65" t="s">
        <v>7259</v>
      </c>
      <c r="C4903" s="1">
        <v>9381214161</v>
      </c>
      <c r="E4903" s="17" t="s">
        <v>7260</v>
      </c>
      <c r="F4903" s="65"/>
      <c r="G4903" s="3" t="s">
        <v>16</v>
      </c>
      <c r="H4903" s="2" t="s">
        <v>674</v>
      </c>
      <c r="I4903" s="3" t="s">
        <v>94</v>
      </c>
      <c r="J4903" s="31">
        <v>45968</v>
      </c>
      <c r="K4903" s="31">
        <v>45971</v>
      </c>
      <c r="L4903" s="31">
        <v>45972</v>
      </c>
      <c r="M4903" s="31">
        <v>46002</v>
      </c>
      <c r="N4903" s="31">
        <v>46005</v>
      </c>
      <c r="O4903" s="3" t="s">
        <v>297</v>
      </c>
    </row>
    <row r="4904" spans="1:15">
      <c r="A4904" s="3">
        <f t="shared" si="84"/>
        <v>4903</v>
      </c>
      <c r="B4904" s="65" t="s">
        <v>7261</v>
      </c>
      <c r="C4904" s="1">
        <v>6386920178</v>
      </c>
      <c r="E4904" s="17" t="s">
        <v>4597</v>
      </c>
      <c r="F4904" s="65"/>
      <c r="G4904" s="3" t="s">
        <v>16</v>
      </c>
      <c r="H4904" s="2" t="s">
        <v>815</v>
      </c>
      <c r="I4904" s="3" t="s">
        <v>94</v>
      </c>
      <c r="J4904" s="31">
        <v>45968</v>
      </c>
      <c r="K4904" s="31">
        <v>45971</v>
      </c>
      <c r="L4904" s="31">
        <v>45972</v>
      </c>
      <c r="M4904" s="31">
        <v>45981</v>
      </c>
      <c r="N4904" s="31">
        <v>45981</v>
      </c>
      <c r="O4904" s="3" t="s">
        <v>297</v>
      </c>
    </row>
    <row r="4905" spans="1:15">
      <c r="A4905" s="3">
        <f t="shared" si="84"/>
        <v>4904</v>
      </c>
      <c r="B4905" s="65" t="s">
        <v>7262</v>
      </c>
      <c r="C4905" s="1">
        <v>9666080958</v>
      </c>
      <c r="E4905" s="17" t="s">
        <v>6870</v>
      </c>
      <c r="F4905" s="65"/>
      <c r="G4905" s="3" t="s">
        <v>16</v>
      </c>
      <c r="H4905" s="2" t="s">
        <v>296</v>
      </c>
      <c r="I4905" s="3" t="s">
        <v>94</v>
      </c>
      <c r="J4905" s="31">
        <v>45968</v>
      </c>
      <c r="K4905" s="31">
        <v>45971</v>
      </c>
      <c r="L4905" s="31">
        <v>45972</v>
      </c>
      <c r="M4905" s="31">
        <v>46008</v>
      </c>
      <c r="N4905" s="31">
        <v>45978</v>
      </c>
      <c r="O4905" s="3" t="s">
        <v>297</v>
      </c>
    </row>
    <row r="4906" spans="1:15">
      <c r="A4906" s="3">
        <f t="shared" si="84"/>
        <v>4905</v>
      </c>
      <c r="B4906" s="65" t="s">
        <v>7263</v>
      </c>
      <c r="C4906" s="1">
        <v>8346846336</v>
      </c>
      <c r="E4906" s="17" t="s">
        <v>6796</v>
      </c>
      <c r="F4906" s="65" t="s">
        <v>294</v>
      </c>
      <c r="G4906" s="3" t="s">
        <v>1175</v>
      </c>
      <c r="H4906" s="2" t="s">
        <v>6158</v>
      </c>
      <c r="I4906" s="3" t="s">
        <v>42</v>
      </c>
      <c r="J4906" s="31">
        <v>45973</v>
      </c>
      <c r="K4906" s="31"/>
      <c r="L4906" s="31"/>
      <c r="M4906" s="31"/>
      <c r="N4906" s="31"/>
      <c r="O4906" s="3" t="s">
        <v>1004</v>
      </c>
    </row>
    <row r="4907" spans="1:15">
      <c r="A4907" s="3">
        <f t="shared" si="84"/>
        <v>4906</v>
      </c>
      <c r="B4907" s="65" t="s">
        <v>1556</v>
      </c>
      <c r="C4907" s="1">
        <v>7390802853</v>
      </c>
      <c r="D4907" s="1">
        <v>9313804584</v>
      </c>
      <c r="E4907" s="17" t="s">
        <v>6796</v>
      </c>
      <c r="F4907" s="65" t="s">
        <v>294</v>
      </c>
      <c r="G4907" s="3" t="s">
        <v>1175</v>
      </c>
      <c r="H4907" s="2" t="s">
        <v>6158</v>
      </c>
      <c r="I4907" s="3" t="s">
        <v>42</v>
      </c>
      <c r="J4907" s="31">
        <v>45973</v>
      </c>
      <c r="K4907" s="31"/>
      <c r="L4907" s="31"/>
      <c r="M4907" s="31"/>
      <c r="N4907" s="31"/>
      <c r="O4907" s="3" t="s">
        <v>1004</v>
      </c>
    </row>
    <row r="4908" spans="1:15">
      <c r="A4908" s="3">
        <f t="shared" si="84"/>
        <v>4907</v>
      </c>
      <c r="B4908" s="65" t="s">
        <v>7264</v>
      </c>
      <c r="C4908" s="1">
        <v>8250901471</v>
      </c>
      <c r="D4908" s="1">
        <v>8641833858</v>
      </c>
      <c r="E4908" s="17" t="s">
        <v>6796</v>
      </c>
      <c r="F4908" s="65" t="s">
        <v>2196</v>
      </c>
      <c r="G4908" s="3" t="s">
        <v>18</v>
      </c>
      <c r="H4908" s="2" t="s">
        <v>6158</v>
      </c>
      <c r="I4908" s="3" t="s">
        <v>42</v>
      </c>
      <c r="J4908" s="31">
        <v>45973</v>
      </c>
      <c r="K4908" s="31">
        <v>45975</v>
      </c>
      <c r="L4908" s="31"/>
      <c r="M4908" s="31"/>
      <c r="N4908" s="31"/>
      <c r="O4908" s="3" t="s">
        <v>297</v>
      </c>
    </row>
    <row r="4909" spans="1:15">
      <c r="A4909" s="3">
        <f t="shared" si="84"/>
        <v>4908</v>
      </c>
      <c r="B4909" s="65" t="s">
        <v>7265</v>
      </c>
      <c r="C4909" s="1">
        <v>6263118589</v>
      </c>
      <c r="D4909" s="1">
        <v>8768532760</v>
      </c>
      <c r="E4909" s="17" t="s">
        <v>6796</v>
      </c>
      <c r="F4909" s="65" t="s">
        <v>294</v>
      </c>
      <c r="G4909" s="3" t="s">
        <v>1175</v>
      </c>
      <c r="H4909" s="2" t="s">
        <v>6158</v>
      </c>
      <c r="I4909" s="3" t="s">
        <v>42</v>
      </c>
      <c r="J4909" s="31">
        <v>45973</v>
      </c>
      <c r="K4909" s="31"/>
      <c r="L4909" s="31"/>
      <c r="M4909" s="31"/>
      <c r="N4909" s="31"/>
      <c r="O4909" s="3" t="s">
        <v>1004</v>
      </c>
    </row>
    <row r="4910" spans="1:15">
      <c r="A4910" s="3">
        <f t="shared" si="84"/>
        <v>4909</v>
      </c>
      <c r="B4910" s="65" t="s">
        <v>7266</v>
      </c>
      <c r="C4910" s="1">
        <v>9100704462</v>
      </c>
      <c r="E4910" s="17" t="s">
        <v>4609</v>
      </c>
      <c r="F4910" s="65" t="s">
        <v>972</v>
      </c>
      <c r="G4910" s="3" t="s">
        <v>424</v>
      </c>
      <c r="H4910" s="2" t="s">
        <v>42</v>
      </c>
      <c r="I4910" s="3" t="s">
        <v>42</v>
      </c>
      <c r="J4910" s="31">
        <v>45973</v>
      </c>
      <c r="K4910" s="31">
        <v>45980</v>
      </c>
      <c r="L4910" s="31"/>
      <c r="M4910" s="31"/>
      <c r="N4910" s="31"/>
      <c r="O4910" s="3" t="s">
        <v>425</v>
      </c>
    </row>
    <row r="4911" spans="1:15">
      <c r="A4911" s="3">
        <f t="shared" si="84"/>
        <v>4910</v>
      </c>
      <c r="B4911" s="65" t="s">
        <v>7267</v>
      </c>
      <c r="C4911" s="1">
        <v>9866966851</v>
      </c>
      <c r="E4911" s="17" t="s">
        <v>4609</v>
      </c>
      <c r="F4911" s="65" t="s">
        <v>1663</v>
      </c>
      <c r="G4911" s="3" t="s">
        <v>424</v>
      </c>
      <c r="H4911" s="2" t="s">
        <v>42</v>
      </c>
      <c r="I4911" s="3" t="s">
        <v>42</v>
      </c>
      <c r="J4911" s="31">
        <v>45973</v>
      </c>
      <c r="K4911" s="31">
        <v>45980</v>
      </c>
      <c r="L4911" s="31"/>
      <c r="M4911" s="31"/>
      <c r="N4911" s="31"/>
      <c r="O4911" s="3" t="s">
        <v>425</v>
      </c>
    </row>
    <row r="4912" spans="1:15">
      <c r="A4912" s="3">
        <f t="shared" si="84"/>
        <v>4911</v>
      </c>
      <c r="B4912" s="65" t="s">
        <v>7268</v>
      </c>
      <c r="C4912" s="1">
        <v>9848178162</v>
      </c>
      <c r="E4912" s="17" t="s">
        <v>4609</v>
      </c>
      <c r="F4912" s="65" t="s">
        <v>7269</v>
      </c>
      <c r="G4912" s="2" t="s">
        <v>424</v>
      </c>
      <c r="H4912" s="2" t="s">
        <v>42</v>
      </c>
      <c r="I4912" s="3" t="s">
        <v>42</v>
      </c>
      <c r="J4912" s="31">
        <v>45973</v>
      </c>
      <c r="K4912" s="31">
        <v>45981</v>
      </c>
      <c r="L4912" s="31"/>
      <c r="M4912" s="31"/>
      <c r="N4912" s="31"/>
      <c r="O4912" s="2" t="s">
        <v>425</v>
      </c>
    </row>
    <row r="4913" spans="1:15">
      <c r="A4913" s="3">
        <f t="shared" si="84"/>
        <v>4912</v>
      </c>
      <c r="B4913" s="65" t="s">
        <v>7270</v>
      </c>
      <c r="C4913" s="1">
        <v>8519965826</v>
      </c>
      <c r="D4913" s="1">
        <v>9603544229</v>
      </c>
      <c r="E4913" s="17" t="s">
        <v>7183</v>
      </c>
      <c r="F4913" s="65" t="s">
        <v>7271</v>
      </c>
      <c r="G4913" s="3" t="s">
        <v>16</v>
      </c>
      <c r="H4913" s="2" t="s">
        <v>2425</v>
      </c>
      <c r="I4913" s="3" t="s">
        <v>42</v>
      </c>
      <c r="J4913" s="31">
        <v>45974</v>
      </c>
      <c r="K4913" s="31">
        <v>45978</v>
      </c>
      <c r="L4913" s="31">
        <v>45978</v>
      </c>
      <c r="M4913" s="31">
        <v>46006</v>
      </c>
      <c r="N4913" s="31">
        <v>46002</v>
      </c>
      <c r="O4913" s="3" t="s">
        <v>297</v>
      </c>
    </row>
    <row r="4914" spans="1:15">
      <c r="A4914" s="3">
        <f t="shared" si="84"/>
        <v>4913</v>
      </c>
      <c r="B4914" s="65" t="s">
        <v>7272</v>
      </c>
      <c r="C4914" s="1">
        <v>8876094004</v>
      </c>
      <c r="D4914" s="1">
        <v>8638481484</v>
      </c>
      <c r="E4914" s="17" t="s">
        <v>6562</v>
      </c>
      <c r="F4914" s="65" t="s">
        <v>5003</v>
      </c>
      <c r="G4914" s="3" t="s">
        <v>16</v>
      </c>
      <c r="H4914" s="2" t="s">
        <v>5774</v>
      </c>
      <c r="I4914" s="3" t="s">
        <v>42</v>
      </c>
      <c r="J4914" s="31">
        <v>45974</v>
      </c>
      <c r="K4914" s="31">
        <v>45980</v>
      </c>
      <c r="L4914" s="31">
        <v>45982</v>
      </c>
      <c r="M4914" s="31">
        <v>46037</v>
      </c>
      <c r="N4914" s="31">
        <v>46006</v>
      </c>
      <c r="O4914" s="3" t="s">
        <v>297</v>
      </c>
    </row>
    <row r="4915" spans="1:15">
      <c r="A4915" s="3">
        <f t="shared" ref="A4915:A4924" si="85">ROW()-1</f>
        <v>4914</v>
      </c>
      <c r="B4915" s="65" t="s">
        <v>7273</v>
      </c>
      <c r="C4915" s="1">
        <v>9337828367</v>
      </c>
      <c r="E4915" s="17" t="s">
        <v>7274</v>
      </c>
      <c r="F4915" s="65" t="s">
        <v>1756</v>
      </c>
      <c r="G4915" s="3" t="s">
        <v>16</v>
      </c>
      <c r="H4915" s="2" t="s">
        <v>815</v>
      </c>
      <c r="I4915" s="3" t="s">
        <v>88</v>
      </c>
      <c r="J4915" s="31">
        <v>45974</v>
      </c>
      <c r="K4915" s="31">
        <v>45978</v>
      </c>
      <c r="L4915" s="31">
        <v>45990</v>
      </c>
      <c r="M4915" s="31">
        <v>46020</v>
      </c>
      <c r="N4915" s="31">
        <v>46013</v>
      </c>
      <c r="O4915" s="3" t="s">
        <v>297</v>
      </c>
    </row>
    <row r="4916" spans="1:15">
      <c r="A4916" s="3">
        <f t="shared" si="85"/>
        <v>4915</v>
      </c>
      <c r="B4916" s="65" t="s">
        <v>7275</v>
      </c>
      <c r="C4916" s="1">
        <v>9154813444</v>
      </c>
      <c r="E4916" s="17" t="s">
        <v>7174</v>
      </c>
      <c r="F4916" s="65" t="s">
        <v>1756</v>
      </c>
      <c r="G4916" s="3" t="s">
        <v>424</v>
      </c>
      <c r="H4916" s="2" t="s">
        <v>815</v>
      </c>
      <c r="I4916" s="3" t="s">
        <v>88</v>
      </c>
      <c r="J4916" s="31">
        <v>45974</v>
      </c>
      <c r="K4916" s="31">
        <v>45978</v>
      </c>
      <c r="L4916" s="31"/>
      <c r="M4916" s="31"/>
      <c r="N4916" s="31"/>
      <c r="O4916" s="3" t="s">
        <v>425</v>
      </c>
    </row>
    <row r="4917" spans="1:15">
      <c r="A4917" s="3">
        <f t="shared" si="85"/>
        <v>4916</v>
      </c>
      <c r="B4917" s="65" t="s">
        <v>1927</v>
      </c>
      <c r="C4917" s="1">
        <v>8405006238</v>
      </c>
      <c r="E4917" s="17" t="s">
        <v>7274</v>
      </c>
      <c r="F4917" s="65" t="s">
        <v>1756</v>
      </c>
      <c r="G4917" s="3" t="s">
        <v>295</v>
      </c>
      <c r="H4917" s="2" t="s">
        <v>815</v>
      </c>
      <c r="I4917" s="3" t="s">
        <v>88</v>
      </c>
      <c r="J4917" s="31">
        <v>45974</v>
      </c>
      <c r="K4917" s="31">
        <v>45978</v>
      </c>
      <c r="L4917" s="31">
        <v>45987</v>
      </c>
      <c r="M4917" s="31">
        <v>46052</v>
      </c>
      <c r="N4917" s="31"/>
      <c r="O4917" s="3" t="s">
        <v>297</v>
      </c>
    </row>
    <row r="4918" spans="1:15">
      <c r="A4918" s="3">
        <f t="shared" si="85"/>
        <v>4917</v>
      </c>
      <c r="B4918" s="65" t="s">
        <v>7276</v>
      </c>
      <c r="C4918" s="1">
        <v>9347995593</v>
      </c>
      <c r="E4918" s="17" t="s">
        <v>7274</v>
      </c>
      <c r="F4918" s="65" t="s">
        <v>825</v>
      </c>
      <c r="G4918" s="3" t="s">
        <v>424</v>
      </c>
      <c r="H4918" s="2" t="s">
        <v>815</v>
      </c>
      <c r="I4918" s="3" t="s">
        <v>88</v>
      </c>
      <c r="J4918" s="31">
        <v>45974</v>
      </c>
      <c r="K4918" s="31">
        <v>45978</v>
      </c>
      <c r="L4918" s="31"/>
      <c r="M4918" s="31"/>
      <c r="N4918" s="31"/>
      <c r="O4918" s="3" t="s">
        <v>425</v>
      </c>
    </row>
    <row r="4919" spans="1:15">
      <c r="A4919" s="3">
        <f t="shared" si="85"/>
        <v>4918</v>
      </c>
      <c r="B4919" s="65" t="s">
        <v>7277</v>
      </c>
      <c r="C4919" s="1">
        <v>7608849123</v>
      </c>
      <c r="E4919" s="17" t="s">
        <v>7274</v>
      </c>
      <c r="F4919" s="65" t="s">
        <v>4362</v>
      </c>
      <c r="G4919" s="3" t="s">
        <v>424</v>
      </c>
      <c r="H4919" s="2" t="s">
        <v>815</v>
      </c>
      <c r="I4919" s="3" t="s">
        <v>88</v>
      </c>
      <c r="J4919" s="31">
        <v>45974</v>
      </c>
      <c r="K4919" s="31">
        <v>45978</v>
      </c>
      <c r="L4919" s="31"/>
      <c r="M4919" s="31"/>
      <c r="N4919" s="31"/>
      <c r="O4919" s="3" t="s">
        <v>425</v>
      </c>
    </row>
    <row r="4920" spans="1:15">
      <c r="A4920" s="3">
        <f t="shared" si="85"/>
        <v>4919</v>
      </c>
      <c r="B4920" s="65" t="s">
        <v>7278</v>
      </c>
      <c r="C4920" s="1">
        <v>7075474796</v>
      </c>
      <c r="D4920" s="1">
        <v>9553634869</v>
      </c>
      <c r="E4920" s="17" t="s">
        <v>7241</v>
      </c>
      <c r="F4920" s="65" t="s">
        <v>7248</v>
      </c>
      <c r="G4920" s="3" t="s">
        <v>7030</v>
      </c>
      <c r="H4920" s="2" t="s">
        <v>2183</v>
      </c>
      <c r="I4920" s="3" t="s">
        <v>88</v>
      </c>
      <c r="J4920" s="31">
        <v>45975</v>
      </c>
      <c r="K4920" s="31"/>
      <c r="L4920" s="31"/>
      <c r="M4920" s="31"/>
      <c r="N4920" s="31"/>
      <c r="O4920" s="3" t="s">
        <v>1004</v>
      </c>
    </row>
    <row r="4921" spans="1:15">
      <c r="A4921" s="3">
        <f t="shared" si="85"/>
        <v>4920</v>
      </c>
      <c r="B4921" s="65" t="s">
        <v>7279</v>
      </c>
      <c r="C4921" s="1">
        <v>7386129499</v>
      </c>
      <c r="D4921" s="1">
        <v>9553540599</v>
      </c>
      <c r="E4921" s="17" t="s">
        <v>6774</v>
      </c>
      <c r="F4921" s="65" t="s">
        <v>7242</v>
      </c>
      <c r="G4921" s="3" t="s">
        <v>7030</v>
      </c>
      <c r="H4921" s="2" t="s">
        <v>2183</v>
      </c>
      <c r="I4921" s="3" t="s">
        <v>88</v>
      </c>
      <c r="J4921" s="31">
        <v>45975</v>
      </c>
      <c r="K4921" s="31"/>
      <c r="L4921" s="31"/>
      <c r="M4921" s="31"/>
      <c r="N4921" s="31"/>
      <c r="O4921" s="3" t="s">
        <v>1004</v>
      </c>
    </row>
    <row r="4922" spans="1:15">
      <c r="A4922" s="3">
        <f t="shared" si="85"/>
        <v>4921</v>
      </c>
      <c r="B4922" s="65" t="s">
        <v>7280</v>
      </c>
      <c r="C4922" s="1">
        <v>9666624768</v>
      </c>
      <c r="E4922" s="17" t="s">
        <v>6774</v>
      </c>
      <c r="F4922" s="65" t="s">
        <v>7242</v>
      </c>
      <c r="G4922" s="3" t="s">
        <v>7030</v>
      </c>
      <c r="H4922" s="2" t="s">
        <v>2183</v>
      </c>
      <c r="I4922" s="3" t="s">
        <v>88</v>
      </c>
      <c r="J4922" s="31">
        <v>45975</v>
      </c>
      <c r="K4922" s="31"/>
      <c r="L4922" s="31"/>
      <c r="M4922" s="31"/>
      <c r="N4922" s="31"/>
      <c r="O4922" s="3" t="s">
        <v>1004</v>
      </c>
    </row>
    <row r="4923" spans="1:15">
      <c r="A4923" s="3">
        <f t="shared" si="85"/>
        <v>4922</v>
      </c>
      <c r="B4923" s="65" t="s">
        <v>7281</v>
      </c>
      <c r="C4923" s="1">
        <v>9438122255</v>
      </c>
      <c r="E4923" s="17" t="s">
        <v>7282</v>
      </c>
      <c r="F4923" s="65" t="s">
        <v>3813</v>
      </c>
      <c r="G4923" s="3" t="s">
        <v>295</v>
      </c>
      <c r="H4923" s="2" t="s">
        <v>357</v>
      </c>
      <c r="I4923" s="3" t="s">
        <v>88</v>
      </c>
      <c r="J4923" s="31">
        <v>45975</v>
      </c>
      <c r="K4923" s="31">
        <v>45975</v>
      </c>
      <c r="L4923" s="31">
        <v>45978</v>
      </c>
      <c r="M4923" s="31">
        <v>46054</v>
      </c>
      <c r="N4923" s="31"/>
      <c r="O4923" s="3" t="s">
        <v>297</v>
      </c>
    </row>
    <row r="4924" spans="1:15">
      <c r="A4924" s="3">
        <f t="shared" si="85"/>
        <v>4923</v>
      </c>
      <c r="B4924" s="65" t="s">
        <v>7283</v>
      </c>
      <c r="C4924" s="1">
        <v>8148432550</v>
      </c>
      <c r="E4924" s="17" t="s">
        <v>7284</v>
      </c>
      <c r="F4924" s="65" t="s">
        <v>7285</v>
      </c>
      <c r="G4924" s="3" t="s">
        <v>764</v>
      </c>
      <c r="H4924" s="2" t="s">
        <v>357</v>
      </c>
      <c r="I4924" s="3" t="s">
        <v>88</v>
      </c>
      <c r="J4924" s="31">
        <v>45975</v>
      </c>
      <c r="K4924" s="31">
        <v>45976</v>
      </c>
      <c r="L4924" s="31"/>
      <c r="M4924" s="31"/>
      <c r="N4924" s="31"/>
      <c r="O4924" s="3" t="s">
        <v>425</v>
      </c>
    </row>
    <row r="4925" spans="1:15">
      <c r="A4925" s="3">
        <f t="shared" ref="A4925:A4932" si="86">ROW()-1</f>
        <v>4924</v>
      </c>
      <c r="B4925" s="65" t="s">
        <v>7286</v>
      </c>
      <c r="C4925" s="1">
        <v>8010057314</v>
      </c>
      <c r="E4925" s="17" t="s">
        <v>7287</v>
      </c>
      <c r="F4925" s="65" t="s">
        <v>7288</v>
      </c>
      <c r="G4925" s="3" t="s">
        <v>16</v>
      </c>
      <c r="H4925" s="2" t="s">
        <v>296</v>
      </c>
      <c r="I4925" s="3" t="s">
        <v>94</v>
      </c>
      <c r="J4925" s="31">
        <v>45975</v>
      </c>
      <c r="K4925" s="31">
        <v>45980</v>
      </c>
      <c r="L4925" s="31">
        <v>45981</v>
      </c>
      <c r="M4925" s="31">
        <v>45992</v>
      </c>
      <c r="N4925" s="31">
        <v>45992</v>
      </c>
      <c r="O4925" s="3" t="s">
        <v>297</v>
      </c>
    </row>
    <row r="4926" spans="1:15">
      <c r="A4926" s="3">
        <f t="shared" si="86"/>
        <v>4925</v>
      </c>
      <c r="B4926" s="65" t="s">
        <v>7289</v>
      </c>
      <c r="C4926" s="1">
        <v>8180901233</v>
      </c>
      <c r="E4926" s="3" t="s">
        <v>7290</v>
      </c>
      <c r="F4926" s="65" t="s">
        <v>7288</v>
      </c>
      <c r="G4926" s="3" t="s">
        <v>16</v>
      </c>
      <c r="H4926" s="2" t="s">
        <v>296</v>
      </c>
      <c r="I4926" s="3" t="s">
        <v>94</v>
      </c>
      <c r="J4926" s="31">
        <v>45975</v>
      </c>
      <c r="K4926" s="31">
        <v>45980</v>
      </c>
      <c r="L4926" s="31">
        <v>45981</v>
      </c>
      <c r="M4926" s="31">
        <v>45992</v>
      </c>
      <c r="N4926" s="31">
        <v>45992</v>
      </c>
      <c r="O4926" s="3" t="s">
        <v>297</v>
      </c>
    </row>
    <row r="4927" spans="1:15">
      <c r="A4927" s="3">
        <f t="shared" si="86"/>
        <v>4926</v>
      </c>
      <c r="B4927" s="65" t="s">
        <v>7291</v>
      </c>
      <c r="C4927" s="1">
        <v>9589840550</v>
      </c>
      <c r="E4927" s="17" t="s">
        <v>6485</v>
      </c>
      <c r="F4927" s="65" t="s">
        <v>7288</v>
      </c>
      <c r="G4927" s="3" t="s">
        <v>16</v>
      </c>
      <c r="H4927" s="2" t="s">
        <v>296</v>
      </c>
      <c r="I4927" s="3" t="s">
        <v>94</v>
      </c>
      <c r="J4927" s="31">
        <v>45975</v>
      </c>
      <c r="K4927" s="31">
        <v>45980</v>
      </c>
      <c r="L4927" s="31">
        <v>45981</v>
      </c>
      <c r="M4927" s="31">
        <v>46001</v>
      </c>
      <c r="N4927" s="31">
        <v>46003</v>
      </c>
      <c r="O4927" s="3" t="s">
        <v>297</v>
      </c>
    </row>
    <row r="4928" spans="1:15">
      <c r="A4928" s="3">
        <f t="shared" si="86"/>
        <v>4927</v>
      </c>
      <c r="B4928" s="65" t="s">
        <v>7292</v>
      </c>
      <c r="C4928" s="1">
        <v>8208503691</v>
      </c>
      <c r="E4928" s="17" t="s">
        <v>7287</v>
      </c>
      <c r="F4928" s="65"/>
      <c r="G4928" s="3" t="s">
        <v>424</v>
      </c>
      <c r="H4928" s="2" t="s">
        <v>296</v>
      </c>
      <c r="I4928" s="3" t="s">
        <v>94</v>
      </c>
      <c r="J4928" s="31">
        <v>45975</v>
      </c>
      <c r="K4928" s="31">
        <v>45980</v>
      </c>
      <c r="L4928" s="31"/>
      <c r="M4928" s="31"/>
      <c r="N4928" s="31"/>
      <c r="O4928" s="3" t="s">
        <v>749</v>
      </c>
    </row>
    <row r="4929" spans="1:15">
      <c r="A4929" s="3">
        <f t="shared" si="86"/>
        <v>4928</v>
      </c>
      <c r="B4929" s="65" t="s">
        <v>7293</v>
      </c>
      <c r="C4929" s="1">
        <v>8125344931</v>
      </c>
      <c r="E4929" s="17" t="s">
        <v>7044</v>
      </c>
      <c r="F4929" s="65" t="s">
        <v>7294</v>
      </c>
      <c r="G4929" s="3" t="s">
        <v>16</v>
      </c>
      <c r="H4929" s="2" t="s">
        <v>815</v>
      </c>
      <c r="I4929" s="3" t="s">
        <v>42</v>
      </c>
      <c r="J4929" s="31">
        <v>45975</v>
      </c>
      <c r="K4929" s="31">
        <v>45975</v>
      </c>
      <c r="L4929" s="31">
        <v>45975</v>
      </c>
      <c r="M4929" s="31">
        <v>46006</v>
      </c>
      <c r="N4929" s="31">
        <v>46007</v>
      </c>
      <c r="O4929" s="3" t="s">
        <v>297</v>
      </c>
    </row>
    <row r="4930" spans="1:15">
      <c r="A4930" s="3">
        <f t="shared" si="86"/>
        <v>4929</v>
      </c>
      <c r="B4930" s="65" t="s">
        <v>7295</v>
      </c>
      <c r="C4930" s="1">
        <v>7981344408</v>
      </c>
      <c r="E4930" s="17" t="s">
        <v>7044</v>
      </c>
      <c r="F4930" s="65" t="s">
        <v>7294</v>
      </c>
      <c r="G4930" s="3" t="s">
        <v>18</v>
      </c>
      <c r="H4930" s="2" t="s">
        <v>815</v>
      </c>
      <c r="I4930" s="3" t="s">
        <v>42</v>
      </c>
      <c r="J4930" s="31">
        <v>45975</v>
      </c>
      <c r="K4930" s="31">
        <v>45975</v>
      </c>
      <c r="L4930" s="31"/>
      <c r="M4930" s="31"/>
      <c r="N4930" s="31"/>
      <c r="O4930" s="3" t="s">
        <v>297</v>
      </c>
    </row>
    <row r="4931" spans="1:15">
      <c r="A4931" s="3">
        <f t="shared" si="86"/>
        <v>4930</v>
      </c>
      <c r="B4931" s="65" t="s">
        <v>7296</v>
      </c>
      <c r="C4931" s="1">
        <v>9160324901</v>
      </c>
      <c r="E4931" s="17" t="s">
        <v>7044</v>
      </c>
      <c r="F4931" s="65" t="s">
        <v>1827</v>
      </c>
      <c r="G4931" s="3" t="s">
        <v>764</v>
      </c>
      <c r="H4931" s="2" t="s">
        <v>815</v>
      </c>
      <c r="I4931" s="3" t="s">
        <v>42</v>
      </c>
      <c r="J4931" s="31">
        <v>45975</v>
      </c>
      <c r="K4931" s="31">
        <v>45975</v>
      </c>
      <c r="L4931" s="31"/>
      <c r="M4931" s="31"/>
      <c r="N4931" s="31"/>
      <c r="O4931" s="3" t="s">
        <v>425</v>
      </c>
    </row>
    <row r="4932" spans="1:15">
      <c r="A4932" s="3">
        <f t="shared" si="86"/>
        <v>4931</v>
      </c>
      <c r="B4932" s="65" t="s">
        <v>3887</v>
      </c>
      <c r="C4932" s="1">
        <v>7987049960</v>
      </c>
      <c r="E4932" s="17" t="s">
        <v>6562</v>
      </c>
      <c r="F4932" s="65" t="s">
        <v>7297</v>
      </c>
      <c r="G4932" s="3" t="s">
        <v>15</v>
      </c>
      <c r="H4932" s="2" t="s">
        <v>5774</v>
      </c>
      <c r="I4932" s="3" t="s">
        <v>42</v>
      </c>
      <c r="J4932" s="31">
        <v>45975</v>
      </c>
      <c r="K4932" s="31">
        <v>45998</v>
      </c>
      <c r="L4932" s="31">
        <v>46079</v>
      </c>
      <c r="M4932" s="31">
        <v>46117</v>
      </c>
      <c r="N4932" s="31"/>
      <c r="O4932" s="3" t="s">
        <v>297</v>
      </c>
    </row>
    <row r="4933" spans="1:15">
      <c r="A4933" s="3">
        <f t="shared" ref="A4933:A4954" si="87">ROW()-1</f>
        <v>4932</v>
      </c>
      <c r="B4933" s="65" t="s">
        <v>7298</v>
      </c>
      <c r="C4933" s="1">
        <v>9390669273</v>
      </c>
      <c r="E4933" s="17" t="s">
        <v>7299</v>
      </c>
      <c r="F4933" s="65"/>
      <c r="G4933" s="3" t="s">
        <v>16</v>
      </c>
      <c r="H4933" s="2" t="s">
        <v>42</v>
      </c>
      <c r="I4933" s="3" t="s">
        <v>42</v>
      </c>
      <c r="J4933" s="31">
        <v>45975</v>
      </c>
      <c r="K4933" s="31">
        <v>45980</v>
      </c>
      <c r="L4933" s="31">
        <v>45982</v>
      </c>
      <c r="M4933" s="31">
        <v>45986</v>
      </c>
      <c r="N4933" s="31">
        <v>45987</v>
      </c>
      <c r="O4933" s="3" t="s">
        <v>297</v>
      </c>
    </row>
    <row r="4934" spans="1:15">
      <c r="A4934" s="3">
        <f t="shared" si="87"/>
        <v>4933</v>
      </c>
      <c r="B4934" s="65" t="s">
        <v>7300</v>
      </c>
      <c r="C4934" s="1">
        <v>9701802841</v>
      </c>
      <c r="E4934" s="17" t="s">
        <v>7301</v>
      </c>
      <c r="F4934" s="65" t="s">
        <v>7302</v>
      </c>
      <c r="G4934" s="3" t="s">
        <v>764</v>
      </c>
      <c r="H4934" s="2" t="s">
        <v>42</v>
      </c>
      <c r="I4934" s="3" t="s">
        <v>42</v>
      </c>
      <c r="J4934" s="31">
        <v>45975</v>
      </c>
      <c r="K4934" s="31">
        <v>46045</v>
      </c>
      <c r="L4934" s="31"/>
      <c r="M4934" s="31"/>
      <c r="N4934" s="31"/>
      <c r="O4934" s="3" t="s">
        <v>425</v>
      </c>
    </row>
    <row r="4935" spans="1:15">
      <c r="A4935" s="3">
        <f t="shared" si="87"/>
        <v>4934</v>
      </c>
      <c r="B4935" s="65" t="s">
        <v>7303</v>
      </c>
      <c r="C4935" s="1">
        <v>8686987686</v>
      </c>
      <c r="E4935" s="17" t="s">
        <v>7301</v>
      </c>
      <c r="F4935" s="65"/>
      <c r="G4935" s="3" t="s">
        <v>764</v>
      </c>
      <c r="H4935" s="2" t="s">
        <v>42</v>
      </c>
      <c r="I4935" s="3" t="s">
        <v>42</v>
      </c>
      <c r="J4935" s="31">
        <v>45975</v>
      </c>
      <c r="K4935" s="31">
        <v>46045</v>
      </c>
      <c r="L4935" s="31"/>
      <c r="M4935" s="31"/>
      <c r="N4935" s="31"/>
      <c r="O4935" s="3" t="s">
        <v>425</v>
      </c>
    </row>
    <row r="4936" spans="1:15">
      <c r="A4936" s="3">
        <f t="shared" si="87"/>
        <v>4935</v>
      </c>
      <c r="B4936" s="65" t="s">
        <v>7304</v>
      </c>
      <c r="C4936" s="1">
        <v>9515843029</v>
      </c>
      <c r="E4936" s="17" t="s">
        <v>6950</v>
      </c>
      <c r="F4936" s="65"/>
      <c r="G4936" s="3" t="s">
        <v>764</v>
      </c>
      <c r="H4936" s="2" t="s">
        <v>42</v>
      </c>
      <c r="I4936" s="3" t="s">
        <v>42</v>
      </c>
      <c r="J4936" s="31">
        <v>45975</v>
      </c>
      <c r="K4936" s="31">
        <v>45981</v>
      </c>
      <c r="L4936" s="31"/>
      <c r="M4936" s="31"/>
      <c r="N4936" s="31"/>
      <c r="O4936" s="3" t="s">
        <v>425</v>
      </c>
    </row>
    <row r="4937" spans="1:15">
      <c r="A4937" s="3">
        <f t="shared" si="87"/>
        <v>4936</v>
      </c>
      <c r="B4937" s="65" t="s">
        <v>7305</v>
      </c>
      <c r="C4937" s="1">
        <v>9701034411</v>
      </c>
      <c r="E4937" s="17" t="s">
        <v>6950</v>
      </c>
      <c r="F4937" s="65"/>
      <c r="G4937" s="3" t="s">
        <v>18</v>
      </c>
      <c r="H4937" s="2" t="s">
        <v>42</v>
      </c>
      <c r="I4937" s="3" t="s">
        <v>42</v>
      </c>
      <c r="J4937" s="31">
        <v>45975</v>
      </c>
      <c r="K4937" s="31"/>
      <c r="L4937" s="31"/>
      <c r="M4937" s="31"/>
      <c r="N4937" s="31"/>
      <c r="O4937" s="3" t="s">
        <v>1004</v>
      </c>
    </row>
    <row r="4938" spans="1:15">
      <c r="A4938" s="3">
        <f t="shared" si="87"/>
        <v>4937</v>
      </c>
      <c r="B4938" s="65" t="s">
        <v>7306</v>
      </c>
      <c r="C4938" s="1">
        <v>8309995096</v>
      </c>
      <c r="E4938" s="1" t="s">
        <v>7307</v>
      </c>
      <c r="F4938" s="65" t="s">
        <v>329</v>
      </c>
      <c r="G4938" s="3" t="s">
        <v>16</v>
      </c>
      <c r="H4938" s="2" t="s">
        <v>590</v>
      </c>
      <c r="I4938" s="3" t="s">
        <v>88</v>
      </c>
      <c r="J4938" s="31">
        <v>45975</v>
      </c>
      <c r="K4938" s="31">
        <v>45978</v>
      </c>
      <c r="L4938" s="31">
        <v>45978</v>
      </c>
      <c r="M4938" s="31">
        <v>46008</v>
      </c>
      <c r="N4938" s="31">
        <v>45962</v>
      </c>
      <c r="O4938" s="3" t="s">
        <v>297</v>
      </c>
    </row>
    <row r="4939" spans="1:15">
      <c r="A4939" s="3">
        <f t="shared" si="87"/>
        <v>4938</v>
      </c>
      <c r="B4939" s="65" t="s">
        <v>7308</v>
      </c>
      <c r="C4939" s="1">
        <v>9178840585</v>
      </c>
      <c r="E4939" s="17" t="s">
        <v>2854</v>
      </c>
      <c r="F4939" s="65" t="s">
        <v>1827</v>
      </c>
      <c r="G4939" s="3" t="s">
        <v>16</v>
      </c>
      <c r="H4939" s="2" t="s">
        <v>815</v>
      </c>
      <c r="I4939" s="3" t="s">
        <v>42</v>
      </c>
      <c r="J4939" s="31">
        <v>45975</v>
      </c>
      <c r="K4939" s="31">
        <v>45975</v>
      </c>
      <c r="L4939" s="31">
        <v>45975</v>
      </c>
      <c r="M4939" s="31">
        <v>45996</v>
      </c>
      <c r="N4939" s="31">
        <v>45996</v>
      </c>
      <c r="O4939" s="3" t="s">
        <v>297</v>
      </c>
    </row>
    <row r="4940" spans="1:15">
      <c r="A4940" s="3">
        <f t="shared" si="87"/>
        <v>4939</v>
      </c>
      <c r="B4940" s="65" t="s">
        <v>7309</v>
      </c>
      <c r="C4940" s="1">
        <v>8874842558</v>
      </c>
      <c r="E4940" s="17" t="s">
        <v>7098</v>
      </c>
      <c r="F4940" s="65" t="s">
        <v>360</v>
      </c>
      <c r="G4940" s="3" t="s">
        <v>16</v>
      </c>
      <c r="H4940" s="2" t="s">
        <v>1613</v>
      </c>
      <c r="I4940" s="3" t="s">
        <v>94</v>
      </c>
      <c r="J4940" s="31">
        <v>45975</v>
      </c>
      <c r="K4940" s="31">
        <v>45976</v>
      </c>
      <c r="L4940" s="31">
        <v>45981</v>
      </c>
      <c r="M4940" s="31">
        <v>46013</v>
      </c>
      <c r="N4940" s="31">
        <v>46018</v>
      </c>
      <c r="O4940" s="3" t="s">
        <v>297</v>
      </c>
    </row>
    <row r="4941" spans="1:15">
      <c r="A4941" s="3">
        <f t="shared" si="87"/>
        <v>4940</v>
      </c>
      <c r="B4941" s="65" t="s">
        <v>7310</v>
      </c>
      <c r="C4941" s="1">
        <v>8954792974</v>
      </c>
      <c r="E4941" s="17" t="s">
        <v>3073</v>
      </c>
      <c r="F4941" s="65" t="s">
        <v>360</v>
      </c>
      <c r="G4941" s="3" t="s">
        <v>18</v>
      </c>
      <c r="H4941" s="2" t="s">
        <v>1613</v>
      </c>
      <c r="I4941" s="3" t="s">
        <v>94</v>
      </c>
      <c r="J4941" s="31">
        <v>45975</v>
      </c>
      <c r="K4941" s="31">
        <v>45976</v>
      </c>
      <c r="L4941" s="31"/>
      <c r="M4941" s="31"/>
      <c r="N4941" s="31"/>
      <c r="O4941" s="3" t="s">
        <v>297</v>
      </c>
    </row>
    <row r="4942" spans="1:15">
      <c r="A4942" s="3">
        <f t="shared" si="87"/>
        <v>4941</v>
      </c>
      <c r="B4942" s="65" t="s">
        <v>7311</v>
      </c>
      <c r="C4942" s="1">
        <v>7781809694</v>
      </c>
      <c r="E4942" s="17" t="s">
        <v>7200</v>
      </c>
      <c r="F4942" s="65" t="s">
        <v>360</v>
      </c>
      <c r="G4942" s="3" t="s">
        <v>16</v>
      </c>
      <c r="H4942" s="2" t="s">
        <v>1613</v>
      </c>
      <c r="I4942" s="3" t="s">
        <v>94</v>
      </c>
      <c r="J4942" s="31">
        <v>45975</v>
      </c>
      <c r="K4942" s="31">
        <v>45976</v>
      </c>
      <c r="L4942" s="31">
        <v>45982</v>
      </c>
      <c r="M4942" s="31">
        <v>46000</v>
      </c>
      <c r="N4942" s="31">
        <v>45999</v>
      </c>
      <c r="O4942" s="3" t="s">
        <v>297</v>
      </c>
    </row>
    <row r="4943" spans="1:15">
      <c r="A4943" s="3">
        <f t="shared" si="87"/>
        <v>4942</v>
      </c>
      <c r="B4943" s="65" t="s">
        <v>7312</v>
      </c>
      <c r="C4943" s="1">
        <v>8726162658</v>
      </c>
      <c r="E4943" s="17" t="s">
        <v>7098</v>
      </c>
      <c r="F4943" s="65" t="s">
        <v>360</v>
      </c>
      <c r="G4943" s="3" t="s">
        <v>16</v>
      </c>
      <c r="H4943" s="2" t="s">
        <v>361</v>
      </c>
      <c r="I4943" s="3" t="s">
        <v>94</v>
      </c>
      <c r="J4943" s="31">
        <v>45975</v>
      </c>
      <c r="K4943" s="31">
        <v>45976</v>
      </c>
      <c r="L4943" s="31">
        <v>45981</v>
      </c>
      <c r="M4943" s="31">
        <v>46013</v>
      </c>
      <c r="N4943" s="31">
        <v>46008</v>
      </c>
      <c r="O4943" s="3" t="s">
        <v>297</v>
      </c>
    </row>
    <row r="4944" spans="1:15">
      <c r="A4944" s="3">
        <f t="shared" si="87"/>
        <v>4943</v>
      </c>
      <c r="B4944" s="65" t="s">
        <v>7313</v>
      </c>
      <c r="C4944" s="1">
        <v>9246461846</v>
      </c>
      <c r="E4944" s="17" t="s">
        <v>7082</v>
      </c>
      <c r="F4944" s="65" t="s">
        <v>7314</v>
      </c>
      <c r="G4944" s="3" t="s">
        <v>16</v>
      </c>
      <c r="H4944" s="2" t="s">
        <v>815</v>
      </c>
      <c r="I4944" s="3" t="s">
        <v>42</v>
      </c>
      <c r="J4944" s="31">
        <v>45975</v>
      </c>
      <c r="K4944" s="31">
        <v>45976</v>
      </c>
      <c r="L4944" s="31">
        <v>45975</v>
      </c>
      <c r="M4944" s="31">
        <v>45985</v>
      </c>
      <c r="N4944" s="31">
        <v>45983</v>
      </c>
      <c r="O4944" s="3" t="s">
        <v>297</v>
      </c>
    </row>
    <row r="4945" spans="1:15">
      <c r="A4945" s="3">
        <f t="shared" si="87"/>
        <v>4944</v>
      </c>
      <c r="B4945" s="65" t="s">
        <v>7315</v>
      </c>
      <c r="C4945" s="1">
        <v>7018371079</v>
      </c>
      <c r="E4945" s="17" t="s">
        <v>7316</v>
      </c>
      <c r="F4945" s="65" t="s">
        <v>6329</v>
      </c>
      <c r="G4945" s="3" t="s">
        <v>16</v>
      </c>
      <c r="H4945" s="2" t="s">
        <v>296</v>
      </c>
      <c r="I4945" s="3" t="s">
        <v>88</v>
      </c>
      <c r="J4945" s="31">
        <v>45975</v>
      </c>
      <c r="K4945" s="31">
        <v>45976</v>
      </c>
      <c r="L4945" s="31">
        <v>45978</v>
      </c>
      <c r="M4945" s="31">
        <v>46008</v>
      </c>
      <c r="N4945" s="31">
        <v>46003</v>
      </c>
      <c r="O4945" s="3" t="s">
        <v>297</v>
      </c>
    </row>
    <row r="4946" spans="1:15">
      <c r="A4946" s="3">
        <f t="shared" si="87"/>
        <v>4945</v>
      </c>
      <c r="B4946" s="65" t="s">
        <v>7317</v>
      </c>
      <c r="C4946" s="1">
        <v>7488396328</v>
      </c>
      <c r="E4946" s="17" t="s">
        <v>7318</v>
      </c>
      <c r="F4946" s="65" t="s">
        <v>7319</v>
      </c>
      <c r="G4946" s="3" t="s">
        <v>16</v>
      </c>
      <c r="H4946" s="2" t="s">
        <v>2364</v>
      </c>
      <c r="I4946" s="3" t="s">
        <v>88</v>
      </c>
      <c r="J4946" s="31">
        <v>45975</v>
      </c>
      <c r="K4946" s="31">
        <v>45981</v>
      </c>
      <c r="L4946" s="31">
        <v>45981</v>
      </c>
      <c r="M4946" s="31">
        <v>46011</v>
      </c>
      <c r="N4946" s="31">
        <v>46007</v>
      </c>
      <c r="O4946" s="3" t="s">
        <v>297</v>
      </c>
    </row>
    <row r="4947" spans="1:15">
      <c r="A4947" s="3">
        <f t="shared" si="87"/>
        <v>4946</v>
      </c>
      <c r="B4947" s="65" t="s">
        <v>2095</v>
      </c>
      <c r="C4947" s="1">
        <v>9170611081</v>
      </c>
      <c r="E4947" s="17" t="s">
        <v>7318</v>
      </c>
      <c r="F4947" s="65" t="s">
        <v>7319</v>
      </c>
      <c r="G4947" s="3" t="s">
        <v>424</v>
      </c>
      <c r="H4947" s="2" t="s">
        <v>2364</v>
      </c>
      <c r="I4947" s="3" t="s">
        <v>88</v>
      </c>
      <c r="J4947" s="31">
        <v>45975</v>
      </c>
      <c r="K4947" s="31">
        <v>45996</v>
      </c>
      <c r="L4947" s="31"/>
      <c r="M4947" s="31"/>
      <c r="N4947" s="31"/>
      <c r="O4947" s="3" t="s">
        <v>425</v>
      </c>
    </row>
    <row r="4948" spans="1:15">
      <c r="A4948" s="3">
        <f t="shared" si="87"/>
        <v>4947</v>
      </c>
      <c r="B4948" s="65" t="s">
        <v>7320</v>
      </c>
      <c r="C4948" s="1">
        <v>9755016603</v>
      </c>
      <c r="E4948" s="17" t="s">
        <v>7318</v>
      </c>
      <c r="F4948" s="65" t="s">
        <v>7319</v>
      </c>
      <c r="G4948" s="3" t="s">
        <v>424</v>
      </c>
      <c r="H4948" s="2" t="s">
        <v>2364</v>
      </c>
      <c r="I4948" s="3" t="s">
        <v>88</v>
      </c>
      <c r="J4948" s="31">
        <v>45975</v>
      </c>
      <c r="K4948" s="31">
        <v>45996</v>
      </c>
      <c r="L4948" s="31"/>
      <c r="M4948" s="31"/>
      <c r="N4948" s="31"/>
      <c r="O4948" s="3" t="s">
        <v>749</v>
      </c>
    </row>
    <row r="4949" spans="1:15">
      <c r="A4949" s="3">
        <f t="shared" si="87"/>
        <v>4948</v>
      </c>
      <c r="B4949" s="65" t="s">
        <v>7321</v>
      </c>
      <c r="C4949" s="1">
        <v>9039737367</v>
      </c>
      <c r="E4949" s="17" t="s">
        <v>7318</v>
      </c>
      <c r="F4949" s="65" t="s">
        <v>7319</v>
      </c>
      <c r="G4949" s="3" t="s">
        <v>424</v>
      </c>
      <c r="H4949" s="2" t="s">
        <v>2364</v>
      </c>
      <c r="I4949" s="3" t="s">
        <v>88</v>
      </c>
      <c r="J4949" s="31">
        <v>45975</v>
      </c>
      <c r="K4949" s="31">
        <v>45996</v>
      </c>
      <c r="L4949" s="31"/>
      <c r="M4949" s="31"/>
      <c r="N4949" s="31"/>
      <c r="O4949" s="3" t="s">
        <v>749</v>
      </c>
    </row>
    <row r="4950" spans="1:15">
      <c r="A4950" s="3">
        <f t="shared" si="87"/>
        <v>4949</v>
      </c>
      <c r="B4950" s="65" t="s">
        <v>1228</v>
      </c>
      <c r="C4950" s="1">
        <v>8949260429</v>
      </c>
      <c r="E4950" s="17" t="s">
        <v>7318</v>
      </c>
      <c r="F4950" s="65" t="s">
        <v>7319</v>
      </c>
      <c r="G4950" s="3" t="s">
        <v>18</v>
      </c>
      <c r="H4950" s="2" t="s">
        <v>2364</v>
      </c>
      <c r="I4950" s="3" t="s">
        <v>88</v>
      </c>
      <c r="J4950" s="31">
        <v>45975</v>
      </c>
      <c r="K4950" s="31">
        <v>45978</v>
      </c>
      <c r="L4950" s="31"/>
      <c r="M4950" s="31"/>
      <c r="N4950" s="31"/>
      <c r="O4950" s="3" t="s">
        <v>297</v>
      </c>
    </row>
    <row r="4951" spans="1:15">
      <c r="A4951" s="3">
        <f t="shared" si="87"/>
        <v>4950</v>
      </c>
      <c r="B4951" s="65" t="s">
        <v>6566</v>
      </c>
      <c r="C4951" s="1">
        <v>7340569465</v>
      </c>
      <c r="E4951" s="17" t="s">
        <v>7318</v>
      </c>
      <c r="F4951" s="65" t="s">
        <v>7319</v>
      </c>
      <c r="G4951" s="3" t="s">
        <v>764</v>
      </c>
      <c r="H4951" s="2" t="s">
        <v>2364</v>
      </c>
      <c r="I4951" s="3" t="s">
        <v>88</v>
      </c>
      <c r="J4951" s="31">
        <v>45975</v>
      </c>
      <c r="K4951" s="31">
        <v>45996</v>
      </c>
      <c r="L4951" s="31"/>
      <c r="M4951" s="31"/>
      <c r="N4951" s="31"/>
      <c r="O4951" s="3" t="s">
        <v>425</v>
      </c>
    </row>
    <row r="4952" spans="1:15">
      <c r="A4952" s="3">
        <f t="shared" si="87"/>
        <v>4951</v>
      </c>
      <c r="B4952" s="65" t="s">
        <v>7322</v>
      </c>
      <c r="C4952" s="1">
        <v>7275785322</v>
      </c>
      <c r="E4952" s="17" t="s">
        <v>7323</v>
      </c>
      <c r="F4952" s="65" t="s">
        <v>2113</v>
      </c>
      <c r="G4952" s="3" t="s">
        <v>16</v>
      </c>
      <c r="H4952" s="2" t="s">
        <v>5273</v>
      </c>
      <c r="I4952" s="3" t="s">
        <v>88</v>
      </c>
      <c r="J4952" s="31">
        <v>45975</v>
      </c>
      <c r="K4952" s="31">
        <v>45979</v>
      </c>
      <c r="L4952" s="31">
        <v>45980</v>
      </c>
      <c r="M4952" s="31">
        <v>45983</v>
      </c>
      <c r="N4952" s="31"/>
      <c r="O4952" s="3" t="s">
        <v>297</v>
      </c>
    </row>
    <row r="4953" spans="1:15">
      <c r="A4953" s="3">
        <f t="shared" si="87"/>
        <v>4952</v>
      </c>
      <c r="B4953" s="65" t="s">
        <v>7324</v>
      </c>
      <c r="C4953" s="1">
        <v>7007610724</v>
      </c>
      <c r="D4953" s="1">
        <v>9451105372</v>
      </c>
      <c r="E4953" s="17" t="s">
        <v>7325</v>
      </c>
      <c r="F4953" s="65" t="s">
        <v>1312</v>
      </c>
      <c r="G4953" s="3" t="s">
        <v>424</v>
      </c>
      <c r="H4953" s="2" t="s">
        <v>5273</v>
      </c>
      <c r="I4953" s="3" t="s">
        <v>88</v>
      </c>
      <c r="J4953" s="31">
        <v>45975</v>
      </c>
      <c r="K4953" s="31">
        <v>46013</v>
      </c>
      <c r="L4953" s="31"/>
      <c r="M4953" s="31"/>
      <c r="N4953" s="31"/>
      <c r="O4953" s="3" t="s">
        <v>425</v>
      </c>
    </row>
    <row r="4954" spans="1:15">
      <c r="A4954" s="3">
        <f t="shared" si="87"/>
        <v>4953</v>
      </c>
      <c r="B4954" s="65" t="s">
        <v>7326</v>
      </c>
      <c r="C4954" s="1">
        <v>7207302156</v>
      </c>
      <c r="D4954" s="1">
        <v>8076759596</v>
      </c>
      <c r="E4954" s="17" t="s">
        <v>7327</v>
      </c>
      <c r="F4954" s="65" t="s">
        <v>7328</v>
      </c>
      <c r="G4954" s="3" t="s">
        <v>16</v>
      </c>
      <c r="H4954" s="2" t="s">
        <v>5774</v>
      </c>
      <c r="I4954" s="3" t="s">
        <v>42</v>
      </c>
      <c r="J4954" s="31">
        <v>45969</v>
      </c>
      <c r="K4954" s="31">
        <v>45975</v>
      </c>
      <c r="L4954" s="31">
        <v>45975</v>
      </c>
      <c r="M4954" s="31">
        <v>46023</v>
      </c>
      <c r="N4954" s="31">
        <v>46020</v>
      </c>
      <c r="O4954" s="3" t="s">
        <v>297</v>
      </c>
    </row>
    <row r="4955" spans="1:15">
      <c r="A4955" s="3">
        <f t="shared" ref="A4955:A4977" si="88">ROW()-1</f>
        <v>4954</v>
      </c>
      <c r="B4955" s="65" t="s">
        <v>7329</v>
      </c>
      <c r="C4955" s="1">
        <v>9834823743</v>
      </c>
      <c r="E4955" s="17" t="s">
        <v>7136</v>
      </c>
      <c r="F4955" s="65" t="s">
        <v>7330</v>
      </c>
      <c r="G4955" s="3" t="s">
        <v>424</v>
      </c>
      <c r="H4955" s="2" t="s">
        <v>296</v>
      </c>
      <c r="I4955" s="3" t="s">
        <v>88</v>
      </c>
      <c r="J4955" s="31">
        <v>45975</v>
      </c>
      <c r="K4955" s="31">
        <v>45980</v>
      </c>
      <c r="L4955" s="31"/>
      <c r="M4955" s="31"/>
      <c r="N4955" s="31"/>
      <c r="O4955" s="3" t="s">
        <v>425</v>
      </c>
    </row>
    <row r="4956" spans="1:15">
      <c r="A4956" s="3">
        <f t="shared" si="88"/>
        <v>4955</v>
      </c>
      <c r="B4956" s="65" t="s">
        <v>7331</v>
      </c>
      <c r="C4956" s="1">
        <v>9451993850</v>
      </c>
      <c r="E4956" s="17" t="s">
        <v>6954</v>
      </c>
      <c r="F4956" s="65"/>
      <c r="G4956" s="3" t="s">
        <v>295</v>
      </c>
      <c r="H4956" s="2" t="s">
        <v>999</v>
      </c>
      <c r="I4956" s="3" t="s">
        <v>94</v>
      </c>
      <c r="J4956" s="31">
        <v>45969</v>
      </c>
      <c r="K4956" s="31">
        <v>45973</v>
      </c>
      <c r="L4956" s="31">
        <v>45975</v>
      </c>
      <c r="M4956" s="31">
        <v>45998</v>
      </c>
      <c r="N4956" s="31"/>
      <c r="O4956" s="3" t="s">
        <v>297</v>
      </c>
    </row>
    <row r="4957" spans="1:15">
      <c r="A4957" s="3">
        <f t="shared" si="88"/>
        <v>4956</v>
      </c>
      <c r="B4957" s="65" t="s">
        <v>1940</v>
      </c>
      <c r="C4957" s="1">
        <v>9935970439</v>
      </c>
      <c r="E4957" s="17" t="s">
        <v>7011</v>
      </c>
      <c r="F4957" s="65"/>
      <c r="G4957" s="3" t="s">
        <v>16</v>
      </c>
      <c r="H4957" s="2" t="s">
        <v>913</v>
      </c>
      <c r="I4957" s="3" t="s">
        <v>94</v>
      </c>
      <c r="J4957" s="31">
        <v>45969</v>
      </c>
      <c r="K4957" s="31">
        <v>45973</v>
      </c>
      <c r="L4957" s="31">
        <v>45975</v>
      </c>
      <c r="M4957" s="31">
        <v>45985</v>
      </c>
      <c r="N4957" s="31">
        <v>45992</v>
      </c>
      <c r="O4957" s="3" t="s">
        <v>297</v>
      </c>
    </row>
    <row r="4958" spans="1:15">
      <c r="A4958" s="3">
        <f t="shared" si="88"/>
        <v>4957</v>
      </c>
      <c r="B4958" s="65" t="s">
        <v>7332</v>
      </c>
      <c r="C4958" s="1">
        <v>9101026493</v>
      </c>
      <c r="E4958" s="17" t="s">
        <v>851</v>
      </c>
      <c r="F4958" s="65"/>
      <c r="G4958" s="3" t="s">
        <v>16</v>
      </c>
      <c r="H4958" s="2" t="s">
        <v>815</v>
      </c>
      <c r="I4958" s="3" t="s">
        <v>94</v>
      </c>
      <c r="J4958" s="31">
        <v>45969</v>
      </c>
      <c r="K4958" s="31">
        <v>45973</v>
      </c>
      <c r="L4958" s="31">
        <v>45975</v>
      </c>
      <c r="M4958" s="31">
        <v>46005</v>
      </c>
      <c r="N4958" s="31">
        <v>45994</v>
      </c>
      <c r="O4958" s="3" t="s">
        <v>297</v>
      </c>
    </row>
    <row r="4959" spans="1:15">
      <c r="A4959" s="3">
        <f t="shared" si="88"/>
        <v>4958</v>
      </c>
      <c r="B4959" s="65" t="s">
        <v>7333</v>
      </c>
      <c r="C4959" s="1">
        <v>9676075855</v>
      </c>
      <c r="E4959" s="17" t="s">
        <v>622</v>
      </c>
      <c r="F4959" s="65"/>
      <c r="G4959" s="3" t="s">
        <v>16</v>
      </c>
      <c r="H4959" s="2" t="s">
        <v>7334</v>
      </c>
      <c r="I4959" s="3" t="s">
        <v>94</v>
      </c>
      <c r="J4959" s="31">
        <v>45969</v>
      </c>
      <c r="K4959" s="31">
        <v>45973</v>
      </c>
      <c r="L4959" s="31">
        <v>45975</v>
      </c>
      <c r="M4959" s="31">
        <v>45982</v>
      </c>
      <c r="N4959" s="31">
        <v>45985</v>
      </c>
      <c r="O4959" s="3" t="s">
        <v>297</v>
      </c>
    </row>
    <row r="4960" spans="1:15">
      <c r="A4960" s="3">
        <f t="shared" si="88"/>
        <v>4959</v>
      </c>
      <c r="B4960" s="65" t="s">
        <v>7335</v>
      </c>
      <c r="C4960" s="1">
        <v>8919285380</v>
      </c>
      <c r="D4960" s="1">
        <v>7353848862</v>
      </c>
      <c r="E4960" s="1" t="s">
        <v>7307</v>
      </c>
      <c r="F4960" s="65" t="s">
        <v>7209</v>
      </c>
      <c r="G4960" s="3" t="s">
        <v>16</v>
      </c>
      <c r="H4960" s="2" t="s">
        <v>590</v>
      </c>
      <c r="I4960" s="3" t="s">
        <v>88</v>
      </c>
      <c r="J4960" s="31">
        <v>45975</v>
      </c>
      <c r="K4960" s="31">
        <v>45978</v>
      </c>
      <c r="L4960" s="31">
        <v>45978</v>
      </c>
      <c r="M4960" s="31">
        <v>46008</v>
      </c>
      <c r="N4960" s="31">
        <v>45985</v>
      </c>
      <c r="O4960" s="3" t="s">
        <v>297</v>
      </c>
    </row>
    <row r="4961" spans="1:15">
      <c r="A4961" s="3">
        <f t="shared" si="88"/>
        <v>4960</v>
      </c>
      <c r="B4961" s="65" t="s">
        <v>7336</v>
      </c>
      <c r="C4961" s="1">
        <v>9849143048</v>
      </c>
      <c r="E4961" s="17" t="s">
        <v>6716</v>
      </c>
      <c r="F4961" s="65" t="s">
        <v>3778</v>
      </c>
      <c r="G4961" s="3" t="s">
        <v>764</v>
      </c>
      <c r="H4961" s="2" t="s">
        <v>785</v>
      </c>
      <c r="I4961" s="3" t="s">
        <v>88</v>
      </c>
      <c r="J4961" s="31">
        <v>45975</v>
      </c>
      <c r="K4961" s="31">
        <v>45995</v>
      </c>
      <c r="L4961" s="31"/>
      <c r="M4961" s="31"/>
      <c r="N4961" s="31"/>
      <c r="O4961" s="3" t="s">
        <v>425</v>
      </c>
    </row>
    <row r="4962" spans="1:15">
      <c r="A4962" s="3">
        <f t="shared" si="88"/>
        <v>4961</v>
      </c>
      <c r="B4962" s="65" t="s">
        <v>7337</v>
      </c>
      <c r="C4962" s="1">
        <v>9938176693</v>
      </c>
      <c r="E4962" s="17" t="s">
        <v>6716</v>
      </c>
      <c r="F4962" s="65" t="s">
        <v>7338</v>
      </c>
      <c r="G4962" s="3" t="s">
        <v>416</v>
      </c>
      <c r="H4962" s="2" t="s">
        <v>785</v>
      </c>
      <c r="I4962" s="3" t="s">
        <v>88</v>
      </c>
      <c r="J4962" s="31">
        <v>45975</v>
      </c>
      <c r="K4962" s="31">
        <v>45989</v>
      </c>
      <c r="L4962" s="31"/>
      <c r="M4962" s="31"/>
      <c r="N4962" s="31"/>
      <c r="O4962" s="3" t="s">
        <v>297</v>
      </c>
    </row>
    <row r="4963" spans="1:15">
      <c r="A4963" s="3">
        <f t="shared" si="88"/>
        <v>4962</v>
      </c>
      <c r="B4963" s="65" t="s">
        <v>7339</v>
      </c>
      <c r="C4963" s="1">
        <v>9705394282</v>
      </c>
      <c r="E4963" s="17" t="s">
        <v>6712</v>
      </c>
      <c r="F4963" s="65" t="s">
        <v>1772</v>
      </c>
      <c r="G4963" s="3" t="s">
        <v>14</v>
      </c>
      <c r="H4963" s="2" t="s">
        <v>785</v>
      </c>
      <c r="I4963" s="3" t="s">
        <v>88</v>
      </c>
      <c r="J4963" s="31">
        <v>45975</v>
      </c>
      <c r="K4963" s="31">
        <v>45989</v>
      </c>
      <c r="L4963" s="31"/>
      <c r="M4963" s="31"/>
      <c r="N4963" s="31"/>
      <c r="O4963" s="3" t="s">
        <v>297</v>
      </c>
    </row>
    <row r="4964" spans="1:15">
      <c r="A4964" s="3">
        <f t="shared" si="88"/>
        <v>4963</v>
      </c>
      <c r="B4964" s="65" t="s">
        <v>7340</v>
      </c>
      <c r="C4964" s="1">
        <v>9439782422</v>
      </c>
      <c r="E4964" s="17" t="s">
        <v>6716</v>
      </c>
      <c r="F4964" s="65" t="s">
        <v>1769</v>
      </c>
      <c r="G4964" s="3" t="s">
        <v>764</v>
      </c>
      <c r="H4964" s="2" t="s">
        <v>785</v>
      </c>
      <c r="I4964" s="3" t="s">
        <v>88</v>
      </c>
      <c r="J4964" s="31">
        <v>45975</v>
      </c>
      <c r="K4964" s="31">
        <v>45989</v>
      </c>
      <c r="L4964" s="31"/>
      <c r="M4964" s="31"/>
      <c r="N4964" s="31"/>
      <c r="O4964" s="3" t="s">
        <v>425</v>
      </c>
    </row>
    <row r="4965" spans="1:15">
      <c r="A4965" s="3">
        <f t="shared" si="88"/>
        <v>4964</v>
      </c>
      <c r="B4965" s="65" t="s">
        <v>7341</v>
      </c>
      <c r="C4965" s="1">
        <v>9502797549</v>
      </c>
      <c r="E4965" s="17" t="s">
        <v>6716</v>
      </c>
      <c r="F4965" s="65" t="s">
        <v>7342</v>
      </c>
      <c r="G4965" s="3" t="s">
        <v>424</v>
      </c>
      <c r="H4965" s="2" t="s">
        <v>785</v>
      </c>
      <c r="I4965" s="3" t="s">
        <v>88</v>
      </c>
      <c r="J4965" s="31">
        <v>45975</v>
      </c>
      <c r="K4965" s="31">
        <v>45989</v>
      </c>
      <c r="L4965" s="31"/>
      <c r="M4965" s="31"/>
      <c r="N4965" s="31"/>
      <c r="O4965" s="3" t="s">
        <v>425</v>
      </c>
    </row>
    <row r="4966" spans="1:15">
      <c r="A4966" s="3">
        <f t="shared" si="88"/>
        <v>4965</v>
      </c>
      <c r="B4966" s="65" t="s">
        <v>7343</v>
      </c>
      <c r="C4966" s="1">
        <v>9505057529</v>
      </c>
      <c r="D4966" s="1">
        <v>9492602696</v>
      </c>
      <c r="E4966" s="17" t="s">
        <v>7344</v>
      </c>
      <c r="F4966" s="65" t="s">
        <v>3778</v>
      </c>
      <c r="G4966" s="3" t="s">
        <v>424</v>
      </c>
      <c r="H4966" s="2" t="s">
        <v>785</v>
      </c>
      <c r="I4966" s="3" t="s">
        <v>88</v>
      </c>
      <c r="J4966" s="31">
        <v>45975</v>
      </c>
      <c r="K4966" s="31">
        <v>45989</v>
      </c>
      <c r="L4966" s="31"/>
      <c r="M4966" s="31"/>
      <c r="N4966" s="31"/>
      <c r="O4966" s="3" t="s">
        <v>425</v>
      </c>
    </row>
    <row r="4967" spans="1:15">
      <c r="A4967" s="3">
        <f t="shared" si="88"/>
        <v>4966</v>
      </c>
      <c r="B4967" s="65" t="s">
        <v>7345</v>
      </c>
      <c r="C4967" s="1">
        <v>9630579758</v>
      </c>
      <c r="E4967" s="17" t="s">
        <v>7344</v>
      </c>
      <c r="F4967" s="65" t="s">
        <v>7342</v>
      </c>
      <c r="G4967" s="3" t="s">
        <v>416</v>
      </c>
      <c r="H4967" s="2" t="s">
        <v>785</v>
      </c>
      <c r="I4967" s="3" t="s">
        <v>88</v>
      </c>
      <c r="J4967" s="31">
        <v>45975</v>
      </c>
      <c r="K4967" s="31">
        <v>45989</v>
      </c>
      <c r="L4967" s="31"/>
      <c r="M4967" s="31"/>
      <c r="N4967" s="31"/>
      <c r="O4967" s="3" t="s">
        <v>297</v>
      </c>
    </row>
    <row r="4968" spans="1:15">
      <c r="A4968" s="3">
        <f t="shared" si="88"/>
        <v>4967</v>
      </c>
      <c r="B4968" s="65" t="s">
        <v>7346</v>
      </c>
      <c r="C4968" s="1">
        <v>8897699110</v>
      </c>
      <c r="E4968" s="17" t="s">
        <v>7344</v>
      </c>
      <c r="F4968" s="65" t="s">
        <v>7342</v>
      </c>
      <c r="G4968" s="3" t="s">
        <v>295</v>
      </c>
      <c r="H4968" s="2" t="s">
        <v>785</v>
      </c>
      <c r="I4968" s="3" t="s">
        <v>88</v>
      </c>
      <c r="J4968" s="31">
        <v>45975</v>
      </c>
      <c r="K4968" s="31">
        <v>45989</v>
      </c>
      <c r="L4968" s="31">
        <v>45999</v>
      </c>
      <c r="M4968" s="31">
        <v>46030</v>
      </c>
      <c r="N4968" s="31"/>
      <c r="O4968" s="3" t="s">
        <v>297</v>
      </c>
    </row>
    <row r="4969" spans="1:15">
      <c r="A4969" s="3">
        <f t="shared" si="88"/>
        <v>4968</v>
      </c>
      <c r="B4969" s="65" t="s">
        <v>7347</v>
      </c>
      <c r="C4969" s="1">
        <v>9797333917</v>
      </c>
      <c r="D4969" s="1">
        <v>9103893829</v>
      </c>
      <c r="E4969" s="17" t="s">
        <v>7348</v>
      </c>
      <c r="F4969" s="65" t="s">
        <v>1312</v>
      </c>
      <c r="G4969" s="3" t="s">
        <v>764</v>
      </c>
      <c r="H4969" s="2" t="s">
        <v>999</v>
      </c>
      <c r="I4969" s="3" t="s">
        <v>88</v>
      </c>
      <c r="J4969" s="31">
        <v>45975</v>
      </c>
      <c r="K4969" s="31">
        <v>45987</v>
      </c>
      <c r="L4969" s="31"/>
      <c r="M4969" s="31"/>
      <c r="N4969" s="31"/>
      <c r="O4969" s="3" t="s">
        <v>425</v>
      </c>
    </row>
    <row r="4970" spans="1:15">
      <c r="A4970" s="3">
        <f t="shared" si="88"/>
        <v>4969</v>
      </c>
      <c r="B4970" s="65" t="s">
        <v>7349</v>
      </c>
      <c r="C4970" s="1">
        <v>9030583586</v>
      </c>
      <c r="E4970" s="17" t="s">
        <v>7348</v>
      </c>
      <c r="F4970" s="65" t="s">
        <v>569</v>
      </c>
      <c r="G4970" s="3" t="s">
        <v>1175</v>
      </c>
      <c r="H4970" s="2" t="s">
        <v>999</v>
      </c>
      <c r="I4970" s="3" t="s">
        <v>88</v>
      </c>
      <c r="J4970" s="31">
        <v>45975</v>
      </c>
      <c r="K4970" s="31"/>
      <c r="L4970" s="31"/>
      <c r="M4970" s="31"/>
      <c r="N4970" s="31"/>
      <c r="O4970" s="3" t="s">
        <v>1004</v>
      </c>
    </row>
    <row r="4971" spans="1:15">
      <c r="A4971" s="3">
        <f t="shared" si="88"/>
        <v>4970</v>
      </c>
      <c r="B4971" s="65" t="s">
        <v>7350</v>
      </c>
      <c r="C4971" s="1">
        <v>8181893181</v>
      </c>
      <c r="E4971" s="3" t="s">
        <v>7351</v>
      </c>
      <c r="F4971" s="65" t="s">
        <v>4492</v>
      </c>
      <c r="G4971" s="3" t="s">
        <v>16</v>
      </c>
      <c r="H4971" s="2" t="s">
        <v>999</v>
      </c>
      <c r="I4971" s="3" t="s">
        <v>88</v>
      </c>
      <c r="J4971" s="31">
        <v>45975</v>
      </c>
      <c r="K4971" s="31">
        <v>45987</v>
      </c>
      <c r="L4971" s="31">
        <v>45990</v>
      </c>
      <c r="M4971" s="31">
        <v>46020</v>
      </c>
      <c r="N4971" s="31">
        <v>46029</v>
      </c>
      <c r="O4971" s="3" t="s">
        <v>297</v>
      </c>
    </row>
    <row r="4972" spans="1:15">
      <c r="A4972" s="3">
        <f t="shared" si="88"/>
        <v>4971</v>
      </c>
      <c r="B4972" s="65" t="s">
        <v>7352</v>
      </c>
      <c r="C4972" s="1">
        <v>9515221959</v>
      </c>
      <c r="E4972" s="17" t="s">
        <v>7353</v>
      </c>
      <c r="F4972" s="65" t="s">
        <v>1312</v>
      </c>
      <c r="G4972" s="3" t="s">
        <v>18</v>
      </c>
      <c r="H4972" s="2" t="s">
        <v>999</v>
      </c>
      <c r="I4972" s="3" t="s">
        <v>88</v>
      </c>
      <c r="J4972" s="31">
        <v>45975</v>
      </c>
      <c r="K4972" s="31">
        <v>45987</v>
      </c>
      <c r="L4972" s="31"/>
      <c r="M4972" s="31"/>
      <c r="N4972" s="31"/>
      <c r="O4972" s="3" t="s">
        <v>297</v>
      </c>
    </row>
    <row r="4973" spans="1:15">
      <c r="A4973" s="3">
        <f t="shared" si="88"/>
        <v>4972</v>
      </c>
      <c r="B4973" s="65" t="s">
        <v>7354</v>
      </c>
      <c r="C4973" s="1">
        <v>8008715407</v>
      </c>
      <c r="E4973" s="17" t="s">
        <v>7353</v>
      </c>
      <c r="F4973" s="65" t="s">
        <v>451</v>
      </c>
      <c r="G4973" s="3" t="s">
        <v>16</v>
      </c>
      <c r="H4973" s="2" t="s">
        <v>999</v>
      </c>
      <c r="I4973" s="3" t="s">
        <v>88</v>
      </c>
      <c r="J4973" s="31">
        <v>45975</v>
      </c>
      <c r="K4973" s="31">
        <v>45985</v>
      </c>
      <c r="L4973" s="31">
        <v>45987</v>
      </c>
      <c r="M4973" s="31">
        <v>46054</v>
      </c>
      <c r="N4973" s="31">
        <v>46057</v>
      </c>
      <c r="O4973" s="3" t="s">
        <v>297</v>
      </c>
    </row>
    <row r="4974" spans="1:15">
      <c r="A4974" s="3">
        <f t="shared" si="88"/>
        <v>4973</v>
      </c>
      <c r="B4974" s="65" t="s">
        <v>7355</v>
      </c>
      <c r="C4974" s="1">
        <v>9076677036</v>
      </c>
      <c r="E4974" s="17" t="s">
        <v>7356</v>
      </c>
      <c r="F4974" s="65" t="s">
        <v>7357</v>
      </c>
      <c r="G4974" s="3" t="s">
        <v>295</v>
      </c>
      <c r="H4974" s="2" t="s">
        <v>590</v>
      </c>
      <c r="I4974" s="3" t="s">
        <v>88</v>
      </c>
      <c r="J4974" s="31">
        <v>45975</v>
      </c>
      <c r="K4974" s="31">
        <v>45981</v>
      </c>
      <c r="L4974" s="31">
        <v>45981</v>
      </c>
      <c r="M4974" s="31">
        <v>46072</v>
      </c>
      <c r="N4974" s="31"/>
      <c r="O4974" s="3" t="s">
        <v>297</v>
      </c>
    </row>
    <row r="4975" spans="1:15">
      <c r="A4975" s="3">
        <f t="shared" si="88"/>
        <v>4974</v>
      </c>
      <c r="B4975" s="65" t="s">
        <v>7358</v>
      </c>
      <c r="C4975" s="1">
        <v>8374440358</v>
      </c>
      <c r="E4975" s="17" t="s">
        <v>7356</v>
      </c>
      <c r="F4975" s="65" t="s">
        <v>303</v>
      </c>
      <c r="G4975" s="3" t="s">
        <v>295</v>
      </c>
      <c r="H4975" s="2" t="s">
        <v>590</v>
      </c>
      <c r="I4975" s="3" t="s">
        <v>88</v>
      </c>
      <c r="J4975" s="31">
        <v>45975</v>
      </c>
      <c r="K4975" s="31">
        <v>45981</v>
      </c>
      <c r="L4975" s="31">
        <v>45981</v>
      </c>
      <c r="M4975" s="31">
        <v>46027</v>
      </c>
      <c r="N4975" s="31"/>
      <c r="O4975" s="3" t="s">
        <v>297</v>
      </c>
    </row>
    <row r="4976" spans="1:15">
      <c r="A4976" s="3">
        <f t="shared" si="88"/>
        <v>4975</v>
      </c>
      <c r="B4976" s="65" t="s">
        <v>7359</v>
      </c>
      <c r="C4976" s="1">
        <v>7060534975</v>
      </c>
      <c r="E4976" s="17" t="s">
        <v>4691</v>
      </c>
      <c r="F4976" s="65" t="s">
        <v>7360</v>
      </c>
      <c r="G4976" s="3" t="s">
        <v>764</v>
      </c>
      <c r="H4976" s="2" t="s">
        <v>4693</v>
      </c>
      <c r="I4976" s="3" t="s">
        <v>42</v>
      </c>
      <c r="J4976" s="31">
        <v>45975</v>
      </c>
      <c r="K4976" s="31">
        <v>45993</v>
      </c>
      <c r="L4976" s="31"/>
      <c r="M4976" s="31"/>
      <c r="N4976" s="31"/>
      <c r="O4976" s="3" t="s">
        <v>425</v>
      </c>
    </row>
    <row r="4977" spans="1:15">
      <c r="A4977" s="3">
        <f t="shared" si="88"/>
        <v>4976</v>
      </c>
      <c r="B4977" s="65" t="s">
        <v>2992</v>
      </c>
      <c r="C4977" s="1">
        <v>9634462535</v>
      </c>
      <c r="E4977" s="17" t="s">
        <v>4691</v>
      </c>
      <c r="F4977" s="65" t="s">
        <v>7361</v>
      </c>
      <c r="G4977" s="3" t="s">
        <v>764</v>
      </c>
      <c r="H4977" s="2" t="s">
        <v>4693</v>
      </c>
      <c r="I4977" s="3" t="s">
        <v>42</v>
      </c>
      <c r="J4977" s="31">
        <v>45975</v>
      </c>
      <c r="K4977" s="31">
        <v>45993</v>
      </c>
      <c r="L4977" s="31"/>
      <c r="M4977" s="31"/>
      <c r="N4977" s="31"/>
      <c r="O4977" s="3" t="s">
        <v>425</v>
      </c>
    </row>
    <row r="4978" spans="1:15">
      <c r="A4978" s="3">
        <f t="shared" ref="A4978:A4985" si="89">ROW()-1</f>
        <v>4977</v>
      </c>
      <c r="B4978" s="65" t="s">
        <v>7362</v>
      </c>
      <c r="C4978" s="1">
        <v>9949381591</v>
      </c>
      <c r="E4978" s="17" t="s">
        <v>5778</v>
      </c>
      <c r="F4978" s="65"/>
      <c r="G4978" s="3" t="s">
        <v>416</v>
      </c>
      <c r="H4978" s="2" t="s">
        <v>6158</v>
      </c>
      <c r="I4978" s="3" t="s">
        <v>42</v>
      </c>
      <c r="J4978" s="31">
        <v>45968</v>
      </c>
      <c r="K4978" s="31">
        <v>45968</v>
      </c>
      <c r="L4978" s="31"/>
      <c r="M4978" s="31"/>
      <c r="N4978" s="31"/>
      <c r="O4978" s="3" t="s">
        <v>297</v>
      </c>
    </row>
    <row r="4979" spans="1:15">
      <c r="A4979" s="3">
        <f t="shared" si="89"/>
        <v>4978</v>
      </c>
      <c r="B4979" s="65" t="s">
        <v>7363</v>
      </c>
      <c r="C4979" s="1">
        <v>8008226275</v>
      </c>
      <c r="E4979" s="17" t="s">
        <v>5773</v>
      </c>
      <c r="F4979" s="65"/>
      <c r="G4979" s="3" t="s">
        <v>764</v>
      </c>
      <c r="H4979" s="2" t="s">
        <v>6158</v>
      </c>
      <c r="I4979" s="3" t="s">
        <v>42</v>
      </c>
      <c r="J4979" s="31">
        <v>45968</v>
      </c>
      <c r="K4979" s="31">
        <v>45968</v>
      </c>
      <c r="L4979" s="31"/>
      <c r="M4979" s="31"/>
      <c r="N4979" s="31"/>
      <c r="O4979" s="3" t="s">
        <v>425</v>
      </c>
    </row>
    <row r="4980" spans="1:15">
      <c r="A4980" s="3">
        <f t="shared" si="89"/>
        <v>4979</v>
      </c>
      <c r="B4980" s="65" t="s">
        <v>7364</v>
      </c>
      <c r="C4980" s="1">
        <v>9010800906</v>
      </c>
      <c r="E4980" s="17" t="s">
        <v>2821</v>
      </c>
      <c r="F4980" s="65"/>
      <c r="G4980" s="3" t="s">
        <v>416</v>
      </c>
      <c r="H4980" s="2" t="s">
        <v>6158</v>
      </c>
      <c r="I4980" s="3" t="s">
        <v>42</v>
      </c>
      <c r="J4980" s="31">
        <v>45968</v>
      </c>
      <c r="K4980" s="31">
        <v>45968</v>
      </c>
      <c r="L4980" s="31"/>
      <c r="M4980" s="31"/>
      <c r="N4980" s="31"/>
      <c r="O4980" s="3" t="s">
        <v>297</v>
      </c>
    </row>
    <row r="4981" spans="1:15">
      <c r="A4981" s="3">
        <f t="shared" si="89"/>
        <v>4980</v>
      </c>
      <c r="B4981" s="65" t="s">
        <v>7365</v>
      </c>
      <c r="C4981" s="1">
        <v>7013637311</v>
      </c>
      <c r="E4981" s="3" t="s">
        <v>7366</v>
      </c>
      <c r="F4981" s="65"/>
      <c r="G4981" s="3" t="s">
        <v>16</v>
      </c>
      <c r="H4981" s="2" t="s">
        <v>6158</v>
      </c>
      <c r="I4981" s="3" t="s">
        <v>42</v>
      </c>
      <c r="J4981" s="31">
        <v>45968</v>
      </c>
      <c r="K4981" s="31">
        <v>45968</v>
      </c>
      <c r="L4981" s="31">
        <v>46016</v>
      </c>
      <c r="M4981" s="31">
        <v>46054</v>
      </c>
      <c r="N4981" s="31">
        <v>46048</v>
      </c>
      <c r="O4981" s="3" t="s">
        <v>297</v>
      </c>
    </row>
    <row r="4982" spans="1:15">
      <c r="A4982" s="3">
        <f t="shared" si="89"/>
        <v>4981</v>
      </c>
      <c r="B4982" s="65" t="s">
        <v>7367</v>
      </c>
      <c r="C4982" s="1">
        <v>8074688518</v>
      </c>
      <c r="E4982" s="17" t="s">
        <v>5904</v>
      </c>
      <c r="F4982" s="65"/>
      <c r="G4982" s="3" t="s">
        <v>416</v>
      </c>
      <c r="H4982" s="2" t="s">
        <v>6158</v>
      </c>
      <c r="I4982" s="3" t="s">
        <v>42</v>
      </c>
      <c r="J4982" s="31">
        <v>45968</v>
      </c>
      <c r="K4982" s="31">
        <v>45968</v>
      </c>
      <c r="L4982" s="31"/>
      <c r="M4982" s="31"/>
      <c r="N4982" s="31"/>
      <c r="O4982" s="3" t="s">
        <v>297</v>
      </c>
    </row>
    <row r="4983" spans="1:15">
      <c r="A4983" s="3">
        <f t="shared" si="89"/>
        <v>4982</v>
      </c>
      <c r="B4983" s="65" t="s">
        <v>7368</v>
      </c>
      <c r="C4983" s="1">
        <v>8639288093</v>
      </c>
      <c r="E4983" s="3" t="s">
        <v>7366</v>
      </c>
      <c r="F4983" s="65"/>
      <c r="G4983" s="3" t="s">
        <v>16</v>
      </c>
      <c r="H4983" s="2" t="s">
        <v>6158</v>
      </c>
      <c r="I4983" s="3" t="s">
        <v>42</v>
      </c>
      <c r="J4983" s="31">
        <v>45968</v>
      </c>
      <c r="K4983" s="31">
        <v>46016</v>
      </c>
      <c r="L4983" s="31">
        <v>46016</v>
      </c>
      <c r="M4983" s="31">
        <v>46054</v>
      </c>
      <c r="N4983" s="31">
        <v>46048</v>
      </c>
      <c r="O4983" s="3" t="s">
        <v>297</v>
      </c>
    </row>
    <row r="4984" spans="1:15">
      <c r="A4984" s="3">
        <f t="shared" si="89"/>
        <v>4983</v>
      </c>
      <c r="B4984" s="65" t="s">
        <v>7369</v>
      </c>
      <c r="C4984" s="1">
        <v>7702441658</v>
      </c>
      <c r="E4984" s="17" t="s">
        <v>6236</v>
      </c>
      <c r="F4984" s="65"/>
      <c r="G4984" s="3" t="s">
        <v>16</v>
      </c>
      <c r="H4984" s="2" t="s">
        <v>6158</v>
      </c>
      <c r="I4984" s="3" t="s">
        <v>42</v>
      </c>
      <c r="J4984" s="31">
        <v>45968</v>
      </c>
      <c r="K4984" s="31">
        <v>45968</v>
      </c>
      <c r="L4984" s="31">
        <v>45989</v>
      </c>
      <c r="M4984" s="31">
        <v>46042</v>
      </c>
      <c r="N4984" s="31">
        <v>46006</v>
      </c>
      <c r="O4984" s="3" t="s">
        <v>297</v>
      </c>
    </row>
    <row r="4985" spans="1:15">
      <c r="A4985" s="3">
        <f t="shared" si="89"/>
        <v>4984</v>
      </c>
      <c r="B4985" s="65" t="s">
        <v>7370</v>
      </c>
      <c r="C4985" s="1">
        <v>9989456770</v>
      </c>
      <c r="E4985" s="17" t="s">
        <v>5778</v>
      </c>
      <c r="F4985" s="65"/>
      <c r="G4985" s="3" t="s">
        <v>416</v>
      </c>
      <c r="H4985" s="2" t="s">
        <v>6158</v>
      </c>
      <c r="I4985" s="3" t="s">
        <v>42</v>
      </c>
      <c r="J4985" s="31">
        <v>45968</v>
      </c>
      <c r="K4985" s="31">
        <v>45968</v>
      </c>
      <c r="L4985" s="31"/>
      <c r="M4985" s="31"/>
      <c r="N4985" s="31"/>
      <c r="O4985" s="3" t="s">
        <v>297</v>
      </c>
    </row>
    <row r="4986" spans="1:15">
      <c r="A4986" s="3">
        <f t="shared" ref="A4986:A5001" si="90">ROW()-1</f>
        <v>4985</v>
      </c>
      <c r="B4986" s="65" t="s">
        <v>7371</v>
      </c>
      <c r="C4986" s="1">
        <v>8977401470</v>
      </c>
      <c r="E4986" s="17" t="s">
        <v>6796</v>
      </c>
      <c r="F4986" s="65"/>
      <c r="G4986" s="3" t="s">
        <v>16</v>
      </c>
      <c r="H4986" s="2" t="s">
        <v>6158</v>
      </c>
      <c r="I4986" s="3" t="s">
        <v>42</v>
      </c>
      <c r="J4986" s="31">
        <v>45968</v>
      </c>
      <c r="K4986" s="31">
        <v>45968</v>
      </c>
      <c r="L4986" s="31">
        <v>45975</v>
      </c>
      <c r="M4986" s="31">
        <v>45978</v>
      </c>
      <c r="N4986" s="31">
        <v>45992</v>
      </c>
      <c r="O4986" s="3" t="s">
        <v>297</v>
      </c>
    </row>
    <row r="4987" spans="1:15">
      <c r="A4987" s="3">
        <f t="shared" si="90"/>
        <v>4986</v>
      </c>
      <c r="B4987" s="65" t="s">
        <v>7372</v>
      </c>
      <c r="C4987" s="1">
        <v>7287046367</v>
      </c>
      <c r="E4987" s="17" t="s">
        <v>4483</v>
      </c>
      <c r="F4987" s="65"/>
      <c r="G4987" s="3" t="s">
        <v>16</v>
      </c>
      <c r="H4987" s="2" t="s">
        <v>162</v>
      </c>
      <c r="I4987" s="3" t="s">
        <v>42</v>
      </c>
      <c r="J4987" s="31">
        <v>45968</v>
      </c>
      <c r="K4987" s="31">
        <v>45968</v>
      </c>
      <c r="L4987" s="31">
        <v>45975</v>
      </c>
      <c r="M4987" s="31">
        <v>45996</v>
      </c>
      <c r="N4987" s="31">
        <v>46001</v>
      </c>
      <c r="O4987" s="3" t="s">
        <v>297</v>
      </c>
    </row>
    <row r="4988" spans="1:15">
      <c r="A4988" s="3">
        <f t="shared" si="90"/>
        <v>4987</v>
      </c>
      <c r="B4988" s="65" t="s">
        <v>7373</v>
      </c>
      <c r="C4988" s="1">
        <v>8105854147</v>
      </c>
      <c r="D4988" s="1">
        <v>8296252949</v>
      </c>
      <c r="E4988" s="17" t="s">
        <v>4609</v>
      </c>
      <c r="F4988" s="65" t="s">
        <v>683</v>
      </c>
      <c r="G4988" s="2" t="s">
        <v>424</v>
      </c>
      <c r="H4988" s="2" t="s">
        <v>5774</v>
      </c>
      <c r="I4988" s="3" t="s">
        <v>42</v>
      </c>
      <c r="J4988" s="31">
        <v>45976</v>
      </c>
      <c r="K4988" s="31">
        <v>45981</v>
      </c>
      <c r="L4988" s="31"/>
      <c r="M4988" s="31"/>
      <c r="N4988" s="31"/>
      <c r="O4988" s="2" t="s">
        <v>425</v>
      </c>
    </row>
    <row r="4989" spans="1:15">
      <c r="A4989" s="3">
        <f t="shared" si="90"/>
        <v>4988</v>
      </c>
      <c r="B4989" s="65" t="s">
        <v>7374</v>
      </c>
      <c r="C4989" s="1">
        <v>9908496393</v>
      </c>
      <c r="D4989" s="1">
        <v>9381322021</v>
      </c>
      <c r="E4989" s="17" t="s">
        <v>7375</v>
      </c>
      <c r="F4989" s="65" t="s">
        <v>7376</v>
      </c>
      <c r="G4989" s="3" t="s">
        <v>16</v>
      </c>
      <c r="H4989" s="2" t="s">
        <v>5774</v>
      </c>
      <c r="I4989" s="3" t="s">
        <v>42</v>
      </c>
      <c r="J4989" s="31">
        <v>45978</v>
      </c>
      <c r="K4989" s="31">
        <v>45986</v>
      </c>
      <c r="L4989" s="31">
        <v>45989</v>
      </c>
      <c r="M4989" s="31">
        <v>46016</v>
      </c>
      <c r="N4989" s="31">
        <v>46016</v>
      </c>
      <c r="O4989" s="3" t="s">
        <v>297</v>
      </c>
    </row>
    <row r="4990" spans="1:15">
      <c r="A4990" s="3">
        <f t="shared" si="90"/>
        <v>4989</v>
      </c>
      <c r="B4990" s="65" t="s">
        <v>7377</v>
      </c>
      <c r="C4990" s="1">
        <v>7337571894</v>
      </c>
      <c r="E4990" s="17" t="s">
        <v>6236</v>
      </c>
      <c r="F4990" s="65" t="s">
        <v>5293</v>
      </c>
      <c r="G4990" s="3" t="s">
        <v>295</v>
      </c>
      <c r="H4990" s="2" t="s">
        <v>5774</v>
      </c>
      <c r="I4990" s="3" t="s">
        <v>42</v>
      </c>
      <c r="J4990" s="31">
        <v>45978</v>
      </c>
      <c r="K4990" s="31">
        <v>45986</v>
      </c>
      <c r="L4990" s="31">
        <v>45989</v>
      </c>
      <c r="M4990" s="31">
        <v>46025</v>
      </c>
      <c r="N4990" s="31"/>
      <c r="O4990" s="3" t="s">
        <v>297</v>
      </c>
    </row>
    <row r="4991" spans="1:15">
      <c r="A4991" s="3">
        <f t="shared" si="90"/>
        <v>4990</v>
      </c>
      <c r="B4991" s="65" t="s">
        <v>7378</v>
      </c>
      <c r="C4991" s="1">
        <v>8688416181</v>
      </c>
      <c r="E4991" s="17" t="s">
        <v>6796</v>
      </c>
      <c r="F4991" s="65" t="s">
        <v>294</v>
      </c>
      <c r="G4991" s="3" t="s">
        <v>16</v>
      </c>
      <c r="H4991" s="2" t="s">
        <v>5774</v>
      </c>
      <c r="I4991" s="3" t="s">
        <v>42</v>
      </c>
      <c r="J4991" s="31">
        <v>45978</v>
      </c>
      <c r="K4991" s="31">
        <v>45986</v>
      </c>
      <c r="L4991" s="31">
        <v>45989</v>
      </c>
      <c r="M4991" s="31">
        <v>46003</v>
      </c>
      <c r="N4991" s="31">
        <v>46004</v>
      </c>
      <c r="O4991" s="3" t="s">
        <v>297</v>
      </c>
    </row>
    <row r="4992" spans="1:15">
      <c r="A4992" s="3">
        <f t="shared" si="90"/>
        <v>4991</v>
      </c>
      <c r="B4992" s="65" t="s">
        <v>7379</v>
      </c>
      <c r="C4992" s="1">
        <v>9581481745</v>
      </c>
      <c r="E4992" s="17" t="s">
        <v>6796</v>
      </c>
      <c r="F4992" s="65" t="s">
        <v>294</v>
      </c>
      <c r="G4992" s="3" t="s">
        <v>16</v>
      </c>
      <c r="H4992" s="2" t="s">
        <v>5774</v>
      </c>
      <c r="I4992" s="3" t="s">
        <v>42</v>
      </c>
      <c r="J4992" s="31">
        <v>45978</v>
      </c>
      <c r="K4992" s="31">
        <v>45986</v>
      </c>
      <c r="L4992" s="31">
        <v>45989</v>
      </c>
      <c r="M4992" s="31">
        <v>46006</v>
      </c>
      <c r="N4992" s="31">
        <v>46006</v>
      </c>
      <c r="O4992" s="3" t="s">
        <v>297</v>
      </c>
    </row>
    <row r="4993" spans="1:15">
      <c r="A4993" s="3">
        <f t="shared" si="90"/>
        <v>4992</v>
      </c>
      <c r="B4993" s="65" t="s">
        <v>7380</v>
      </c>
      <c r="C4993" s="1">
        <v>8317699684</v>
      </c>
      <c r="E4993" s="17" t="s">
        <v>5773</v>
      </c>
      <c r="F4993" s="65" t="s">
        <v>7381</v>
      </c>
      <c r="G4993" s="3" t="s">
        <v>16</v>
      </c>
      <c r="H4993" s="2" t="s">
        <v>5774</v>
      </c>
      <c r="I4993" s="3" t="s">
        <v>42</v>
      </c>
      <c r="J4993" s="31">
        <v>45978</v>
      </c>
      <c r="K4993" s="31">
        <v>45978</v>
      </c>
      <c r="L4993" s="31">
        <v>45989</v>
      </c>
      <c r="M4993" s="31">
        <v>45992</v>
      </c>
      <c r="N4993" s="31">
        <v>45996</v>
      </c>
      <c r="O4993" s="3" t="s">
        <v>297</v>
      </c>
    </row>
    <row r="4994" spans="1:15">
      <c r="A4994" s="3">
        <f t="shared" si="90"/>
        <v>4993</v>
      </c>
      <c r="B4994" s="65" t="s">
        <v>7382</v>
      </c>
      <c r="C4994" s="1">
        <v>9784092139</v>
      </c>
      <c r="D4994" s="1">
        <v>9622126465</v>
      </c>
      <c r="E4994" s="17" t="s">
        <v>7383</v>
      </c>
      <c r="F4994" s="65" t="s">
        <v>294</v>
      </c>
      <c r="G4994" s="3" t="s">
        <v>295</v>
      </c>
      <c r="H4994" s="2" t="s">
        <v>296</v>
      </c>
      <c r="I4994" s="3" t="s">
        <v>94</v>
      </c>
      <c r="J4994" s="31">
        <v>45978</v>
      </c>
      <c r="K4994" s="31">
        <v>45987</v>
      </c>
      <c r="L4994" s="31">
        <v>45989</v>
      </c>
      <c r="M4994" s="31">
        <v>46019</v>
      </c>
      <c r="N4994" s="31"/>
      <c r="O4994" s="3" t="s">
        <v>297</v>
      </c>
    </row>
    <row r="4995" spans="1:15">
      <c r="A4995" s="3">
        <f t="shared" si="90"/>
        <v>4994</v>
      </c>
      <c r="B4995" s="65" t="s">
        <v>7384</v>
      </c>
      <c r="C4995" s="1">
        <v>9749626502</v>
      </c>
      <c r="E4995" s="17" t="s">
        <v>7385</v>
      </c>
      <c r="F4995" s="65" t="s">
        <v>7386</v>
      </c>
      <c r="G4995" s="3" t="s">
        <v>424</v>
      </c>
      <c r="H4995" s="2" t="s">
        <v>296</v>
      </c>
      <c r="I4995" s="3" t="s">
        <v>94</v>
      </c>
      <c r="J4995" s="31">
        <v>45978</v>
      </c>
      <c r="K4995" s="31">
        <v>45982</v>
      </c>
      <c r="L4995" s="31"/>
      <c r="M4995" s="31"/>
      <c r="N4995" s="31"/>
      <c r="O4995" s="3" t="s">
        <v>425</v>
      </c>
    </row>
    <row r="4996" spans="1:15">
      <c r="A4996" s="3">
        <f t="shared" si="90"/>
        <v>4995</v>
      </c>
      <c r="B4996" s="65" t="s">
        <v>7387</v>
      </c>
      <c r="C4996" s="1">
        <v>9642067601</v>
      </c>
      <c r="E4996" s="17" t="s">
        <v>7383</v>
      </c>
      <c r="F4996" s="65" t="s">
        <v>294</v>
      </c>
      <c r="G4996" s="3" t="s">
        <v>16</v>
      </c>
      <c r="H4996" s="2" t="s">
        <v>296</v>
      </c>
      <c r="I4996" s="3" t="s">
        <v>94</v>
      </c>
      <c r="J4996" s="31">
        <v>45978</v>
      </c>
      <c r="K4996" s="31">
        <v>45985</v>
      </c>
      <c r="L4996" s="31">
        <v>45989</v>
      </c>
      <c r="M4996" s="31">
        <v>46011</v>
      </c>
      <c r="N4996" s="31">
        <v>46011</v>
      </c>
      <c r="O4996" s="3" t="s">
        <v>297</v>
      </c>
    </row>
    <row r="4997" spans="1:15">
      <c r="A4997" s="3">
        <f t="shared" si="90"/>
        <v>4996</v>
      </c>
      <c r="B4997" s="65" t="s">
        <v>1282</v>
      </c>
      <c r="C4997" s="1">
        <v>8757592171</v>
      </c>
      <c r="D4997" s="1">
        <v>8249760334</v>
      </c>
      <c r="E4997" s="17" t="s">
        <v>7385</v>
      </c>
      <c r="F4997" s="65" t="s">
        <v>294</v>
      </c>
      <c r="G4997" s="3" t="s">
        <v>416</v>
      </c>
      <c r="H4997" s="2" t="s">
        <v>296</v>
      </c>
      <c r="I4997" s="3" t="s">
        <v>94</v>
      </c>
      <c r="J4997" s="31">
        <v>45978</v>
      </c>
      <c r="K4997" s="31">
        <v>45982</v>
      </c>
      <c r="L4997" s="31"/>
      <c r="M4997" s="31"/>
      <c r="N4997" s="31"/>
      <c r="O4997" s="3" t="s">
        <v>297</v>
      </c>
    </row>
    <row r="4998" spans="1:15">
      <c r="A4998" s="3">
        <f t="shared" si="90"/>
        <v>4997</v>
      </c>
      <c r="B4998" s="65" t="s">
        <v>881</v>
      </c>
      <c r="C4998" s="1">
        <v>6287323200</v>
      </c>
      <c r="E4998" s="17" t="s">
        <v>7385</v>
      </c>
      <c r="F4998" s="65" t="s">
        <v>294</v>
      </c>
      <c r="G4998" s="3" t="s">
        <v>424</v>
      </c>
      <c r="H4998" s="2" t="s">
        <v>296</v>
      </c>
      <c r="I4998" s="3" t="s">
        <v>94</v>
      </c>
      <c r="J4998" s="31">
        <v>45978</v>
      </c>
      <c r="K4998" s="31">
        <v>45982</v>
      </c>
      <c r="L4998" s="31"/>
      <c r="M4998" s="31"/>
      <c r="N4998" s="31"/>
      <c r="O4998" s="3" t="s">
        <v>425</v>
      </c>
    </row>
    <row r="4999" spans="1:15">
      <c r="A4999" s="3">
        <f t="shared" si="90"/>
        <v>4998</v>
      </c>
      <c r="B4999" s="65" t="s">
        <v>7388</v>
      </c>
      <c r="C4999" s="1">
        <v>6289257219</v>
      </c>
      <c r="E4999" s="17" t="s">
        <v>5525</v>
      </c>
      <c r="F4999" s="65" t="s">
        <v>3002</v>
      </c>
      <c r="G4999" s="3" t="s">
        <v>295</v>
      </c>
      <c r="H4999" s="2" t="s">
        <v>296</v>
      </c>
      <c r="I4999" s="3" t="s">
        <v>94</v>
      </c>
      <c r="J4999" s="31">
        <v>45978</v>
      </c>
      <c r="K4999" s="31">
        <v>45987</v>
      </c>
      <c r="L4999" s="31">
        <v>45996</v>
      </c>
      <c r="M4999" s="31">
        <v>46019</v>
      </c>
      <c r="N4999" s="31"/>
      <c r="O4999" s="3" t="s">
        <v>297</v>
      </c>
    </row>
    <row r="5000" spans="1:15">
      <c r="A5000" s="3">
        <f t="shared" si="90"/>
        <v>4999</v>
      </c>
      <c r="B5000" s="65" t="s">
        <v>7389</v>
      </c>
      <c r="C5000" s="1">
        <v>8918395076</v>
      </c>
      <c r="E5000" s="17" t="s">
        <v>6817</v>
      </c>
      <c r="F5000" s="65" t="s">
        <v>569</v>
      </c>
      <c r="G5000" s="2" t="s">
        <v>16</v>
      </c>
      <c r="H5000" s="2" t="s">
        <v>930</v>
      </c>
      <c r="I5000" s="3" t="s">
        <v>94</v>
      </c>
      <c r="J5000" s="31">
        <v>45978</v>
      </c>
      <c r="K5000" s="31">
        <v>45980</v>
      </c>
      <c r="L5000" s="31">
        <v>45982</v>
      </c>
      <c r="M5000" s="31">
        <v>46040</v>
      </c>
      <c r="N5000" s="31">
        <v>46040</v>
      </c>
      <c r="O5000" s="3" t="s">
        <v>297</v>
      </c>
    </row>
    <row r="5001" spans="1:15">
      <c r="A5001" s="3">
        <f t="shared" si="90"/>
        <v>5000</v>
      </c>
      <c r="B5001" s="65" t="s">
        <v>7390</v>
      </c>
      <c r="C5001" s="1">
        <v>9834291827</v>
      </c>
      <c r="E5001" s="17" t="s">
        <v>6817</v>
      </c>
      <c r="F5001" s="65" t="s">
        <v>569</v>
      </c>
      <c r="G5001" s="3" t="s">
        <v>424</v>
      </c>
      <c r="H5001" s="2" t="s">
        <v>930</v>
      </c>
      <c r="I5001" s="3" t="s">
        <v>94</v>
      </c>
      <c r="J5001" s="31">
        <v>45978</v>
      </c>
      <c r="K5001" s="31">
        <v>45980</v>
      </c>
      <c r="L5001" s="31"/>
      <c r="M5001" s="31"/>
      <c r="N5001" s="31"/>
      <c r="O5001" s="3" t="s">
        <v>425</v>
      </c>
    </row>
    <row r="5002" spans="1:15">
      <c r="A5002" s="3">
        <f t="shared" ref="A5002:A5059" si="91">ROW()-1</f>
        <v>5001</v>
      </c>
      <c r="B5002" s="65" t="s">
        <v>7391</v>
      </c>
      <c r="C5002" s="1">
        <v>9701936619</v>
      </c>
      <c r="E5002" s="17" t="s">
        <v>7186</v>
      </c>
      <c r="F5002" s="65"/>
      <c r="G5002" s="3" t="s">
        <v>16</v>
      </c>
      <c r="H5002" s="2" t="s">
        <v>999</v>
      </c>
      <c r="I5002" s="3" t="s">
        <v>88</v>
      </c>
      <c r="J5002" s="31">
        <v>45969</v>
      </c>
      <c r="K5002" s="31">
        <v>45974</v>
      </c>
      <c r="L5002" s="31">
        <v>45978</v>
      </c>
      <c r="M5002" s="31">
        <v>46008</v>
      </c>
      <c r="N5002" s="31">
        <v>46001</v>
      </c>
      <c r="O5002" s="3" t="s">
        <v>297</v>
      </c>
    </row>
    <row r="5003" spans="1:15">
      <c r="A5003" s="3">
        <f t="shared" si="91"/>
        <v>5002</v>
      </c>
      <c r="B5003" s="65" t="s">
        <v>7392</v>
      </c>
      <c r="C5003" s="1">
        <v>9652272821</v>
      </c>
      <c r="E5003" s="17" t="s">
        <v>7174</v>
      </c>
      <c r="F5003" s="65"/>
      <c r="G5003" s="3" t="s">
        <v>16</v>
      </c>
      <c r="H5003" s="2" t="s">
        <v>815</v>
      </c>
      <c r="I5003" s="3" t="s">
        <v>88</v>
      </c>
      <c r="J5003" s="31">
        <v>45969</v>
      </c>
      <c r="K5003" s="31">
        <v>45974</v>
      </c>
      <c r="L5003" s="31">
        <v>45978</v>
      </c>
      <c r="M5003" s="31">
        <v>46015</v>
      </c>
      <c r="N5003" s="31">
        <v>46015</v>
      </c>
      <c r="O5003" s="3" t="s">
        <v>297</v>
      </c>
    </row>
    <row r="5004" spans="1:15">
      <c r="A5004" s="3">
        <f t="shared" si="91"/>
        <v>5003</v>
      </c>
      <c r="B5004" s="65" t="s">
        <v>7178</v>
      </c>
      <c r="C5004" s="1">
        <v>7997012592</v>
      </c>
      <c r="E5004" s="17" t="s">
        <v>7174</v>
      </c>
      <c r="F5004" s="65"/>
      <c r="G5004" s="3" t="s">
        <v>16</v>
      </c>
      <c r="H5004" s="2" t="s">
        <v>815</v>
      </c>
      <c r="I5004" s="3" t="s">
        <v>88</v>
      </c>
      <c r="J5004" s="31">
        <v>45969</v>
      </c>
      <c r="K5004" s="31">
        <v>45974</v>
      </c>
      <c r="L5004" s="31">
        <v>45978</v>
      </c>
      <c r="M5004" s="31">
        <v>46008</v>
      </c>
      <c r="N5004" s="31">
        <v>46007</v>
      </c>
      <c r="O5004" s="3" t="s">
        <v>297</v>
      </c>
    </row>
    <row r="5005" spans="1:15">
      <c r="A5005" s="3">
        <f t="shared" si="91"/>
        <v>5004</v>
      </c>
      <c r="B5005" s="65" t="s">
        <v>7393</v>
      </c>
      <c r="C5005" s="1">
        <v>9958253011</v>
      </c>
      <c r="E5005" s="17" t="s">
        <v>5660</v>
      </c>
      <c r="F5005" s="65"/>
      <c r="G5005" s="3" t="s">
        <v>295</v>
      </c>
      <c r="H5005" s="2" t="s">
        <v>815</v>
      </c>
      <c r="I5005" s="3" t="s">
        <v>88</v>
      </c>
      <c r="J5005" s="31">
        <v>45969</v>
      </c>
      <c r="K5005" s="31">
        <v>45974</v>
      </c>
      <c r="L5005" s="31">
        <v>45978</v>
      </c>
      <c r="M5005" s="31">
        <v>46027</v>
      </c>
      <c r="N5005" s="31"/>
      <c r="O5005" s="3" t="s">
        <v>297</v>
      </c>
    </row>
    <row r="5006" spans="1:15">
      <c r="A5006" s="3">
        <f t="shared" si="91"/>
        <v>5005</v>
      </c>
      <c r="B5006" s="65" t="s">
        <v>7394</v>
      </c>
      <c r="C5006" s="1">
        <v>9949904661</v>
      </c>
      <c r="E5006" s="17" t="s">
        <v>5173</v>
      </c>
      <c r="F5006" s="65" t="s">
        <v>616</v>
      </c>
      <c r="G5006" s="3" t="s">
        <v>16</v>
      </c>
      <c r="H5006" s="2" t="s">
        <v>3240</v>
      </c>
      <c r="I5006" s="3" t="s">
        <v>42</v>
      </c>
      <c r="J5006" s="31">
        <v>45978</v>
      </c>
      <c r="K5006" s="31">
        <v>45979</v>
      </c>
      <c r="L5006" s="31">
        <v>45982</v>
      </c>
      <c r="M5006" s="31">
        <v>45986</v>
      </c>
      <c r="N5006" s="31">
        <v>45989</v>
      </c>
      <c r="O5006" s="3" t="s">
        <v>297</v>
      </c>
    </row>
    <row r="5007" spans="1:15">
      <c r="A5007" s="3">
        <f t="shared" si="91"/>
        <v>5006</v>
      </c>
      <c r="B5007" s="65" t="s">
        <v>7395</v>
      </c>
      <c r="C5007" s="1">
        <v>8639303592</v>
      </c>
      <c r="E5007" s="3" t="s">
        <v>6199</v>
      </c>
      <c r="F5007" s="65" t="s">
        <v>612</v>
      </c>
      <c r="G5007" s="3" t="s">
        <v>16</v>
      </c>
      <c r="H5007" s="2" t="s">
        <v>3240</v>
      </c>
      <c r="I5007" s="3" t="s">
        <v>42</v>
      </c>
      <c r="J5007" s="31">
        <v>45978</v>
      </c>
      <c r="K5007" s="31">
        <v>45979</v>
      </c>
      <c r="L5007" s="31">
        <v>45982</v>
      </c>
      <c r="M5007" s="31">
        <v>46015</v>
      </c>
      <c r="N5007" s="31">
        <v>46015</v>
      </c>
      <c r="O5007" s="3" t="s">
        <v>297</v>
      </c>
    </row>
    <row r="5008" spans="1:15">
      <c r="A5008" s="3">
        <f t="shared" si="91"/>
        <v>5007</v>
      </c>
      <c r="B5008" s="65" t="s">
        <v>7396</v>
      </c>
      <c r="C5008" s="1">
        <v>9348227577</v>
      </c>
      <c r="E5008" s="17" t="s">
        <v>5173</v>
      </c>
      <c r="F5008" s="65" t="s">
        <v>303</v>
      </c>
      <c r="G5008" s="3" t="s">
        <v>16</v>
      </c>
      <c r="H5008" s="2" t="s">
        <v>3240</v>
      </c>
      <c r="I5008" s="3" t="s">
        <v>42</v>
      </c>
      <c r="J5008" s="31">
        <v>45978</v>
      </c>
      <c r="K5008" s="31">
        <v>45979</v>
      </c>
      <c r="L5008" s="31">
        <v>45982</v>
      </c>
      <c r="M5008" s="31">
        <v>45987</v>
      </c>
      <c r="N5008" s="31">
        <v>45994</v>
      </c>
      <c r="O5008" s="3" t="s">
        <v>297</v>
      </c>
    </row>
    <row r="5009" spans="1:15">
      <c r="A5009" s="3">
        <f t="shared" si="91"/>
        <v>5008</v>
      </c>
      <c r="B5009" s="65" t="s">
        <v>7397</v>
      </c>
      <c r="C5009" s="1">
        <v>9502485409</v>
      </c>
      <c r="D5009" s="1">
        <v>6300707488</v>
      </c>
      <c r="E5009" s="17" t="s">
        <v>6236</v>
      </c>
      <c r="F5009" s="65" t="s">
        <v>7398</v>
      </c>
      <c r="G5009" s="3" t="s">
        <v>16</v>
      </c>
      <c r="H5009" s="2" t="s">
        <v>3240</v>
      </c>
      <c r="I5009" s="3" t="s">
        <v>42</v>
      </c>
      <c r="J5009" s="31">
        <v>45978</v>
      </c>
      <c r="K5009" s="31">
        <v>45979</v>
      </c>
      <c r="L5009" s="31">
        <v>45982</v>
      </c>
      <c r="M5009" s="31">
        <v>46078</v>
      </c>
      <c r="N5009" s="31">
        <v>46006</v>
      </c>
      <c r="O5009" s="3" t="s">
        <v>297</v>
      </c>
    </row>
    <row r="5010" spans="1:15">
      <c r="A5010" s="3">
        <f t="shared" si="91"/>
        <v>5009</v>
      </c>
      <c r="B5010" s="65" t="s">
        <v>7399</v>
      </c>
      <c r="C5010" s="1">
        <v>9440044473</v>
      </c>
      <c r="E5010" s="17" t="s">
        <v>4609</v>
      </c>
      <c r="F5010" s="65" t="s">
        <v>7400</v>
      </c>
      <c r="G5010" s="3" t="s">
        <v>18</v>
      </c>
      <c r="H5010" s="2" t="s">
        <v>5774</v>
      </c>
      <c r="I5010" s="3" t="s">
        <v>42</v>
      </c>
      <c r="J5010" s="31">
        <v>45978</v>
      </c>
      <c r="K5010" s="31"/>
      <c r="L5010" s="31"/>
      <c r="M5010" s="31"/>
      <c r="N5010" s="31"/>
      <c r="O5010" s="3" t="s">
        <v>1004</v>
      </c>
    </row>
    <row r="5011" spans="1:15">
      <c r="A5011" s="3">
        <f t="shared" si="91"/>
        <v>5010</v>
      </c>
      <c r="B5011" s="65" t="s">
        <v>7401</v>
      </c>
      <c r="C5011" s="1">
        <v>9848723481</v>
      </c>
      <c r="E5011" s="17" t="s">
        <v>6181</v>
      </c>
      <c r="F5011" s="65" t="s">
        <v>7402</v>
      </c>
      <c r="G5011" s="2" t="s">
        <v>424</v>
      </c>
      <c r="H5011" s="2" t="s">
        <v>6158</v>
      </c>
      <c r="I5011" s="3" t="s">
        <v>42</v>
      </c>
      <c r="J5011" s="31">
        <v>45979</v>
      </c>
      <c r="K5011" s="31">
        <v>45987</v>
      </c>
      <c r="L5011" s="31"/>
      <c r="M5011" s="31"/>
      <c r="N5011" s="31"/>
      <c r="O5011" s="2" t="s">
        <v>425</v>
      </c>
    </row>
    <row r="5012" spans="1:15">
      <c r="A5012" s="3">
        <f t="shared" si="91"/>
        <v>5011</v>
      </c>
      <c r="B5012" s="65" t="s">
        <v>7403</v>
      </c>
      <c r="C5012" s="1">
        <v>7483960522</v>
      </c>
      <c r="E5012" s="17" t="s">
        <v>7404</v>
      </c>
      <c r="F5012" s="65" t="s">
        <v>3696</v>
      </c>
      <c r="G5012" s="3" t="s">
        <v>295</v>
      </c>
      <c r="H5012" s="2" t="s">
        <v>590</v>
      </c>
      <c r="I5012" s="3" t="s">
        <v>88</v>
      </c>
      <c r="J5012" s="31">
        <v>45979</v>
      </c>
      <c r="K5012" s="31">
        <v>45987</v>
      </c>
      <c r="L5012" s="31">
        <v>45987</v>
      </c>
      <c r="M5012" s="31">
        <v>46029</v>
      </c>
      <c r="N5012" s="31"/>
      <c r="O5012" s="3" t="s">
        <v>297</v>
      </c>
    </row>
    <row r="5013" spans="1:15">
      <c r="A5013" s="3">
        <f t="shared" si="91"/>
        <v>5012</v>
      </c>
      <c r="B5013" s="65" t="s">
        <v>7405</v>
      </c>
      <c r="C5013" s="1">
        <v>7563063027</v>
      </c>
      <c r="E5013" s="17" t="s">
        <v>7404</v>
      </c>
      <c r="F5013" s="65" t="s">
        <v>303</v>
      </c>
      <c r="G5013" s="3" t="s">
        <v>16</v>
      </c>
      <c r="H5013" s="2" t="s">
        <v>590</v>
      </c>
      <c r="I5013" s="3" t="s">
        <v>88</v>
      </c>
      <c r="J5013" s="31">
        <v>45979</v>
      </c>
      <c r="K5013" s="31">
        <v>45981</v>
      </c>
      <c r="L5013" s="31">
        <v>45981</v>
      </c>
      <c r="M5013" s="31">
        <v>46011</v>
      </c>
      <c r="N5013" s="31">
        <v>46009</v>
      </c>
      <c r="O5013" s="3" t="s">
        <v>297</v>
      </c>
    </row>
    <row r="5014" spans="1:15">
      <c r="A5014" s="3">
        <f t="shared" si="91"/>
        <v>5013</v>
      </c>
      <c r="B5014" s="65" t="s">
        <v>7406</v>
      </c>
      <c r="C5014" s="1">
        <v>9041686242</v>
      </c>
      <c r="E5014" s="17" t="s">
        <v>5580</v>
      </c>
      <c r="F5014" s="65" t="s">
        <v>1992</v>
      </c>
      <c r="G5014" s="3" t="s">
        <v>1175</v>
      </c>
      <c r="H5014" s="2" t="s">
        <v>1605</v>
      </c>
      <c r="I5014" s="3" t="s">
        <v>94</v>
      </c>
      <c r="J5014" s="31">
        <v>45979</v>
      </c>
      <c r="K5014" s="31"/>
      <c r="L5014" s="31"/>
      <c r="M5014" s="31"/>
      <c r="N5014" s="31"/>
      <c r="O5014" s="3" t="s">
        <v>1004</v>
      </c>
    </row>
    <row r="5015" spans="1:15">
      <c r="A5015" s="3">
        <f t="shared" si="91"/>
        <v>5014</v>
      </c>
      <c r="B5015" s="65" t="s">
        <v>7407</v>
      </c>
      <c r="C5015" s="1">
        <v>7224034315</v>
      </c>
      <c r="E5015" s="17" t="s">
        <v>5580</v>
      </c>
      <c r="F5015" s="65" t="s">
        <v>1992</v>
      </c>
      <c r="G5015" s="3" t="s">
        <v>416</v>
      </c>
      <c r="H5015" s="2" t="s">
        <v>1605</v>
      </c>
      <c r="I5015" s="3" t="s">
        <v>94</v>
      </c>
      <c r="J5015" s="31">
        <v>45979</v>
      </c>
      <c r="K5015" s="31">
        <v>45981</v>
      </c>
      <c r="L5015" s="31"/>
      <c r="M5015" s="31"/>
      <c r="N5015" s="31"/>
      <c r="O5015" s="3" t="s">
        <v>297</v>
      </c>
    </row>
    <row r="5016" spans="1:15">
      <c r="A5016" s="3">
        <f t="shared" si="91"/>
        <v>5015</v>
      </c>
      <c r="B5016" s="65" t="s">
        <v>7408</v>
      </c>
      <c r="C5016" s="1">
        <v>7089113693</v>
      </c>
      <c r="E5016" s="17" t="s">
        <v>5583</v>
      </c>
      <c r="F5016" s="65" t="s">
        <v>303</v>
      </c>
      <c r="G5016" s="3" t="s">
        <v>416</v>
      </c>
      <c r="H5016" s="2" t="s">
        <v>1605</v>
      </c>
      <c r="I5016" s="3" t="s">
        <v>94</v>
      </c>
      <c r="J5016" s="31">
        <v>45979</v>
      </c>
      <c r="K5016" s="31">
        <v>45981</v>
      </c>
      <c r="L5016" s="31"/>
      <c r="M5016" s="31"/>
      <c r="N5016" s="31"/>
      <c r="O5016" s="3" t="s">
        <v>297</v>
      </c>
    </row>
    <row r="5017" spans="1:15">
      <c r="A5017" s="3">
        <f t="shared" si="91"/>
        <v>5016</v>
      </c>
      <c r="B5017" s="65" t="s">
        <v>7409</v>
      </c>
      <c r="C5017" s="1">
        <v>8688072762</v>
      </c>
      <c r="E5017" s="17" t="s">
        <v>5848</v>
      </c>
      <c r="F5017" s="65" t="s">
        <v>7410</v>
      </c>
      <c r="G5017" s="3" t="s">
        <v>416</v>
      </c>
      <c r="H5017" s="2" t="s">
        <v>1605</v>
      </c>
      <c r="I5017" s="3" t="s">
        <v>94</v>
      </c>
      <c r="J5017" s="31">
        <v>45979</v>
      </c>
      <c r="K5017" s="31">
        <v>45981</v>
      </c>
      <c r="L5017" s="31"/>
      <c r="M5017" s="31"/>
      <c r="N5017" s="31"/>
      <c r="O5017" s="3" t="s">
        <v>297</v>
      </c>
    </row>
    <row r="5018" spans="1:15">
      <c r="A5018" s="3">
        <f t="shared" si="91"/>
        <v>5017</v>
      </c>
      <c r="B5018" s="65" t="s">
        <v>7411</v>
      </c>
      <c r="C5018" s="1">
        <v>9948645842</v>
      </c>
      <c r="E5018" s="17" t="s">
        <v>5059</v>
      </c>
      <c r="F5018" s="65"/>
      <c r="G5018" s="2" t="s">
        <v>424</v>
      </c>
      <c r="H5018" s="2" t="s">
        <v>42</v>
      </c>
      <c r="I5018" s="3" t="s">
        <v>42</v>
      </c>
      <c r="J5018" s="31">
        <v>45979</v>
      </c>
      <c r="K5018" s="31">
        <v>45987</v>
      </c>
      <c r="L5018" s="31"/>
      <c r="M5018" s="31"/>
      <c r="N5018" s="31"/>
      <c r="O5018" s="2" t="s">
        <v>749</v>
      </c>
    </row>
    <row r="5019" spans="1:15">
      <c r="A5019" s="3">
        <f t="shared" si="91"/>
        <v>5018</v>
      </c>
      <c r="B5019" s="65" t="s">
        <v>7412</v>
      </c>
      <c r="C5019" s="1">
        <v>8074978305</v>
      </c>
      <c r="E5019" s="17" t="s">
        <v>7044</v>
      </c>
      <c r="F5019" s="65" t="s">
        <v>863</v>
      </c>
      <c r="G5019" s="3" t="s">
        <v>424</v>
      </c>
      <c r="H5019" s="2" t="s">
        <v>815</v>
      </c>
      <c r="I5019" s="3" t="s">
        <v>42</v>
      </c>
      <c r="J5019" s="31">
        <v>45979</v>
      </c>
      <c r="K5019" s="31">
        <v>45980</v>
      </c>
      <c r="L5019" s="31"/>
      <c r="M5019" s="31"/>
      <c r="N5019" s="31"/>
      <c r="O5019" s="3" t="s">
        <v>425</v>
      </c>
    </row>
    <row r="5020" spans="1:15">
      <c r="A5020" s="3">
        <f t="shared" si="91"/>
        <v>5019</v>
      </c>
      <c r="B5020" s="65" t="s">
        <v>7413</v>
      </c>
      <c r="C5020" s="1">
        <v>9576674181</v>
      </c>
      <c r="E5020" s="17" t="s">
        <v>7082</v>
      </c>
      <c r="F5020" s="65" t="s">
        <v>1767</v>
      </c>
      <c r="G5020" s="3" t="s">
        <v>424</v>
      </c>
      <c r="H5020" s="2" t="s">
        <v>815</v>
      </c>
      <c r="I5020" s="3" t="s">
        <v>42</v>
      </c>
      <c r="J5020" s="31">
        <v>45979</v>
      </c>
      <c r="K5020" s="31">
        <v>45980</v>
      </c>
      <c r="L5020" s="31"/>
      <c r="M5020" s="31"/>
      <c r="N5020" s="31"/>
      <c r="O5020" s="3" t="s">
        <v>425</v>
      </c>
    </row>
    <row r="5021" spans="1:15">
      <c r="A5021" s="3">
        <f t="shared" si="91"/>
        <v>5020</v>
      </c>
      <c r="B5021" s="65" t="s">
        <v>7414</v>
      </c>
      <c r="C5021" s="1">
        <v>9981765102</v>
      </c>
      <c r="E5021" s="17" t="s">
        <v>7415</v>
      </c>
      <c r="F5021" s="65" t="s">
        <v>7416</v>
      </c>
      <c r="G5021" s="3" t="s">
        <v>16</v>
      </c>
      <c r="H5021" s="2" t="s">
        <v>94</v>
      </c>
      <c r="I5021" s="3" t="s">
        <v>94</v>
      </c>
      <c r="J5021" s="31">
        <v>45976</v>
      </c>
      <c r="K5021" s="31">
        <v>45978</v>
      </c>
      <c r="L5021" s="31">
        <v>45981</v>
      </c>
      <c r="M5021" s="31">
        <v>45989</v>
      </c>
      <c r="N5021" s="31">
        <v>45994</v>
      </c>
      <c r="O5021" s="3" t="s">
        <v>297</v>
      </c>
    </row>
    <row r="5022" spans="1:15">
      <c r="A5022" s="3">
        <f t="shared" si="91"/>
        <v>5021</v>
      </c>
      <c r="B5022" s="65" t="s">
        <v>7417</v>
      </c>
      <c r="C5022" s="1">
        <v>9770604022</v>
      </c>
      <c r="E5022" s="17" t="s">
        <v>6785</v>
      </c>
      <c r="F5022" s="65" t="s">
        <v>3358</v>
      </c>
      <c r="G5022" s="3" t="s">
        <v>16</v>
      </c>
      <c r="H5022" s="2" t="s">
        <v>94</v>
      </c>
      <c r="I5022" s="3" t="s">
        <v>94</v>
      </c>
      <c r="J5022" s="31">
        <v>45976</v>
      </c>
      <c r="K5022" s="31">
        <v>45978</v>
      </c>
      <c r="L5022" s="31">
        <v>45981</v>
      </c>
      <c r="M5022" s="31">
        <v>46013</v>
      </c>
      <c r="N5022" s="31">
        <v>46015</v>
      </c>
      <c r="O5022" s="3" t="s">
        <v>297</v>
      </c>
    </row>
    <row r="5023" spans="1:15">
      <c r="A5023" s="3">
        <f t="shared" si="91"/>
        <v>5022</v>
      </c>
      <c r="B5023" s="65" t="s">
        <v>7418</v>
      </c>
      <c r="C5023" s="1">
        <v>8080147123</v>
      </c>
      <c r="E5023" s="17" t="s">
        <v>7419</v>
      </c>
      <c r="F5023" s="65" t="s">
        <v>2550</v>
      </c>
      <c r="G5023" s="3" t="s">
        <v>16</v>
      </c>
      <c r="H5023" s="2" t="s">
        <v>999</v>
      </c>
      <c r="I5023" s="3" t="s">
        <v>94</v>
      </c>
      <c r="J5023" s="31">
        <v>45976</v>
      </c>
      <c r="K5023" s="31">
        <v>45978</v>
      </c>
      <c r="L5023" s="31">
        <v>45981</v>
      </c>
      <c r="M5023" s="31">
        <v>46013</v>
      </c>
      <c r="N5023" s="31">
        <v>46013</v>
      </c>
      <c r="O5023" s="3" t="s">
        <v>297</v>
      </c>
    </row>
    <row r="5024" spans="1:15">
      <c r="A5024" s="3">
        <f t="shared" si="91"/>
        <v>5023</v>
      </c>
      <c r="B5024" s="65" t="s">
        <v>4087</v>
      </c>
      <c r="C5024" s="1">
        <v>8090012480</v>
      </c>
      <c r="E5024" s="17" t="s">
        <v>7385</v>
      </c>
      <c r="F5024" s="65" t="s">
        <v>6936</v>
      </c>
      <c r="G5024" s="3" t="s">
        <v>16</v>
      </c>
      <c r="H5024" s="2" t="s">
        <v>930</v>
      </c>
      <c r="I5024" s="3" t="s">
        <v>94</v>
      </c>
      <c r="J5024" s="31">
        <v>45976</v>
      </c>
      <c r="K5024" s="31">
        <v>45978</v>
      </c>
      <c r="L5024" s="31">
        <v>45981</v>
      </c>
      <c r="M5024" s="31">
        <v>46003</v>
      </c>
      <c r="N5024" s="31">
        <v>45997</v>
      </c>
      <c r="O5024" s="3" t="s">
        <v>297</v>
      </c>
    </row>
    <row r="5025" spans="1:15">
      <c r="A5025" s="3">
        <f t="shared" si="91"/>
        <v>5024</v>
      </c>
      <c r="B5025" s="65" t="s">
        <v>7420</v>
      </c>
      <c r="C5025" s="1">
        <v>9090476264</v>
      </c>
      <c r="E5025" s="17" t="s">
        <v>7421</v>
      </c>
      <c r="F5025" s="65" t="s">
        <v>7422</v>
      </c>
      <c r="G5025" s="3" t="s">
        <v>18</v>
      </c>
      <c r="H5025" s="2" t="s">
        <v>5574</v>
      </c>
      <c r="I5025" s="3" t="s">
        <v>94</v>
      </c>
      <c r="J5025" s="31">
        <v>45976</v>
      </c>
      <c r="K5025" s="31">
        <v>45978</v>
      </c>
      <c r="L5025" s="31">
        <v>45981</v>
      </c>
      <c r="M5025" s="31">
        <v>45987</v>
      </c>
      <c r="N5025" s="31"/>
      <c r="O5025" s="3" t="s">
        <v>297</v>
      </c>
    </row>
    <row r="5026" spans="1:15">
      <c r="A5026" s="3">
        <f t="shared" si="91"/>
        <v>5025</v>
      </c>
      <c r="B5026" s="65" t="s">
        <v>7423</v>
      </c>
      <c r="C5026" s="1">
        <v>9584818788</v>
      </c>
      <c r="D5026" s="1">
        <v>8770357236</v>
      </c>
      <c r="E5026" s="17" t="s">
        <v>5863</v>
      </c>
      <c r="F5026" s="65" t="s">
        <v>388</v>
      </c>
      <c r="G5026" s="3" t="s">
        <v>16</v>
      </c>
      <c r="H5026" s="2" t="s">
        <v>357</v>
      </c>
      <c r="I5026" s="3" t="s">
        <v>94</v>
      </c>
      <c r="J5026" s="31">
        <v>45980</v>
      </c>
      <c r="K5026" s="31">
        <v>45981</v>
      </c>
      <c r="L5026" s="31">
        <v>45982</v>
      </c>
      <c r="M5026" s="31">
        <v>46000</v>
      </c>
      <c r="N5026" s="31">
        <v>46000</v>
      </c>
      <c r="O5026" s="3" t="s">
        <v>297</v>
      </c>
    </row>
    <row r="5027" spans="1:15">
      <c r="A5027" s="3">
        <f t="shared" si="91"/>
        <v>5026</v>
      </c>
      <c r="B5027" s="65" t="s">
        <v>7424</v>
      </c>
      <c r="C5027" s="1">
        <v>9064557340</v>
      </c>
      <c r="E5027" s="17" t="s">
        <v>5863</v>
      </c>
      <c r="F5027" s="65" t="s">
        <v>388</v>
      </c>
      <c r="G5027" s="3" t="s">
        <v>18</v>
      </c>
      <c r="H5027" s="2" t="s">
        <v>357</v>
      </c>
      <c r="I5027" s="3" t="s">
        <v>94</v>
      </c>
      <c r="J5027" s="31">
        <v>45980</v>
      </c>
      <c r="K5027" s="31">
        <v>45982</v>
      </c>
      <c r="L5027" s="31"/>
      <c r="M5027" s="31"/>
      <c r="N5027" s="31"/>
      <c r="O5027" s="3" t="s">
        <v>297</v>
      </c>
    </row>
    <row r="5028" spans="1:15">
      <c r="A5028" s="3">
        <f t="shared" si="91"/>
        <v>5027</v>
      </c>
      <c r="B5028" s="65" t="s">
        <v>7425</v>
      </c>
      <c r="C5028" s="1">
        <v>9441819927</v>
      </c>
      <c r="E5028" s="17" t="s">
        <v>5173</v>
      </c>
      <c r="F5028" s="65" t="s">
        <v>3696</v>
      </c>
      <c r="G5028" s="2" t="s">
        <v>424</v>
      </c>
      <c r="H5028" s="2" t="s">
        <v>3240</v>
      </c>
      <c r="I5028" s="3" t="s">
        <v>42</v>
      </c>
      <c r="J5028" s="31">
        <v>45980</v>
      </c>
      <c r="K5028" s="31">
        <v>45987</v>
      </c>
      <c r="L5028" s="31"/>
      <c r="M5028" s="31"/>
      <c r="N5028" s="31"/>
      <c r="O5028" s="2" t="s">
        <v>425</v>
      </c>
    </row>
    <row r="5029" spans="1:15">
      <c r="A5029" s="3">
        <f t="shared" si="91"/>
        <v>5028</v>
      </c>
      <c r="B5029" s="65" t="s">
        <v>7426</v>
      </c>
      <c r="C5029" s="1">
        <v>8317686321</v>
      </c>
      <c r="E5029" s="3" t="s">
        <v>7427</v>
      </c>
      <c r="F5029" s="65" t="s">
        <v>303</v>
      </c>
      <c r="G5029" s="3" t="s">
        <v>764</v>
      </c>
      <c r="H5029" s="2" t="s">
        <v>3240</v>
      </c>
      <c r="I5029" s="3" t="s">
        <v>42</v>
      </c>
      <c r="J5029" s="31">
        <v>45980</v>
      </c>
      <c r="K5029" s="31">
        <v>45992</v>
      </c>
      <c r="L5029" s="31"/>
      <c r="M5029" s="31"/>
      <c r="N5029" s="31"/>
      <c r="O5029" s="3" t="s">
        <v>425</v>
      </c>
    </row>
    <row r="5030" spans="1:15">
      <c r="A5030" s="3">
        <f t="shared" si="91"/>
        <v>5029</v>
      </c>
      <c r="B5030" s="65" t="s">
        <v>7428</v>
      </c>
      <c r="C5030" s="1">
        <v>6268810536</v>
      </c>
      <c r="E5030" s="3" t="s">
        <v>6199</v>
      </c>
      <c r="F5030" s="65" t="s">
        <v>303</v>
      </c>
      <c r="G5030" s="3" t="s">
        <v>416</v>
      </c>
      <c r="H5030" s="2" t="s">
        <v>3240</v>
      </c>
      <c r="I5030" s="3" t="s">
        <v>42</v>
      </c>
      <c r="J5030" s="31">
        <v>45980</v>
      </c>
      <c r="K5030" s="31">
        <v>45982</v>
      </c>
      <c r="L5030" s="31"/>
      <c r="M5030" s="31"/>
      <c r="N5030" s="31"/>
      <c r="O5030" s="3" t="s">
        <v>297</v>
      </c>
    </row>
    <row r="5031" spans="1:15">
      <c r="A5031" s="3">
        <f t="shared" si="91"/>
        <v>5030</v>
      </c>
      <c r="B5031" s="65" t="s">
        <v>7429</v>
      </c>
      <c r="C5031" s="1">
        <v>7894016143</v>
      </c>
      <c r="E5031" s="3" t="s">
        <v>6199</v>
      </c>
      <c r="F5031" s="65" t="s">
        <v>3648</v>
      </c>
      <c r="G5031" s="3" t="s">
        <v>416</v>
      </c>
      <c r="H5031" s="2" t="s">
        <v>3240</v>
      </c>
      <c r="I5031" s="3" t="s">
        <v>42</v>
      </c>
      <c r="J5031" s="31">
        <v>45980</v>
      </c>
      <c r="K5031" s="31">
        <v>45982</v>
      </c>
      <c r="L5031" s="31"/>
      <c r="M5031" s="31"/>
      <c r="N5031" s="31"/>
      <c r="O5031" s="3" t="s">
        <v>297</v>
      </c>
    </row>
    <row r="5032" spans="1:15">
      <c r="A5032" s="3">
        <f t="shared" si="91"/>
        <v>5031</v>
      </c>
      <c r="B5032" s="65" t="s">
        <v>7430</v>
      </c>
      <c r="C5032" s="1">
        <v>9390802792</v>
      </c>
      <c r="E5032" s="17" t="s">
        <v>5173</v>
      </c>
      <c r="F5032" s="65" t="s">
        <v>7431</v>
      </c>
      <c r="G5032" s="3" t="s">
        <v>16</v>
      </c>
      <c r="H5032" s="2" t="s">
        <v>3240</v>
      </c>
      <c r="I5032" s="3" t="s">
        <v>42</v>
      </c>
      <c r="J5032" s="31">
        <v>45980</v>
      </c>
      <c r="K5032" s="31">
        <v>45980</v>
      </c>
      <c r="L5032" s="31">
        <v>45982</v>
      </c>
      <c r="M5032" s="31">
        <v>45986</v>
      </c>
      <c r="N5032" s="31">
        <v>45992</v>
      </c>
      <c r="O5032" s="3" t="s">
        <v>297</v>
      </c>
    </row>
    <row r="5033" spans="1:15">
      <c r="A5033" s="3">
        <f t="shared" si="91"/>
        <v>5032</v>
      </c>
      <c r="B5033" s="65" t="s">
        <v>7432</v>
      </c>
      <c r="C5033" s="1">
        <v>9949847465</v>
      </c>
      <c r="E5033" s="3" t="s">
        <v>6199</v>
      </c>
      <c r="F5033" s="65" t="s">
        <v>303</v>
      </c>
      <c r="G5033" s="3" t="s">
        <v>16</v>
      </c>
      <c r="H5033" s="2" t="s">
        <v>3240</v>
      </c>
      <c r="I5033" s="3" t="s">
        <v>42</v>
      </c>
      <c r="J5033" s="31">
        <v>45980</v>
      </c>
      <c r="K5033" s="31">
        <v>45982</v>
      </c>
      <c r="L5033" s="31">
        <v>45989</v>
      </c>
      <c r="M5033" s="31">
        <v>46000</v>
      </c>
      <c r="N5033" s="31">
        <v>46000</v>
      </c>
      <c r="O5033" s="3" t="s">
        <v>297</v>
      </c>
    </row>
    <row r="5034" spans="1:15">
      <c r="A5034" s="3">
        <f t="shared" si="91"/>
        <v>5033</v>
      </c>
      <c r="B5034" s="65" t="s">
        <v>7433</v>
      </c>
      <c r="C5034" s="1">
        <v>9705930063</v>
      </c>
      <c r="E5034" s="3" t="s">
        <v>6199</v>
      </c>
      <c r="F5034" s="65" t="s">
        <v>303</v>
      </c>
      <c r="G5034" s="3" t="s">
        <v>416</v>
      </c>
      <c r="H5034" s="2" t="s">
        <v>3240</v>
      </c>
      <c r="I5034" s="3" t="s">
        <v>42</v>
      </c>
      <c r="J5034" s="31">
        <v>45980</v>
      </c>
      <c r="K5034" s="31">
        <v>45996</v>
      </c>
      <c r="L5034" s="31"/>
      <c r="M5034" s="31"/>
      <c r="N5034" s="31"/>
      <c r="O5034" s="3" t="s">
        <v>297</v>
      </c>
    </row>
    <row r="5035" spans="1:15">
      <c r="A5035" s="3">
        <f t="shared" si="91"/>
        <v>5034</v>
      </c>
      <c r="B5035" s="65" t="s">
        <v>7434</v>
      </c>
      <c r="E5035" s="17" t="s">
        <v>7348</v>
      </c>
      <c r="F5035" s="65"/>
      <c r="G5035" s="3" t="s">
        <v>16</v>
      </c>
      <c r="H5035" s="2"/>
      <c r="I5035" s="3" t="s">
        <v>88</v>
      </c>
      <c r="J5035" s="31"/>
      <c r="K5035" s="31"/>
      <c r="L5035" s="31"/>
      <c r="M5035" s="31"/>
      <c r="N5035" s="31"/>
      <c r="O5035" s="3" t="s">
        <v>297</v>
      </c>
    </row>
    <row r="5036" spans="1:15">
      <c r="A5036" s="3">
        <f t="shared" si="91"/>
        <v>5035</v>
      </c>
      <c r="B5036" s="65" t="s">
        <v>7435</v>
      </c>
      <c r="E5036" s="17" t="s">
        <v>7436</v>
      </c>
      <c r="F5036" s="65"/>
      <c r="G5036" s="3" t="s">
        <v>16</v>
      </c>
      <c r="H5036" s="2"/>
      <c r="I5036" s="3" t="s">
        <v>88</v>
      </c>
      <c r="J5036" s="31"/>
      <c r="K5036" s="31"/>
      <c r="L5036" s="31"/>
      <c r="M5036" s="31"/>
      <c r="N5036" s="31"/>
      <c r="O5036" s="3" t="s">
        <v>297</v>
      </c>
    </row>
    <row r="5037" spans="1:15">
      <c r="A5037" s="3">
        <f t="shared" si="91"/>
        <v>5036</v>
      </c>
      <c r="B5037" s="65" t="s">
        <v>4614</v>
      </c>
      <c r="E5037" s="17" t="s">
        <v>7437</v>
      </c>
      <c r="F5037" s="65"/>
      <c r="G5037" s="3" t="s">
        <v>16</v>
      </c>
      <c r="H5037" s="2"/>
      <c r="I5037" s="3" t="s">
        <v>88</v>
      </c>
      <c r="J5037" s="31"/>
      <c r="K5037" s="31"/>
      <c r="L5037" s="31"/>
      <c r="M5037" s="31"/>
      <c r="N5037" s="31"/>
      <c r="O5037" s="3" t="s">
        <v>297</v>
      </c>
    </row>
    <row r="5038" spans="1:15">
      <c r="A5038" s="3">
        <f t="shared" si="91"/>
        <v>5037</v>
      </c>
      <c r="B5038" s="65" t="s">
        <v>7438</v>
      </c>
      <c r="E5038" s="17" t="s">
        <v>7437</v>
      </c>
      <c r="F5038" s="65"/>
      <c r="G5038" s="3" t="s">
        <v>16</v>
      </c>
      <c r="H5038" s="2"/>
      <c r="I5038" s="3" t="s">
        <v>88</v>
      </c>
      <c r="J5038" s="31"/>
      <c r="K5038" s="31"/>
      <c r="L5038" s="31"/>
      <c r="M5038" s="31"/>
      <c r="N5038" s="31"/>
      <c r="O5038" s="3" t="s">
        <v>297</v>
      </c>
    </row>
    <row r="5039" spans="1:15">
      <c r="A5039" s="3">
        <f t="shared" si="91"/>
        <v>5038</v>
      </c>
      <c r="B5039" s="65" t="s">
        <v>3257</v>
      </c>
      <c r="E5039" s="17" t="s">
        <v>7439</v>
      </c>
      <c r="F5039" s="65"/>
      <c r="G5039" s="3" t="s">
        <v>16</v>
      </c>
      <c r="H5039" s="2"/>
      <c r="I5039" s="3" t="s">
        <v>88</v>
      </c>
      <c r="J5039" s="31"/>
      <c r="K5039" s="31"/>
      <c r="L5039" s="31"/>
      <c r="M5039" s="31"/>
      <c r="N5039" s="31"/>
      <c r="O5039" s="3" t="s">
        <v>297</v>
      </c>
    </row>
    <row r="5040" spans="1:15">
      <c r="A5040" s="3">
        <f t="shared" si="91"/>
        <v>5039</v>
      </c>
      <c r="B5040" s="65" t="s">
        <v>7440</v>
      </c>
      <c r="C5040" s="1">
        <v>7085603777</v>
      </c>
      <c r="E5040" s="17" t="s">
        <v>6562</v>
      </c>
      <c r="F5040" s="65" t="s">
        <v>7441</v>
      </c>
      <c r="G5040" s="3" t="s">
        <v>16</v>
      </c>
      <c r="H5040" s="2" t="s">
        <v>5774</v>
      </c>
      <c r="I5040" s="3" t="s">
        <v>42</v>
      </c>
      <c r="J5040" s="31">
        <v>45981</v>
      </c>
      <c r="K5040" s="31">
        <v>46080</v>
      </c>
      <c r="L5040" s="31">
        <v>46080</v>
      </c>
      <c r="M5040" s="31">
        <v>46104</v>
      </c>
      <c r="N5040" s="31">
        <v>46094</v>
      </c>
      <c r="O5040" s="3" t="s">
        <v>297</v>
      </c>
    </row>
    <row r="5041" spans="1:15">
      <c r="A5041" s="3">
        <f t="shared" si="91"/>
        <v>5040</v>
      </c>
      <c r="B5041" s="65" t="s">
        <v>7442</v>
      </c>
      <c r="C5041" s="1">
        <v>7660818871</v>
      </c>
      <c r="E5041" s="17" t="s">
        <v>7136</v>
      </c>
      <c r="F5041" s="65" t="s">
        <v>6517</v>
      </c>
      <c r="G5041" s="3" t="s">
        <v>424</v>
      </c>
      <c r="H5041" s="2" t="s">
        <v>296</v>
      </c>
      <c r="I5041" s="3" t="s">
        <v>88</v>
      </c>
      <c r="J5041" s="31">
        <v>45981</v>
      </c>
      <c r="K5041" s="31">
        <v>45982</v>
      </c>
      <c r="L5041" s="31"/>
      <c r="M5041" s="31"/>
      <c r="N5041" s="31"/>
      <c r="O5041" s="3" t="s">
        <v>749</v>
      </c>
    </row>
    <row r="5042" spans="1:15">
      <c r="A5042" s="3">
        <f t="shared" si="91"/>
        <v>5041</v>
      </c>
      <c r="B5042" s="65" t="s">
        <v>7443</v>
      </c>
      <c r="C5042" s="1">
        <v>9550172111</v>
      </c>
      <c r="E5042" s="17" t="s">
        <v>4609</v>
      </c>
      <c r="F5042" s="65" t="s">
        <v>7444</v>
      </c>
      <c r="G5042" s="3" t="s">
        <v>16</v>
      </c>
      <c r="H5042" s="2" t="s">
        <v>5774</v>
      </c>
      <c r="I5042" s="3" t="s">
        <v>42</v>
      </c>
      <c r="J5042" s="31">
        <v>45981</v>
      </c>
      <c r="K5042" s="31">
        <v>45981</v>
      </c>
      <c r="L5042" s="31">
        <v>45982</v>
      </c>
      <c r="M5042" s="31">
        <v>45993</v>
      </c>
      <c r="N5042" s="31">
        <v>45994</v>
      </c>
      <c r="O5042" s="3" t="s">
        <v>297</v>
      </c>
    </row>
    <row r="5043" spans="1:15">
      <c r="A5043" s="3">
        <f t="shared" si="91"/>
        <v>5042</v>
      </c>
      <c r="B5043" s="65" t="s">
        <v>7445</v>
      </c>
      <c r="C5043" s="1">
        <v>8978974655</v>
      </c>
      <c r="E5043" s="17" t="s">
        <v>6704</v>
      </c>
      <c r="F5043" s="65" t="s">
        <v>7446</v>
      </c>
      <c r="G5043" s="2" t="s">
        <v>424</v>
      </c>
      <c r="H5043" s="2" t="s">
        <v>5774</v>
      </c>
      <c r="I5043" s="3" t="s">
        <v>42</v>
      </c>
      <c r="J5043" s="31">
        <v>45981</v>
      </c>
      <c r="K5043" s="31">
        <v>45987</v>
      </c>
      <c r="L5043" s="31"/>
      <c r="M5043" s="31"/>
      <c r="N5043" s="31"/>
      <c r="O5043" s="2" t="s">
        <v>425</v>
      </c>
    </row>
    <row r="5044" spans="1:15">
      <c r="A5044" s="3">
        <f t="shared" si="91"/>
        <v>5043</v>
      </c>
      <c r="B5044" s="65" t="s">
        <v>7447</v>
      </c>
      <c r="C5044" s="1">
        <v>6385842457</v>
      </c>
      <c r="E5044" s="17" t="s">
        <v>6704</v>
      </c>
      <c r="F5044" s="65" t="s">
        <v>972</v>
      </c>
      <c r="G5044" s="2" t="s">
        <v>424</v>
      </c>
      <c r="H5044" s="2" t="s">
        <v>5774</v>
      </c>
      <c r="I5044" s="3" t="s">
        <v>42</v>
      </c>
      <c r="J5044" s="31">
        <v>45981</v>
      </c>
      <c r="K5044" s="31">
        <v>45987</v>
      </c>
      <c r="L5044" s="31"/>
      <c r="M5044" s="31"/>
      <c r="N5044" s="31"/>
      <c r="O5044" s="2" t="s">
        <v>425</v>
      </c>
    </row>
    <row r="5045" spans="1:15">
      <c r="A5045" s="3">
        <f t="shared" si="91"/>
        <v>5044</v>
      </c>
      <c r="B5045" s="65" t="s">
        <v>7448</v>
      </c>
      <c r="C5045" s="1">
        <v>9490262866</v>
      </c>
      <c r="E5045" s="17" t="s">
        <v>7449</v>
      </c>
      <c r="F5045" s="65" t="s">
        <v>303</v>
      </c>
      <c r="G5045" s="3" t="s">
        <v>16</v>
      </c>
      <c r="H5045" s="2" t="s">
        <v>3240</v>
      </c>
      <c r="I5045" s="3" t="s">
        <v>42</v>
      </c>
      <c r="J5045" s="31">
        <v>45981</v>
      </c>
      <c r="K5045" s="31">
        <v>45992</v>
      </c>
      <c r="L5045" s="31">
        <v>46000</v>
      </c>
      <c r="M5045" s="31">
        <v>46042</v>
      </c>
      <c r="N5045" s="31">
        <v>46032</v>
      </c>
      <c r="O5045" s="3" t="s">
        <v>297</v>
      </c>
    </row>
    <row r="5046" spans="1:15">
      <c r="A5046" s="3">
        <f t="shared" si="91"/>
        <v>5045</v>
      </c>
      <c r="B5046" s="65" t="s">
        <v>7450</v>
      </c>
      <c r="C5046" s="1">
        <v>9505708718</v>
      </c>
      <c r="E5046" s="17" t="s">
        <v>6236</v>
      </c>
      <c r="F5046" s="65" t="s">
        <v>303</v>
      </c>
      <c r="G5046" s="3" t="s">
        <v>16</v>
      </c>
      <c r="H5046" s="2" t="s">
        <v>3240</v>
      </c>
      <c r="I5046" s="3" t="s">
        <v>42</v>
      </c>
      <c r="J5046" s="31">
        <v>45981</v>
      </c>
      <c r="K5046" s="31">
        <v>45996</v>
      </c>
      <c r="L5046" s="31">
        <v>46016</v>
      </c>
      <c r="M5046" s="31">
        <v>46027</v>
      </c>
      <c r="N5046" s="31">
        <v>46027</v>
      </c>
      <c r="O5046" s="3" t="s">
        <v>297</v>
      </c>
    </row>
    <row r="5047" spans="1:15">
      <c r="A5047" s="3">
        <f t="shared" si="91"/>
        <v>5046</v>
      </c>
      <c r="B5047" s="65" t="s">
        <v>7451</v>
      </c>
      <c r="C5047" s="1">
        <v>8886884855</v>
      </c>
      <c r="E5047" s="17" t="s">
        <v>7044</v>
      </c>
      <c r="F5047" s="65"/>
      <c r="G5047" s="3" t="s">
        <v>16</v>
      </c>
      <c r="H5047" s="2"/>
      <c r="I5047" s="3" t="s">
        <v>42</v>
      </c>
      <c r="J5047" s="31">
        <v>45978</v>
      </c>
      <c r="K5047" s="31">
        <v>45980</v>
      </c>
      <c r="L5047" s="31">
        <v>45981</v>
      </c>
      <c r="M5047" s="31">
        <v>45967</v>
      </c>
      <c r="N5047" s="31">
        <v>45967</v>
      </c>
      <c r="O5047" s="3" t="s">
        <v>297</v>
      </c>
    </row>
    <row r="5048" spans="1:15">
      <c r="A5048" s="3">
        <f t="shared" si="91"/>
        <v>5047</v>
      </c>
      <c r="B5048" s="65" t="s">
        <v>7452</v>
      </c>
      <c r="C5048" s="1">
        <v>9492972244</v>
      </c>
      <c r="E5048" s="17" t="s">
        <v>7044</v>
      </c>
      <c r="F5048" s="65"/>
      <c r="G5048" s="3" t="s">
        <v>16</v>
      </c>
      <c r="H5048" s="2"/>
      <c r="I5048" s="3" t="s">
        <v>42</v>
      </c>
      <c r="J5048" s="31">
        <v>45978</v>
      </c>
      <c r="K5048" s="31">
        <v>45980</v>
      </c>
      <c r="L5048" s="31">
        <v>45981</v>
      </c>
      <c r="M5048" s="31">
        <v>45967</v>
      </c>
      <c r="N5048" s="31">
        <v>45967</v>
      </c>
      <c r="O5048" s="3" t="s">
        <v>297</v>
      </c>
    </row>
    <row r="5049" spans="1:15">
      <c r="A5049" s="3">
        <f t="shared" si="91"/>
        <v>5048</v>
      </c>
      <c r="B5049" s="65" t="s">
        <v>7453</v>
      </c>
      <c r="C5049" s="1">
        <v>8309098041</v>
      </c>
      <c r="E5049" s="17" t="s">
        <v>7044</v>
      </c>
      <c r="F5049" s="65"/>
      <c r="G5049" s="3" t="s">
        <v>16</v>
      </c>
      <c r="H5049" s="2"/>
      <c r="I5049" s="3" t="s">
        <v>42</v>
      </c>
      <c r="J5049" s="31">
        <v>45978</v>
      </c>
      <c r="K5049" s="31">
        <v>45980</v>
      </c>
      <c r="L5049" s="31">
        <v>45981</v>
      </c>
      <c r="M5049" s="31">
        <v>45973</v>
      </c>
      <c r="N5049" s="31">
        <v>45973</v>
      </c>
      <c r="O5049" s="3" t="s">
        <v>297</v>
      </c>
    </row>
    <row r="5050" spans="1:15">
      <c r="A5050" s="3">
        <f t="shared" si="91"/>
        <v>5049</v>
      </c>
      <c r="B5050" s="65" t="s">
        <v>7454</v>
      </c>
      <c r="C5050" s="1">
        <v>8106378194</v>
      </c>
      <c r="E5050" s="17" t="s">
        <v>7082</v>
      </c>
      <c r="F5050" s="65"/>
      <c r="G5050" s="3" t="s">
        <v>16</v>
      </c>
      <c r="H5050" s="2"/>
      <c r="I5050" s="3" t="s">
        <v>42</v>
      </c>
      <c r="J5050" s="31">
        <v>45978</v>
      </c>
      <c r="K5050" s="31">
        <v>45980</v>
      </c>
      <c r="L5050" s="31">
        <v>45981</v>
      </c>
      <c r="M5050" s="31">
        <v>45980</v>
      </c>
      <c r="N5050" s="31">
        <v>45980</v>
      </c>
      <c r="O5050" s="3" t="s">
        <v>297</v>
      </c>
    </row>
    <row r="5051" spans="1:15">
      <c r="A5051" s="3">
        <f t="shared" si="91"/>
        <v>5050</v>
      </c>
      <c r="B5051" s="65" t="s">
        <v>7455</v>
      </c>
      <c r="C5051" s="1">
        <v>8074854033</v>
      </c>
      <c r="E5051" s="17" t="s">
        <v>7082</v>
      </c>
      <c r="F5051" s="65"/>
      <c r="G5051" s="3" t="s">
        <v>16</v>
      </c>
      <c r="H5051" s="2"/>
      <c r="I5051" s="3" t="s">
        <v>42</v>
      </c>
      <c r="J5051" s="31">
        <v>45978</v>
      </c>
      <c r="K5051" s="31">
        <v>45980</v>
      </c>
      <c r="L5051" s="31">
        <v>45981</v>
      </c>
      <c r="M5051" s="31">
        <v>45981</v>
      </c>
      <c r="N5051" s="31">
        <v>45981</v>
      </c>
      <c r="O5051" s="3" t="s">
        <v>297</v>
      </c>
    </row>
    <row r="5052" spans="1:15">
      <c r="A5052" s="3">
        <f t="shared" si="91"/>
        <v>5051</v>
      </c>
      <c r="B5052" s="65" t="s">
        <v>7456</v>
      </c>
      <c r="C5052" s="1">
        <v>9550197330</v>
      </c>
      <c r="D5052" s="1">
        <v>8919971320</v>
      </c>
      <c r="E5052" s="17" t="s">
        <v>5459</v>
      </c>
      <c r="F5052" s="65" t="s">
        <v>972</v>
      </c>
      <c r="G5052" s="3" t="s">
        <v>1175</v>
      </c>
      <c r="H5052" s="2" t="s">
        <v>1544</v>
      </c>
      <c r="I5052" s="3" t="s">
        <v>94</v>
      </c>
      <c r="J5052" s="31">
        <v>45982</v>
      </c>
      <c r="K5052" s="31"/>
      <c r="L5052" s="31"/>
      <c r="M5052" s="31"/>
      <c r="N5052" s="31"/>
      <c r="O5052" s="3" t="s">
        <v>1004</v>
      </c>
    </row>
    <row r="5053" spans="1:15">
      <c r="A5053" s="3">
        <f t="shared" si="91"/>
        <v>5052</v>
      </c>
      <c r="B5053" s="65" t="s">
        <v>7457</v>
      </c>
      <c r="C5053" s="1">
        <v>9923626771</v>
      </c>
      <c r="E5053" s="17" t="s">
        <v>5459</v>
      </c>
      <c r="F5053" s="65" t="s">
        <v>972</v>
      </c>
      <c r="G5053" s="3" t="s">
        <v>1175</v>
      </c>
      <c r="H5053" s="2" t="s">
        <v>1544</v>
      </c>
      <c r="I5053" s="3" t="s">
        <v>94</v>
      </c>
      <c r="J5053" s="31">
        <v>45982</v>
      </c>
      <c r="K5053" s="31"/>
      <c r="L5053" s="31"/>
      <c r="M5053" s="31"/>
      <c r="N5053" s="31"/>
      <c r="O5053" s="3" t="s">
        <v>1004</v>
      </c>
    </row>
    <row r="5054" spans="1:15">
      <c r="A5054" s="3">
        <f t="shared" si="91"/>
        <v>5053</v>
      </c>
      <c r="B5054" s="65" t="s">
        <v>7458</v>
      </c>
      <c r="C5054" s="1">
        <v>8770567035</v>
      </c>
      <c r="D5054" s="1">
        <v>9755026419</v>
      </c>
      <c r="E5054" s="17" t="s">
        <v>5459</v>
      </c>
      <c r="F5054" s="65" t="s">
        <v>275</v>
      </c>
      <c r="G5054" s="3" t="s">
        <v>1175</v>
      </c>
      <c r="H5054" s="2" t="s">
        <v>1544</v>
      </c>
      <c r="I5054" s="3" t="s">
        <v>94</v>
      </c>
      <c r="J5054" s="31">
        <v>45982</v>
      </c>
      <c r="K5054" s="31"/>
      <c r="L5054" s="31"/>
      <c r="M5054" s="31"/>
      <c r="N5054" s="31"/>
      <c r="O5054" s="3" t="s">
        <v>1004</v>
      </c>
    </row>
    <row r="5055" spans="1:15">
      <c r="A5055" s="3">
        <f t="shared" si="91"/>
        <v>5054</v>
      </c>
      <c r="B5055" s="65" t="s">
        <v>7459</v>
      </c>
      <c r="C5055" s="1">
        <v>8859240563</v>
      </c>
      <c r="E5055" s="17" t="s">
        <v>5705</v>
      </c>
      <c r="F5055" s="65" t="s">
        <v>6303</v>
      </c>
      <c r="G5055" s="3" t="s">
        <v>18</v>
      </c>
      <c r="H5055" s="2" t="s">
        <v>1544</v>
      </c>
      <c r="I5055" s="3" t="s">
        <v>94</v>
      </c>
      <c r="J5055" s="31">
        <v>45982</v>
      </c>
      <c r="K5055" s="31">
        <v>46010</v>
      </c>
      <c r="L5055" s="31"/>
      <c r="M5055" s="31"/>
      <c r="N5055" s="31"/>
      <c r="O5055" s="3" t="s">
        <v>297</v>
      </c>
    </row>
    <row r="5056" spans="1:15">
      <c r="A5056" s="3">
        <f t="shared" si="91"/>
        <v>5055</v>
      </c>
      <c r="B5056" s="65" t="s">
        <v>7460</v>
      </c>
      <c r="C5056" s="1">
        <v>9096984037</v>
      </c>
      <c r="E5056" s="17" t="s">
        <v>7461</v>
      </c>
      <c r="F5056" s="65"/>
      <c r="G5056" s="3" t="s">
        <v>16</v>
      </c>
      <c r="H5056" s="2" t="s">
        <v>94</v>
      </c>
      <c r="I5056" s="3" t="s">
        <v>94</v>
      </c>
      <c r="J5056" s="31">
        <v>45978</v>
      </c>
      <c r="K5056" s="31">
        <v>45980</v>
      </c>
      <c r="L5056" s="31">
        <v>45982</v>
      </c>
      <c r="M5056" s="31">
        <v>45997</v>
      </c>
      <c r="N5056" s="31">
        <v>45999</v>
      </c>
      <c r="O5056" s="3" t="s">
        <v>297</v>
      </c>
    </row>
    <row r="5057" spans="1:15">
      <c r="A5057" s="3">
        <f t="shared" si="91"/>
        <v>5056</v>
      </c>
      <c r="B5057" s="65" t="s">
        <v>7462</v>
      </c>
      <c r="C5057" s="1">
        <v>7974756791</v>
      </c>
      <c r="E5057" s="17" t="s">
        <v>6786</v>
      </c>
      <c r="F5057" s="65"/>
      <c r="G5057" s="3" t="s">
        <v>16</v>
      </c>
      <c r="H5057" s="2" t="s">
        <v>94</v>
      </c>
      <c r="I5057" s="3" t="s">
        <v>94</v>
      </c>
      <c r="J5057" s="31">
        <v>45978</v>
      </c>
      <c r="K5057" s="31">
        <v>45980</v>
      </c>
      <c r="L5057" s="31">
        <v>45982</v>
      </c>
      <c r="M5057" s="31">
        <v>46012</v>
      </c>
      <c r="N5057" s="31">
        <v>46024</v>
      </c>
      <c r="O5057" s="3" t="s">
        <v>297</v>
      </c>
    </row>
    <row r="5058" spans="1:15">
      <c r="A5058" s="3">
        <f t="shared" si="91"/>
        <v>5057</v>
      </c>
      <c r="B5058" s="65" t="s">
        <v>7463</v>
      </c>
      <c r="C5058" s="1">
        <v>9752976756</v>
      </c>
      <c r="E5058" s="17" t="s">
        <v>6747</v>
      </c>
      <c r="F5058" s="65"/>
      <c r="G5058" s="3" t="s">
        <v>16</v>
      </c>
      <c r="H5058" s="2" t="s">
        <v>94</v>
      </c>
      <c r="I5058" s="3" t="s">
        <v>94</v>
      </c>
      <c r="J5058" s="31">
        <v>45978</v>
      </c>
      <c r="K5058" s="31">
        <v>45980</v>
      </c>
      <c r="L5058" s="31">
        <v>45982</v>
      </c>
      <c r="M5058" s="31">
        <v>46012</v>
      </c>
      <c r="N5058" s="31">
        <v>46013</v>
      </c>
      <c r="O5058" s="3" t="s">
        <v>297</v>
      </c>
    </row>
    <row r="5059" spans="1:15">
      <c r="A5059" s="3">
        <f t="shared" si="91"/>
        <v>5058</v>
      </c>
      <c r="B5059" s="65" t="s">
        <v>7464</v>
      </c>
      <c r="C5059" s="1">
        <v>9010916070</v>
      </c>
      <c r="E5059" s="17" t="s">
        <v>5776</v>
      </c>
      <c r="F5059" s="65" t="s">
        <v>310</v>
      </c>
      <c r="G5059" s="3" t="s">
        <v>295</v>
      </c>
      <c r="H5059" s="2" t="s">
        <v>7465</v>
      </c>
      <c r="I5059" s="3" t="s">
        <v>42</v>
      </c>
      <c r="J5059" s="31">
        <v>45978</v>
      </c>
      <c r="K5059" s="31">
        <v>45980</v>
      </c>
      <c r="L5059" s="31">
        <v>45982</v>
      </c>
      <c r="M5059" s="31">
        <v>46016</v>
      </c>
      <c r="N5059" s="31"/>
      <c r="O5059" s="3" t="s">
        <v>297</v>
      </c>
    </row>
    <row r="5060" spans="1:15">
      <c r="A5060" s="3">
        <f t="shared" ref="A5060:A5069" si="92">ROW()-1</f>
        <v>5059</v>
      </c>
      <c r="B5060" s="65" t="s">
        <v>7466</v>
      </c>
      <c r="C5060" s="1">
        <v>7207306893</v>
      </c>
      <c r="E5060" s="17" t="s">
        <v>5904</v>
      </c>
      <c r="F5060" s="65" t="s">
        <v>3640</v>
      </c>
      <c r="G5060" s="3" t="s">
        <v>16</v>
      </c>
      <c r="H5060" s="2" t="s">
        <v>7467</v>
      </c>
      <c r="I5060" s="3" t="s">
        <v>42</v>
      </c>
      <c r="J5060" s="31">
        <v>45978</v>
      </c>
      <c r="K5060" s="31">
        <v>45980</v>
      </c>
      <c r="L5060" s="31">
        <v>45982</v>
      </c>
      <c r="M5060" s="31">
        <v>45986</v>
      </c>
      <c r="N5060" s="31">
        <v>45987</v>
      </c>
      <c r="O5060" s="3" t="s">
        <v>297</v>
      </c>
    </row>
    <row r="5061" spans="1:15">
      <c r="A5061" s="3">
        <f t="shared" si="92"/>
        <v>5060</v>
      </c>
      <c r="B5061" s="65" t="s">
        <v>7468</v>
      </c>
      <c r="C5061" s="1">
        <v>9989745944</v>
      </c>
      <c r="D5061" s="1">
        <v>8500353830</v>
      </c>
      <c r="E5061" s="17" t="s">
        <v>6373</v>
      </c>
      <c r="F5061" s="65" t="s">
        <v>972</v>
      </c>
      <c r="G5061" s="3" t="s">
        <v>1175</v>
      </c>
      <c r="H5061" s="2" t="s">
        <v>5163</v>
      </c>
      <c r="I5061" s="3" t="s">
        <v>94</v>
      </c>
      <c r="J5061" s="31">
        <v>45982</v>
      </c>
      <c r="K5061" s="31"/>
      <c r="L5061" s="31"/>
      <c r="M5061" s="31"/>
      <c r="N5061" s="31"/>
      <c r="O5061" s="3" t="s">
        <v>1004</v>
      </c>
    </row>
    <row r="5062" spans="1:15">
      <c r="A5062" s="3">
        <f t="shared" si="92"/>
        <v>5061</v>
      </c>
      <c r="B5062" s="65" t="s">
        <v>7469</v>
      </c>
      <c r="C5062" s="1">
        <v>9849833190</v>
      </c>
      <c r="E5062" s="17" t="s">
        <v>6373</v>
      </c>
      <c r="F5062" s="65" t="s">
        <v>972</v>
      </c>
      <c r="G5062" s="3" t="s">
        <v>1175</v>
      </c>
      <c r="H5062" s="2" t="s">
        <v>5163</v>
      </c>
      <c r="I5062" s="3" t="s">
        <v>94</v>
      </c>
      <c r="J5062" s="31">
        <v>45982</v>
      </c>
      <c r="K5062" s="31"/>
      <c r="L5062" s="31"/>
      <c r="M5062" s="31"/>
      <c r="N5062" s="31"/>
      <c r="O5062" s="3" t="s">
        <v>1004</v>
      </c>
    </row>
    <row r="5063" spans="1:15">
      <c r="A5063" s="3">
        <f t="shared" si="92"/>
        <v>5062</v>
      </c>
      <c r="B5063" s="65" t="s">
        <v>7470</v>
      </c>
      <c r="C5063" s="1">
        <v>8870489008</v>
      </c>
      <c r="E5063" s="17" t="s">
        <v>6798</v>
      </c>
      <c r="F5063" s="65"/>
      <c r="G5063" s="2" t="s">
        <v>424</v>
      </c>
      <c r="H5063" s="3" t="s">
        <v>42</v>
      </c>
      <c r="I5063" s="3" t="s">
        <v>42</v>
      </c>
      <c r="J5063" s="31">
        <v>45982</v>
      </c>
      <c r="K5063" s="31">
        <v>45987</v>
      </c>
      <c r="L5063" s="31"/>
      <c r="M5063" s="31"/>
      <c r="N5063" s="31"/>
      <c r="O5063" s="2" t="s">
        <v>749</v>
      </c>
    </row>
    <row r="5064" spans="1:15">
      <c r="A5064" s="3">
        <f t="shared" si="92"/>
        <v>5063</v>
      </c>
      <c r="B5064" s="65" t="s">
        <v>7471</v>
      </c>
      <c r="E5064" s="17" t="s">
        <v>6798</v>
      </c>
      <c r="F5064" s="65"/>
      <c r="G5064" s="3" t="s">
        <v>18</v>
      </c>
      <c r="H5064" s="3" t="s">
        <v>42</v>
      </c>
      <c r="I5064" s="3" t="s">
        <v>42</v>
      </c>
      <c r="J5064" s="31">
        <v>45982</v>
      </c>
      <c r="K5064" s="31">
        <v>45987</v>
      </c>
      <c r="L5064" s="31"/>
      <c r="M5064" s="31"/>
      <c r="N5064" s="31"/>
      <c r="O5064" s="3" t="s">
        <v>297</v>
      </c>
    </row>
    <row r="5065" spans="1:15">
      <c r="A5065" s="3">
        <f t="shared" si="92"/>
        <v>5064</v>
      </c>
      <c r="B5065" s="65" t="s">
        <v>7472</v>
      </c>
      <c r="C5065" s="1">
        <v>8639353140</v>
      </c>
      <c r="E5065" s="17" t="s">
        <v>6798</v>
      </c>
      <c r="F5065" s="65"/>
      <c r="G5065" s="2" t="s">
        <v>424</v>
      </c>
      <c r="H5065" s="3" t="s">
        <v>42</v>
      </c>
      <c r="I5065" s="3" t="s">
        <v>42</v>
      </c>
      <c r="J5065" s="31">
        <v>45982</v>
      </c>
      <c r="K5065" s="31">
        <v>45987</v>
      </c>
      <c r="L5065" s="31"/>
      <c r="M5065" s="31"/>
      <c r="N5065" s="31"/>
      <c r="O5065" s="2" t="s">
        <v>749</v>
      </c>
    </row>
    <row r="5066" spans="1:15">
      <c r="A5066" s="3">
        <f t="shared" si="92"/>
        <v>5065</v>
      </c>
      <c r="B5066" s="65" t="s">
        <v>7473</v>
      </c>
      <c r="C5066" s="1">
        <v>9642152746</v>
      </c>
      <c r="D5066" s="1">
        <v>8555027065</v>
      </c>
      <c r="E5066" s="17" t="s">
        <v>7125</v>
      </c>
      <c r="F5066" s="65"/>
      <c r="G5066" s="3" t="s">
        <v>424</v>
      </c>
      <c r="H5066" s="3" t="s">
        <v>42</v>
      </c>
      <c r="I5066" s="3" t="s">
        <v>42</v>
      </c>
      <c r="J5066" s="31">
        <v>45982</v>
      </c>
      <c r="K5066" s="31">
        <v>45989</v>
      </c>
      <c r="L5066" s="31"/>
      <c r="M5066" s="31"/>
      <c r="N5066" s="31"/>
      <c r="O5066" s="3" t="s">
        <v>425</v>
      </c>
    </row>
    <row r="5067" spans="1:15">
      <c r="A5067" s="3">
        <f t="shared" si="92"/>
        <v>5066</v>
      </c>
      <c r="B5067" s="65" t="s">
        <v>7474</v>
      </c>
      <c r="C5067" s="1">
        <v>6376022910</v>
      </c>
      <c r="E5067" s="17" t="s">
        <v>7475</v>
      </c>
      <c r="F5067" s="65" t="s">
        <v>7476</v>
      </c>
      <c r="G5067" s="3" t="s">
        <v>16</v>
      </c>
      <c r="H5067" s="3" t="s">
        <v>5774</v>
      </c>
      <c r="I5067" s="3" t="s">
        <v>42</v>
      </c>
      <c r="J5067" s="31">
        <v>45982</v>
      </c>
      <c r="K5067" s="31">
        <v>45986</v>
      </c>
      <c r="L5067" s="31">
        <v>45989</v>
      </c>
      <c r="M5067" s="31">
        <v>46048</v>
      </c>
      <c r="N5067" s="31">
        <v>46043</v>
      </c>
      <c r="O5067" s="3" t="s">
        <v>297</v>
      </c>
    </row>
    <row r="5068" spans="1:15">
      <c r="A5068" s="3">
        <f t="shared" si="92"/>
        <v>5067</v>
      </c>
      <c r="B5068" s="65" t="s">
        <v>7477</v>
      </c>
      <c r="C5068" s="1">
        <v>8004754900</v>
      </c>
      <c r="E5068" s="17" t="s">
        <v>7475</v>
      </c>
      <c r="F5068" s="65" t="s">
        <v>7476</v>
      </c>
      <c r="G5068" s="3" t="s">
        <v>416</v>
      </c>
      <c r="H5068" s="3" t="s">
        <v>5774</v>
      </c>
      <c r="I5068" s="3" t="s">
        <v>42</v>
      </c>
      <c r="J5068" s="31">
        <v>45982</v>
      </c>
      <c r="K5068" s="31">
        <v>45986</v>
      </c>
      <c r="L5068" s="31"/>
      <c r="M5068" s="31"/>
      <c r="N5068" s="31"/>
      <c r="O5068" s="3" t="s">
        <v>297</v>
      </c>
    </row>
    <row r="5069" spans="1:15">
      <c r="A5069" s="3">
        <f t="shared" si="92"/>
        <v>5068</v>
      </c>
      <c r="B5069" s="65" t="s">
        <v>7478</v>
      </c>
      <c r="C5069" s="1">
        <v>9490599816</v>
      </c>
      <c r="E5069" s="17" t="s">
        <v>7353</v>
      </c>
      <c r="F5069" s="65" t="s">
        <v>1999</v>
      </c>
      <c r="G5069" s="3" t="s">
        <v>16</v>
      </c>
      <c r="H5069" s="3" t="s">
        <v>999</v>
      </c>
      <c r="I5069" s="3" t="s">
        <v>88</v>
      </c>
      <c r="J5069" s="31">
        <v>45978</v>
      </c>
      <c r="K5069" s="31">
        <v>45980</v>
      </c>
      <c r="L5069" s="31">
        <v>45982</v>
      </c>
      <c r="M5069" s="31">
        <v>46012</v>
      </c>
      <c r="N5069" s="31">
        <v>46015</v>
      </c>
      <c r="O5069" s="3" t="s">
        <v>297</v>
      </c>
    </row>
    <row r="5070" spans="1:15">
      <c r="A5070" s="3">
        <f>ROW()-1</f>
        <v>5069</v>
      </c>
      <c r="B5070" s="65" t="s">
        <v>7479</v>
      </c>
      <c r="C5070" s="1">
        <v>8498847790</v>
      </c>
      <c r="E5070" s="17" t="s">
        <v>5776</v>
      </c>
      <c r="F5070" s="65"/>
      <c r="G5070" s="3" t="s">
        <v>16</v>
      </c>
      <c r="H5070" s="3" t="s">
        <v>7467</v>
      </c>
      <c r="I5070" s="3" t="s">
        <v>42</v>
      </c>
      <c r="J5070" s="31">
        <v>45978</v>
      </c>
      <c r="K5070" s="31">
        <v>45980</v>
      </c>
      <c r="L5070" s="31">
        <v>45982</v>
      </c>
      <c r="M5070" s="31">
        <v>46006</v>
      </c>
      <c r="N5070" s="31">
        <v>46007</v>
      </c>
      <c r="O5070" s="3" t="s">
        <v>297</v>
      </c>
    </row>
    <row r="5071" spans="1:15">
      <c r="A5071" s="3">
        <f>ROW()-1</f>
        <v>5070</v>
      </c>
      <c r="B5071" s="65" t="s">
        <v>7480</v>
      </c>
      <c r="C5071" s="1">
        <v>8500793364</v>
      </c>
      <c r="E5071" s="17" t="s">
        <v>7481</v>
      </c>
      <c r="F5071" s="65"/>
      <c r="G5071" s="3" t="s">
        <v>16</v>
      </c>
      <c r="H5071" s="3" t="s">
        <v>162</v>
      </c>
      <c r="I5071" s="3" t="s">
        <v>42</v>
      </c>
      <c r="J5071" s="31">
        <v>45978</v>
      </c>
      <c r="K5071" s="31">
        <v>45980</v>
      </c>
      <c r="L5071" s="31">
        <v>45982</v>
      </c>
      <c r="M5071" s="31">
        <v>45992</v>
      </c>
      <c r="N5071" s="31">
        <v>45992</v>
      </c>
      <c r="O5071" s="3" t="s">
        <v>297</v>
      </c>
    </row>
    <row r="5072" spans="1:15">
      <c r="A5072" s="3">
        <f t="shared" ref="A5072:A5074" si="93">ROW()-1</f>
        <v>5071</v>
      </c>
      <c r="B5072" s="65" t="s">
        <v>7482</v>
      </c>
      <c r="C5072" s="1">
        <v>9447126265</v>
      </c>
      <c r="E5072" s="17" t="s">
        <v>7427</v>
      </c>
      <c r="F5072" s="65" t="s">
        <v>303</v>
      </c>
      <c r="G5072" s="3" t="s">
        <v>764</v>
      </c>
      <c r="H5072" s="3" t="s">
        <v>3240</v>
      </c>
      <c r="I5072" s="3" t="s">
        <v>42</v>
      </c>
      <c r="J5072" s="31">
        <v>45985</v>
      </c>
      <c r="K5072" s="31">
        <v>45992</v>
      </c>
      <c r="L5072" s="31"/>
      <c r="M5072" s="31"/>
      <c r="N5072" s="31"/>
      <c r="O5072" s="3" t="s">
        <v>425</v>
      </c>
    </row>
    <row r="5073" spans="1:15">
      <c r="A5073" s="3">
        <f t="shared" si="93"/>
        <v>5072</v>
      </c>
      <c r="B5073" s="65" t="s">
        <v>7483</v>
      </c>
      <c r="C5073" s="1">
        <v>8184996621</v>
      </c>
      <c r="E5073" s="3" t="s">
        <v>3954</v>
      </c>
      <c r="F5073" s="65" t="s">
        <v>7484</v>
      </c>
      <c r="G5073" s="3" t="s">
        <v>295</v>
      </c>
      <c r="H5073" s="3" t="s">
        <v>5774</v>
      </c>
      <c r="I5073" s="3" t="s">
        <v>42</v>
      </c>
      <c r="J5073" s="31">
        <v>45985</v>
      </c>
      <c r="K5073" s="31">
        <v>45986</v>
      </c>
      <c r="L5073" s="31">
        <v>46016</v>
      </c>
      <c r="M5073" s="31">
        <v>46063</v>
      </c>
      <c r="N5073" s="31"/>
      <c r="O5073" s="3" t="s">
        <v>297</v>
      </c>
    </row>
    <row r="5074" spans="1:15">
      <c r="A5074" s="3">
        <f t="shared" si="93"/>
        <v>5073</v>
      </c>
      <c r="B5074" s="65" t="s">
        <v>7485</v>
      </c>
      <c r="C5074" s="1">
        <v>9658704774</v>
      </c>
      <c r="E5074" s="17" t="s">
        <v>6537</v>
      </c>
      <c r="F5074" s="65" t="s">
        <v>7486</v>
      </c>
      <c r="G5074" s="3" t="s">
        <v>16</v>
      </c>
      <c r="H5074" s="3" t="s">
        <v>5774</v>
      </c>
      <c r="I5074" s="3" t="s">
        <v>42</v>
      </c>
      <c r="J5074" s="31">
        <v>45985</v>
      </c>
      <c r="K5074" s="31">
        <v>45986</v>
      </c>
      <c r="L5074" s="31">
        <v>45989</v>
      </c>
      <c r="M5074" s="31">
        <v>46041</v>
      </c>
      <c r="N5074" s="31">
        <v>46017</v>
      </c>
      <c r="O5074" s="3" t="s">
        <v>297</v>
      </c>
    </row>
    <row r="5075" spans="1:15">
      <c r="A5075" s="3">
        <f>ROW()-1</f>
        <v>5074</v>
      </c>
      <c r="B5075" s="65" t="s">
        <v>4279</v>
      </c>
      <c r="C5075" s="1">
        <v>7569858534</v>
      </c>
      <c r="E5075" s="17" t="s">
        <v>7114</v>
      </c>
      <c r="F5075" s="65" t="s">
        <v>7487</v>
      </c>
      <c r="G5075" s="3" t="s">
        <v>416</v>
      </c>
      <c r="H5075" s="3" t="s">
        <v>5774</v>
      </c>
      <c r="I5075" s="3" t="s">
        <v>42</v>
      </c>
      <c r="J5075" s="31">
        <v>45985</v>
      </c>
      <c r="K5075" s="31">
        <v>45985</v>
      </c>
      <c r="L5075" s="31"/>
      <c r="M5075" s="31"/>
      <c r="N5075" s="31"/>
      <c r="O5075" s="3" t="s">
        <v>297</v>
      </c>
    </row>
    <row r="5076" spans="1:15">
      <c r="A5076" s="3">
        <f t="shared" ref="A5076:A5078" si="94">ROW()-1</f>
        <v>5075</v>
      </c>
      <c r="B5076" s="65" t="s">
        <v>7488</v>
      </c>
      <c r="C5076" s="1">
        <v>7023644921</v>
      </c>
      <c r="E5076" s="17" t="s">
        <v>6181</v>
      </c>
      <c r="F5076" s="65" t="s">
        <v>7489</v>
      </c>
      <c r="G5076" s="3" t="s">
        <v>16</v>
      </c>
      <c r="H5076" s="3" t="s">
        <v>5774</v>
      </c>
      <c r="I5076" s="3" t="s">
        <v>42</v>
      </c>
      <c r="J5076" s="31">
        <v>45985</v>
      </c>
      <c r="K5076" s="31">
        <v>45989</v>
      </c>
      <c r="L5076" s="31">
        <v>45989</v>
      </c>
      <c r="M5076" s="31">
        <v>46063</v>
      </c>
      <c r="N5076" s="31">
        <v>46064</v>
      </c>
      <c r="O5076" s="3" t="s">
        <v>297</v>
      </c>
    </row>
    <row r="5077" spans="1:15">
      <c r="A5077" s="3">
        <f t="shared" si="94"/>
        <v>5076</v>
      </c>
      <c r="B5077" s="65" t="s">
        <v>7490</v>
      </c>
      <c r="C5077" s="1">
        <v>9885106112</v>
      </c>
      <c r="E5077" s="17" t="s">
        <v>6181</v>
      </c>
      <c r="F5077" s="65" t="s">
        <v>7491</v>
      </c>
      <c r="G5077" s="3" t="s">
        <v>764</v>
      </c>
      <c r="H5077" s="3" t="s">
        <v>5774</v>
      </c>
      <c r="I5077" s="3" t="s">
        <v>42</v>
      </c>
      <c r="J5077" s="31">
        <v>45985</v>
      </c>
      <c r="K5077" s="31">
        <v>45994</v>
      </c>
      <c r="L5077" s="31"/>
      <c r="M5077" s="31"/>
      <c r="N5077" s="31"/>
      <c r="O5077" s="3" t="s">
        <v>425</v>
      </c>
    </row>
    <row r="5078" spans="1:15">
      <c r="A5078" s="3">
        <f t="shared" si="94"/>
        <v>5077</v>
      </c>
      <c r="B5078" s="65" t="s">
        <v>7492</v>
      </c>
      <c r="C5078" s="1">
        <v>9440386315</v>
      </c>
      <c r="E5078" s="17" t="s">
        <v>7493</v>
      </c>
      <c r="F5078" s="65" t="s">
        <v>7494</v>
      </c>
      <c r="G5078" s="2" t="s">
        <v>16</v>
      </c>
      <c r="H5078" s="3" t="s">
        <v>5774</v>
      </c>
      <c r="I5078" s="3" t="s">
        <v>42</v>
      </c>
      <c r="J5078" s="31">
        <v>45986</v>
      </c>
      <c r="K5078" s="31">
        <v>46001</v>
      </c>
      <c r="L5078" s="31">
        <v>46002</v>
      </c>
      <c r="M5078" s="31">
        <v>46041</v>
      </c>
      <c r="N5078" s="31">
        <v>46041</v>
      </c>
      <c r="O5078" s="3" t="s">
        <v>297</v>
      </c>
    </row>
    <row r="5079" spans="1:15">
      <c r="A5079" s="3">
        <f t="shared" ref="A5079:A5094" si="95">ROW()-1</f>
        <v>5078</v>
      </c>
      <c r="B5079" s="65" t="s">
        <v>7495</v>
      </c>
      <c r="C5079" s="1">
        <v>6300084337</v>
      </c>
      <c r="E5079" s="17" t="s">
        <v>7496</v>
      </c>
      <c r="F5079" s="65" t="s">
        <v>1384</v>
      </c>
      <c r="G5079" s="3" t="s">
        <v>16</v>
      </c>
      <c r="H5079" s="3" t="s">
        <v>590</v>
      </c>
      <c r="I5079" s="3" t="s">
        <v>88</v>
      </c>
      <c r="J5079" s="31">
        <v>45987</v>
      </c>
      <c r="K5079" s="31">
        <v>45987</v>
      </c>
      <c r="L5079" s="31">
        <v>45987</v>
      </c>
      <c r="M5079" s="31">
        <v>46017</v>
      </c>
      <c r="N5079" s="31">
        <v>45996</v>
      </c>
      <c r="O5079" s="3" t="s">
        <v>297</v>
      </c>
    </row>
    <row r="5080" spans="1:15">
      <c r="A5080" s="3">
        <f t="shared" si="95"/>
        <v>5079</v>
      </c>
      <c r="B5080" s="65" t="s">
        <v>7497</v>
      </c>
      <c r="C5080" s="1">
        <v>7349734712</v>
      </c>
      <c r="E5080" s="17" t="s">
        <v>7496</v>
      </c>
      <c r="F5080" s="65" t="s">
        <v>1312</v>
      </c>
      <c r="G5080" s="3" t="s">
        <v>16</v>
      </c>
      <c r="H5080" s="3" t="s">
        <v>590</v>
      </c>
      <c r="I5080" s="3" t="s">
        <v>88</v>
      </c>
      <c r="J5080" s="31">
        <v>45987</v>
      </c>
      <c r="K5080" s="31">
        <v>45987</v>
      </c>
      <c r="L5080" s="31">
        <v>45987</v>
      </c>
      <c r="M5080" s="31">
        <v>46017</v>
      </c>
      <c r="N5080" s="31">
        <v>45997</v>
      </c>
      <c r="O5080" s="3" t="s">
        <v>297</v>
      </c>
    </row>
    <row r="5081" spans="1:15">
      <c r="A5081" s="3">
        <f t="shared" si="95"/>
        <v>5080</v>
      </c>
      <c r="B5081" s="65" t="s">
        <v>7498</v>
      </c>
      <c r="C5081" s="1">
        <v>9059057649</v>
      </c>
      <c r="E5081" s="17" t="s">
        <v>6757</v>
      </c>
      <c r="F5081" s="65" t="s">
        <v>1174</v>
      </c>
      <c r="G5081" s="3" t="s">
        <v>764</v>
      </c>
      <c r="H5081" s="3" t="s">
        <v>3240</v>
      </c>
      <c r="I5081" s="3" t="s">
        <v>42</v>
      </c>
      <c r="J5081" s="31">
        <v>45987</v>
      </c>
      <c r="K5081" s="31">
        <v>45989</v>
      </c>
      <c r="L5081" s="31"/>
      <c r="M5081" s="31"/>
      <c r="N5081" s="31"/>
      <c r="O5081" s="3" t="s">
        <v>425</v>
      </c>
    </row>
    <row r="5082" spans="1:15">
      <c r="A5082" s="3">
        <f t="shared" si="95"/>
        <v>5081</v>
      </c>
      <c r="B5082" s="65" t="s">
        <v>7499</v>
      </c>
      <c r="C5082" s="1">
        <v>8500410036</v>
      </c>
      <c r="E5082" s="17" t="s">
        <v>6757</v>
      </c>
      <c r="F5082" s="65" t="s">
        <v>3160</v>
      </c>
      <c r="G5082" s="3" t="s">
        <v>16</v>
      </c>
      <c r="H5082" s="3" t="s">
        <v>3240</v>
      </c>
      <c r="I5082" s="3" t="s">
        <v>42</v>
      </c>
      <c r="J5082" s="31">
        <v>45987</v>
      </c>
      <c r="K5082" s="31">
        <v>45989</v>
      </c>
      <c r="L5082" s="31">
        <v>45989</v>
      </c>
      <c r="M5082" s="31">
        <v>46020</v>
      </c>
      <c r="N5082" s="31">
        <v>46027</v>
      </c>
      <c r="O5082" s="3" t="s">
        <v>297</v>
      </c>
    </row>
    <row r="5083" spans="1:15">
      <c r="A5083" s="3">
        <f t="shared" si="95"/>
        <v>5082</v>
      </c>
      <c r="B5083" s="65" t="s">
        <v>7500</v>
      </c>
      <c r="C5083" s="1">
        <v>8309214270</v>
      </c>
      <c r="E5083" s="17" t="s">
        <v>6708</v>
      </c>
      <c r="F5083" s="65" t="s">
        <v>308</v>
      </c>
      <c r="G5083" s="2" t="s">
        <v>16</v>
      </c>
      <c r="H5083" s="3" t="s">
        <v>3240</v>
      </c>
      <c r="I5083" s="3" t="s">
        <v>42</v>
      </c>
      <c r="J5083" s="31">
        <v>45987</v>
      </c>
      <c r="K5083" s="31">
        <v>45989</v>
      </c>
      <c r="L5083" s="31">
        <v>46000</v>
      </c>
      <c r="M5083" s="31">
        <v>46045</v>
      </c>
      <c r="N5083" s="31">
        <v>46045</v>
      </c>
      <c r="O5083" s="3" t="s">
        <v>297</v>
      </c>
    </row>
    <row r="5084" spans="1:15">
      <c r="A5084" s="3">
        <f t="shared" si="95"/>
        <v>5083</v>
      </c>
      <c r="B5084" s="65" t="s">
        <v>7501</v>
      </c>
      <c r="C5084" s="1">
        <v>6281584580</v>
      </c>
      <c r="E5084" s="17" t="s">
        <v>6708</v>
      </c>
      <c r="F5084" s="65" t="s">
        <v>7502</v>
      </c>
      <c r="G5084" s="3" t="s">
        <v>764</v>
      </c>
      <c r="H5084" s="3" t="s">
        <v>3240</v>
      </c>
      <c r="I5084" s="3" t="s">
        <v>42</v>
      </c>
      <c r="J5084" s="31">
        <v>45987</v>
      </c>
      <c r="K5084" s="31">
        <v>45989</v>
      </c>
      <c r="L5084" s="31"/>
      <c r="M5084" s="31"/>
      <c r="N5084" s="31"/>
      <c r="O5084" s="3" t="s">
        <v>425</v>
      </c>
    </row>
    <row r="5085" spans="1:15">
      <c r="A5085" s="3">
        <f t="shared" si="95"/>
        <v>5084</v>
      </c>
      <c r="B5085" s="65" t="s">
        <v>7503</v>
      </c>
      <c r="C5085" s="1">
        <v>9703291547</v>
      </c>
      <c r="E5085" s="17" t="s">
        <v>6708</v>
      </c>
      <c r="F5085" s="65" t="s">
        <v>7504</v>
      </c>
      <c r="G5085" s="3" t="s">
        <v>16</v>
      </c>
      <c r="H5085" s="3" t="s">
        <v>3240</v>
      </c>
      <c r="I5085" s="3" t="s">
        <v>42</v>
      </c>
      <c r="J5085" s="31">
        <v>45987</v>
      </c>
      <c r="K5085" s="31">
        <v>45989</v>
      </c>
      <c r="L5085" s="31">
        <v>46000</v>
      </c>
      <c r="M5085" s="31">
        <v>46041</v>
      </c>
      <c r="N5085" s="31">
        <v>46032</v>
      </c>
      <c r="O5085" s="3" t="s">
        <v>297</v>
      </c>
    </row>
    <row r="5086" spans="1:15">
      <c r="A5086" s="3">
        <f t="shared" si="95"/>
        <v>5085</v>
      </c>
      <c r="B5086" s="65" t="s">
        <v>7505</v>
      </c>
      <c r="C5086" s="1">
        <v>9340480690</v>
      </c>
      <c r="E5086" s="17" t="s">
        <v>7506</v>
      </c>
      <c r="F5086" s="65" t="s">
        <v>3002</v>
      </c>
      <c r="G5086" s="3" t="s">
        <v>1175</v>
      </c>
      <c r="H5086" s="2" t="s">
        <v>2183</v>
      </c>
      <c r="I5086" s="3" t="s">
        <v>88</v>
      </c>
      <c r="J5086" s="31">
        <v>45987</v>
      </c>
      <c r="K5086" s="31"/>
      <c r="L5086" s="31"/>
      <c r="M5086" s="31"/>
      <c r="N5086" s="31"/>
      <c r="O5086" s="3" t="s">
        <v>1004</v>
      </c>
    </row>
    <row r="5087" spans="1:15">
      <c r="A5087" s="3">
        <f t="shared" si="95"/>
        <v>5086</v>
      </c>
      <c r="B5087" s="65" t="s">
        <v>7507</v>
      </c>
      <c r="C5087" s="1">
        <v>7354423488</v>
      </c>
      <c r="D5087" s="1">
        <v>9424500110</v>
      </c>
      <c r="E5087" s="17" t="s">
        <v>7506</v>
      </c>
      <c r="F5087" s="65" t="s">
        <v>3002</v>
      </c>
      <c r="G5087" s="3" t="s">
        <v>1175</v>
      </c>
      <c r="H5087" s="2" t="s">
        <v>2183</v>
      </c>
      <c r="I5087" s="3" t="s">
        <v>88</v>
      </c>
      <c r="J5087" s="31">
        <v>45987</v>
      </c>
      <c r="K5087" s="31"/>
      <c r="L5087" s="31"/>
      <c r="M5087" s="31"/>
      <c r="N5087" s="31"/>
      <c r="O5087" s="3" t="s">
        <v>1004</v>
      </c>
    </row>
    <row r="5088" spans="1:15">
      <c r="A5088" s="3">
        <f t="shared" si="95"/>
        <v>5087</v>
      </c>
      <c r="B5088" s="65" t="s">
        <v>7508</v>
      </c>
      <c r="C5088" s="1">
        <v>6303488382</v>
      </c>
      <c r="E5088" s="17" t="s">
        <v>7506</v>
      </c>
      <c r="F5088" s="65" t="s">
        <v>7509</v>
      </c>
      <c r="G5088" s="3" t="s">
        <v>1175</v>
      </c>
      <c r="H5088" s="2" t="s">
        <v>2183</v>
      </c>
      <c r="I5088" s="3" t="s">
        <v>88</v>
      </c>
      <c r="J5088" s="31">
        <v>45987</v>
      </c>
      <c r="K5088" s="31"/>
      <c r="L5088" s="31"/>
      <c r="M5088" s="31"/>
      <c r="N5088" s="31"/>
      <c r="O5088" s="3" t="s">
        <v>1004</v>
      </c>
    </row>
    <row r="5089" spans="1:15">
      <c r="A5089" s="3">
        <f t="shared" si="95"/>
        <v>5088</v>
      </c>
      <c r="B5089" s="65" t="s">
        <v>7510</v>
      </c>
      <c r="C5089" s="1">
        <v>8319054127</v>
      </c>
      <c r="E5089" s="17" t="s">
        <v>7506</v>
      </c>
      <c r="F5089" s="65" t="s">
        <v>294</v>
      </c>
      <c r="G5089" s="3" t="s">
        <v>1175</v>
      </c>
      <c r="H5089" s="2" t="s">
        <v>2183</v>
      </c>
      <c r="I5089" s="3" t="s">
        <v>88</v>
      </c>
      <c r="J5089" s="31">
        <v>45987</v>
      </c>
      <c r="K5089" s="31"/>
      <c r="L5089" s="31"/>
      <c r="M5089" s="31"/>
      <c r="N5089" s="31"/>
      <c r="O5089" s="3" t="s">
        <v>1004</v>
      </c>
    </row>
    <row r="5090" spans="1:15">
      <c r="A5090" s="3">
        <f t="shared" si="95"/>
        <v>5089</v>
      </c>
      <c r="B5090" s="65" t="s">
        <v>1637</v>
      </c>
      <c r="C5090" s="1">
        <v>7715879632</v>
      </c>
      <c r="D5090" s="1">
        <v>7977486106</v>
      </c>
      <c r="E5090" s="17" t="s">
        <v>7511</v>
      </c>
      <c r="F5090" s="65" t="s">
        <v>3002</v>
      </c>
      <c r="G5090" s="3" t="s">
        <v>1175</v>
      </c>
      <c r="H5090" s="2" t="s">
        <v>2183</v>
      </c>
      <c r="I5090" s="3" t="s">
        <v>88</v>
      </c>
      <c r="J5090" s="31">
        <v>45987</v>
      </c>
      <c r="K5090" s="31"/>
      <c r="L5090" s="31"/>
      <c r="M5090" s="31"/>
      <c r="N5090" s="31"/>
      <c r="O5090" s="3" t="s">
        <v>1004</v>
      </c>
    </row>
    <row r="5091" spans="1:15">
      <c r="A5091" s="3">
        <f t="shared" si="95"/>
        <v>5090</v>
      </c>
      <c r="B5091" s="65" t="s">
        <v>7512</v>
      </c>
      <c r="C5091" s="1">
        <v>7001514630</v>
      </c>
      <c r="D5091" s="1">
        <v>7864941739</v>
      </c>
      <c r="E5091" s="17" t="s">
        <v>7511</v>
      </c>
      <c r="F5091" s="65" t="s">
        <v>7513</v>
      </c>
      <c r="G5091" s="3" t="s">
        <v>1175</v>
      </c>
      <c r="H5091" s="2" t="s">
        <v>2183</v>
      </c>
      <c r="I5091" s="3" t="s">
        <v>88</v>
      </c>
      <c r="J5091" s="31">
        <v>45987</v>
      </c>
      <c r="K5091" s="31"/>
      <c r="L5091" s="31"/>
      <c r="M5091" s="31"/>
      <c r="N5091" s="31"/>
      <c r="O5091" s="3" t="s">
        <v>1004</v>
      </c>
    </row>
    <row r="5092" spans="1:15">
      <c r="A5092" s="3">
        <f t="shared" si="95"/>
        <v>5091</v>
      </c>
      <c r="B5092" s="65" t="s">
        <v>7514</v>
      </c>
      <c r="C5092" s="1">
        <v>9507702759</v>
      </c>
      <c r="E5092" s="17" t="s">
        <v>7511</v>
      </c>
      <c r="F5092" s="65" t="s">
        <v>7515</v>
      </c>
      <c r="G5092" s="3" t="s">
        <v>1175</v>
      </c>
      <c r="H5092" s="2" t="s">
        <v>2183</v>
      </c>
      <c r="I5092" s="3" t="s">
        <v>88</v>
      </c>
      <c r="J5092" s="31">
        <v>45987</v>
      </c>
      <c r="K5092" s="31"/>
      <c r="L5092" s="31"/>
      <c r="M5092" s="31"/>
      <c r="N5092" s="31"/>
      <c r="O5092" s="3" t="s">
        <v>1004</v>
      </c>
    </row>
    <row r="5093" spans="1:15">
      <c r="A5093" s="3">
        <f t="shared" si="95"/>
        <v>5092</v>
      </c>
      <c r="B5093" s="65" t="s">
        <v>7516</v>
      </c>
      <c r="C5093" s="1">
        <v>7905152899</v>
      </c>
      <c r="D5093" s="1">
        <v>7376397930</v>
      </c>
      <c r="E5093" s="17" t="s">
        <v>7511</v>
      </c>
      <c r="F5093" s="65" t="s">
        <v>294</v>
      </c>
      <c r="G5093" s="3" t="s">
        <v>1175</v>
      </c>
      <c r="H5093" s="2" t="s">
        <v>2183</v>
      </c>
      <c r="I5093" s="3" t="s">
        <v>88</v>
      </c>
      <c r="J5093" s="31">
        <v>45987</v>
      </c>
      <c r="K5093" s="31"/>
      <c r="L5093" s="31"/>
      <c r="M5093" s="31"/>
      <c r="N5093" s="31"/>
      <c r="O5093" s="3" t="s">
        <v>1004</v>
      </c>
    </row>
    <row r="5094" spans="1:15">
      <c r="A5094" s="3">
        <f t="shared" si="95"/>
        <v>5093</v>
      </c>
      <c r="B5094" s="65" t="s">
        <v>7517</v>
      </c>
      <c r="C5094" s="1">
        <v>8639663004</v>
      </c>
      <c r="D5094" s="1">
        <v>7095412048</v>
      </c>
      <c r="E5094" s="17" t="s">
        <v>6950</v>
      </c>
      <c r="F5094" s="65" t="s">
        <v>7518</v>
      </c>
      <c r="G5094" s="3" t="s">
        <v>16</v>
      </c>
      <c r="H5094" s="3" t="s">
        <v>42</v>
      </c>
      <c r="I5094" s="3" t="s">
        <v>42</v>
      </c>
      <c r="J5094" s="31">
        <v>45987</v>
      </c>
      <c r="K5094" s="31">
        <v>45988</v>
      </c>
      <c r="L5094" s="31">
        <v>45989</v>
      </c>
      <c r="M5094" s="31">
        <v>45996</v>
      </c>
      <c r="N5094" s="31">
        <v>45996</v>
      </c>
      <c r="O5094" s="3" t="s">
        <v>297</v>
      </c>
    </row>
    <row r="5095" spans="1:15">
      <c r="A5095" s="3">
        <f t="shared" ref="A5095:A5126" si="96">ROW()-1</f>
        <v>5094</v>
      </c>
      <c r="B5095" s="65" t="s">
        <v>7519</v>
      </c>
      <c r="C5095" s="1">
        <v>7510852882</v>
      </c>
      <c r="E5095" s="17" t="s">
        <v>7520</v>
      </c>
      <c r="F5095" s="65" t="s">
        <v>569</v>
      </c>
      <c r="G5095" s="3" t="s">
        <v>16</v>
      </c>
      <c r="H5095" s="3" t="s">
        <v>674</v>
      </c>
      <c r="I5095" s="3" t="s">
        <v>94</v>
      </c>
      <c r="J5095" s="31">
        <v>45988</v>
      </c>
      <c r="K5095" s="31">
        <v>46024</v>
      </c>
      <c r="L5095" s="31">
        <v>46031</v>
      </c>
      <c r="M5095" s="31">
        <v>46062</v>
      </c>
      <c r="N5095" s="31">
        <v>46066</v>
      </c>
      <c r="O5095" s="3" t="s">
        <v>297</v>
      </c>
    </row>
    <row r="5096" spans="1:15">
      <c r="A5096" s="3">
        <f t="shared" si="96"/>
        <v>5095</v>
      </c>
      <c r="B5096" s="65" t="s">
        <v>7521</v>
      </c>
      <c r="C5096" s="1">
        <v>9556380610</v>
      </c>
      <c r="E5096" s="17" t="s">
        <v>7522</v>
      </c>
      <c r="F5096" s="65" t="s">
        <v>612</v>
      </c>
      <c r="G5096" s="3" t="s">
        <v>295</v>
      </c>
      <c r="H5096" s="3" t="s">
        <v>674</v>
      </c>
      <c r="I5096" s="3" t="s">
        <v>94</v>
      </c>
      <c r="J5096" s="31">
        <v>45988</v>
      </c>
      <c r="K5096" s="31">
        <v>46012</v>
      </c>
      <c r="L5096" s="31">
        <v>46016</v>
      </c>
      <c r="M5096" s="31">
        <v>46027</v>
      </c>
      <c r="N5096" s="31"/>
      <c r="O5096" s="3" t="s">
        <v>297</v>
      </c>
    </row>
    <row r="5097" spans="1:15">
      <c r="A5097" s="3">
        <f t="shared" si="96"/>
        <v>5096</v>
      </c>
      <c r="B5097" s="65" t="s">
        <v>884</v>
      </c>
      <c r="C5097" s="1">
        <v>7266910898</v>
      </c>
      <c r="E5097" s="17" t="s">
        <v>7522</v>
      </c>
      <c r="F5097" s="65" t="s">
        <v>364</v>
      </c>
      <c r="G5097" s="2" t="s">
        <v>424</v>
      </c>
      <c r="H5097" s="3" t="s">
        <v>674</v>
      </c>
      <c r="I5097" s="3" t="s">
        <v>94</v>
      </c>
      <c r="J5097" s="31">
        <v>45988</v>
      </c>
      <c r="K5097" s="31">
        <v>46024</v>
      </c>
      <c r="L5097" s="31"/>
      <c r="M5097" s="31"/>
      <c r="N5097" s="31"/>
      <c r="O5097" s="2" t="s">
        <v>425</v>
      </c>
    </row>
    <row r="5098" spans="1:15">
      <c r="A5098" s="3">
        <f t="shared" si="96"/>
        <v>5097</v>
      </c>
      <c r="B5098" s="65" t="s">
        <v>7523</v>
      </c>
      <c r="C5098" s="1">
        <v>8103003206</v>
      </c>
      <c r="D5098" s="1">
        <v>9098807671</v>
      </c>
      <c r="E5098" s="17" t="s">
        <v>7325</v>
      </c>
      <c r="F5098" s="65" t="s">
        <v>2113</v>
      </c>
      <c r="G5098" s="3" t="s">
        <v>1175</v>
      </c>
      <c r="H5098" s="3" t="s">
        <v>5273</v>
      </c>
      <c r="I5098" s="3" t="s">
        <v>88</v>
      </c>
      <c r="J5098" s="31">
        <v>45988</v>
      </c>
      <c r="K5098" s="31"/>
      <c r="L5098" s="31"/>
      <c r="M5098" s="31"/>
      <c r="N5098" s="31"/>
      <c r="O5098" s="3" t="s">
        <v>1004</v>
      </c>
    </row>
    <row r="5099" spans="1:15">
      <c r="A5099" s="3">
        <f t="shared" si="96"/>
        <v>5098</v>
      </c>
      <c r="B5099" s="65" t="s">
        <v>7524</v>
      </c>
      <c r="C5099" s="1">
        <v>6388174297</v>
      </c>
      <c r="E5099" s="17" t="s">
        <v>7325</v>
      </c>
      <c r="F5099" s="65" t="s">
        <v>1312</v>
      </c>
      <c r="G5099" s="3" t="s">
        <v>16</v>
      </c>
      <c r="H5099" s="3" t="s">
        <v>5273</v>
      </c>
      <c r="I5099" s="3" t="s">
        <v>88</v>
      </c>
      <c r="J5099" s="31">
        <v>45988</v>
      </c>
      <c r="K5099" s="31">
        <v>46007</v>
      </c>
      <c r="L5099" s="31">
        <v>46007</v>
      </c>
      <c r="M5099" s="31">
        <v>46049</v>
      </c>
      <c r="N5099" s="31">
        <v>46049</v>
      </c>
      <c r="O5099" s="3" t="s">
        <v>297</v>
      </c>
    </row>
    <row r="5100" spans="1:15">
      <c r="A5100" s="3">
        <f t="shared" si="96"/>
        <v>5099</v>
      </c>
      <c r="B5100" s="65" t="s">
        <v>7525</v>
      </c>
      <c r="C5100" s="1">
        <v>6370145092</v>
      </c>
      <c r="E5100" s="17" t="s">
        <v>7325</v>
      </c>
      <c r="F5100" s="65" t="s">
        <v>1312</v>
      </c>
      <c r="G5100" s="3" t="s">
        <v>16</v>
      </c>
      <c r="H5100" s="3" t="s">
        <v>5273</v>
      </c>
      <c r="I5100" s="3" t="s">
        <v>88</v>
      </c>
      <c r="J5100" s="31">
        <v>45988</v>
      </c>
      <c r="K5100" s="31">
        <v>46013</v>
      </c>
      <c r="L5100" s="31">
        <v>46017</v>
      </c>
      <c r="M5100" s="31">
        <v>46054</v>
      </c>
      <c r="N5100" s="31">
        <v>46057</v>
      </c>
      <c r="O5100" s="3" t="s">
        <v>297</v>
      </c>
    </row>
    <row r="5101" spans="1:15">
      <c r="A5101" s="3">
        <f t="shared" si="96"/>
        <v>5100</v>
      </c>
      <c r="B5101" s="65" t="s">
        <v>7526</v>
      </c>
      <c r="C5101" s="1">
        <v>6309411907</v>
      </c>
      <c r="E5101" s="17" t="s">
        <v>2326</v>
      </c>
      <c r="F5101" s="65" t="s">
        <v>4362</v>
      </c>
      <c r="G5101" s="3" t="s">
        <v>16</v>
      </c>
      <c r="H5101" s="3" t="s">
        <v>815</v>
      </c>
      <c r="I5101" s="3" t="s">
        <v>88</v>
      </c>
      <c r="J5101" s="31">
        <v>45983</v>
      </c>
      <c r="K5101" s="31">
        <v>45985</v>
      </c>
      <c r="L5101" s="31">
        <v>45987</v>
      </c>
      <c r="M5101" s="31">
        <v>46017</v>
      </c>
      <c r="N5101" s="31">
        <v>45992</v>
      </c>
      <c r="O5101" s="3" t="s">
        <v>297</v>
      </c>
    </row>
    <row r="5102" spans="1:15">
      <c r="A5102" s="3">
        <f t="shared" si="96"/>
        <v>5101</v>
      </c>
      <c r="B5102" s="65" t="s">
        <v>7527</v>
      </c>
      <c r="C5102" s="1">
        <v>7569905661</v>
      </c>
      <c r="D5102" s="1">
        <v>7036713834</v>
      </c>
      <c r="E5102" s="17" t="s">
        <v>7351</v>
      </c>
      <c r="F5102" s="65" t="s">
        <v>4265</v>
      </c>
      <c r="G5102" s="3" t="s">
        <v>764</v>
      </c>
      <c r="H5102" s="3" t="s">
        <v>590</v>
      </c>
      <c r="I5102" s="3" t="s">
        <v>88</v>
      </c>
      <c r="J5102" s="31">
        <v>45988</v>
      </c>
      <c r="K5102" s="31">
        <v>45996</v>
      </c>
      <c r="L5102" s="31"/>
      <c r="M5102" s="31"/>
      <c r="N5102" s="31"/>
      <c r="O5102" s="3" t="s">
        <v>425</v>
      </c>
    </row>
    <row r="5103" spans="1:15">
      <c r="A5103" s="3">
        <f t="shared" si="96"/>
        <v>5102</v>
      </c>
      <c r="B5103" s="65" t="s">
        <v>7528</v>
      </c>
      <c r="C5103" s="1">
        <v>9572934642</v>
      </c>
      <c r="D5103" s="1">
        <v>6202914229</v>
      </c>
      <c r="E5103" s="17" t="s">
        <v>7351</v>
      </c>
      <c r="F5103" s="65" t="s">
        <v>1312</v>
      </c>
      <c r="G5103" s="3" t="s">
        <v>16</v>
      </c>
      <c r="H5103" s="3" t="s">
        <v>590</v>
      </c>
      <c r="I5103" s="3" t="s">
        <v>88</v>
      </c>
      <c r="J5103" s="31">
        <v>45988</v>
      </c>
      <c r="K5103" s="31">
        <v>45996</v>
      </c>
      <c r="L5103" s="31">
        <v>46002</v>
      </c>
      <c r="M5103" s="31">
        <v>46098</v>
      </c>
      <c r="N5103" s="31">
        <v>46099</v>
      </c>
      <c r="O5103" s="3" t="s">
        <v>297</v>
      </c>
    </row>
    <row r="5104" spans="1:15">
      <c r="A5104" s="3">
        <f t="shared" si="96"/>
        <v>5103</v>
      </c>
      <c r="B5104" s="65" t="s">
        <v>7529</v>
      </c>
      <c r="C5104" s="1">
        <v>7905755008</v>
      </c>
      <c r="E5104" s="17" t="s">
        <v>7351</v>
      </c>
      <c r="F5104" s="65" t="s">
        <v>1312</v>
      </c>
      <c r="G5104" s="3" t="s">
        <v>16</v>
      </c>
      <c r="H5104" s="3" t="s">
        <v>590</v>
      </c>
      <c r="I5104" s="3" t="s">
        <v>88</v>
      </c>
      <c r="J5104" s="31">
        <v>45988</v>
      </c>
      <c r="K5104" s="31">
        <v>45996</v>
      </c>
      <c r="L5104" s="31">
        <v>45999</v>
      </c>
      <c r="M5104" s="31">
        <v>46030</v>
      </c>
      <c r="N5104" s="31">
        <v>46029</v>
      </c>
      <c r="O5104" s="3" t="s">
        <v>297</v>
      </c>
    </row>
    <row r="5105" spans="1:15">
      <c r="A5105" s="3">
        <f t="shared" si="96"/>
        <v>5104</v>
      </c>
      <c r="B5105" s="65" t="s">
        <v>7530</v>
      </c>
      <c r="C5105" s="1">
        <v>6264696341</v>
      </c>
      <c r="E5105" s="17" t="s">
        <v>7531</v>
      </c>
      <c r="F5105" s="65" t="s">
        <v>569</v>
      </c>
      <c r="G5105" s="3" t="s">
        <v>18</v>
      </c>
      <c r="H5105" s="3" t="s">
        <v>590</v>
      </c>
      <c r="I5105" s="3" t="s">
        <v>88</v>
      </c>
      <c r="J5105" s="31">
        <v>45988</v>
      </c>
      <c r="K5105" s="31">
        <v>46013</v>
      </c>
      <c r="L5105" s="31"/>
      <c r="M5105" s="31"/>
      <c r="N5105" s="31"/>
      <c r="O5105" s="3" t="s">
        <v>297</v>
      </c>
    </row>
    <row r="5106" spans="1:15">
      <c r="A5106" s="3">
        <f t="shared" si="96"/>
        <v>5105</v>
      </c>
      <c r="B5106" s="65" t="s">
        <v>7532</v>
      </c>
      <c r="C5106" s="1">
        <v>9086625431</v>
      </c>
      <c r="E5106" s="17" t="s">
        <v>7531</v>
      </c>
      <c r="F5106" s="65" t="s">
        <v>7533</v>
      </c>
      <c r="G5106" s="3" t="s">
        <v>416</v>
      </c>
      <c r="H5106" s="3" t="s">
        <v>590</v>
      </c>
      <c r="I5106" s="3" t="s">
        <v>88</v>
      </c>
      <c r="J5106" s="31">
        <v>45988</v>
      </c>
      <c r="K5106" s="31">
        <v>45996</v>
      </c>
      <c r="L5106" s="31"/>
      <c r="M5106" s="31"/>
      <c r="N5106" s="31"/>
      <c r="O5106" s="3" t="s">
        <v>297</v>
      </c>
    </row>
    <row r="5107" spans="1:15">
      <c r="A5107" s="3">
        <f t="shared" si="96"/>
        <v>5106</v>
      </c>
      <c r="B5107" s="65" t="s">
        <v>7534</v>
      </c>
      <c r="C5107" s="1">
        <v>8709795514</v>
      </c>
      <c r="E5107" s="17" t="s">
        <v>7531</v>
      </c>
      <c r="F5107" s="65" t="s">
        <v>7535</v>
      </c>
      <c r="G5107" s="3" t="s">
        <v>14</v>
      </c>
      <c r="H5107" s="3" t="s">
        <v>590</v>
      </c>
      <c r="I5107" s="3" t="s">
        <v>88</v>
      </c>
      <c r="J5107" s="31">
        <v>45988</v>
      </c>
      <c r="K5107" s="31">
        <v>46013</v>
      </c>
      <c r="L5107" s="31"/>
      <c r="M5107" s="31"/>
      <c r="N5107" s="31"/>
      <c r="O5107" s="3" t="s">
        <v>297</v>
      </c>
    </row>
    <row r="5108" spans="1:15">
      <c r="A5108" s="3">
        <f t="shared" si="96"/>
        <v>5107</v>
      </c>
      <c r="B5108" s="65" t="s">
        <v>7536</v>
      </c>
      <c r="C5108" s="1">
        <v>9046878607</v>
      </c>
      <c r="D5108" s="1">
        <v>7679495682</v>
      </c>
      <c r="E5108" s="17" t="s">
        <v>7531</v>
      </c>
      <c r="F5108" s="65" t="s">
        <v>7535</v>
      </c>
      <c r="G5108" s="3" t="s">
        <v>14</v>
      </c>
      <c r="H5108" s="3" t="s">
        <v>590</v>
      </c>
      <c r="I5108" s="3" t="s">
        <v>88</v>
      </c>
      <c r="J5108" s="31">
        <v>45988</v>
      </c>
      <c r="K5108" s="31">
        <v>46013</v>
      </c>
      <c r="L5108" s="31"/>
      <c r="M5108" s="31"/>
      <c r="N5108" s="31"/>
      <c r="O5108" s="3" t="s">
        <v>297</v>
      </c>
    </row>
    <row r="5109" spans="1:15">
      <c r="A5109" s="3">
        <f t="shared" si="96"/>
        <v>5108</v>
      </c>
      <c r="B5109" s="65" t="s">
        <v>7537</v>
      </c>
      <c r="C5109" s="1">
        <v>7732006771</v>
      </c>
      <c r="E5109" s="17" t="s">
        <v>7111</v>
      </c>
      <c r="F5109" s="65" t="s">
        <v>7486</v>
      </c>
      <c r="G5109" s="3" t="s">
        <v>18</v>
      </c>
      <c r="H5109" s="3" t="s">
        <v>5774</v>
      </c>
      <c r="I5109" s="3" t="s">
        <v>42</v>
      </c>
      <c r="J5109" s="31">
        <v>45988</v>
      </c>
      <c r="K5109" s="31"/>
      <c r="L5109" s="31"/>
      <c r="M5109" s="31"/>
      <c r="N5109" s="31"/>
      <c r="O5109" s="3" t="s">
        <v>1004</v>
      </c>
    </row>
    <row r="5110" spans="1:15">
      <c r="A5110" s="3">
        <f t="shared" si="96"/>
        <v>5109</v>
      </c>
      <c r="B5110" s="65" t="s">
        <v>7538</v>
      </c>
      <c r="C5110" s="1">
        <v>8897947220</v>
      </c>
      <c r="E5110" s="17" t="s">
        <v>7539</v>
      </c>
      <c r="F5110" s="65" t="s">
        <v>446</v>
      </c>
      <c r="G5110" s="3" t="s">
        <v>764</v>
      </c>
      <c r="H5110" s="3" t="s">
        <v>5774</v>
      </c>
      <c r="I5110" s="3" t="s">
        <v>42</v>
      </c>
      <c r="J5110" s="31">
        <v>45988</v>
      </c>
      <c r="K5110" s="31">
        <v>45992</v>
      </c>
      <c r="L5110" s="31"/>
      <c r="M5110" s="31"/>
      <c r="N5110" s="31"/>
      <c r="O5110" s="3" t="s">
        <v>425</v>
      </c>
    </row>
    <row r="5111" spans="1:15">
      <c r="A5111" s="3">
        <f t="shared" si="96"/>
        <v>5110</v>
      </c>
      <c r="B5111" s="65" t="s">
        <v>7540</v>
      </c>
      <c r="C5111" s="1">
        <v>9837575150</v>
      </c>
      <c r="E5111" s="17" t="s">
        <v>5282</v>
      </c>
      <c r="F5111" s="65" t="s">
        <v>6436</v>
      </c>
      <c r="G5111" s="3" t="s">
        <v>416</v>
      </c>
      <c r="H5111" s="3" t="s">
        <v>361</v>
      </c>
      <c r="I5111" s="3" t="s">
        <v>94</v>
      </c>
      <c r="J5111" s="31">
        <v>45988</v>
      </c>
      <c r="K5111" s="31">
        <v>45989</v>
      </c>
      <c r="L5111" s="31"/>
      <c r="M5111" s="31"/>
      <c r="N5111" s="31"/>
      <c r="O5111" s="3" t="s">
        <v>297</v>
      </c>
    </row>
    <row r="5112" spans="1:15">
      <c r="A5112" s="3">
        <f t="shared" si="96"/>
        <v>5111</v>
      </c>
      <c r="B5112" s="65" t="s">
        <v>7541</v>
      </c>
      <c r="C5112" s="1">
        <v>9006199947</v>
      </c>
      <c r="E5112" s="17" t="s">
        <v>5516</v>
      </c>
      <c r="F5112" s="65" t="s">
        <v>989</v>
      </c>
      <c r="G5112" s="3" t="s">
        <v>18</v>
      </c>
      <c r="H5112" s="3" t="s">
        <v>361</v>
      </c>
      <c r="I5112" s="3" t="s">
        <v>94</v>
      </c>
      <c r="J5112" s="31">
        <v>45988</v>
      </c>
      <c r="K5112" s="31"/>
      <c r="L5112" s="31"/>
      <c r="M5112" s="31"/>
      <c r="N5112" s="31"/>
      <c r="O5112" s="3" t="s">
        <v>1004</v>
      </c>
    </row>
    <row r="5113" spans="1:15">
      <c r="A5113" s="3">
        <f t="shared" si="96"/>
        <v>5112</v>
      </c>
      <c r="B5113" s="65" t="s">
        <v>7542</v>
      </c>
      <c r="C5113" s="1">
        <v>7549551171</v>
      </c>
      <c r="E5113" s="17" t="s">
        <v>5516</v>
      </c>
      <c r="F5113" s="65" t="s">
        <v>989</v>
      </c>
      <c r="G5113" s="3" t="s">
        <v>16</v>
      </c>
      <c r="H5113" s="3" t="s">
        <v>361</v>
      </c>
      <c r="I5113" s="3" t="s">
        <v>94</v>
      </c>
      <c r="J5113" s="31">
        <v>45988</v>
      </c>
      <c r="K5113" s="31">
        <v>45988</v>
      </c>
      <c r="L5113" s="31">
        <v>45989</v>
      </c>
      <c r="M5113" s="31">
        <v>46004</v>
      </c>
      <c r="N5113" s="31">
        <v>46018</v>
      </c>
      <c r="O5113" s="3" t="s">
        <v>297</v>
      </c>
    </row>
    <row r="5114" spans="1:15">
      <c r="A5114" s="3">
        <f t="shared" si="96"/>
        <v>5113</v>
      </c>
      <c r="B5114" s="65" t="s">
        <v>7543</v>
      </c>
      <c r="C5114" s="1">
        <v>8897968267</v>
      </c>
      <c r="E5114" s="17" t="s">
        <v>7076</v>
      </c>
      <c r="F5114" s="65" t="s">
        <v>308</v>
      </c>
      <c r="G5114" s="3" t="s">
        <v>16</v>
      </c>
      <c r="H5114" s="2" t="s">
        <v>2183</v>
      </c>
      <c r="I5114" s="3" t="s">
        <v>88</v>
      </c>
      <c r="J5114" s="31">
        <v>45988</v>
      </c>
      <c r="K5114" s="31">
        <v>46009</v>
      </c>
      <c r="L5114" s="31">
        <v>46010</v>
      </c>
      <c r="M5114" s="31">
        <v>46045</v>
      </c>
      <c r="N5114" s="31">
        <v>46045</v>
      </c>
      <c r="O5114" s="3" t="s">
        <v>297</v>
      </c>
    </row>
    <row r="5115" spans="1:15">
      <c r="A5115" s="3">
        <f t="shared" si="96"/>
        <v>5114</v>
      </c>
      <c r="B5115" s="65" t="s">
        <v>7544</v>
      </c>
      <c r="C5115" s="1">
        <v>9492813007</v>
      </c>
      <c r="E5115" s="1" t="s">
        <v>7545</v>
      </c>
      <c r="F5115" s="65" t="s">
        <v>308</v>
      </c>
      <c r="G5115" s="3" t="s">
        <v>16</v>
      </c>
      <c r="H5115" s="2" t="s">
        <v>2183</v>
      </c>
      <c r="I5115" s="3" t="s">
        <v>88</v>
      </c>
      <c r="J5115" s="31">
        <v>45988</v>
      </c>
      <c r="K5115" s="31">
        <v>46027</v>
      </c>
      <c r="L5115" s="31">
        <v>46031</v>
      </c>
      <c r="M5115" s="31">
        <v>46074</v>
      </c>
      <c r="N5115" s="31">
        <v>46074</v>
      </c>
      <c r="O5115" s="3" t="s">
        <v>297</v>
      </c>
    </row>
    <row r="5116" spans="1:15">
      <c r="A5116" s="3">
        <f t="shared" si="96"/>
        <v>5115</v>
      </c>
      <c r="B5116" s="65" t="s">
        <v>7546</v>
      </c>
      <c r="C5116" s="1">
        <v>9515294808</v>
      </c>
      <c r="E5116" s="17" t="s">
        <v>7076</v>
      </c>
      <c r="F5116" s="65" t="s">
        <v>2473</v>
      </c>
      <c r="G5116" s="3" t="s">
        <v>424</v>
      </c>
      <c r="H5116" s="2" t="s">
        <v>2183</v>
      </c>
      <c r="I5116" s="3" t="s">
        <v>88</v>
      </c>
      <c r="J5116" s="31">
        <v>45988</v>
      </c>
      <c r="K5116" s="31">
        <v>46027</v>
      </c>
      <c r="L5116" s="31"/>
      <c r="M5116" s="31"/>
      <c r="N5116" s="31"/>
      <c r="O5116" s="3" t="s">
        <v>425</v>
      </c>
    </row>
    <row r="5117" spans="1:15">
      <c r="A5117" s="3">
        <f t="shared" si="96"/>
        <v>5116</v>
      </c>
      <c r="B5117" s="65" t="s">
        <v>5325</v>
      </c>
      <c r="C5117" s="1">
        <v>9963164446</v>
      </c>
      <c r="E5117" s="17" t="s">
        <v>7076</v>
      </c>
      <c r="F5117" s="65" t="s">
        <v>308</v>
      </c>
      <c r="G5117" s="3" t="s">
        <v>295</v>
      </c>
      <c r="H5117" s="2" t="s">
        <v>2183</v>
      </c>
      <c r="I5117" s="3" t="s">
        <v>88</v>
      </c>
      <c r="J5117" s="31">
        <v>45988</v>
      </c>
      <c r="K5117" s="31">
        <v>46009</v>
      </c>
      <c r="L5117" s="31">
        <v>46007</v>
      </c>
      <c r="M5117" s="31">
        <v>46047</v>
      </c>
      <c r="N5117" s="31"/>
      <c r="O5117" s="3" t="s">
        <v>297</v>
      </c>
    </row>
    <row r="5118" spans="1:15">
      <c r="A5118" s="3">
        <f t="shared" si="96"/>
        <v>5117</v>
      </c>
      <c r="B5118" s="65" t="s">
        <v>3830</v>
      </c>
      <c r="C5118" s="1">
        <v>9494359638</v>
      </c>
      <c r="D5118" s="1">
        <v>9346813805</v>
      </c>
      <c r="E5118" s="17" t="s">
        <v>2181</v>
      </c>
      <c r="F5118" s="65" t="s">
        <v>569</v>
      </c>
      <c r="G5118" s="3" t="s">
        <v>7030</v>
      </c>
      <c r="H5118" s="2" t="s">
        <v>2183</v>
      </c>
      <c r="I5118" s="3" t="s">
        <v>88</v>
      </c>
      <c r="J5118" s="31">
        <v>45988</v>
      </c>
      <c r="K5118" s="31"/>
      <c r="L5118" s="31"/>
      <c r="M5118" s="31"/>
      <c r="N5118" s="31"/>
      <c r="O5118" s="3" t="s">
        <v>1004</v>
      </c>
    </row>
    <row r="5119" spans="1:15">
      <c r="A5119" s="3">
        <f t="shared" si="96"/>
        <v>5118</v>
      </c>
      <c r="B5119" s="65" t="s">
        <v>7547</v>
      </c>
      <c r="C5119" s="1">
        <v>8977620955</v>
      </c>
      <c r="E5119" s="17" t="s">
        <v>2181</v>
      </c>
      <c r="F5119" s="65" t="s">
        <v>569</v>
      </c>
      <c r="G5119" s="3" t="s">
        <v>424</v>
      </c>
      <c r="H5119" s="2" t="s">
        <v>2183</v>
      </c>
      <c r="I5119" s="3" t="s">
        <v>88</v>
      </c>
      <c r="J5119" s="31">
        <v>45988</v>
      </c>
      <c r="K5119" s="31">
        <v>46055</v>
      </c>
      <c r="L5119" s="31"/>
      <c r="M5119" s="31"/>
      <c r="N5119" s="31"/>
      <c r="O5119" s="3" t="s">
        <v>425</v>
      </c>
    </row>
    <row r="5120" spans="1:15">
      <c r="A5120" s="3">
        <f t="shared" si="96"/>
        <v>5119</v>
      </c>
      <c r="B5120" s="65" t="s">
        <v>7548</v>
      </c>
      <c r="C5120" s="1">
        <v>9603441798</v>
      </c>
      <c r="E5120" s="17" t="s">
        <v>2181</v>
      </c>
      <c r="F5120" s="65" t="s">
        <v>569</v>
      </c>
      <c r="G5120" s="3" t="s">
        <v>7030</v>
      </c>
      <c r="H5120" s="2" t="s">
        <v>2183</v>
      </c>
      <c r="I5120" s="3" t="s">
        <v>88</v>
      </c>
      <c r="J5120" s="31">
        <v>45988</v>
      </c>
      <c r="K5120" s="31"/>
      <c r="L5120" s="31"/>
      <c r="M5120" s="31"/>
      <c r="N5120" s="31"/>
      <c r="O5120" s="3" t="s">
        <v>1004</v>
      </c>
    </row>
    <row r="5121" spans="1:15">
      <c r="A5121" s="3">
        <f t="shared" si="96"/>
        <v>5120</v>
      </c>
      <c r="B5121" s="65" t="s">
        <v>7549</v>
      </c>
      <c r="C5121" s="1">
        <v>9573788119</v>
      </c>
      <c r="E5121" s="17" t="s">
        <v>7550</v>
      </c>
      <c r="F5121" s="65" t="s">
        <v>454</v>
      </c>
      <c r="G5121" s="3" t="s">
        <v>16</v>
      </c>
      <c r="H5121" s="2" t="s">
        <v>2183</v>
      </c>
      <c r="I5121" s="3" t="s">
        <v>88</v>
      </c>
      <c r="J5121" s="31">
        <v>45988</v>
      </c>
      <c r="K5121" s="31">
        <v>46035</v>
      </c>
      <c r="L5121" s="31">
        <v>46041</v>
      </c>
      <c r="M5121" s="31">
        <v>46114</v>
      </c>
      <c r="N5121" s="31">
        <v>46113</v>
      </c>
      <c r="O5121" s="3" t="s">
        <v>297</v>
      </c>
    </row>
    <row r="5122" spans="1:15">
      <c r="A5122" s="3">
        <f t="shared" si="96"/>
        <v>5121</v>
      </c>
      <c r="B5122" s="65" t="s">
        <v>7551</v>
      </c>
      <c r="C5122" s="1">
        <v>9491072100</v>
      </c>
      <c r="E5122" s="17" t="s">
        <v>2181</v>
      </c>
      <c r="F5122" s="65" t="s">
        <v>569</v>
      </c>
      <c r="G5122" s="3" t="s">
        <v>7030</v>
      </c>
      <c r="H5122" s="2" t="s">
        <v>2183</v>
      </c>
      <c r="I5122" s="3" t="s">
        <v>88</v>
      </c>
      <c r="J5122" s="31">
        <v>45988</v>
      </c>
      <c r="K5122" s="31"/>
      <c r="L5122" s="31"/>
      <c r="M5122" s="31"/>
      <c r="N5122" s="31"/>
      <c r="O5122" s="3" t="s">
        <v>1004</v>
      </c>
    </row>
    <row r="5123" spans="1:15">
      <c r="A5123" s="3">
        <f t="shared" si="96"/>
        <v>5122</v>
      </c>
      <c r="B5123" s="65" t="s">
        <v>7552</v>
      </c>
      <c r="C5123" s="1">
        <v>9985094122</v>
      </c>
      <c r="E5123" s="17" t="s">
        <v>7550</v>
      </c>
      <c r="F5123" s="65" t="s">
        <v>308</v>
      </c>
      <c r="G5123" s="3" t="s">
        <v>416</v>
      </c>
      <c r="H5123" s="2" t="s">
        <v>2183</v>
      </c>
      <c r="I5123" s="3" t="s">
        <v>88</v>
      </c>
      <c r="J5123" s="31">
        <v>45988</v>
      </c>
      <c r="K5123" s="31">
        <v>46027</v>
      </c>
      <c r="L5123" s="31"/>
      <c r="M5123" s="31"/>
      <c r="N5123" s="31"/>
      <c r="O5123" s="3" t="s">
        <v>297</v>
      </c>
    </row>
    <row r="5124" spans="1:15">
      <c r="A5124" s="3">
        <f t="shared" si="96"/>
        <v>5123</v>
      </c>
      <c r="B5124" s="65" t="s">
        <v>7553</v>
      </c>
      <c r="C5124" s="1">
        <v>9994535825</v>
      </c>
      <c r="E5124" s="17" t="s">
        <v>7554</v>
      </c>
      <c r="F5124" s="65" t="s">
        <v>569</v>
      </c>
      <c r="G5124" s="3" t="s">
        <v>1175</v>
      </c>
      <c r="H5124" s="2" t="s">
        <v>2183</v>
      </c>
      <c r="I5124" s="3" t="s">
        <v>88</v>
      </c>
      <c r="J5124" s="31">
        <v>45988</v>
      </c>
      <c r="K5124" s="31"/>
      <c r="L5124" s="31"/>
      <c r="M5124" s="31"/>
      <c r="N5124" s="31"/>
      <c r="O5124" s="3" t="s">
        <v>1004</v>
      </c>
    </row>
    <row r="5125" spans="1:15">
      <c r="A5125" s="3">
        <f t="shared" si="96"/>
        <v>5124</v>
      </c>
      <c r="B5125" s="65" t="s">
        <v>7555</v>
      </c>
      <c r="C5125" s="1">
        <v>8464813141</v>
      </c>
      <c r="E5125" s="17" t="s">
        <v>7554</v>
      </c>
      <c r="F5125" s="65" t="s">
        <v>569</v>
      </c>
      <c r="G5125" s="3" t="s">
        <v>1175</v>
      </c>
      <c r="H5125" s="2" t="s">
        <v>2183</v>
      </c>
      <c r="I5125" s="3" t="s">
        <v>88</v>
      </c>
      <c r="J5125" s="31">
        <v>45988</v>
      </c>
      <c r="K5125" s="31"/>
      <c r="L5125" s="31"/>
      <c r="M5125" s="31"/>
      <c r="N5125" s="31"/>
      <c r="O5125" s="3" t="s">
        <v>1004</v>
      </c>
    </row>
    <row r="5126" spans="1:15">
      <c r="A5126" s="3">
        <f t="shared" si="96"/>
        <v>5125</v>
      </c>
      <c r="B5126" s="65" t="s">
        <v>7556</v>
      </c>
      <c r="C5126" s="1">
        <v>9066461475</v>
      </c>
      <c r="E5126" s="17" t="s">
        <v>7554</v>
      </c>
      <c r="F5126" s="65" t="s">
        <v>569</v>
      </c>
      <c r="G5126" s="3" t="s">
        <v>1175</v>
      </c>
      <c r="H5126" s="2" t="s">
        <v>2183</v>
      </c>
      <c r="I5126" s="3" t="s">
        <v>88</v>
      </c>
      <c r="J5126" s="31">
        <v>45988</v>
      </c>
      <c r="K5126" s="31"/>
      <c r="L5126" s="31"/>
      <c r="M5126" s="31"/>
      <c r="N5126" s="31"/>
      <c r="O5126" s="3" t="s">
        <v>1004</v>
      </c>
    </row>
    <row r="5127" spans="1:15">
      <c r="A5127" s="3">
        <f t="shared" ref="A5127:A5136" si="97">ROW()-1</f>
        <v>5126</v>
      </c>
      <c r="B5127" s="65" t="s">
        <v>7557</v>
      </c>
      <c r="C5127" s="1">
        <v>8121506843</v>
      </c>
      <c r="E5127" s="17" t="s">
        <v>2176</v>
      </c>
      <c r="F5127" s="65" t="s">
        <v>7558</v>
      </c>
      <c r="G5127" s="3" t="s">
        <v>424</v>
      </c>
      <c r="H5127" s="3" t="s">
        <v>999</v>
      </c>
      <c r="I5127" s="3" t="s">
        <v>42</v>
      </c>
      <c r="J5127" s="31">
        <v>45989</v>
      </c>
      <c r="K5127" s="31">
        <v>45994</v>
      </c>
      <c r="L5127" s="31"/>
      <c r="M5127" s="31"/>
      <c r="N5127" s="31"/>
      <c r="O5127" s="3" t="s">
        <v>425</v>
      </c>
    </row>
    <row r="5128" spans="1:15">
      <c r="A5128" s="3">
        <f t="shared" si="97"/>
        <v>5127</v>
      </c>
      <c r="B5128" s="65" t="s">
        <v>7559</v>
      </c>
      <c r="C5128" s="1">
        <v>7729868809</v>
      </c>
      <c r="E5128" s="17" t="s">
        <v>7560</v>
      </c>
      <c r="F5128" s="65" t="s">
        <v>7561</v>
      </c>
      <c r="G5128" s="3" t="s">
        <v>764</v>
      </c>
      <c r="H5128" s="3" t="s">
        <v>3240</v>
      </c>
      <c r="I5128" s="3" t="s">
        <v>42</v>
      </c>
      <c r="J5128" s="31">
        <v>45989</v>
      </c>
      <c r="K5128" s="31">
        <v>45992</v>
      </c>
      <c r="L5128" s="31"/>
      <c r="M5128" s="31"/>
      <c r="N5128" s="31"/>
      <c r="O5128" s="3" t="s">
        <v>425</v>
      </c>
    </row>
    <row r="5129" spans="1:15">
      <c r="A5129" s="3">
        <f t="shared" si="97"/>
        <v>5128</v>
      </c>
      <c r="B5129" s="65" t="s">
        <v>7562</v>
      </c>
      <c r="C5129" s="1">
        <v>8297156116</v>
      </c>
      <c r="E5129" s="17" t="s">
        <v>7563</v>
      </c>
      <c r="F5129" s="65" t="s">
        <v>294</v>
      </c>
      <c r="G5129" s="3" t="s">
        <v>295</v>
      </c>
      <c r="H5129" s="3" t="s">
        <v>3240</v>
      </c>
      <c r="I5129" s="3" t="s">
        <v>42</v>
      </c>
      <c r="J5129" s="31">
        <v>45989</v>
      </c>
      <c r="K5129" s="31">
        <v>45992</v>
      </c>
      <c r="L5129" s="31">
        <v>46010</v>
      </c>
      <c r="M5129" s="31">
        <v>46054</v>
      </c>
      <c r="N5129" s="31"/>
      <c r="O5129" s="3" t="s">
        <v>297</v>
      </c>
    </row>
    <row r="5130" spans="1:15">
      <c r="A5130" s="3">
        <f t="shared" si="97"/>
        <v>5129</v>
      </c>
      <c r="B5130" s="65" t="s">
        <v>7564</v>
      </c>
      <c r="C5130" s="1">
        <v>7008627941</v>
      </c>
      <c r="E5130" s="17" t="s">
        <v>5856</v>
      </c>
      <c r="F5130" s="65" t="s">
        <v>1772</v>
      </c>
      <c r="G5130" s="3" t="s">
        <v>424</v>
      </c>
      <c r="H5130" s="3" t="s">
        <v>368</v>
      </c>
      <c r="I5130" s="3" t="s">
        <v>94</v>
      </c>
      <c r="J5130" s="31">
        <v>45989</v>
      </c>
      <c r="K5130" s="31">
        <v>45992</v>
      </c>
      <c r="L5130" s="31"/>
      <c r="M5130" s="31"/>
      <c r="N5130" s="31"/>
      <c r="O5130" s="3" t="s">
        <v>749</v>
      </c>
    </row>
    <row r="5131" spans="1:15">
      <c r="A5131" s="3">
        <f t="shared" si="97"/>
        <v>5130</v>
      </c>
      <c r="B5131" s="65" t="s">
        <v>7565</v>
      </c>
      <c r="C5131" s="1">
        <v>8850525522</v>
      </c>
      <c r="D5131" s="1">
        <v>8249757519</v>
      </c>
      <c r="E5131" s="17" t="s">
        <v>5856</v>
      </c>
      <c r="F5131" s="65" t="s">
        <v>1772</v>
      </c>
      <c r="G5131" s="3" t="s">
        <v>424</v>
      </c>
      <c r="H5131" s="3" t="s">
        <v>368</v>
      </c>
      <c r="I5131" s="3" t="s">
        <v>94</v>
      </c>
      <c r="J5131" s="31">
        <v>45989</v>
      </c>
      <c r="K5131" s="31">
        <v>45992</v>
      </c>
      <c r="L5131" s="31"/>
      <c r="M5131" s="31"/>
      <c r="N5131" s="31"/>
      <c r="O5131" s="3" t="s">
        <v>425</v>
      </c>
    </row>
    <row r="5132" spans="1:15">
      <c r="A5132" s="3">
        <f t="shared" si="97"/>
        <v>5131</v>
      </c>
      <c r="B5132" s="65" t="s">
        <v>7566</v>
      </c>
      <c r="C5132" s="1">
        <v>7860510096</v>
      </c>
      <c r="E5132" s="17" t="s">
        <v>5856</v>
      </c>
      <c r="F5132" s="65" t="s">
        <v>1772</v>
      </c>
      <c r="G5132" s="3" t="s">
        <v>16</v>
      </c>
      <c r="H5132" s="3" t="s">
        <v>368</v>
      </c>
      <c r="I5132" s="3" t="s">
        <v>94</v>
      </c>
      <c r="J5132" s="31">
        <v>45989</v>
      </c>
      <c r="K5132" s="31">
        <v>45992</v>
      </c>
      <c r="L5132" s="31">
        <v>45996</v>
      </c>
      <c r="M5132" s="31">
        <v>46027</v>
      </c>
      <c r="N5132" s="31">
        <v>46020</v>
      </c>
      <c r="O5132" s="3" t="s">
        <v>297</v>
      </c>
    </row>
    <row r="5133" spans="1:15">
      <c r="A5133" s="3">
        <f t="shared" si="97"/>
        <v>5132</v>
      </c>
      <c r="B5133" s="65" t="s">
        <v>7567</v>
      </c>
      <c r="C5133" s="1">
        <v>7013197842</v>
      </c>
      <c r="E5133" s="17" t="s">
        <v>5859</v>
      </c>
      <c r="F5133" s="65" t="s">
        <v>1772</v>
      </c>
      <c r="G5133" s="3" t="s">
        <v>295</v>
      </c>
      <c r="H5133" s="3" t="s">
        <v>368</v>
      </c>
      <c r="I5133" s="3" t="s">
        <v>94</v>
      </c>
      <c r="J5133" s="31">
        <v>45989</v>
      </c>
      <c r="K5133" s="31">
        <v>45992</v>
      </c>
      <c r="L5133" s="31">
        <v>45996</v>
      </c>
      <c r="M5133" s="31">
        <v>46027</v>
      </c>
      <c r="N5133" s="31"/>
      <c r="O5133" s="3" t="s">
        <v>297</v>
      </c>
    </row>
    <row r="5134" spans="1:15">
      <c r="A5134" s="3">
        <f t="shared" si="97"/>
        <v>5133</v>
      </c>
      <c r="B5134" s="65" t="s">
        <v>2967</v>
      </c>
      <c r="C5134" s="1">
        <v>9307343041</v>
      </c>
      <c r="E5134" s="17" t="s">
        <v>3073</v>
      </c>
      <c r="F5134" s="65" t="s">
        <v>360</v>
      </c>
      <c r="G5134" s="3" t="s">
        <v>416</v>
      </c>
      <c r="H5134" s="3" t="s">
        <v>1613</v>
      </c>
      <c r="I5134" s="3" t="s">
        <v>94</v>
      </c>
      <c r="J5134" s="31">
        <v>45989</v>
      </c>
      <c r="K5134" s="31">
        <v>45990</v>
      </c>
      <c r="L5134" s="31"/>
      <c r="M5134" s="31"/>
      <c r="N5134" s="31"/>
      <c r="O5134" s="3" t="s">
        <v>297</v>
      </c>
    </row>
    <row r="5135" spans="1:15">
      <c r="A5135" s="3">
        <f t="shared" si="97"/>
        <v>5134</v>
      </c>
      <c r="B5135" s="65" t="s">
        <v>7568</v>
      </c>
      <c r="C5135" s="1">
        <v>9771352171</v>
      </c>
      <c r="D5135" s="1">
        <v>7620778098</v>
      </c>
      <c r="E5135" s="17" t="s">
        <v>3073</v>
      </c>
      <c r="F5135" s="65" t="s">
        <v>360</v>
      </c>
      <c r="G5135" s="3" t="s">
        <v>1175</v>
      </c>
      <c r="H5135" s="3" t="s">
        <v>1613</v>
      </c>
      <c r="I5135" s="3" t="s">
        <v>94</v>
      </c>
      <c r="J5135" s="31">
        <v>45989</v>
      </c>
      <c r="K5135" s="31"/>
      <c r="L5135" s="31"/>
      <c r="M5135" s="31"/>
      <c r="N5135" s="31"/>
      <c r="O5135" s="3" t="s">
        <v>1004</v>
      </c>
    </row>
    <row r="5136" spans="1:15">
      <c r="A5136" s="3">
        <f t="shared" si="97"/>
        <v>5135</v>
      </c>
      <c r="B5136" s="65" t="s">
        <v>7569</v>
      </c>
      <c r="C5136" s="1">
        <v>8601572221</v>
      </c>
      <c r="E5136" s="17" t="s">
        <v>7200</v>
      </c>
      <c r="F5136" s="65" t="s">
        <v>360</v>
      </c>
      <c r="G5136" s="3" t="s">
        <v>295</v>
      </c>
      <c r="H5136" s="3" t="s">
        <v>1613</v>
      </c>
      <c r="I5136" s="3" t="s">
        <v>94</v>
      </c>
      <c r="J5136" s="31">
        <v>45989</v>
      </c>
      <c r="K5136" s="31">
        <v>45990</v>
      </c>
      <c r="L5136" s="31">
        <v>45996</v>
      </c>
      <c r="M5136" s="31">
        <v>46006</v>
      </c>
      <c r="N5136" s="31"/>
      <c r="O5136" s="3" t="s">
        <v>297</v>
      </c>
    </row>
    <row r="5137" spans="1:15">
      <c r="A5137" s="3">
        <f t="shared" ref="A5137:A5152" si="98">ROW()-1</f>
        <v>5136</v>
      </c>
      <c r="B5137" s="65" t="s">
        <v>7570</v>
      </c>
      <c r="C5137" s="1">
        <v>7780666624</v>
      </c>
      <c r="E5137" s="17" t="s">
        <v>5811</v>
      </c>
      <c r="F5137" s="65"/>
      <c r="G5137" s="3" t="s">
        <v>16</v>
      </c>
      <c r="H5137" s="3" t="s">
        <v>296</v>
      </c>
      <c r="I5137" s="3" t="s">
        <v>94</v>
      </c>
      <c r="J5137" s="31">
        <v>45983</v>
      </c>
      <c r="K5137" s="31">
        <v>45985</v>
      </c>
      <c r="L5137" s="31">
        <v>45989</v>
      </c>
      <c r="M5137" s="31">
        <v>45993</v>
      </c>
      <c r="N5137" s="31">
        <v>45993</v>
      </c>
      <c r="O5137" s="3" t="s">
        <v>297</v>
      </c>
    </row>
    <row r="5138" spans="1:15">
      <c r="A5138" s="3">
        <f t="shared" si="98"/>
        <v>5137</v>
      </c>
      <c r="B5138" s="65" t="s">
        <v>7571</v>
      </c>
      <c r="C5138" s="1">
        <v>7407216581</v>
      </c>
      <c r="E5138" s="17" t="s">
        <v>6220</v>
      </c>
      <c r="F5138" s="65"/>
      <c r="G5138" s="3" t="s">
        <v>295</v>
      </c>
      <c r="H5138" s="3" t="s">
        <v>296</v>
      </c>
      <c r="I5138" s="3" t="s">
        <v>94</v>
      </c>
      <c r="J5138" s="31">
        <v>45983</v>
      </c>
      <c r="K5138" s="31">
        <v>45985</v>
      </c>
      <c r="L5138" s="31">
        <v>45989</v>
      </c>
      <c r="M5138" s="31">
        <v>46004</v>
      </c>
      <c r="N5138" s="31"/>
      <c r="O5138" s="3" t="s">
        <v>297</v>
      </c>
    </row>
    <row r="5139" spans="1:15">
      <c r="A5139" s="3">
        <f t="shared" si="98"/>
        <v>5138</v>
      </c>
      <c r="B5139" s="65" t="s">
        <v>3765</v>
      </c>
      <c r="C5139" s="1">
        <v>9958928503</v>
      </c>
      <c r="E5139" s="17" t="s">
        <v>7421</v>
      </c>
      <c r="F5139" s="65"/>
      <c r="G5139" s="3" t="s">
        <v>16</v>
      </c>
      <c r="H5139" s="3" t="s">
        <v>162</v>
      </c>
      <c r="I5139" s="3" t="s">
        <v>94</v>
      </c>
      <c r="J5139" s="31">
        <v>45983</v>
      </c>
      <c r="K5139" s="31">
        <v>45985</v>
      </c>
      <c r="L5139" s="31">
        <v>45989</v>
      </c>
      <c r="M5139" s="31">
        <v>45995</v>
      </c>
      <c r="N5139" s="31">
        <v>45992</v>
      </c>
      <c r="O5139" s="3" t="s">
        <v>297</v>
      </c>
    </row>
    <row r="5140" spans="1:15">
      <c r="A5140" s="3">
        <f t="shared" si="98"/>
        <v>5139</v>
      </c>
      <c r="B5140" s="65" t="s">
        <v>7572</v>
      </c>
      <c r="C5140" s="1">
        <v>7767056308</v>
      </c>
      <c r="E5140" s="17" t="s">
        <v>7573</v>
      </c>
      <c r="F5140" s="65" t="s">
        <v>7574</v>
      </c>
      <c r="G5140" s="3" t="s">
        <v>424</v>
      </c>
      <c r="H5140" s="3" t="s">
        <v>296</v>
      </c>
      <c r="I5140" s="3" t="s">
        <v>94</v>
      </c>
      <c r="J5140" s="31">
        <v>45989</v>
      </c>
      <c r="K5140" s="31">
        <v>46008</v>
      </c>
      <c r="L5140" s="31"/>
      <c r="M5140" s="31"/>
      <c r="N5140" s="31"/>
      <c r="O5140" s="3" t="s">
        <v>749</v>
      </c>
    </row>
    <row r="5141" spans="1:15">
      <c r="A5141" s="3">
        <f t="shared" si="98"/>
        <v>5140</v>
      </c>
      <c r="B5141" s="65" t="s">
        <v>7575</v>
      </c>
      <c r="C5141" s="1">
        <v>8825392148</v>
      </c>
      <c r="E5141" s="17" t="s">
        <v>7155</v>
      </c>
      <c r="F5141" s="65" t="s">
        <v>569</v>
      </c>
      <c r="G5141" s="3" t="s">
        <v>16</v>
      </c>
      <c r="H5141" s="3" t="s">
        <v>296</v>
      </c>
      <c r="I5141" s="3" t="s">
        <v>94</v>
      </c>
      <c r="J5141" s="31">
        <v>45989</v>
      </c>
      <c r="K5141" s="31">
        <v>46010</v>
      </c>
      <c r="L5141" s="31">
        <v>46010</v>
      </c>
      <c r="M5141" s="31">
        <v>46023</v>
      </c>
      <c r="N5141" s="31">
        <v>46028</v>
      </c>
      <c r="O5141" s="3" t="s">
        <v>297</v>
      </c>
    </row>
    <row r="5142" spans="1:15">
      <c r="A5142" s="3">
        <f t="shared" si="98"/>
        <v>5141</v>
      </c>
      <c r="B5142" s="65" t="s">
        <v>7576</v>
      </c>
      <c r="C5142" s="1">
        <v>9336493900</v>
      </c>
      <c r="E5142" s="17" t="s">
        <v>6599</v>
      </c>
      <c r="F5142" s="65" t="s">
        <v>446</v>
      </c>
      <c r="G5142" s="3" t="s">
        <v>424</v>
      </c>
      <c r="H5142" s="3" t="s">
        <v>296</v>
      </c>
      <c r="I5142" s="3" t="s">
        <v>94</v>
      </c>
      <c r="J5142" s="31">
        <v>45989</v>
      </c>
      <c r="K5142" s="31">
        <v>46031</v>
      </c>
      <c r="L5142" s="31"/>
      <c r="M5142" s="31"/>
      <c r="N5142" s="31"/>
      <c r="O5142" s="3" t="s">
        <v>425</v>
      </c>
    </row>
    <row r="5143" spans="1:15">
      <c r="A5143" s="3">
        <f t="shared" si="98"/>
        <v>5142</v>
      </c>
      <c r="B5143" s="65" t="s">
        <v>7577</v>
      </c>
      <c r="C5143" s="1">
        <v>9977290809</v>
      </c>
      <c r="D5143" s="1">
        <v>9669620371</v>
      </c>
      <c r="E5143" s="17" t="s">
        <v>6599</v>
      </c>
      <c r="F5143" s="65" t="s">
        <v>7578</v>
      </c>
      <c r="G5143" s="3" t="s">
        <v>295</v>
      </c>
      <c r="H5143" s="3" t="s">
        <v>296</v>
      </c>
      <c r="I5143" s="3" t="s">
        <v>94</v>
      </c>
      <c r="J5143" s="31">
        <v>45989</v>
      </c>
      <c r="K5143" s="31">
        <v>46031</v>
      </c>
      <c r="L5143" s="31">
        <v>46031</v>
      </c>
      <c r="M5143" s="31">
        <v>46062</v>
      </c>
      <c r="N5143" s="31"/>
      <c r="O5143" s="3" t="s">
        <v>297</v>
      </c>
    </row>
    <row r="5144" spans="1:15">
      <c r="A5144" s="3">
        <f t="shared" si="98"/>
        <v>5143</v>
      </c>
      <c r="B5144" s="65" t="s">
        <v>7579</v>
      </c>
      <c r="C5144" s="1">
        <v>8897947220</v>
      </c>
      <c r="E5144" s="17" t="s">
        <v>7580</v>
      </c>
      <c r="F5144" s="65" t="s">
        <v>4221</v>
      </c>
      <c r="G5144" s="3" t="s">
        <v>424</v>
      </c>
      <c r="H5144" s="3" t="s">
        <v>296</v>
      </c>
      <c r="I5144" s="3" t="s">
        <v>88</v>
      </c>
      <c r="J5144" s="31">
        <v>45989</v>
      </c>
      <c r="K5144" s="31">
        <v>46002</v>
      </c>
      <c r="L5144" s="31"/>
      <c r="M5144" s="31"/>
      <c r="N5144" s="31"/>
      <c r="O5144" s="3" t="s">
        <v>425</v>
      </c>
    </row>
    <row r="5145" spans="1:15">
      <c r="A5145" s="3">
        <f t="shared" si="98"/>
        <v>5144</v>
      </c>
      <c r="B5145" s="65" t="s">
        <v>7581</v>
      </c>
      <c r="C5145" s="1">
        <v>9348243244</v>
      </c>
      <c r="D5145" s="1">
        <v>8895133042</v>
      </c>
      <c r="E5145" s="17" t="s">
        <v>7136</v>
      </c>
      <c r="F5145" s="65" t="s">
        <v>7582</v>
      </c>
      <c r="G5145" s="3" t="s">
        <v>18</v>
      </c>
      <c r="H5145" s="3" t="s">
        <v>296</v>
      </c>
      <c r="I5145" s="3" t="s">
        <v>88</v>
      </c>
      <c r="J5145" s="31">
        <v>45989</v>
      </c>
      <c r="K5145" s="31">
        <v>46002</v>
      </c>
      <c r="L5145" s="31"/>
      <c r="M5145" s="31"/>
      <c r="N5145" s="31"/>
      <c r="O5145" s="3" t="s">
        <v>297</v>
      </c>
    </row>
    <row r="5146" spans="1:15">
      <c r="A5146" s="3">
        <f t="shared" si="98"/>
        <v>5145</v>
      </c>
      <c r="B5146" s="65" t="s">
        <v>7583</v>
      </c>
      <c r="C5146" s="1">
        <v>9440715217</v>
      </c>
      <c r="E5146" s="17" t="s">
        <v>7136</v>
      </c>
      <c r="F5146" s="65" t="s">
        <v>7584</v>
      </c>
      <c r="G5146" s="3" t="s">
        <v>764</v>
      </c>
      <c r="H5146" s="3" t="s">
        <v>296</v>
      </c>
      <c r="I5146" s="3" t="s">
        <v>88</v>
      </c>
      <c r="J5146" s="31">
        <v>45989</v>
      </c>
      <c r="K5146" s="31">
        <v>46002</v>
      </c>
      <c r="L5146" s="31"/>
      <c r="M5146" s="31"/>
      <c r="N5146" s="31"/>
      <c r="O5146" s="3" t="s">
        <v>425</v>
      </c>
    </row>
    <row r="5147" spans="1:15">
      <c r="A5147" s="3">
        <f t="shared" si="98"/>
        <v>5146</v>
      </c>
      <c r="B5147" s="65" t="s">
        <v>7585</v>
      </c>
      <c r="C5147" s="1">
        <v>8008780399</v>
      </c>
      <c r="D5147" s="1">
        <v>9010374214</v>
      </c>
      <c r="E5147" s="17" t="s">
        <v>7136</v>
      </c>
      <c r="F5147" s="65" t="s">
        <v>2630</v>
      </c>
      <c r="G5147" s="3" t="s">
        <v>416</v>
      </c>
      <c r="H5147" s="3" t="s">
        <v>296</v>
      </c>
      <c r="I5147" s="3" t="s">
        <v>88</v>
      </c>
      <c r="J5147" s="31">
        <v>45989</v>
      </c>
      <c r="K5147" s="31">
        <v>46002</v>
      </c>
      <c r="L5147" s="31"/>
      <c r="M5147" s="31"/>
      <c r="N5147" s="31"/>
      <c r="O5147" s="3" t="s">
        <v>297</v>
      </c>
    </row>
    <row r="5148" spans="1:15">
      <c r="A5148" s="3">
        <f t="shared" si="98"/>
        <v>5147</v>
      </c>
      <c r="B5148" s="65" t="s">
        <v>7586</v>
      </c>
      <c r="C5148" s="1">
        <v>7010218664</v>
      </c>
      <c r="E5148" s="17" t="s">
        <v>5818</v>
      </c>
      <c r="F5148" s="65" t="s">
        <v>7587</v>
      </c>
      <c r="G5148" s="3" t="s">
        <v>18</v>
      </c>
      <c r="H5148" s="3" t="s">
        <v>5774</v>
      </c>
      <c r="I5148" s="3" t="s">
        <v>42</v>
      </c>
      <c r="J5148" s="31">
        <v>45989</v>
      </c>
      <c r="K5148" s="31"/>
      <c r="L5148" s="31"/>
      <c r="M5148" s="31"/>
      <c r="N5148" s="31"/>
      <c r="O5148" s="3" t="s">
        <v>1004</v>
      </c>
    </row>
    <row r="5149" spans="1:15">
      <c r="A5149" s="3">
        <f t="shared" si="98"/>
        <v>5148</v>
      </c>
      <c r="B5149" s="65" t="s">
        <v>4542</v>
      </c>
      <c r="C5149" s="1">
        <v>8247639297</v>
      </c>
      <c r="E5149" s="17" t="s">
        <v>5818</v>
      </c>
      <c r="F5149" s="65" t="s">
        <v>7588</v>
      </c>
      <c r="G5149" s="3" t="s">
        <v>18</v>
      </c>
      <c r="H5149" s="3" t="s">
        <v>5774</v>
      </c>
      <c r="I5149" s="3" t="s">
        <v>42</v>
      </c>
      <c r="J5149" s="31">
        <v>45989</v>
      </c>
      <c r="K5149" s="31"/>
      <c r="L5149" s="31"/>
      <c r="M5149" s="31"/>
      <c r="N5149" s="31"/>
      <c r="O5149" s="3" t="s">
        <v>1004</v>
      </c>
    </row>
    <row r="5150" spans="1:15">
      <c r="A5150" s="3">
        <f t="shared" si="98"/>
        <v>5149</v>
      </c>
      <c r="B5150" s="65" t="s">
        <v>7589</v>
      </c>
      <c r="C5150" s="1">
        <v>9666690973</v>
      </c>
      <c r="E5150" s="17" t="s">
        <v>5403</v>
      </c>
      <c r="F5150" s="65"/>
      <c r="G5150" s="3" t="s">
        <v>16</v>
      </c>
      <c r="H5150" s="3" t="s">
        <v>2553</v>
      </c>
      <c r="I5150" s="3" t="s">
        <v>42</v>
      </c>
      <c r="J5150" s="31">
        <v>45983</v>
      </c>
      <c r="K5150" s="31">
        <v>45985</v>
      </c>
      <c r="L5150" s="31">
        <v>45989</v>
      </c>
      <c r="M5150" s="31">
        <v>45996</v>
      </c>
      <c r="N5150" s="31">
        <v>45996</v>
      </c>
      <c r="O5150" s="3" t="s">
        <v>297</v>
      </c>
    </row>
    <row r="5151" spans="1:15">
      <c r="A5151" s="3">
        <f t="shared" si="98"/>
        <v>5150</v>
      </c>
      <c r="B5151" s="65" t="s">
        <v>7590</v>
      </c>
      <c r="C5151" s="1">
        <v>7286042623</v>
      </c>
      <c r="E5151" s="17" t="s">
        <v>5904</v>
      </c>
      <c r="F5151" s="65"/>
      <c r="G5151" s="3" t="s">
        <v>16</v>
      </c>
      <c r="H5151" s="3" t="s">
        <v>7467</v>
      </c>
      <c r="I5151" s="3" t="s">
        <v>42</v>
      </c>
      <c r="J5151" s="31">
        <v>45983</v>
      </c>
      <c r="K5151" s="31">
        <v>45985</v>
      </c>
      <c r="L5151" s="31">
        <v>45989</v>
      </c>
      <c r="M5151" s="31">
        <v>46013</v>
      </c>
      <c r="N5151" s="31">
        <v>46013</v>
      </c>
      <c r="O5151" s="3" t="s">
        <v>297</v>
      </c>
    </row>
    <row r="5152" spans="1:15">
      <c r="A5152" s="3">
        <f t="shared" si="98"/>
        <v>5151</v>
      </c>
      <c r="B5152" s="65" t="s">
        <v>7591</v>
      </c>
      <c r="C5152" s="1">
        <v>9100843889</v>
      </c>
      <c r="E5152" s="17" t="s">
        <v>7592</v>
      </c>
      <c r="F5152" s="65"/>
      <c r="G5152" s="3" t="s">
        <v>16</v>
      </c>
      <c r="H5152" s="3" t="s">
        <v>7593</v>
      </c>
      <c r="I5152" s="3" t="s">
        <v>42</v>
      </c>
      <c r="J5152" s="31">
        <v>45983</v>
      </c>
      <c r="K5152" s="31">
        <v>45985</v>
      </c>
      <c r="L5152" s="31">
        <v>45989</v>
      </c>
      <c r="M5152" s="31">
        <v>46006</v>
      </c>
      <c r="N5152" s="31">
        <v>46006</v>
      </c>
      <c r="O5152" s="3" t="s">
        <v>297</v>
      </c>
    </row>
    <row r="5153" spans="1:15">
      <c r="A5153" s="3">
        <f>ROW()-1</f>
        <v>5152</v>
      </c>
      <c r="B5153" s="65" t="s">
        <v>7594</v>
      </c>
      <c r="C5153" s="1">
        <v>8002328778</v>
      </c>
      <c r="D5153" s="1">
        <v>6202095290</v>
      </c>
      <c r="E5153" s="17" t="s">
        <v>7595</v>
      </c>
      <c r="F5153" s="65" t="s">
        <v>7596</v>
      </c>
      <c r="G5153" s="3" t="s">
        <v>764</v>
      </c>
      <c r="H5153" s="3" t="s">
        <v>3240</v>
      </c>
      <c r="I5153" s="3" t="s">
        <v>42</v>
      </c>
      <c r="J5153" s="31">
        <v>45993</v>
      </c>
      <c r="K5153" s="31">
        <v>46114</v>
      </c>
      <c r="L5153" s="31"/>
      <c r="M5153" s="31"/>
      <c r="N5153" s="31"/>
      <c r="O5153" s="3" t="s">
        <v>425</v>
      </c>
    </row>
    <row r="5154" spans="1:15">
      <c r="A5154" s="3">
        <f>ROW()-1</f>
        <v>5153</v>
      </c>
      <c r="B5154" s="65" t="s">
        <v>7597</v>
      </c>
      <c r="C5154" s="1">
        <v>9573533830</v>
      </c>
      <c r="E5154" s="17" t="s">
        <v>7595</v>
      </c>
      <c r="F5154" s="65" t="s">
        <v>7598</v>
      </c>
      <c r="G5154" s="3" t="s">
        <v>764</v>
      </c>
      <c r="H5154" s="3" t="s">
        <v>3240</v>
      </c>
      <c r="I5154" s="3" t="s">
        <v>42</v>
      </c>
      <c r="J5154" s="31">
        <v>45993</v>
      </c>
      <c r="K5154" s="31">
        <v>46114</v>
      </c>
      <c r="L5154" s="31"/>
      <c r="M5154" s="31"/>
      <c r="N5154" s="31"/>
      <c r="O5154" s="3" t="s">
        <v>425</v>
      </c>
    </row>
    <row r="5155" spans="1:15">
      <c r="A5155" s="3">
        <f t="shared" ref="A5155:A5160" si="99">ROW()-1</f>
        <v>5154</v>
      </c>
      <c r="B5155" s="65" t="s">
        <v>7599</v>
      </c>
      <c r="C5155" s="1">
        <v>7288002088</v>
      </c>
      <c r="D5155" s="1">
        <v>9603029219</v>
      </c>
      <c r="E5155" s="3" t="s">
        <v>5887</v>
      </c>
      <c r="F5155" s="65" t="s">
        <v>1312</v>
      </c>
      <c r="G5155" s="3" t="s">
        <v>16</v>
      </c>
      <c r="H5155" s="3" t="s">
        <v>3240</v>
      </c>
      <c r="I5155" s="3" t="s">
        <v>42</v>
      </c>
      <c r="J5155" s="31">
        <v>45993</v>
      </c>
      <c r="K5155" s="31">
        <v>45995</v>
      </c>
      <c r="L5155" s="31">
        <v>46000</v>
      </c>
      <c r="M5155" s="31">
        <v>46011</v>
      </c>
      <c r="N5155" s="31">
        <v>46009</v>
      </c>
      <c r="O5155" s="3" t="s">
        <v>297</v>
      </c>
    </row>
    <row r="5156" spans="1:15">
      <c r="A5156" s="3">
        <f t="shared" si="99"/>
        <v>5155</v>
      </c>
      <c r="B5156" s="65" t="s">
        <v>7600</v>
      </c>
      <c r="C5156" s="1">
        <v>9542006617</v>
      </c>
      <c r="D5156" s="1">
        <v>9848202160</v>
      </c>
      <c r="E5156" s="17" t="s">
        <v>7449</v>
      </c>
      <c r="F5156" s="65" t="s">
        <v>303</v>
      </c>
      <c r="G5156" s="3" t="s">
        <v>16</v>
      </c>
      <c r="H5156" s="3" t="s">
        <v>3240</v>
      </c>
      <c r="I5156" s="3" t="s">
        <v>42</v>
      </c>
      <c r="J5156" s="31">
        <v>45993</v>
      </c>
      <c r="K5156" s="31">
        <v>45995</v>
      </c>
      <c r="L5156" s="31">
        <v>46000</v>
      </c>
      <c r="M5156" s="31">
        <v>46039</v>
      </c>
      <c r="N5156" s="31">
        <v>46023</v>
      </c>
      <c r="O5156" s="3" t="s">
        <v>297</v>
      </c>
    </row>
    <row r="5157" spans="1:15">
      <c r="A5157" s="3">
        <f t="shared" si="99"/>
        <v>5156</v>
      </c>
      <c r="B5157" s="65" t="s">
        <v>7601</v>
      </c>
      <c r="C5157" s="1">
        <v>9653973401</v>
      </c>
      <c r="E5157" s="3" t="s">
        <v>6236</v>
      </c>
      <c r="F5157" s="65" t="s">
        <v>7602</v>
      </c>
      <c r="G5157" s="3" t="s">
        <v>416</v>
      </c>
      <c r="H5157" s="3" t="s">
        <v>3240</v>
      </c>
      <c r="I5157" s="3" t="s">
        <v>42</v>
      </c>
      <c r="J5157" s="31">
        <v>45993</v>
      </c>
      <c r="K5157" s="31">
        <v>46072</v>
      </c>
      <c r="L5157" s="31"/>
      <c r="M5157" s="31"/>
      <c r="N5157" s="31"/>
      <c r="O5157" s="3" t="s">
        <v>297</v>
      </c>
    </row>
    <row r="5158" spans="1:15">
      <c r="A5158" s="3">
        <f t="shared" si="99"/>
        <v>5157</v>
      </c>
      <c r="B5158" s="65" t="s">
        <v>7603</v>
      </c>
      <c r="C5158" s="1">
        <v>9685738838</v>
      </c>
      <c r="E5158" s="3" t="s">
        <v>6236</v>
      </c>
      <c r="F5158" s="65" t="s">
        <v>490</v>
      </c>
      <c r="G5158" s="3" t="s">
        <v>16</v>
      </c>
      <c r="H5158" s="3" t="s">
        <v>3240</v>
      </c>
      <c r="I5158" s="3" t="s">
        <v>42</v>
      </c>
      <c r="J5158" s="31">
        <v>45993</v>
      </c>
      <c r="K5158" s="31">
        <v>46001</v>
      </c>
      <c r="L5158" s="31">
        <v>46002</v>
      </c>
      <c r="M5158" s="31">
        <v>46034</v>
      </c>
      <c r="N5158" s="31">
        <v>46032</v>
      </c>
      <c r="O5158" s="3" t="s">
        <v>297</v>
      </c>
    </row>
    <row r="5159" spans="1:15">
      <c r="A5159" s="3">
        <f t="shared" si="99"/>
        <v>5158</v>
      </c>
      <c r="B5159" s="65" t="s">
        <v>7604</v>
      </c>
      <c r="C5159" s="1">
        <v>9492693484</v>
      </c>
      <c r="E5159" s="17" t="s">
        <v>7449</v>
      </c>
      <c r="F5159" s="65" t="s">
        <v>303</v>
      </c>
      <c r="G5159" s="3" t="s">
        <v>416</v>
      </c>
      <c r="H5159" s="3" t="s">
        <v>3240</v>
      </c>
      <c r="I5159" s="3" t="s">
        <v>42</v>
      </c>
      <c r="J5159" s="31">
        <v>45993</v>
      </c>
      <c r="K5159" s="31">
        <v>45995</v>
      </c>
      <c r="L5159" s="31"/>
      <c r="M5159" s="31"/>
      <c r="N5159" s="31"/>
      <c r="O5159" s="3" t="s">
        <v>297</v>
      </c>
    </row>
    <row r="5160" spans="1:15">
      <c r="A5160" s="3">
        <f t="shared" si="99"/>
        <v>5159</v>
      </c>
      <c r="B5160" s="65" t="s">
        <v>7605</v>
      </c>
      <c r="C5160" s="1">
        <v>9533511654</v>
      </c>
      <c r="E5160" s="17" t="s">
        <v>7563</v>
      </c>
      <c r="F5160" s="65" t="s">
        <v>294</v>
      </c>
      <c r="G5160" s="3" t="s">
        <v>295</v>
      </c>
      <c r="H5160" s="3" t="s">
        <v>3240</v>
      </c>
      <c r="I5160" s="3" t="s">
        <v>42</v>
      </c>
      <c r="J5160" s="31">
        <v>45993</v>
      </c>
      <c r="K5160" s="31">
        <v>45995</v>
      </c>
      <c r="L5160" s="31">
        <v>46010</v>
      </c>
      <c r="M5160" s="31">
        <v>46044</v>
      </c>
      <c r="N5160" s="31"/>
      <c r="O5160" s="3" t="s">
        <v>297</v>
      </c>
    </row>
    <row r="5161" spans="1:15">
      <c r="A5161" s="3">
        <f>ROW()-1</f>
        <v>5160</v>
      </c>
      <c r="B5161" s="65" t="s">
        <v>7606</v>
      </c>
      <c r="C5161" s="1">
        <v>6204368735</v>
      </c>
      <c r="D5161" s="1">
        <v>7013340155</v>
      </c>
      <c r="E5161" s="17" t="s">
        <v>4609</v>
      </c>
      <c r="F5161" s="65" t="s">
        <v>7607</v>
      </c>
      <c r="G5161" s="3" t="s">
        <v>424</v>
      </c>
      <c r="H5161" s="3" t="s">
        <v>5774</v>
      </c>
      <c r="I5161" s="3" t="s">
        <v>42</v>
      </c>
      <c r="J5161" s="31">
        <v>45994</v>
      </c>
      <c r="K5161" s="31">
        <v>45998</v>
      </c>
      <c r="L5161" s="31"/>
      <c r="M5161" s="31"/>
      <c r="N5161" s="31"/>
      <c r="O5161" s="3" t="s">
        <v>425</v>
      </c>
    </row>
    <row r="5162" spans="1:15">
      <c r="A5162" s="3">
        <f>ROW()-1</f>
        <v>5161</v>
      </c>
      <c r="B5162" s="65" t="s">
        <v>7608</v>
      </c>
      <c r="C5162" s="1">
        <v>6302975128</v>
      </c>
      <c r="E5162" s="17" t="s">
        <v>7299</v>
      </c>
      <c r="F5162" s="65" t="s">
        <v>7609</v>
      </c>
      <c r="G5162" s="3" t="s">
        <v>424</v>
      </c>
      <c r="H5162" s="3" t="s">
        <v>2425</v>
      </c>
      <c r="I5162" s="3" t="s">
        <v>42</v>
      </c>
      <c r="J5162" s="31">
        <v>45994</v>
      </c>
      <c r="K5162" s="31">
        <v>45996</v>
      </c>
      <c r="L5162" s="31"/>
      <c r="M5162" s="31"/>
      <c r="N5162" s="31"/>
      <c r="O5162" s="3" t="s">
        <v>425</v>
      </c>
    </row>
    <row r="5163" spans="1:15">
      <c r="A5163" s="3">
        <f>ROW()-1</f>
        <v>5162</v>
      </c>
      <c r="B5163" s="65" t="s">
        <v>7610</v>
      </c>
      <c r="C5163" s="1">
        <v>9550377337</v>
      </c>
      <c r="E5163" s="17" t="s">
        <v>7595</v>
      </c>
      <c r="F5163" s="65" t="s">
        <v>7611</v>
      </c>
      <c r="G5163" s="3" t="s">
        <v>416</v>
      </c>
      <c r="H5163" s="3" t="s">
        <v>3240</v>
      </c>
      <c r="I5163" s="3" t="s">
        <v>42</v>
      </c>
      <c r="J5163" s="31">
        <v>45995</v>
      </c>
      <c r="K5163" s="31">
        <v>46034</v>
      </c>
      <c r="L5163" s="31"/>
      <c r="M5163" s="31"/>
      <c r="N5163" s="31"/>
      <c r="O5163" s="3" t="s">
        <v>297</v>
      </c>
    </row>
    <row r="5164" spans="1:15">
      <c r="A5164" s="3">
        <f>ROW()-1</f>
        <v>5163</v>
      </c>
      <c r="B5164" s="65" t="s">
        <v>7612</v>
      </c>
      <c r="C5164" s="1">
        <v>8722399366</v>
      </c>
      <c r="D5164" s="1">
        <v>8217300732</v>
      </c>
      <c r="E5164" s="17" t="s">
        <v>6798</v>
      </c>
      <c r="F5164" s="65" t="s">
        <v>7613</v>
      </c>
      <c r="G5164" s="3" t="s">
        <v>18</v>
      </c>
      <c r="H5164" s="3" t="s">
        <v>42</v>
      </c>
      <c r="I5164" s="3" t="s">
        <v>42</v>
      </c>
      <c r="J5164" s="31">
        <v>45996</v>
      </c>
      <c r="K5164" s="31"/>
      <c r="L5164" s="31"/>
      <c r="M5164" s="31"/>
      <c r="N5164" s="31"/>
      <c r="O5164" s="3" t="s">
        <v>1004</v>
      </c>
    </row>
    <row r="5165" spans="1:15">
      <c r="A5165" s="3">
        <f t="shared" ref="A5165:A5169" si="100">ROW()-1</f>
        <v>5164</v>
      </c>
      <c r="B5165" s="65" t="s">
        <v>7614</v>
      </c>
      <c r="C5165" s="1">
        <v>9547922770</v>
      </c>
      <c r="D5165" s="1">
        <v>6295409873</v>
      </c>
      <c r="E5165" s="17" t="s">
        <v>3326</v>
      </c>
      <c r="F5165" s="65" t="s">
        <v>294</v>
      </c>
      <c r="G5165" s="3" t="s">
        <v>416</v>
      </c>
      <c r="H5165" s="3" t="s">
        <v>630</v>
      </c>
      <c r="I5165" s="3" t="s">
        <v>94</v>
      </c>
      <c r="J5165" s="31">
        <v>45996</v>
      </c>
      <c r="K5165" s="31">
        <v>46004</v>
      </c>
      <c r="L5165" s="31"/>
      <c r="M5165" s="31"/>
      <c r="N5165" s="31"/>
      <c r="O5165" s="3" t="s">
        <v>297</v>
      </c>
    </row>
    <row r="5166" spans="1:15">
      <c r="A5166" s="3">
        <f t="shared" si="100"/>
        <v>5165</v>
      </c>
      <c r="B5166" s="65" t="s">
        <v>7615</v>
      </c>
      <c r="C5166" s="1">
        <v>9919565056</v>
      </c>
      <c r="D5166" s="1">
        <v>7652082063</v>
      </c>
      <c r="E5166" s="17" t="s">
        <v>5975</v>
      </c>
      <c r="F5166" s="65" t="s">
        <v>3002</v>
      </c>
      <c r="G5166" s="3" t="s">
        <v>764</v>
      </c>
      <c r="H5166" s="3" t="s">
        <v>630</v>
      </c>
      <c r="I5166" s="3" t="s">
        <v>94</v>
      </c>
      <c r="J5166" s="31">
        <v>45996</v>
      </c>
      <c r="K5166" s="31">
        <v>45998</v>
      </c>
      <c r="L5166" s="31"/>
      <c r="M5166" s="31"/>
      <c r="N5166" s="31"/>
      <c r="O5166" s="3" t="s">
        <v>425</v>
      </c>
    </row>
    <row r="5167" spans="1:15">
      <c r="A5167" s="3">
        <f t="shared" si="100"/>
        <v>5166</v>
      </c>
      <c r="B5167" s="65" t="s">
        <v>7616</v>
      </c>
      <c r="C5167" s="1">
        <v>9129935694</v>
      </c>
      <c r="D5167" s="1">
        <v>9451335121</v>
      </c>
      <c r="E5167" s="17" t="s">
        <v>7617</v>
      </c>
      <c r="F5167" s="65" t="s">
        <v>3002</v>
      </c>
      <c r="G5167" s="3" t="s">
        <v>15</v>
      </c>
      <c r="H5167" s="3" t="s">
        <v>630</v>
      </c>
      <c r="I5167" s="3" t="s">
        <v>94</v>
      </c>
      <c r="J5167" s="31">
        <v>45996</v>
      </c>
      <c r="K5167" s="31">
        <v>45999</v>
      </c>
      <c r="L5167" s="31">
        <v>46002</v>
      </c>
      <c r="M5167" s="31">
        <v>46105</v>
      </c>
      <c r="N5167" s="31"/>
      <c r="O5167" s="3" t="s">
        <v>297</v>
      </c>
    </row>
    <row r="5168" spans="1:15">
      <c r="A5168" s="3">
        <f t="shared" si="100"/>
        <v>5167</v>
      </c>
      <c r="B5168" s="65" t="s">
        <v>7618</v>
      </c>
      <c r="C5168" s="1">
        <v>9160918544</v>
      </c>
      <c r="E5168" s="17" t="s">
        <v>6950</v>
      </c>
      <c r="F5168" s="65" t="s">
        <v>7619</v>
      </c>
      <c r="G5168" s="3" t="s">
        <v>18</v>
      </c>
      <c r="H5168" s="3" t="s">
        <v>42</v>
      </c>
      <c r="I5168" s="3" t="s">
        <v>42</v>
      </c>
      <c r="J5168" s="31">
        <v>45996</v>
      </c>
      <c r="K5168" s="31"/>
      <c r="L5168" s="31"/>
      <c r="M5168" s="31"/>
      <c r="N5168" s="31"/>
      <c r="O5168" s="3" t="s">
        <v>1004</v>
      </c>
    </row>
    <row r="5169" spans="1:15">
      <c r="A5169" s="3">
        <f t="shared" si="100"/>
        <v>5168</v>
      </c>
      <c r="B5169" s="65" t="s">
        <v>7620</v>
      </c>
      <c r="C5169" s="1">
        <v>9652657454</v>
      </c>
      <c r="D5169" s="1">
        <v>9398225329</v>
      </c>
      <c r="E5169" s="17" t="s">
        <v>2176</v>
      </c>
      <c r="F5169" s="65" t="s">
        <v>308</v>
      </c>
      <c r="G5169" s="3" t="s">
        <v>424</v>
      </c>
      <c r="H5169" s="3" t="s">
        <v>999</v>
      </c>
      <c r="I5169" s="3" t="s">
        <v>42</v>
      </c>
      <c r="J5169" s="31">
        <v>45996</v>
      </c>
      <c r="K5169" s="31">
        <v>46006</v>
      </c>
      <c r="L5169" s="31"/>
      <c r="M5169" s="31"/>
      <c r="N5169" s="31"/>
      <c r="O5169" s="3" t="s">
        <v>425</v>
      </c>
    </row>
    <row r="5170" spans="1:15">
      <c r="A5170" s="3">
        <f t="shared" ref="A5170:A5177" si="101">ROW()-1</f>
        <v>5169</v>
      </c>
      <c r="B5170" s="65" t="s">
        <v>7621</v>
      </c>
      <c r="C5170" s="1">
        <v>6296184016</v>
      </c>
      <c r="E5170" s="17" t="s">
        <v>7057</v>
      </c>
      <c r="F5170" s="65" t="s">
        <v>294</v>
      </c>
      <c r="G5170" s="3" t="s">
        <v>16</v>
      </c>
      <c r="H5170" s="3" t="s">
        <v>296</v>
      </c>
      <c r="I5170" s="3" t="s">
        <v>94</v>
      </c>
      <c r="J5170" s="31">
        <v>45996</v>
      </c>
      <c r="K5170" s="31">
        <v>46034</v>
      </c>
      <c r="L5170" s="31">
        <v>46041</v>
      </c>
      <c r="M5170" s="31">
        <v>46062</v>
      </c>
      <c r="N5170" s="31">
        <v>46073</v>
      </c>
      <c r="O5170" s="3" t="s">
        <v>297</v>
      </c>
    </row>
    <row r="5171" spans="1:15">
      <c r="A5171" s="3">
        <f t="shared" si="101"/>
        <v>5170</v>
      </c>
      <c r="B5171" s="65" t="s">
        <v>7622</v>
      </c>
      <c r="C5171" s="1">
        <v>8085948712</v>
      </c>
      <c r="E5171" s="17" t="s">
        <v>6175</v>
      </c>
      <c r="F5171" s="65" t="s">
        <v>7623</v>
      </c>
      <c r="G5171" s="3" t="s">
        <v>16</v>
      </c>
      <c r="H5171" s="3" t="s">
        <v>4469</v>
      </c>
      <c r="I5171" s="3" t="s">
        <v>88</v>
      </c>
      <c r="J5171" s="31">
        <v>45992</v>
      </c>
      <c r="K5171" s="31">
        <v>45994</v>
      </c>
      <c r="L5171" s="31">
        <v>45996</v>
      </c>
      <c r="M5171" s="31">
        <v>46027</v>
      </c>
      <c r="N5171" s="31">
        <v>46023</v>
      </c>
      <c r="O5171" s="3" t="s">
        <v>297</v>
      </c>
    </row>
    <row r="5172" spans="1:15">
      <c r="A5172" s="3">
        <f t="shared" si="101"/>
        <v>5171</v>
      </c>
      <c r="B5172" s="65" t="s">
        <v>7624</v>
      </c>
      <c r="C5172" s="1">
        <v>8966065821</v>
      </c>
      <c r="E5172" s="17" t="s">
        <v>6175</v>
      </c>
      <c r="F5172" s="65" t="s">
        <v>7623</v>
      </c>
      <c r="G5172" s="3" t="s">
        <v>16</v>
      </c>
      <c r="H5172" s="3" t="s">
        <v>4469</v>
      </c>
      <c r="I5172" s="3" t="s">
        <v>88</v>
      </c>
      <c r="J5172" s="31">
        <v>45992</v>
      </c>
      <c r="K5172" s="31">
        <v>45994</v>
      </c>
      <c r="L5172" s="31">
        <v>45996</v>
      </c>
      <c r="M5172" s="31">
        <v>46027</v>
      </c>
      <c r="N5172" s="31">
        <v>46023</v>
      </c>
      <c r="O5172" s="3" t="s">
        <v>297</v>
      </c>
    </row>
    <row r="5173" spans="1:15">
      <c r="A5173" s="3">
        <f t="shared" si="101"/>
        <v>5172</v>
      </c>
      <c r="B5173" s="65" t="s">
        <v>7625</v>
      </c>
      <c r="C5173" s="1">
        <v>9838297811</v>
      </c>
      <c r="D5173" s="1">
        <v>8840098290</v>
      </c>
      <c r="E5173" s="17" t="s">
        <v>7626</v>
      </c>
      <c r="F5173" s="65" t="s">
        <v>451</v>
      </c>
      <c r="G5173" s="3" t="s">
        <v>295</v>
      </c>
      <c r="H5173" s="3" t="s">
        <v>2364</v>
      </c>
      <c r="I5173" s="3" t="s">
        <v>88</v>
      </c>
      <c r="J5173" s="31">
        <v>45996</v>
      </c>
      <c r="K5173" s="31">
        <v>46000</v>
      </c>
      <c r="L5173" s="31">
        <v>46002</v>
      </c>
      <c r="M5173" s="31">
        <v>46058</v>
      </c>
      <c r="N5173" s="31"/>
      <c r="O5173" s="3" t="s">
        <v>297</v>
      </c>
    </row>
    <row r="5174" spans="1:15">
      <c r="A5174" s="3">
        <f t="shared" si="101"/>
        <v>5173</v>
      </c>
      <c r="B5174" s="65" t="s">
        <v>7627</v>
      </c>
      <c r="C5174" s="1">
        <v>8707534535</v>
      </c>
      <c r="E5174" s="17" t="s">
        <v>7626</v>
      </c>
      <c r="F5174" s="65" t="s">
        <v>1999</v>
      </c>
      <c r="G5174" s="3" t="s">
        <v>1175</v>
      </c>
      <c r="H5174" s="3" t="s">
        <v>2364</v>
      </c>
      <c r="I5174" s="3" t="s">
        <v>88</v>
      </c>
      <c r="J5174" s="31">
        <v>45996</v>
      </c>
      <c r="K5174" s="31"/>
      <c r="L5174" s="31"/>
      <c r="M5174" s="31"/>
      <c r="N5174" s="31"/>
      <c r="O5174" s="3" t="s">
        <v>1004</v>
      </c>
    </row>
    <row r="5175" spans="1:15">
      <c r="A5175" s="3">
        <f t="shared" si="101"/>
        <v>5174</v>
      </c>
      <c r="B5175" s="65" t="s">
        <v>7628</v>
      </c>
      <c r="C5175" s="1">
        <v>9296785491</v>
      </c>
      <c r="E5175" s="17" t="s">
        <v>7626</v>
      </c>
      <c r="F5175" s="65" t="s">
        <v>1312</v>
      </c>
      <c r="G5175" s="3" t="s">
        <v>416</v>
      </c>
      <c r="H5175" s="3" t="s">
        <v>2364</v>
      </c>
      <c r="I5175" s="3" t="s">
        <v>88</v>
      </c>
      <c r="J5175" s="31">
        <v>45996</v>
      </c>
      <c r="K5175" s="31">
        <v>46000</v>
      </c>
      <c r="L5175" s="31"/>
      <c r="M5175" s="31"/>
      <c r="N5175" s="31"/>
      <c r="O5175" s="3" t="s">
        <v>297</v>
      </c>
    </row>
    <row r="5176" spans="1:15">
      <c r="A5176" s="3">
        <f t="shared" si="101"/>
        <v>5175</v>
      </c>
      <c r="B5176" s="65" t="s">
        <v>7629</v>
      </c>
      <c r="C5176" s="1">
        <v>9866265746</v>
      </c>
      <c r="E5176" s="17" t="s">
        <v>7626</v>
      </c>
      <c r="F5176" s="65" t="s">
        <v>1312</v>
      </c>
      <c r="G5176" s="3" t="s">
        <v>16</v>
      </c>
      <c r="H5176" s="3" t="s">
        <v>2364</v>
      </c>
      <c r="I5176" s="3" t="s">
        <v>88</v>
      </c>
      <c r="J5176" s="31">
        <v>45996</v>
      </c>
      <c r="K5176" s="31">
        <v>46000</v>
      </c>
      <c r="L5176" s="31">
        <v>46002</v>
      </c>
      <c r="M5176" s="31">
        <v>46043</v>
      </c>
      <c r="N5176" s="31">
        <v>46044</v>
      </c>
      <c r="O5176" s="3" t="s">
        <v>297</v>
      </c>
    </row>
    <row r="5177" spans="1:15">
      <c r="A5177" s="3">
        <f t="shared" si="101"/>
        <v>5176</v>
      </c>
      <c r="B5177" s="65" t="s">
        <v>7630</v>
      </c>
      <c r="C5177" s="1">
        <v>8400220434</v>
      </c>
      <c r="E5177" s="17" t="s">
        <v>7631</v>
      </c>
      <c r="F5177" s="65" t="s">
        <v>329</v>
      </c>
      <c r="G5177" s="3" t="s">
        <v>424</v>
      </c>
      <c r="H5177" s="3" t="s">
        <v>2364</v>
      </c>
      <c r="I5177" s="3" t="s">
        <v>88</v>
      </c>
      <c r="J5177" s="31">
        <v>45996</v>
      </c>
      <c r="K5177" s="31">
        <v>46000</v>
      </c>
      <c r="L5177" s="31"/>
      <c r="M5177" s="31"/>
      <c r="N5177" s="31"/>
      <c r="O5177" s="3" t="s">
        <v>425</v>
      </c>
    </row>
    <row r="5178" spans="1:15">
      <c r="A5178" s="3">
        <f t="shared" ref="A5178:A5212" si="102">ROW()-1</f>
        <v>5177</v>
      </c>
      <c r="B5178" s="65" t="s">
        <v>7632</v>
      </c>
      <c r="C5178" s="1">
        <v>8328980563</v>
      </c>
      <c r="D5178" s="1">
        <v>9556796464</v>
      </c>
      <c r="E5178" s="17" t="s">
        <v>6236</v>
      </c>
      <c r="F5178" s="65" t="s">
        <v>7633</v>
      </c>
      <c r="G5178" s="3" t="s">
        <v>16</v>
      </c>
      <c r="H5178" s="3" t="s">
        <v>3240</v>
      </c>
      <c r="I5178" s="3" t="s">
        <v>42</v>
      </c>
      <c r="J5178" s="31">
        <v>45996</v>
      </c>
      <c r="K5178" s="31">
        <v>46001</v>
      </c>
      <c r="L5178" s="31">
        <v>46002</v>
      </c>
      <c r="M5178" s="31">
        <v>46039</v>
      </c>
      <c r="N5178" s="31">
        <v>46041</v>
      </c>
      <c r="O5178" s="3" t="s">
        <v>297</v>
      </c>
    </row>
    <row r="5179" spans="1:15">
      <c r="A5179" s="3">
        <f t="shared" si="102"/>
        <v>5178</v>
      </c>
      <c r="B5179" s="65" t="s">
        <v>7634</v>
      </c>
      <c r="C5179" s="1">
        <v>9010092539</v>
      </c>
      <c r="E5179" s="17" t="s">
        <v>6236</v>
      </c>
      <c r="F5179" s="65" t="s">
        <v>7633</v>
      </c>
      <c r="G5179" s="3" t="s">
        <v>16</v>
      </c>
      <c r="H5179" s="3" t="s">
        <v>3240</v>
      </c>
      <c r="I5179" s="3" t="s">
        <v>42</v>
      </c>
      <c r="J5179" s="31">
        <v>45996</v>
      </c>
      <c r="K5179" s="31">
        <v>46010</v>
      </c>
      <c r="L5179" s="31">
        <v>46016</v>
      </c>
      <c r="M5179" s="31">
        <v>46032</v>
      </c>
      <c r="N5179" s="31">
        <v>46032</v>
      </c>
      <c r="O5179" s="3" t="s">
        <v>297</v>
      </c>
    </row>
    <row r="5180" spans="1:15">
      <c r="A5180" s="3">
        <f t="shared" si="102"/>
        <v>5179</v>
      </c>
      <c r="B5180" s="65" t="s">
        <v>7635</v>
      </c>
      <c r="C5180" s="1">
        <v>9453903218</v>
      </c>
      <c r="D5180" s="1">
        <v>8459904412</v>
      </c>
      <c r="E5180" s="3" t="s">
        <v>6236</v>
      </c>
      <c r="F5180" s="65" t="s">
        <v>1011</v>
      </c>
      <c r="G5180" s="3" t="s">
        <v>295</v>
      </c>
      <c r="H5180" s="3" t="s">
        <v>3240</v>
      </c>
      <c r="I5180" s="3" t="s">
        <v>42</v>
      </c>
      <c r="J5180" s="31">
        <v>45996</v>
      </c>
      <c r="K5180" s="31">
        <v>46001</v>
      </c>
      <c r="L5180" s="31">
        <v>46017</v>
      </c>
      <c r="M5180" s="31">
        <v>46056</v>
      </c>
      <c r="N5180" s="31"/>
      <c r="O5180" s="3" t="s">
        <v>297</v>
      </c>
    </row>
    <row r="5181" spans="1:15">
      <c r="A5181" s="3">
        <f t="shared" si="102"/>
        <v>5180</v>
      </c>
      <c r="B5181" s="65" t="s">
        <v>7636</v>
      </c>
      <c r="C5181" s="1">
        <v>9556086194</v>
      </c>
      <c r="E5181" s="17" t="s">
        <v>6199</v>
      </c>
      <c r="F5181" s="65" t="s">
        <v>3696</v>
      </c>
      <c r="G5181" s="3" t="s">
        <v>416</v>
      </c>
      <c r="H5181" s="3" t="s">
        <v>3240</v>
      </c>
      <c r="I5181" s="3" t="s">
        <v>42</v>
      </c>
      <c r="J5181" s="31">
        <v>45996</v>
      </c>
      <c r="K5181" s="31">
        <v>46010</v>
      </c>
      <c r="L5181" s="31"/>
      <c r="M5181" s="31"/>
      <c r="N5181" s="31"/>
      <c r="O5181" s="3" t="s">
        <v>297</v>
      </c>
    </row>
    <row r="5182" spans="1:15">
      <c r="A5182" s="3">
        <f t="shared" si="102"/>
        <v>5181</v>
      </c>
      <c r="B5182" s="65" t="s">
        <v>7637</v>
      </c>
      <c r="C5182" s="1">
        <v>7842021130</v>
      </c>
      <c r="E5182" s="3" t="s">
        <v>6236</v>
      </c>
      <c r="F5182" s="65" t="s">
        <v>1312</v>
      </c>
      <c r="G5182" s="2" t="s">
        <v>16</v>
      </c>
      <c r="H5182" s="3" t="s">
        <v>3240</v>
      </c>
      <c r="I5182" s="3" t="s">
        <v>42</v>
      </c>
      <c r="J5182" s="31">
        <v>45996</v>
      </c>
      <c r="K5182" s="31">
        <v>46001</v>
      </c>
      <c r="L5182" s="31">
        <v>46024</v>
      </c>
      <c r="M5182" s="31">
        <v>46043</v>
      </c>
      <c r="N5182" s="31">
        <v>46043</v>
      </c>
      <c r="O5182" s="3" t="s">
        <v>297</v>
      </c>
    </row>
    <row r="5183" spans="1:15">
      <c r="A5183" s="3">
        <f t="shared" si="102"/>
        <v>5182</v>
      </c>
      <c r="B5183" s="65" t="s">
        <v>7638</v>
      </c>
      <c r="C5183" s="1">
        <v>9100527592</v>
      </c>
      <c r="D5183" s="1">
        <v>9441987592</v>
      </c>
      <c r="E5183" s="3" t="s">
        <v>6236</v>
      </c>
      <c r="F5183" s="65" t="s">
        <v>7639</v>
      </c>
      <c r="G5183" s="3" t="s">
        <v>416</v>
      </c>
      <c r="H5183" s="3" t="s">
        <v>3240</v>
      </c>
      <c r="I5183" s="3" t="s">
        <v>42</v>
      </c>
      <c r="J5183" s="31">
        <v>45996</v>
      </c>
      <c r="K5183" s="31">
        <v>46010</v>
      </c>
      <c r="L5183" s="31"/>
      <c r="M5183" s="31"/>
      <c r="N5183" s="31"/>
      <c r="O5183" s="3" t="s">
        <v>297</v>
      </c>
    </row>
    <row r="5184" spans="1:15">
      <c r="A5184" s="3">
        <f t="shared" si="102"/>
        <v>5183</v>
      </c>
      <c r="B5184" s="65" t="s">
        <v>7640</v>
      </c>
      <c r="C5184" s="1">
        <v>7671016532</v>
      </c>
      <c r="E5184" s="3" t="s">
        <v>6236</v>
      </c>
      <c r="F5184" s="65" t="s">
        <v>2697</v>
      </c>
      <c r="G5184" s="3" t="s">
        <v>416</v>
      </c>
      <c r="H5184" s="3" t="s">
        <v>3240</v>
      </c>
      <c r="I5184" s="3" t="s">
        <v>42</v>
      </c>
      <c r="J5184" s="31">
        <v>45996</v>
      </c>
      <c r="K5184" s="31">
        <v>46010</v>
      </c>
      <c r="L5184" s="31"/>
      <c r="M5184" s="31"/>
      <c r="N5184" s="31"/>
      <c r="O5184" s="3" t="s">
        <v>297</v>
      </c>
    </row>
    <row r="5185" spans="1:15">
      <c r="A5185" s="3">
        <f t="shared" si="102"/>
        <v>5184</v>
      </c>
      <c r="B5185" s="65" t="s">
        <v>7641</v>
      </c>
      <c r="C5185" s="1">
        <v>8007778136</v>
      </c>
      <c r="E5185" s="17" t="s">
        <v>7642</v>
      </c>
      <c r="F5185" s="65" t="s">
        <v>5951</v>
      </c>
      <c r="G5185" s="3" t="s">
        <v>16</v>
      </c>
      <c r="H5185" s="3" t="s">
        <v>3240</v>
      </c>
      <c r="I5185" s="3" t="s">
        <v>42</v>
      </c>
      <c r="J5185" s="31">
        <v>45996</v>
      </c>
      <c r="K5185" s="31">
        <v>46010</v>
      </c>
      <c r="L5185" s="31">
        <v>46016</v>
      </c>
      <c r="M5185" s="31">
        <v>46024</v>
      </c>
      <c r="N5185" s="31">
        <v>46025</v>
      </c>
      <c r="O5185" s="3" t="s">
        <v>297</v>
      </c>
    </row>
    <row r="5186" spans="1:15">
      <c r="A5186" s="3">
        <f t="shared" si="102"/>
        <v>5185</v>
      </c>
      <c r="B5186" s="65" t="s">
        <v>7643</v>
      </c>
      <c r="C5186" s="1">
        <v>9010157262</v>
      </c>
      <c r="E5186" s="17" t="s">
        <v>5915</v>
      </c>
      <c r="F5186" s="65" t="s">
        <v>5916</v>
      </c>
      <c r="G5186" s="2" t="s">
        <v>16</v>
      </c>
      <c r="H5186" s="3" t="s">
        <v>5774</v>
      </c>
      <c r="I5186" s="3" t="s">
        <v>42</v>
      </c>
      <c r="J5186" s="31">
        <v>45999</v>
      </c>
      <c r="K5186" s="31">
        <v>46001</v>
      </c>
      <c r="L5186" s="31">
        <v>46004</v>
      </c>
      <c r="M5186" s="31">
        <v>46041</v>
      </c>
      <c r="N5186" s="31">
        <v>46041</v>
      </c>
      <c r="O5186" s="3" t="s">
        <v>297</v>
      </c>
    </row>
    <row r="5187" spans="1:15">
      <c r="A5187" s="3">
        <f t="shared" si="102"/>
        <v>5186</v>
      </c>
      <c r="B5187" s="65" t="s">
        <v>7644</v>
      </c>
      <c r="C5187" s="1">
        <v>9000875525</v>
      </c>
      <c r="E5187" s="17" t="s">
        <v>5557</v>
      </c>
      <c r="F5187" s="65" t="s">
        <v>7645</v>
      </c>
      <c r="G5187" s="3" t="s">
        <v>16</v>
      </c>
      <c r="H5187" s="3" t="s">
        <v>5774</v>
      </c>
      <c r="I5187" s="3" t="s">
        <v>42</v>
      </c>
      <c r="J5187" s="31">
        <v>45999</v>
      </c>
      <c r="K5187" s="31">
        <v>46001</v>
      </c>
      <c r="L5187" s="31">
        <v>46045</v>
      </c>
      <c r="M5187" s="31">
        <v>46063</v>
      </c>
      <c r="N5187" s="31">
        <v>46064</v>
      </c>
      <c r="O5187" s="3" t="s">
        <v>297</v>
      </c>
    </row>
    <row r="5188" spans="1:15">
      <c r="A5188" s="3">
        <f t="shared" si="102"/>
        <v>5187</v>
      </c>
      <c r="B5188" s="65" t="s">
        <v>7646</v>
      </c>
      <c r="C5188" s="1">
        <v>8008162194</v>
      </c>
      <c r="E5188" s="17" t="s">
        <v>7647</v>
      </c>
      <c r="F5188" s="65" t="s">
        <v>7648</v>
      </c>
      <c r="G5188" s="3" t="s">
        <v>416</v>
      </c>
      <c r="H5188" s="3" t="s">
        <v>5774</v>
      </c>
      <c r="I5188" s="3" t="s">
        <v>42</v>
      </c>
      <c r="J5188" s="31">
        <v>45999</v>
      </c>
      <c r="K5188" s="31">
        <v>46001</v>
      </c>
      <c r="L5188" s="31"/>
      <c r="M5188" s="31"/>
      <c r="N5188" s="31"/>
      <c r="O5188" s="3" t="s">
        <v>297</v>
      </c>
    </row>
    <row r="5189" spans="1:15">
      <c r="A5189" s="3">
        <f t="shared" si="102"/>
        <v>5188</v>
      </c>
      <c r="B5189" s="65" t="s">
        <v>7649</v>
      </c>
      <c r="C5189" s="1">
        <v>9000274564</v>
      </c>
      <c r="D5189" s="1">
        <v>9398912467</v>
      </c>
      <c r="E5189" s="17" t="s">
        <v>5915</v>
      </c>
      <c r="F5189" s="65" t="s">
        <v>7645</v>
      </c>
      <c r="G5189" s="3" t="s">
        <v>424</v>
      </c>
      <c r="H5189" s="1" t="s">
        <v>6158</v>
      </c>
      <c r="I5189" s="3" t="s">
        <v>42</v>
      </c>
      <c r="J5189" s="31">
        <v>45999</v>
      </c>
      <c r="K5189" s="31">
        <v>46078</v>
      </c>
      <c r="L5189" s="31"/>
      <c r="M5189" s="31"/>
      <c r="N5189" s="31"/>
      <c r="O5189" s="3" t="s">
        <v>425</v>
      </c>
    </row>
    <row r="5190" spans="1:15">
      <c r="A5190" s="3">
        <f t="shared" si="102"/>
        <v>5189</v>
      </c>
      <c r="B5190" s="65" t="s">
        <v>7650</v>
      </c>
      <c r="C5190" s="1">
        <v>9697999912</v>
      </c>
      <c r="E5190" s="17" t="s">
        <v>5915</v>
      </c>
      <c r="F5190" s="65" t="s">
        <v>7645</v>
      </c>
      <c r="G5190" s="3" t="s">
        <v>16</v>
      </c>
      <c r="H5190" s="3" t="s">
        <v>5774</v>
      </c>
      <c r="I5190" s="3" t="s">
        <v>42</v>
      </c>
      <c r="J5190" s="31">
        <v>45999</v>
      </c>
      <c r="K5190" s="31">
        <v>46001</v>
      </c>
      <c r="L5190" s="31">
        <v>46002</v>
      </c>
      <c r="M5190" s="31">
        <v>46047</v>
      </c>
      <c r="N5190" s="31">
        <v>46032</v>
      </c>
      <c r="O5190" s="3" t="s">
        <v>297</v>
      </c>
    </row>
    <row r="5191" spans="1:15">
      <c r="A5191" s="3">
        <f t="shared" si="102"/>
        <v>5190</v>
      </c>
      <c r="B5191" s="65" t="s">
        <v>7651</v>
      </c>
      <c r="C5191" s="1">
        <v>9131234526</v>
      </c>
      <c r="D5191" s="1">
        <v>7694919183</v>
      </c>
      <c r="E5191" s="17" t="s">
        <v>7647</v>
      </c>
      <c r="F5191" s="65" t="s">
        <v>7645</v>
      </c>
      <c r="G5191" s="3" t="s">
        <v>424</v>
      </c>
      <c r="H5191" s="1" t="s">
        <v>6158</v>
      </c>
      <c r="I5191" s="3" t="s">
        <v>42</v>
      </c>
      <c r="J5191" s="31">
        <v>45999</v>
      </c>
      <c r="K5191" s="31">
        <v>46078</v>
      </c>
      <c r="L5191" s="31"/>
      <c r="M5191" s="31"/>
      <c r="N5191" s="31"/>
      <c r="O5191" s="3" t="s">
        <v>425</v>
      </c>
    </row>
    <row r="5192" spans="1:15">
      <c r="A5192" s="3">
        <f t="shared" si="102"/>
        <v>5191</v>
      </c>
      <c r="B5192" s="65" t="s">
        <v>7652</v>
      </c>
      <c r="C5192" s="1">
        <v>9381489833</v>
      </c>
      <c r="E5192" s="17" t="s">
        <v>7631</v>
      </c>
      <c r="F5192" s="65" t="s">
        <v>1384</v>
      </c>
      <c r="G5192" s="3" t="s">
        <v>416</v>
      </c>
      <c r="H5192" s="3" t="s">
        <v>590</v>
      </c>
      <c r="I5192" s="3" t="s">
        <v>88</v>
      </c>
      <c r="J5192" s="31">
        <v>45999</v>
      </c>
      <c r="K5192" s="31">
        <v>46000</v>
      </c>
      <c r="L5192" s="31"/>
      <c r="M5192" s="31"/>
      <c r="N5192" s="31"/>
      <c r="O5192" s="3" t="s">
        <v>297</v>
      </c>
    </row>
    <row r="5193" spans="1:15">
      <c r="A5193" s="3">
        <f t="shared" si="102"/>
        <v>5192</v>
      </c>
      <c r="B5193" s="65" t="s">
        <v>7653</v>
      </c>
      <c r="C5193" s="1">
        <v>9505015925</v>
      </c>
      <c r="E5193" s="17" t="s">
        <v>7631</v>
      </c>
      <c r="F5193" s="65" t="s">
        <v>329</v>
      </c>
      <c r="G5193" s="3" t="s">
        <v>295</v>
      </c>
      <c r="H5193" s="3" t="s">
        <v>590</v>
      </c>
      <c r="I5193" s="3" t="s">
        <v>88</v>
      </c>
      <c r="J5193" s="31">
        <v>45999</v>
      </c>
      <c r="K5193" s="31">
        <v>46000</v>
      </c>
      <c r="L5193" s="31">
        <v>46002</v>
      </c>
      <c r="M5193" s="31">
        <v>46068</v>
      </c>
      <c r="N5193" s="31"/>
      <c r="O5193" s="3" t="s">
        <v>297</v>
      </c>
    </row>
    <row r="5194" spans="1:15">
      <c r="A5194" s="3">
        <f t="shared" si="102"/>
        <v>5193</v>
      </c>
      <c r="B5194" s="65" t="s">
        <v>7654</v>
      </c>
      <c r="C5194" s="1">
        <v>8973672120</v>
      </c>
      <c r="D5194" s="1">
        <v>6302419669</v>
      </c>
      <c r="E5194" s="17" t="s">
        <v>5397</v>
      </c>
      <c r="F5194" s="65" t="s">
        <v>689</v>
      </c>
      <c r="G5194" s="3" t="s">
        <v>1175</v>
      </c>
      <c r="H5194" s="3" t="s">
        <v>674</v>
      </c>
      <c r="I5194" s="3" t="s">
        <v>94</v>
      </c>
      <c r="J5194" s="31">
        <v>46000</v>
      </c>
      <c r="K5194" s="31"/>
      <c r="L5194" s="31"/>
      <c r="M5194" s="31"/>
      <c r="N5194" s="31"/>
      <c r="O5194" s="3" t="s">
        <v>1004</v>
      </c>
    </row>
    <row r="5195" spans="1:15">
      <c r="A5195" s="3">
        <f t="shared" si="102"/>
        <v>5194</v>
      </c>
      <c r="B5195" s="65" t="s">
        <v>5470</v>
      </c>
      <c r="C5195" s="1">
        <v>9742839442</v>
      </c>
      <c r="E5195" s="17" t="s">
        <v>5397</v>
      </c>
      <c r="F5195" s="65" t="s">
        <v>689</v>
      </c>
      <c r="G5195" s="3" t="s">
        <v>424</v>
      </c>
      <c r="H5195" s="3" t="s">
        <v>674</v>
      </c>
      <c r="I5195" s="3" t="s">
        <v>94</v>
      </c>
      <c r="J5195" s="31">
        <v>46000</v>
      </c>
      <c r="K5195" s="31">
        <v>46012</v>
      </c>
      <c r="L5195" s="31"/>
      <c r="M5195" s="31"/>
      <c r="N5195" s="31"/>
      <c r="O5195" s="3" t="s">
        <v>749</v>
      </c>
    </row>
    <row r="5196" spans="1:15">
      <c r="A5196" s="3">
        <f t="shared" si="102"/>
        <v>5195</v>
      </c>
      <c r="B5196" s="65" t="s">
        <v>549</v>
      </c>
      <c r="C5196" s="1">
        <v>8292677139</v>
      </c>
      <c r="D5196" s="1">
        <v>8210640283</v>
      </c>
      <c r="E5196" s="17" t="s">
        <v>5397</v>
      </c>
      <c r="F5196" s="65" t="s">
        <v>689</v>
      </c>
      <c r="G5196" s="3" t="s">
        <v>424</v>
      </c>
      <c r="H5196" s="3" t="s">
        <v>674</v>
      </c>
      <c r="I5196" s="3" t="s">
        <v>94</v>
      </c>
      <c r="J5196" s="31">
        <v>46000</v>
      </c>
      <c r="K5196" s="31">
        <v>46012</v>
      </c>
      <c r="L5196" s="31"/>
      <c r="M5196" s="31"/>
      <c r="N5196" s="31"/>
      <c r="O5196" s="3" t="s">
        <v>425</v>
      </c>
    </row>
    <row r="5197" spans="1:15">
      <c r="A5197" s="3">
        <f t="shared" si="102"/>
        <v>5196</v>
      </c>
      <c r="B5197" s="65" t="s">
        <v>7655</v>
      </c>
      <c r="C5197" s="1">
        <v>8978716576</v>
      </c>
      <c r="E5197" s="17" t="s">
        <v>5966</v>
      </c>
      <c r="F5197" s="65" t="s">
        <v>748</v>
      </c>
      <c r="G5197" s="2" t="s">
        <v>16</v>
      </c>
      <c r="H5197" s="3" t="s">
        <v>5774</v>
      </c>
      <c r="I5197" s="3" t="s">
        <v>42</v>
      </c>
      <c r="J5197" s="31">
        <v>46000</v>
      </c>
      <c r="K5197" s="31">
        <v>46002</v>
      </c>
      <c r="L5197" s="31">
        <v>46004</v>
      </c>
      <c r="M5197" s="31">
        <v>46041</v>
      </c>
      <c r="N5197" s="31">
        <v>46043</v>
      </c>
      <c r="O5197" s="3" t="s">
        <v>297</v>
      </c>
    </row>
    <row r="5198" spans="1:15">
      <c r="A5198" s="3">
        <f t="shared" si="102"/>
        <v>5197</v>
      </c>
      <c r="B5198" s="65" t="s">
        <v>7656</v>
      </c>
      <c r="C5198" s="1">
        <v>6392825253</v>
      </c>
      <c r="E5198" s="17" t="s">
        <v>5966</v>
      </c>
      <c r="F5198" s="65" t="s">
        <v>748</v>
      </c>
      <c r="G5198" s="3" t="s">
        <v>16</v>
      </c>
      <c r="H5198" s="3" t="s">
        <v>5774</v>
      </c>
      <c r="I5198" s="3" t="s">
        <v>42</v>
      </c>
      <c r="J5198" s="31">
        <v>46000</v>
      </c>
      <c r="K5198" s="31">
        <v>46010</v>
      </c>
      <c r="L5198" s="31">
        <v>46045</v>
      </c>
      <c r="M5198" s="31">
        <v>46073</v>
      </c>
      <c r="N5198" s="31">
        <v>46072</v>
      </c>
      <c r="O5198" s="3" t="s">
        <v>297</v>
      </c>
    </row>
    <row r="5199" spans="1:15">
      <c r="A5199" s="3">
        <f t="shared" si="102"/>
        <v>5198</v>
      </c>
      <c r="B5199" s="65" t="s">
        <v>7657</v>
      </c>
      <c r="C5199" s="1">
        <v>7047116909</v>
      </c>
      <c r="E5199" s="17" t="s">
        <v>5776</v>
      </c>
      <c r="F5199" s="65" t="s">
        <v>7658</v>
      </c>
      <c r="G5199" s="3" t="s">
        <v>764</v>
      </c>
      <c r="H5199" s="3" t="s">
        <v>5774</v>
      </c>
      <c r="I5199" s="3" t="s">
        <v>42</v>
      </c>
      <c r="J5199" s="31">
        <v>46000</v>
      </c>
      <c r="K5199" s="31">
        <v>46010</v>
      </c>
      <c r="L5199" s="31"/>
      <c r="M5199" s="31"/>
      <c r="N5199" s="31"/>
      <c r="O5199" s="3" t="s">
        <v>425</v>
      </c>
    </row>
    <row r="5200" spans="1:15">
      <c r="A5200" s="3">
        <f t="shared" si="102"/>
        <v>5199</v>
      </c>
      <c r="B5200" s="65" t="s">
        <v>7659</v>
      </c>
      <c r="C5200" s="1">
        <v>9951094902</v>
      </c>
      <c r="E5200" s="17" t="s">
        <v>5887</v>
      </c>
      <c r="F5200" s="65" t="s">
        <v>569</v>
      </c>
      <c r="G5200" s="3" t="s">
        <v>764</v>
      </c>
      <c r="H5200" s="3" t="s">
        <v>5774</v>
      </c>
      <c r="I5200" s="3" t="s">
        <v>42</v>
      </c>
      <c r="J5200" s="31">
        <v>46000</v>
      </c>
      <c r="K5200" s="31">
        <v>46010</v>
      </c>
      <c r="L5200" s="31"/>
      <c r="M5200" s="31"/>
      <c r="N5200" s="31"/>
      <c r="O5200" s="3" t="s">
        <v>425</v>
      </c>
    </row>
    <row r="5201" spans="1:15">
      <c r="A5201" s="3">
        <f t="shared" si="102"/>
        <v>5200</v>
      </c>
      <c r="B5201" s="65" t="s">
        <v>7660</v>
      </c>
      <c r="C5201" s="1">
        <v>7972050772</v>
      </c>
      <c r="E5201" s="17" t="s">
        <v>5887</v>
      </c>
      <c r="F5201" s="65" t="s">
        <v>7661</v>
      </c>
      <c r="G5201" s="3" t="s">
        <v>764</v>
      </c>
      <c r="H5201" s="3" t="s">
        <v>5774</v>
      </c>
      <c r="I5201" s="3" t="s">
        <v>42</v>
      </c>
      <c r="J5201" s="31">
        <v>46000</v>
      </c>
      <c r="K5201" s="31">
        <v>46010</v>
      </c>
      <c r="L5201" s="31"/>
      <c r="M5201" s="31"/>
      <c r="N5201" s="31"/>
      <c r="O5201" s="3" t="s">
        <v>425</v>
      </c>
    </row>
    <row r="5202" spans="1:15">
      <c r="A5202" s="3">
        <f t="shared" si="102"/>
        <v>5201</v>
      </c>
      <c r="B5202" s="65" t="s">
        <v>7662</v>
      </c>
      <c r="C5202" s="1">
        <v>9014633354</v>
      </c>
      <c r="E5202" s="17" t="s">
        <v>5887</v>
      </c>
      <c r="F5202" s="65" t="s">
        <v>7661</v>
      </c>
      <c r="G5202" s="3" t="s">
        <v>764</v>
      </c>
      <c r="H5202" s="3" t="s">
        <v>5774</v>
      </c>
      <c r="I5202" s="3" t="s">
        <v>42</v>
      </c>
      <c r="J5202" s="31">
        <v>46000</v>
      </c>
      <c r="K5202" s="31">
        <v>46010</v>
      </c>
      <c r="L5202" s="31"/>
      <c r="M5202" s="31"/>
      <c r="N5202" s="31"/>
      <c r="O5202" s="3" t="s">
        <v>425</v>
      </c>
    </row>
    <row r="5203" spans="1:15">
      <c r="A5203" s="3">
        <f t="shared" si="102"/>
        <v>5202</v>
      </c>
      <c r="B5203" s="65" t="s">
        <v>5790</v>
      </c>
      <c r="C5203" s="1">
        <v>7989380319</v>
      </c>
      <c r="E5203" s="17" t="s">
        <v>5887</v>
      </c>
      <c r="F5203" s="65" t="s">
        <v>7661</v>
      </c>
      <c r="G5203" s="3" t="s">
        <v>416</v>
      </c>
      <c r="H5203" s="3" t="s">
        <v>5774</v>
      </c>
      <c r="I5203" s="3" t="s">
        <v>42</v>
      </c>
      <c r="J5203" s="31">
        <v>46000</v>
      </c>
      <c r="K5203" s="31">
        <v>46010</v>
      </c>
      <c r="L5203" s="31"/>
      <c r="M5203" s="31"/>
      <c r="N5203" s="31"/>
      <c r="O5203" s="3" t="s">
        <v>297</v>
      </c>
    </row>
    <row r="5204" spans="1:15">
      <c r="A5204" s="3">
        <f t="shared" si="102"/>
        <v>5203</v>
      </c>
      <c r="B5204" s="65" t="s">
        <v>7663</v>
      </c>
      <c r="C5204" s="1">
        <v>9064447419</v>
      </c>
      <c r="E5204" s="17" t="s">
        <v>6236</v>
      </c>
      <c r="F5204" s="65" t="s">
        <v>3648</v>
      </c>
      <c r="G5204" s="3" t="s">
        <v>16</v>
      </c>
      <c r="H5204" s="3" t="s">
        <v>3240</v>
      </c>
      <c r="I5204" s="3" t="s">
        <v>42</v>
      </c>
      <c r="J5204" s="31">
        <v>46000</v>
      </c>
      <c r="K5204" s="31">
        <v>46001</v>
      </c>
      <c r="L5204" s="31">
        <v>46016</v>
      </c>
      <c r="M5204" s="31">
        <v>46035</v>
      </c>
      <c r="N5204" s="31">
        <v>46032</v>
      </c>
      <c r="O5204" s="3" t="s">
        <v>297</v>
      </c>
    </row>
    <row r="5205" spans="1:15">
      <c r="A5205" s="3">
        <f t="shared" si="102"/>
        <v>5204</v>
      </c>
      <c r="B5205" s="65" t="s">
        <v>3403</v>
      </c>
      <c r="C5205" s="1">
        <v>7482925374</v>
      </c>
      <c r="E5205" s="17" t="s">
        <v>6236</v>
      </c>
      <c r="F5205" s="65" t="s">
        <v>3594</v>
      </c>
      <c r="G5205" s="3" t="s">
        <v>15</v>
      </c>
      <c r="H5205" s="3" t="s">
        <v>3240</v>
      </c>
      <c r="I5205" s="3" t="s">
        <v>42</v>
      </c>
      <c r="J5205" s="31">
        <v>46000</v>
      </c>
      <c r="K5205" s="31">
        <v>46001</v>
      </c>
      <c r="L5205" s="31">
        <v>46045</v>
      </c>
      <c r="M5205" s="31">
        <v>46119</v>
      </c>
      <c r="N5205" s="31"/>
      <c r="O5205" s="3" t="s">
        <v>297</v>
      </c>
    </row>
    <row r="5206" spans="1:15">
      <c r="A5206" s="3">
        <f t="shared" si="102"/>
        <v>5205</v>
      </c>
      <c r="B5206" s="65" t="s">
        <v>7664</v>
      </c>
      <c r="C5206" s="1">
        <v>9664191077</v>
      </c>
      <c r="E5206" s="17" t="s">
        <v>6236</v>
      </c>
      <c r="F5206" s="65" t="s">
        <v>490</v>
      </c>
      <c r="G5206" s="3" t="s">
        <v>416</v>
      </c>
      <c r="H5206" s="3" t="s">
        <v>3240</v>
      </c>
      <c r="I5206" s="3" t="s">
        <v>42</v>
      </c>
      <c r="J5206" s="31">
        <v>46000</v>
      </c>
      <c r="K5206" s="31">
        <v>46038</v>
      </c>
      <c r="L5206" s="31"/>
      <c r="M5206" s="31"/>
      <c r="N5206" s="31"/>
      <c r="O5206" s="3" t="s">
        <v>297</v>
      </c>
    </row>
    <row r="5207" spans="1:15">
      <c r="A5207" s="3">
        <f t="shared" si="102"/>
        <v>5206</v>
      </c>
      <c r="B5207" s="65" t="s">
        <v>7665</v>
      </c>
      <c r="C5207" s="1">
        <v>7046479076</v>
      </c>
      <c r="E5207" s="17" t="s">
        <v>6199</v>
      </c>
      <c r="F5207" s="65" t="s">
        <v>490</v>
      </c>
      <c r="G5207" s="3" t="s">
        <v>416</v>
      </c>
      <c r="H5207" s="3" t="s">
        <v>3240</v>
      </c>
      <c r="I5207" s="3" t="s">
        <v>42</v>
      </c>
      <c r="J5207" s="31">
        <v>46000</v>
      </c>
      <c r="K5207" s="31">
        <v>46001</v>
      </c>
      <c r="L5207" s="31"/>
      <c r="M5207" s="31"/>
      <c r="N5207" s="31"/>
      <c r="O5207" s="3" t="s">
        <v>297</v>
      </c>
    </row>
    <row r="5208" spans="1:15">
      <c r="A5208" s="3">
        <f t="shared" si="102"/>
        <v>5207</v>
      </c>
      <c r="B5208" s="65" t="s">
        <v>6224</v>
      </c>
      <c r="C5208" s="1">
        <v>6301262849</v>
      </c>
      <c r="D5208" s="1">
        <v>7379424874</v>
      </c>
      <c r="E5208" s="17" t="s">
        <v>7642</v>
      </c>
      <c r="F5208" s="65" t="s">
        <v>612</v>
      </c>
      <c r="G5208" s="3" t="s">
        <v>16</v>
      </c>
      <c r="H5208" s="3" t="s">
        <v>3240</v>
      </c>
      <c r="I5208" s="3" t="s">
        <v>42</v>
      </c>
      <c r="J5208" s="31">
        <v>46000</v>
      </c>
      <c r="K5208" s="31">
        <v>46001</v>
      </c>
      <c r="L5208" s="31">
        <v>46004</v>
      </c>
      <c r="M5208" s="31">
        <v>46027</v>
      </c>
      <c r="N5208" s="31">
        <v>46027</v>
      </c>
      <c r="O5208" s="3" t="s">
        <v>297</v>
      </c>
    </row>
    <row r="5209" spans="1:15">
      <c r="A5209" s="3">
        <f t="shared" si="102"/>
        <v>5208</v>
      </c>
      <c r="B5209" s="65" t="s">
        <v>7666</v>
      </c>
      <c r="C5209" s="1">
        <v>9771787279</v>
      </c>
      <c r="E5209" s="17" t="s">
        <v>6236</v>
      </c>
      <c r="F5209" s="65" t="s">
        <v>3594</v>
      </c>
      <c r="G5209" s="3" t="s">
        <v>416</v>
      </c>
      <c r="H5209" s="3" t="s">
        <v>3240</v>
      </c>
      <c r="I5209" s="3" t="s">
        <v>42</v>
      </c>
      <c r="J5209" s="31">
        <v>46000</v>
      </c>
      <c r="K5209" s="31">
        <v>46001</v>
      </c>
      <c r="L5209" s="31"/>
      <c r="M5209" s="31"/>
      <c r="N5209" s="31"/>
      <c r="O5209" s="3" t="s">
        <v>297</v>
      </c>
    </row>
    <row r="5210" spans="1:15">
      <c r="A5210" s="3">
        <f t="shared" si="102"/>
        <v>5209</v>
      </c>
      <c r="B5210" s="65" t="s">
        <v>7667</v>
      </c>
      <c r="C5210" s="1">
        <v>7780255891</v>
      </c>
      <c r="E5210" s="17" t="s">
        <v>6199</v>
      </c>
      <c r="F5210" s="65" t="s">
        <v>7668</v>
      </c>
      <c r="G5210" s="3" t="s">
        <v>16</v>
      </c>
      <c r="H5210" s="3" t="s">
        <v>3240</v>
      </c>
      <c r="I5210" s="3" t="s">
        <v>42</v>
      </c>
      <c r="J5210" s="31">
        <v>46000</v>
      </c>
      <c r="K5210" s="31">
        <v>46001</v>
      </c>
      <c r="L5210" s="31">
        <v>46010</v>
      </c>
      <c r="M5210" s="31">
        <v>46027</v>
      </c>
      <c r="N5210" s="31">
        <v>46017</v>
      </c>
      <c r="O5210" s="3" t="s">
        <v>297</v>
      </c>
    </row>
    <row r="5211" spans="1:15">
      <c r="A5211" s="3">
        <f t="shared" si="102"/>
        <v>5210</v>
      </c>
      <c r="B5211" s="65" t="s">
        <v>7669</v>
      </c>
      <c r="C5211" s="1">
        <v>8103056475</v>
      </c>
      <c r="E5211" s="17" t="s">
        <v>6199</v>
      </c>
      <c r="F5211" s="65" t="s">
        <v>490</v>
      </c>
      <c r="G5211" s="3" t="s">
        <v>764</v>
      </c>
      <c r="H5211" s="3" t="s">
        <v>3240</v>
      </c>
      <c r="I5211" s="3" t="s">
        <v>42</v>
      </c>
      <c r="J5211" s="31">
        <v>46000</v>
      </c>
      <c r="K5211" s="31">
        <v>46009</v>
      </c>
      <c r="L5211" s="31"/>
      <c r="M5211" s="31"/>
      <c r="N5211" s="31"/>
      <c r="O5211" s="3" t="s">
        <v>425</v>
      </c>
    </row>
    <row r="5212" spans="1:15">
      <c r="A5212" s="3">
        <f t="shared" si="102"/>
        <v>5211</v>
      </c>
      <c r="B5212" s="65" t="s">
        <v>7670</v>
      </c>
      <c r="C5212" s="1">
        <v>8074502557</v>
      </c>
      <c r="E5212" s="17" t="s">
        <v>6236</v>
      </c>
      <c r="F5212" s="65" t="s">
        <v>303</v>
      </c>
      <c r="G5212" s="3" t="s">
        <v>416</v>
      </c>
      <c r="H5212" s="3" t="s">
        <v>3240</v>
      </c>
      <c r="I5212" s="3" t="s">
        <v>42</v>
      </c>
      <c r="J5212" s="31">
        <v>46000</v>
      </c>
      <c r="K5212" s="31">
        <v>46072</v>
      </c>
      <c r="L5212" s="31"/>
      <c r="M5212" s="31"/>
      <c r="N5212" s="31"/>
      <c r="O5212" s="3" t="s">
        <v>297</v>
      </c>
    </row>
    <row r="5213" spans="1:15">
      <c r="A5213" s="3">
        <f t="shared" ref="A5213:A5218" si="103">ROW()-1</f>
        <v>5212</v>
      </c>
      <c r="B5213" s="65" t="s">
        <v>7671</v>
      </c>
      <c r="C5213" s="1">
        <v>8309831567</v>
      </c>
      <c r="D5213" s="1">
        <v>8331954530</v>
      </c>
      <c r="E5213" s="17" t="s">
        <v>7672</v>
      </c>
      <c r="F5213" s="65" t="s">
        <v>1999</v>
      </c>
      <c r="G5213" s="3" t="s">
        <v>16</v>
      </c>
      <c r="H5213" s="3" t="s">
        <v>2364</v>
      </c>
      <c r="I5213" s="3" t="s">
        <v>88</v>
      </c>
      <c r="J5213" s="31">
        <v>45997</v>
      </c>
      <c r="K5213" s="31">
        <v>45999</v>
      </c>
      <c r="L5213" s="31">
        <v>45999</v>
      </c>
      <c r="M5213" s="31">
        <v>46030</v>
      </c>
      <c r="N5213" s="31">
        <v>46002</v>
      </c>
      <c r="O5213" s="3" t="s">
        <v>297</v>
      </c>
    </row>
    <row r="5214" spans="1:15">
      <c r="A5214" s="3">
        <f t="shared" si="103"/>
        <v>5213</v>
      </c>
      <c r="B5214" s="65" t="s">
        <v>7673</v>
      </c>
      <c r="C5214" s="1">
        <v>9908192827</v>
      </c>
      <c r="E5214" s="17" t="s">
        <v>7674</v>
      </c>
      <c r="F5214" s="65" t="s">
        <v>612</v>
      </c>
      <c r="G5214" s="3" t="s">
        <v>295</v>
      </c>
      <c r="H5214" s="3" t="s">
        <v>2364</v>
      </c>
      <c r="I5214" s="3" t="s">
        <v>88</v>
      </c>
      <c r="J5214" s="31">
        <v>45997</v>
      </c>
      <c r="K5214" s="31">
        <v>45999</v>
      </c>
      <c r="L5214" s="31">
        <v>45999</v>
      </c>
      <c r="M5214" s="31">
        <v>46030</v>
      </c>
      <c r="N5214" s="31"/>
      <c r="O5214" s="3" t="s">
        <v>297</v>
      </c>
    </row>
    <row r="5215" spans="1:15">
      <c r="A5215" s="3">
        <f t="shared" si="103"/>
        <v>5214</v>
      </c>
      <c r="B5215" s="65" t="s">
        <v>7675</v>
      </c>
      <c r="C5215" s="1">
        <v>9705119432</v>
      </c>
      <c r="E5215" s="17" t="s">
        <v>7676</v>
      </c>
      <c r="F5215" s="65"/>
      <c r="G5215" s="3" t="s">
        <v>16</v>
      </c>
      <c r="H5215" s="2" t="s">
        <v>785</v>
      </c>
      <c r="I5215" s="3" t="s">
        <v>88</v>
      </c>
      <c r="J5215" s="31">
        <v>45997</v>
      </c>
      <c r="K5215" s="31">
        <v>45999</v>
      </c>
      <c r="L5215" s="31">
        <v>45999</v>
      </c>
      <c r="M5215" s="31">
        <v>46030</v>
      </c>
      <c r="N5215" s="31">
        <v>46031</v>
      </c>
      <c r="O5215" s="3" t="s">
        <v>297</v>
      </c>
    </row>
    <row r="5216" spans="1:15">
      <c r="A5216" s="3">
        <f t="shared" si="103"/>
        <v>5215</v>
      </c>
      <c r="B5216" s="65" t="s">
        <v>7677</v>
      </c>
      <c r="C5216" s="1">
        <v>9666609445</v>
      </c>
      <c r="E5216" s="17" t="s">
        <v>6708</v>
      </c>
      <c r="F5216" s="65"/>
      <c r="G5216" s="3" t="s">
        <v>16</v>
      </c>
      <c r="H5216" s="3" t="s">
        <v>3240</v>
      </c>
      <c r="I5216" s="3" t="s">
        <v>42</v>
      </c>
      <c r="J5216" s="31">
        <v>45997</v>
      </c>
      <c r="K5216" s="31">
        <v>45999</v>
      </c>
      <c r="L5216" s="31">
        <v>46000</v>
      </c>
      <c r="M5216" s="31">
        <v>46020</v>
      </c>
      <c r="N5216" s="31">
        <v>46017</v>
      </c>
      <c r="O5216" s="3" t="s">
        <v>297</v>
      </c>
    </row>
    <row r="5217" spans="1:15">
      <c r="A5217" s="3">
        <f t="shared" si="103"/>
        <v>5216</v>
      </c>
      <c r="B5217" s="65" t="s">
        <v>7678</v>
      </c>
      <c r="C5217" s="1">
        <v>9912779981</v>
      </c>
      <c r="E5217" s="17" t="s">
        <v>6712</v>
      </c>
      <c r="F5217" s="65" t="s">
        <v>4238</v>
      </c>
      <c r="G5217" s="3" t="s">
        <v>424</v>
      </c>
      <c r="H5217" s="2" t="s">
        <v>785</v>
      </c>
      <c r="I5217" s="3" t="s">
        <v>88</v>
      </c>
      <c r="J5217" s="31">
        <v>46000</v>
      </c>
      <c r="K5217" s="31">
        <v>46013</v>
      </c>
      <c r="L5217" s="31"/>
      <c r="M5217" s="31"/>
      <c r="N5217" s="31"/>
      <c r="O5217" s="3" t="s">
        <v>425</v>
      </c>
    </row>
    <row r="5218" spans="1:15">
      <c r="A5218" s="3">
        <f t="shared" si="103"/>
        <v>5217</v>
      </c>
      <c r="B5218" s="65" t="s">
        <v>7679</v>
      </c>
      <c r="C5218" s="1">
        <v>9674823897</v>
      </c>
      <c r="D5218" s="1">
        <v>8249175245</v>
      </c>
      <c r="E5218" s="17" t="s">
        <v>6712</v>
      </c>
      <c r="F5218" s="65" t="s">
        <v>7680</v>
      </c>
      <c r="G5218" s="3" t="s">
        <v>424</v>
      </c>
      <c r="H5218" s="2" t="s">
        <v>785</v>
      </c>
      <c r="I5218" s="3" t="s">
        <v>88</v>
      </c>
      <c r="J5218" s="31">
        <v>46000</v>
      </c>
      <c r="K5218" s="31">
        <v>46013</v>
      </c>
      <c r="L5218" s="31"/>
      <c r="M5218" s="31"/>
      <c r="N5218" s="31"/>
      <c r="O5218" s="3" t="s">
        <v>425</v>
      </c>
    </row>
    <row r="5219" spans="1:15">
      <c r="A5219" s="3">
        <f t="shared" ref="A5219:A5257" si="104">ROW()-1</f>
        <v>5218</v>
      </c>
      <c r="B5219" s="65" t="s">
        <v>7681</v>
      </c>
      <c r="C5219" s="1">
        <v>7975977497</v>
      </c>
      <c r="D5219" s="1">
        <v>7411259939</v>
      </c>
      <c r="E5219" s="17" t="s">
        <v>5966</v>
      </c>
      <c r="F5219" s="65" t="s">
        <v>308</v>
      </c>
      <c r="G5219" s="3" t="s">
        <v>16</v>
      </c>
      <c r="H5219" s="2" t="s">
        <v>5774</v>
      </c>
      <c r="I5219" s="3" t="s">
        <v>42</v>
      </c>
      <c r="J5219" s="31">
        <v>46000</v>
      </c>
      <c r="K5219" s="31">
        <v>46001</v>
      </c>
      <c r="L5219" s="31">
        <v>46031</v>
      </c>
      <c r="M5219" s="31">
        <v>46069</v>
      </c>
      <c r="N5219" s="31">
        <v>46076</v>
      </c>
      <c r="O5219" s="3" t="s">
        <v>297</v>
      </c>
    </row>
    <row r="5220" spans="1:15">
      <c r="A5220" s="3">
        <f t="shared" si="104"/>
        <v>5219</v>
      </c>
      <c r="B5220" s="65" t="s">
        <v>566</v>
      </c>
      <c r="C5220" s="1">
        <v>9793194291</v>
      </c>
      <c r="E5220" s="17" t="s">
        <v>5966</v>
      </c>
      <c r="F5220" s="65" t="s">
        <v>748</v>
      </c>
      <c r="G5220" s="3" t="s">
        <v>764</v>
      </c>
      <c r="H5220" s="2" t="s">
        <v>5774</v>
      </c>
      <c r="I5220" s="3" t="s">
        <v>42</v>
      </c>
      <c r="J5220" s="31">
        <v>46000</v>
      </c>
      <c r="K5220" s="31">
        <v>46038</v>
      </c>
      <c r="L5220" s="31"/>
      <c r="M5220" s="31"/>
      <c r="N5220" s="31"/>
      <c r="O5220" s="3" t="s">
        <v>425</v>
      </c>
    </row>
    <row r="5221" spans="1:15">
      <c r="A5221" s="3">
        <f t="shared" si="104"/>
        <v>5220</v>
      </c>
      <c r="B5221" s="65" t="s">
        <v>7682</v>
      </c>
      <c r="C5221" s="1">
        <v>6360799683</v>
      </c>
      <c r="E5221" s="17" t="s">
        <v>5966</v>
      </c>
      <c r="F5221" s="65" t="s">
        <v>7683</v>
      </c>
      <c r="G5221" s="3" t="s">
        <v>16</v>
      </c>
      <c r="H5221" s="2" t="s">
        <v>5774</v>
      </c>
      <c r="I5221" s="3" t="s">
        <v>42</v>
      </c>
      <c r="J5221" s="31">
        <v>46000</v>
      </c>
      <c r="K5221" s="31">
        <v>46001</v>
      </c>
      <c r="L5221" s="31">
        <v>46010</v>
      </c>
      <c r="M5221" s="31">
        <v>46043</v>
      </c>
      <c r="N5221" s="31">
        <v>46042</v>
      </c>
      <c r="O5221" s="3" t="s">
        <v>297</v>
      </c>
    </row>
    <row r="5222" spans="1:15">
      <c r="A5222" s="3">
        <f t="shared" si="104"/>
        <v>5221</v>
      </c>
      <c r="B5222" s="65" t="s">
        <v>7684</v>
      </c>
      <c r="C5222" s="1">
        <v>6302907737</v>
      </c>
      <c r="E5222" s="17" t="s">
        <v>7685</v>
      </c>
      <c r="F5222" s="65" t="s">
        <v>748</v>
      </c>
      <c r="G5222" s="3" t="s">
        <v>16</v>
      </c>
      <c r="H5222" s="2" t="s">
        <v>5774</v>
      </c>
      <c r="I5222" s="3" t="s">
        <v>42</v>
      </c>
      <c r="J5222" s="31">
        <v>46000</v>
      </c>
      <c r="K5222" s="31">
        <v>46001</v>
      </c>
      <c r="L5222" s="31">
        <v>46017</v>
      </c>
      <c r="M5222" s="31">
        <v>46063</v>
      </c>
      <c r="N5222" s="31">
        <v>46062</v>
      </c>
      <c r="O5222" s="3" t="s">
        <v>297</v>
      </c>
    </row>
    <row r="5223" spans="1:15">
      <c r="A5223" s="3">
        <f t="shared" si="104"/>
        <v>5222</v>
      </c>
      <c r="B5223" s="65" t="s">
        <v>7686</v>
      </c>
      <c r="C5223" s="1">
        <v>8297568747</v>
      </c>
      <c r="E5223" s="17" t="s">
        <v>5776</v>
      </c>
      <c r="F5223" s="65" t="s">
        <v>7687</v>
      </c>
      <c r="G5223" s="3" t="s">
        <v>16</v>
      </c>
      <c r="H5223" s="2" t="s">
        <v>5774</v>
      </c>
      <c r="I5223" s="3" t="s">
        <v>42</v>
      </c>
      <c r="J5223" s="31">
        <v>46000</v>
      </c>
      <c r="K5223" s="31">
        <v>46001</v>
      </c>
      <c r="L5223" s="31">
        <v>46010</v>
      </c>
      <c r="M5223" s="31">
        <v>46027</v>
      </c>
      <c r="N5223" s="31">
        <v>46024</v>
      </c>
      <c r="O5223" s="3" t="s">
        <v>297</v>
      </c>
    </row>
    <row r="5224" spans="1:15">
      <c r="A5224" s="3">
        <f t="shared" si="104"/>
        <v>5223</v>
      </c>
      <c r="B5224" s="65" t="s">
        <v>7688</v>
      </c>
      <c r="C5224" s="1">
        <v>8232942948</v>
      </c>
      <c r="E5224" s="17" t="s">
        <v>5776</v>
      </c>
      <c r="F5224" s="65" t="s">
        <v>7689</v>
      </c>
      <c r="G5224" s="3" t="s">
        <v>416</v>
      </c>
      <c r="H5224" s="2" t="s">
        <v>5774</v>
      </c>
      <c r="I5224" s="3" t="s">
        <v>42</v>
      </c>
      <c r="J5224" s="31">
        <v>46000</v>
      </c>
      <c r="K5224" s="31">
        <v>46001</v>
      </c>
      <c r="L5224" s="31"/>
      <c r="M5224" s="31"/>
      <c r="N5224" s="31"/>
      <c r="O5224" s="3" t="s">
        <v>297</v>
      </c>
    </row>
    <row r="5225" spans="1:15">
      <c r="A5225" s="3">
        <f t="shared" si="104"/>
        <v>5224</v>
      </c>
      <c r="B5225" s="65" t="s">
        <v>7690</v>
      </c>
      <c r="C5225" s="1">
        <v>7032724447</v>
      </c>
      <c r="D5225" s="1">
        <v>8459731995</v>
      </c>
      <c r="E5225" s="17" t="s">
        <v>7685</v>
      </c>
      <c r="F5225" s="65" t="s">
        <v>3160</v>
      </c>
      <c r="G5225" s="3" t="s">
        <v>16</v>
      </c>
      <c r="H5225" s="2" t="s">
        <v>5774</v>
      </c>
      <c r="I5225" s="3" t="s">
        <v>42</v>
      </c>
      <c r="J5225" s="31">
        <v>46000</v>
      </c>
      <c r="K5225" s="31">
        <v>46038</v>
      </c>
      <c r="L5225" s="31">
        <v>46045</v>
      </c>
      <c r="M5225" s="31">
        <v>46076</v>
      </c>
      <c r="N5225" s="31">
        <v>46081</v>
      </c>
      <c r="O5225" s="3" t="s">
        <v>297</v>
      </c>
    </row>
    <row r="5226" spans="1:15">
      <c r="A5226" s="3">
        <f t="shared" si="104"/>
        <v>5225</v>
      </c>
      <c r="B5226" s="65" t="s">
        <v>7691</v>
      </c>
      <c r="C5226" s="1">
        <v>9705824345</v>
      </c>
      <c r="E5226" s="17" t="s">
        <v>7685</v>
      </c>
      <c r="F5226" s="65" t="s">
        <v>3160</v>
      </c>
      <c r="G5226" s="3" t="s">
        <v>18</v>
      </c>
      <c r="H5226" s="2" t="s">
        <v>5774</v>
      </c>
      <c r="I5226" s="3" t="s">
        <v>42</v>
      </c>
      <c r="J5226" s="31">
        <v>46000</v>
      </c>
      <c r="K5226" s="31">
        <v>46001</v>
      </c>
      <c r="L5226" s="31">
        <v>46004</v>
      </c>
      <c r="M5226" s="31">
        <v>46105</v>
      </c>
      <c r="N5226" s="31"/>
      <c r="O5226" s="3" t="s">
        <v>297</v>
      </c>
    </row>
    <row r="5227" spans="1:15">
      <c r="A5227" s="3">
        <f t="shared" si="104"/>
        <v>5226</v>
      </c>
      <c r="B5227" s="65" t="s">
        <v>4753</v>
      </c>
      <c r="C5227" s="1">
        <v>8941936110</v>
      </c>
      <c r="D5227" s="1">
        <v>6392718512</v>
      </c>
      <c r="E5227" s="17" t="s">
        <v>7685</v>
      </c>
      <c r="F5227" s="65" t="s">
        <v>7692</v>
      </c>
      <c r="G5227" s="3" t="s">
        <v>295</v>
      </c>
      <c r="H5227" s="2" t="s">
        <v>5774</v>
      </c>
      <c r="I5227" s="3" t="s">
        <v>42</v>
      </c>
      <c r="J5227" s="31">
        <v>46000</v>
      </c>
      <c r="K5227" s="31">
        <v>46001</v>
      </c>
      <c r="L5227" s="31">
        <v>46002</v>
      </c>
      <c r="M5227" s="31">
        <v>46027</v>
      </c>
      <c r="N5227" s="31"/>
      <c r="O5227" s="3" t="s">
        <v>297</v>
      </c>
    </row>
    <row r="5228" spans="1:15">
      <c r="A5228" s="3">
        <f t="shared" si="104"/>
        <v>5227</v>
      </c>
      <c r="B5228" s="65" t="s">
        <v>7693</v>
      </c>
      <c r="C5228" s="1">
        <v>9600463939</v>
      </c>
      <c r="E5228" s="17" t="s">
        <v>7685</v>
      </c>
      <c r="F5228" s="65" t="s">
        <v>569</v>
      </c>
      <c r="G5228" s="3" t="s">
        <v>16</v>
      </c>
      <c r="H5228" s="2" t="s">
        <v>5774</v>
      </c>
      <c r="I5228" s="3" t="s">
        <v>42</v>
      </c>
      <c r="J5228" s="31">
        <v>46000</v>
      </c>
      <c r="K5228" s="31">
        <v>46001</v>
      </c>
      <c r="L5228" s="31">
        <v>46004</v>
      </c>
      <c r="M5228" s="31">
        <v>46025</v>
      </c>
      <c r="N5228" s="31">
        <v>46025</v>
      </c>
      <c r="O5228" s="3" t="s">
        <v>297</v>
      </c>
    </row>
    <row r="5229" spans="1:15">
      <c r="A5229" s="3">
        <f t="shared" si="104"/>
        <v>5228</v>
      </c>
      <c r="B5229" s="65" t="s">
        <v>7694</v>
      </c>
      <c r="C5229" s="1">
        <v>9026530709</v>
      </c>
      <c r="D5229" s="1">
        <v>7518859171</v>
      </c>
      <c r="E5229" s="17" t="s">
        <v>7282</v>
      </c>
      <c r="F5229" s="65" t="s">
        <v>3813</v>
      </c>
      <c r="G5229" s="2" t="s">
        <v>16</v>
      </c>
      <c r="H5229" s="2" t="s">
        <v>357</v>
      </c>
      <c r="I5229" s="3" t="s">
        <v>88</v>
      </c>
      <c r="J5229" s="31">
        <v>46001</v>
      </c>
      <c r="K5229" s="31">
        <v>46002</v>
      </c>
      <c r="L5229" s="31">
        <v>46007</v>
      </c>
      <c r="M5229" s="31">
        <v>46038</v>
      </c>
      <c r="N5229" s="31">
        <v>46040</v>
      </c>
      <c r="O5229" s="3" t="s">
        <v>297</v>
      </c>
    </row>
    <row r="5230" spans="1:15">
      <c r="A5230" s="3">
        <f t="shared" si="104"/>
        <v>5229</v>
      </c>
      <c r="B5230" s="65" t="s">
        <v>7695</v>
      </c>
      <c r="C5230" s="1">
        <v>7979013352</v>
      </c>
      <c r="D5230" s="1">
        <v>8602200000</v>
      </c>
      <c r="E5230" s="17" t="s">
        <v>7282</v>
      </c>
      <c r="F5230" s="65" t="s">
        <v>7696</v>
      </c>
      <c r="G5230" s="3" t="s">
        <v>416</v>
      </c>
      <c r="H5230" s="2" t="s">
        <v>357</v>
      </c>
      <c r="I5230" s="3" t="s">
        <v>88</v>
      </c>
      <c r="J5230" s="31">
        <v>46001</v>
      </c>
      <c r="K5230" s="31">
        <v>46002</v>
      </c>
      <c r="L5230" s="31"/>
      <c r="M5230" s="31"/>
      <c r="N5230" s="31"/>
      <c r="O5230" s="3" t="s">
        <v>297</v>
      </c>
    </row>
    <row r="5231" spans="1:15">
      <c r="A5231" s="3">
        <f t="shared" si="104"/>
        <v>5230</v>
      </c>
      <c r="B5231" s="65" t="s">
        <v>7697</v>
      </c>
      <c r="C5231" s="1">
        <v>9576022308</v>
      </c>
      <c r="E5231" s="17" t="s">
        <v>7282</v>
      </c>
      <c r="F5231" s="65" t="s">
        <v>3813</v>
      </c>
      <c r="G5231" s="3" t="s">
        <v>416</v>
      </c>
      <c r="H5231" s="2" t="s">
        <v>357</v>
      </c>
      <c r="I5231" s="3" t="s">
        <v>88</v>
      </c>
      <c r="J5231" s="31">
        <v>46001</v>
      </c>
      <c r="K5231" s="31">
        <v>46003</v>
      </c>
      <c r="L5231" s="31"/>
      <c r="M5231" s="31"/>
      <c r="N5231" s="31"/>
      <c r="O5231" s="3" t="s">
        <v>297</v>
      </c>
    </row>
    <row r="5232" spans="1:15">
      <c r="A5232" s="3">
        <f t="shared" si="104"/>
        <v>5231</v>
      </c>
      <c r="B5232" s="65" t="s">
        <v>7698</v>
      </c>
      <c r="C5232" s="1">
        <v>9935205363</v>
      </c>
      <c r="E5232" s="17" t="s">
        <v>7282</v>
      </c>
      <c r="F5232" s="65" t="s">
        <v>3813</v>
      </c>
      <c r="G5232" s="3" t="s">
        <v>18</v>
      </c>
      <c r="H5232" s="2" t="s">
        <v>357</v>
      </c>
      <c r="I5232" s="3" t="s">
        <v>88</v>
      </c>
      <c r="J5232" s="31">
        <v>46001</v>
      </c>
      <c r="K5232" s="31">
        <v>46003</v>
      </c>
      <c r="L5232" s="31"/>
      <c r="M5232" s="31"/>
      <c r="N5232" s="31"/>
      <c r="O5232" s="3" t="s">
        <v>297</v>
      </c>
    </row>
    <row r="5233" spans="1:15">
      <c r="A5233" s="3">
        <f t="shared" si="104"/>
        <v>5232</v>
      </c>
      <c r="B5233" s="65" t="s">
        <v>7699</v>
      </c>
      <c r="C5233" s="1">
        <v>7652072065</v>
      </c>
      <c r="E5233" s="17" t="s">
        <v>7282</v>
      </c>
      <c r="F5233" s="65" t="s">
        <v>7696</v>
      </c>
      <c r="G5233" s="3" t="s">
        <v>764</v>
      </c>
      <c r="H5233" s="2" t="s">
        <v>357</v>
      </c>
      <c r="I5233" s="3" t="s">
        <v>88</v>
      </c>
      <c r="J5233" s="31">
        <v>46001</v>
      </c>
      <c r="K5233" s="31">
        <v>46004</v>
      </c>
      <c r="L5233" s="31"/>
      <c r="M5233" s="31"/>
      <c r="N5233" s="31"/>
      <c r="O5233" s="3" t="s">
        <v>425</v>
      </c>
    </row>
    <row r="5234" spans="1:15">
      <c r="A5234" s="3">
        <f t="shared" si="104"/>
        <v>5233</v>
      </c>
      <c r="B5234" s="65" t="s">
        <v>7700</v>
      </c>
      <c r="C5234" s="1">
        <v>9785555747</v>
      </c>
      <c r="E5234" s="3" t="s">
        <v>7701</v>
      </c>
      <c r="F5234" s="65" t="s">
        <v>7702</v>
      </c>
      <c r="G5234" s="3" t="s">
        <v>295</v>
      </c>
      <c r="H5234" s="2" t="s">
        <v>296</v>
      </c>
      <c r="I5234" s="3" t="s">
        <v>88</v>
      </c>
      <c r="J5234" s="31">
        <v>46001</v>
      </c>
      <c r="K5234" s="31">
        <v>46009</v>
      </c>
      <c r="L5234" s="31">
        <v>46017</v>
      </c>
      <c r="M5234" s="31">
        <v>46106</v>
      </c>
      <c r="N5234" s="31"/>
      <c r="O5234" s="3" t="s">
        <v>297</v>
      </c>
    </row>
    <row r="5235" spans="1:15">
      <c r="A5235" s="3">
        <f t="shared" si="104"/>
        <v>5234</v>
      </c>
      <c r="B5235" s="65" t="s">
        <v>7703</v>
      </c>
      <c r="C5235" s="1">
        <v>8409215311</v>
      </c>
      <c r="E5235" s="17" t="s">
        <v>7316</v>
      </c>
      <c r="F5235" s="65" t="s">
        <v>7704</v>
      </c>
      <c r="G5235" s="3" t="s">
        <v>424</v>
      </c>
      <c r="H5235" s="2" t="s">
        <v>296</v>
      </c>
      <c r="I5235" s="3" t="s">
        <v>88</v>
      </c>
      <c r="J5235" s="31">
        <v>46001</v>
      </c>
      <c r="K5235" s="31">
        <v>46013</v>
      </c>
      <c r="L5235" s="31"/>
      <c r="M5235" s="31"/>
      <c r="N5235" s="31"/>
      <c r="O5235" s="3" t="s">
        <v>425</v>
      </c>
    </row>
    <row r="5236" spans="1:15">
      <c r="A5236" s="3">
        <f t="shared" si="104"/>
        <v>5235</v>
      </c>
      <c r="B5236" s="65" t="s">
        <v>5649</v>
      </c>
      <c r="C5236" s="1">
        <v>8709444101</v>
      </c>
      <c r="E5236" s="17" t="s">
        <v>7316</v>
      </c>
      <c r="F5236" s="65" t="s">
        <v>6517</v>
      </c>
      <c r="G5236" s="3" t="s">
        <v>764</v>
      </c>
      <c r="H5236" s="2" t="s">
        <v>296</v>
      </c>
      <c r="I5236" s="3" t="s">
        <v>88</v>
      </c>
      <c r="J5236" s="31">
        <v>46001</v>
      </c>
      <c r="K5236" s="31">
        <v>46009</v>
      </c>
      <c r="L5236" s="31"/>
      <c r="M5236" s="31"/>
      <c r="N5236" s="31"/>
      <c r="O5236" s="3" t="s">
        <v>425</v>
      </c>
    </row>
    <row r="5237" spans="1:15">
      <c r="A5237" s="3">
        <f t="shared" si="104"/>
        <v>5236</v>
      </c>
      <c r="B5237" s="65" t="s">
        <v>7705</v>
      </c>
      <c r="C5237" s="1">
        <v>9610146216</v>
      </c>
      <c r="E5237" s="17" t="s">
        <v>7316</v>
      </c>
      <c r="F5237" s="65" t="s">
        <v>2630</v>
      </c>
      <c r="G5237" s="3" t="s">
        <v>416</v>
      </c>
      <c r="H5237" s="2" t="s">
        <v>296</v>
      </c>
      <c r="I5237" s="3" t="s">
        <v>88</v>
      </c>
      <c r="J5237" s="31">
        <v>46001</v>
      </c>
      <c r="K5237" s="31">
        <v>46034</v>
      </c>
      <c r="L5237" s="31"/>
      <c r="M5237" s="31"/>
      <c r="N5237" s="31"/>
      <c r="O5237" s="3" t="s">
        <v>297</v>
      </c>
    </row>
    <row r="5238" spans="1:15">
      <c r="A5238" s="3">
        <f t="shared" si="104"/>
        <v>5237</v>
      </c>
      <c r="B5238" s="65" t="s">
        <v>7706</v>
      </c>
      <c r="C5238" s="1">
        <v>7028156152</v>
      </c>
      <c r="D5238" s="1">
        <v>8810472366</v>
      </c>
      <c r="E5238" s="17" t="s">
        <v>7316</v>
      </c>
      <c r="F5238" s="65" t="s">
        <v>7138</v>
      </c>
      <c r="G5238" s="3" t="s">
        <v>424</v>
      </c>
      <c r="H5238" s="2" t="s">
        <v>296</v>
      </c>
      <c r="I5238" s="3" t="s">
        <v>88</v>
      </c>
      <c r="J5238" s="31">
        <v>46001</v>
      </c>
      <c r="K5238" s="31">
        <v>46013</v>
      </c>
      <c r="L5238" s="31"/>
      <c r="M5238" s="31"/>
      <c r="N5238" s="31"/>
      <c r="O5238" s="3" t="s">
        <v>425</v>
      </c>
    </row>
    <row r="5239" spans="1:15">
      <c r="A5239" s="3">
        <f t="shared" si="104"/>
        <v>5238</v>
      </c>
      <c r="B5239" s="65" t="s">
        <v>1990</v>
      </c>
      <c r="C5239" s="1">
        <v>7730024498</v>
      </c>
      <c r="E5239" s="17" t="s">
        <v>7580</v>
      </c>
      <c r="F5239" s="65" t="s">
        <v>7156</v>
      </c>
      <c r="G5239" s="3" t="s">
        <v>416</v>
      </c>
      <c r="H5239" s="2" t="s">
        <v>296</v>
      </c>
      <c r="I5239" s="3" t="s">
        <v>88</v>
      </c>
      <c r="J5239" s="31">
        <v>46001</v>
      </c>
      <c r="K5239" s="31">
        <v>46002</v>
      </c>
      <c r="L5239" s="31"/>
      <c r="M5239" s="31"/>
      <c r="N5239" s="31"/>
      <c r="O5239" s="3" t="s">
        <v>297</v>
      </c>
    </row>
    <row r="5240" spans="1:15">
      <c r="A5240" s="3">
        <f t="shared" si="104"/>
        <v>5239</v>
      </c>
      <c r="B5240" s="65" t="s">
        <v>7707</v>
      </c>
      <c r="C5240" s="1">
        <v>9492056780</v>
      </c>
      <c r="E5240" s="17" t="s">
        <v>6712</v>
      </c>
      <c r="F5240" s="65" t="s">
        <v>7708</v>
      </c>
      <c r="G5240" s="3" t="s">
        <v>424</v>
      </c>
      <c r="H5240" s="2" t="s">
        <v>785</v>
      </c>
      <c r="I5240" s="3" t="s">
        <v>88</v>
      </c>
      <c r="J5240" s="31">
        <v>46001</v>
      </c>
      <c r="K5240" s="31">
        <v>46013</v>
      </c>
      <c r="L5240" s="31"/>
      <c r="M5240" s="31"/>
      <c r="N5240" s="31"/>
      <c r="O5240" s="3" t="s">
        <v>425</v>
      </c>
    </row>
    <row r="5241" spans="1:15">
      <c r="A5241" s="3">
        <f t="shared" si="104"/>
        <v>5240</v>
      </c>
      <c r="B5241" s="65" t="s">
        <v>7709</v>
      </c>
      <c r="C5241" s="1">
        <v>9952966450</v>
      </c>
      <c r="E5241" s="17" t="s">
        <v>6712</v>
      </c>
      <c r="F5241" s="65" t="s">
        <v>7710</v>
      </c>
      <c r="G5241" s="3" t="s">
        <v>416</v>
      </c>
      <c r="H5241" s="2" t="s">
        <v>785</v>
      </c>
      <c r="I5241" s="3" t="s">
        <v>88</v>
      </c>
      <c r="J5241" s="31">
        <v>46001</v>
      </c>
      <c r="K5241" s="31">
        <v>46013</v>
      </c>
      <c r="L5241" s="31"/>
      <c r="M5241" s="31"/>
      <c r="N5241" s="31"/>
      <c r="O5241" s="3" t="s">
        <v>297</v>
      </c>
    </row>
    <row r="5242" spans="1:15">
      <c r="A5242" s="3">
        <f t="shared" si="104"/>
        <v>5241</v>
      </c>
      <c r="B5242" s="65" t="s">
        <v>7711</v>
      </c>
      <c r="C5242" s="1">
        <v>8500737528</v>
      </c>
      <c r="E5242" s="17" t="s">
        <v>6712</v>
      </c>
      <c r="F5242" s="65" t="s">
        <v>3942</v>
      </c>
      <c r="G5242" s="3" t="s">
        <v>424</v>
      </c>
      <c r="H5242" s="2" t="s">
        <v>785</v>
      </c>
      <c r="I5242" s="3" t="s">
        <v>88</v>
      </c>
      <c r="J5242" s="31">
        <v>46001</v>
      </c>
      <c r="K5242" s="31">
        <v>46013</v>
      </c>
      <c r="L5242" s="31"/>
      <c r="M5242" s="31"/>
      <c r="N5242" s="31"/>
      <c r="O5242" s="3" t="s">
        <v>425</v>
      </c>
    </row>
    <row r="5243" spans="1:15">
      <c r="A5243" s="3">
        <f t="shared" si="104"/>
        <v>5242</v>
      </c>
      <c r="B5243" s="65" t="s">
        <v>7712</v>
      </c>
      <c r="C5243" s="1">
        <v>9949541784</v>
      </c>
      <c r="E5243" s="17" t="s">
        <v>6712</v>
      </c>
      <c r="F5243" s="65" t="s">
        <v>3778</v>
      </c>
      <c r="G5243" s="3" t="s">
        <v>424</v>
      </c>
      <c r="H5243" s="2" t="s">
        <v>785</v>
      </c>
      <c r="I5243" s="3" t="s">
        <v>88</v>
      </c>
      <c r="J5243" s="31">
        <v>46001</v>
      </c>
      <c r="K5243" s="31">
        <v>46013</v>
      </c>
      <c r="L5243" s="31"/>
      <c r="M5243" s="31"/>
      <c r="N5243" s="31"/>
      <c r="O5243" s="3" t="s">
        <v>425</v>
      </c>
    </row>
    <row r="5244" spans="1:15">
      <c r="A5244" s="3">
        <f t="shared" si="104"/>
        <v>5243</v>
      </c>
      <c r="B5244" s="65" t="s">
        <v>7713</v>
      </c>
      <c r="C5244" s="1">
        <v>7032018925</v>
      </c>
      <c r="E5244" s="17" t="s">
        <v>6712</v>
      </c>
      <c r="F5244" s="65" t="s">
        <v>7714</v>
      </c>
      <c r="G5244" s="3" t="s">
        <v>424</v>
      </c>
      <c r="H5244" s="2" t="s">
        <v>785</v>
      </c>
      <c r="I5244" s="3" t="s">
        <v>88</v>
      </c>
      <c r="J5244" s="31">
        <v>46001</v>
      </c>
      <c r="K5244" s="31">
        <v>46013</v>
      </c>
      <c r="L5244" s="31"/>
      <c r="M5244" s="31"/>
      <c r="N5244" s="31"/>
      <c r="O5244" s="3" t="s">
        <v>425</v>
      </c>
    </row>
    <row r="5245" spans="1:15">
      <c r="A5245" s="3">
        <f t="shared" si="104"/>
        <v>5244</v>
      </c>
      <c r="B5245" s="65" t="s">
        <v>7715</v>
      </c>
      <c r="C5245" s="1">
        <v>9109995195</v>
      </c>
      <c r="D5245" s="1">
        <v>9009247336</v>
      </c>
      <c r="E5245" s="3" t="s">
        <v>6236</v>
      </c>
      <c r="F5245" s="65" t="s">
        <v>5951</v>
      </c>
      <c r="G5245" s="3" t="s">
        <v>15</v>
      </c>
      <c r="H5245" s="2" t="s">
        <v>3240</v>
      </c>
      <c r="I5245" s="3" t="s">
        <v>42</v>
      </c>
      <c r="J5245" s="31">
        <v>46001</v>
      </c>
      <c r="K5245" s="31">
        <v>46010</v>
      </c>
      <c r="L5245" s="31">
        <v>46017</v>
      </c>
      <c r="M5245" s="31">
        <v>46127</v>
      </c>
      <c r="N5245" s="31"/>
      <c r="O5245" s="3" t="s">
        <v>297</v>
      </c>
    </row>
    <row r="5246" spans="1:15">
      <c r="A5246" s="3">
        <f t="shared" si="104"/>
        <v>5245</v>
      </c>
      <c r="B5246" s="65" t="s">
        <v>7716</v>
      </c>
      <c r="C5246" s="1">
        <v>7870004433</v>
      </c>
      <c r="E5246" s="3" t="s">
        <v>6236</v>
      </c>
      <c r="F5246" s="65" t="s">
        <v>303</v>
      </c>
      <c r="G5246" s="3" t="s">
        <v>295</v>
      </c>
      <c r="H5246" s="2" t="s">
        <v>3240</v>
      </c>
      <c r="I5246" s="3" t="s">
        <v>42</v>
      </c>
      <c r="J5246" s="31">
        <v>46001</v>
      </c>
      <c r="K5246" s="31">
        <v>46010</v>
      </c>
      <c r="L5246" s="31">
        <v>46017</v>
      </c>
      <c r="M5246" s="31">
        <v>46049</v>
      </c>
      <c r="N5246" s="31"/>
      <c r="O5246" s="3" t="s">
        <v>297</v>
      </c>
    </row>
    <row r="5247" spans="1:15">
      <c r="A5247" s="3">
        <f t="shared" si="104"/>
        <v>5246</v>
      </c>
      <c r="B5247" s="65" t="s">
        <v>7717</v>
      </c>
      <c r="C5247" s="1">
        <v>9177559626</v>
      </c>
      <c r="D5247" s="1">
        <v>6301274680</v>
      </c>
      <c r="E5247" s="17" t="s">
        <v>6236</v>
      </c>
      <c r="F5247" s="65" t="s">
        <v>6000</v>
      </c>
      <c r="G5247" s="3" t="s">
        <v>16</v>
      </c>
      <c r="H5247" s="2" t="s">
        <v>3240</v>
      </c>
      <c r="I5247" s="3" t="s">
        <v>42</v>
      </c>
      <c r="J5247" s="31">
        <v>46001</v>
      </c>
      <c r="K5247" s="31">
        <v>46010</v>
      </c>
      <c r="L5247" s="31">
        <v>46016</v>
      </c>
      <c r="M5247" s="31">
        <v>46039</v>
      </c>
      <c r="N5247" s="31">
        <v>46043</v>
      </c>
      <c r="O5247" s="3" t="s">
        <v>297</v>
      </c>
    </row>
    <row r="5248" spans="1:15">
      <c r="A5248" s="3">
        <f t="shared" si="104"/>
        <v>5247</v>
      </c>
      <c r="B5248" s="65" t="s">
        <v>7718</v>
      </c>
      <c r="C5248" s="1">
        <v>8310864924</v>
      </c>
      <c r="E5248" s="17" t="s">
        <v>6236</v>
      </c>
      <c r="F5248" s="65" t="s">
        <v>7220</v>
      </c>
      <c r="G5248" s="3" t="s">
        <v>16</v>
      </c>
      <c r="H5248" s="2" t="s">
        <v>3240</v>
      </c>
      <c r="I5248" s="3" t="s">
        <v>42</v>
      </c>
      <c r="J5248" s="31">
        <v>46001</v>
      </c>
      <c r="K5248" s="31">
        <v>46010</v>
      </c>
      <c r="L5248" s="31">
        <v>46010</v>
      </c>
      <c r="M5248" s="31">
        <v>46065</v>
      </c>
      <c r="N5248" s="31">
        <v>46066</v>
      </c>
      <c r="O5248" s="3" t="s">
        <v>297</v>
      </c>
    </row>
    <row r="5249" spans="1:15">
      <c r="A5249" s="3">
        <f t="shared" si="104"/>
        <v>5248</v>
      </c>
      <c r="B5249" s="65" t="s">
        <v>7719</v>
      </c>
      <c r="C5249" s="1">
        <v>9290090827</v>
      </c>
      <c r="E5249" s="17" t="s">
        <v>6236</v>
      </c>
      <c r="F5249" s="65" t="s">
        <v>7720</v>
      </c>
      <c r="G5249" s="3" t="s">
        <v>16</v>
      </c>
      <c r="H5249" s="2" t="s">
        <v>3240</v>
      </c>
      <c r="I5249" s="3" t="s">
        <v>42</v>
      </c>
      <c r="J5249" s="31">
        <v>46001</v>
      </c>
      <c r="K5249" s="31">
        <v>46010</v>
      </c>
      <c r="L5249" s="31">
        <v>46010</v>
      </c>
      <c r="M5249" s="31">
        <v>46051</v>
      </c>
      <c r="N5249" s="31">
        <v>46051</v>
      </c>
      <c r="O5249" s="3" t="s">
        <v>297</v>
      </c>
    </row>
    <row r="5250" spans="1:15">
      <c r="A5250" s="3">
        <f t="shared" si="104"/>
        <v>5249</v>
      </c>
      <c r="B5250" s="65" t="s">
        <v>7721</v>
      </c>
      <c r="C5250" s="1">
        <v>7398979107</v>
      </c>
      <c r="E5250" s="17" t="s">
        <v>5776</v>
      </c>
      <c r="F5250" s="65" t="s">
        <v>748</v>
      </c>
      <c r="G5250" s="3" t="s">
        <v>764</v>
      </c>
      <c r="H5250" s="2" t="s">
        <v>6158</v>
      </c>
      <c r="I5250" s="3" t="s">
        <v>42</v>
      </c>
      <c r="J5250" s="31">
        <v>46001</v>
      </c>
      <c r="K5250" s="31">
        <v>46003</v>
      </c>
      <c r="L5250" s="31"/>
      <c r="M5250" s="31"/>
      <c r="N5250" s="31"/>
      <c r="O5250" s="3" t="s">
        <v>425</v>
      </c>
    </row>
    <row r="5251" spans="1:15">
      <c r="A5251" s="3">
        <f t="shared" si="104"/>
        <v>5250</v>
      </c>
      <c r="B5251" s="65" t="s">
        <v>7722</v>
      </c>
      <c r="C5251" s="1">
        <v>9177406640</v>
      </c>
      <c r="D5251" s="1">
        <v>8074931797</v>
      </c>
      <c r="E5251" s="17" t="s">
        <v>5887</v>
      </c>
      <c r="F5251" s="65" t="s">
        <v>569</v>
      </c>
      <c r="G5251" s="3" t="s">
        <v>764</v>
      </c>
      <c r="H5251" s="2" t="s">
        <v>6158</v>
      </c>
      <c r="I5251" s="3" t="s">
        <v>42</v>
      </c>
      <c r="J5251" s="31">
        <v>46001</v>
      </c>
      <c r="K5251" s="31">
        <v>46003</v>
      </c>
      <c r="L5251" s="31"/>
      <c r="M5251" s="31"/>
      <c r="N5251" s="31"/>
      <c r="O5251" s="3" t="s">
        <v>425</v>
      </c>
    </row>
    <row r="5252" spans="1:15">
      <c r="A5252" s="3">
        <f t="shared" si="104"/>
        <v>5251</v>
      </c>
      <c r="B5252" s="65" t="s">
        <v>7723</v>
      </c>
      <c r="C5252" s="1">
        <v>9505373568</v>
      </c>
      <c r="E5252" s="17" t="s">
        <v>5776</v>
      </c>
      <c r="F5252" s="65" t="s">
        <v>2113</v>
      </c>
      <c r="G5252" s="3" t="s">
        <v>764</v>
      </c>
      <c r="H5252" s="2" t="s">
        <v>6158</v>
      </c>
      <c r="I5252" s="3" t="s">
        <v>42</v>
      </c>
      <c r="J5252" s="31">
        <v>46001</v>
      </c>
      <c r="K5252" s="31">
        <v>46003</v>
      </c>
      <c r="L5252" s="31"/>
      <c r="M5252" s="31"/>
      <c r="N5252" s="31"/>
      <c r="O5252" s="3" t="s">
        <v>425</v>
      </c>
    </row>
    <row r="5253" spans="1:15">
      <c r="A5253" s="3">
        <f t="shared" si="104"/>
        <v>5252</v>
      </c>
      <c r="B5253" s="65" t="s">
        <v>7724</v>
      </c>
      <c r="C5253" s="1">
        <v>9010790449</v>
      </c>
      <c r="D5253" s="1">
        <v>8247538180</v>
      </c>
      <c r="E5253" s="17" t="s">
        <v>5887</v>
      </c>
      <c r="F5253" s="65" t="s">
        <v>7725</v>
      </c>
      <c r="G5253" s="3" t="s">
        <v>16</v>
      </c>
      <c r="H5253" s="2" t="s">
        <v>6158</v>
      </c>
      <c r="I5253" s="3" t="s">
        <v>42</v>
      </c>
      <c r="J5253" s="31">
        <v>46001</v>
      </c>
      <c r="K5253" s="31">
        <v>46003</v>
      </c>
      <c r="L5253" s="31">
        <v>46004</v>
      </c>
      <c r="M5253" s="31">
        <v>46044</v>
      </c>
      <c r="N5253" s="31">
        <v>46044</v>
      </c>
      <c r="O5253" s="3" t="s">
        <v>297</v>
      </c>
    </row>
    <row r="5254" spans="1:15">
      <c r="A5254" s="3">
        <f t="shared" si="104"/>
        <v>5253</v>
      </c>
      <c r="B5254" s="65" t="s">
        <v>7726</v>
      </c>
      <c r="C5254" s="1">
        <v>9125479179</v>
      </c>
      <c r="D5254" s="1">
        <v>9076928920</v>
      </c>
      <c r="E5254" s="17" t="s">
        <v>7685</v>
      </c>
      <c r="F5254" s="65" t="s">
        <v>7727</v>
      </c>
      <c r="G5254" s="3" t="s">
        <v>16</v>
      </c>
      <c r="H5254" s="2" t="s">
        <v>6158</v>
      </c>
      <c r="I5254" s="3" t="s">
        <v>42</v>
      </c>
      <c r="J5254" s="31">
        <v>46001</v>
      </c>
      <c r="K5254" s="31">
        <v>46003</v>
      </c>
      <c r="L5254" s="31">
        <v>46017</v>
      </c>
      <c r="M5254" s="31">
        <v>46047</v>
      </c>
      <c r="N5254" s="31">
        <v>46047</v>
      </c>
      <c r="O5254" s="3" t="s">
        <v>297</v>
      </c>
    </row>
    <row r="5255" spans="1:15">
      <c r="A5255" s="3">
        <f t="shared" si="104"/>
        <v>5254</v>
      </c>
      <c r="B5255" s="65" t="s">
        <v>7728</v>
      </c>
      <c r="C5255" s="1">
        <v>9490402505</v>
      </c>
      <c r="E5255" s="17" t="s">
        <v>5966</v>
      </c>
      <c r="F5255" s="65" t="s">
        <v>748</v>
      </c>
      <c r="G5255" s="3" t="s">
        <v>295</v>
      </c>
      <c r="H5255" s="2" t="s">
        <v>6158</v>
      </c>
      <c r="I5255" s="3" t="s">
        <v>42</v>
      </c>
      <c r="J5255" s="31">
        <v>46001</v>
      </c>
      <c r="K5255" s="31">
        <v>46003</v>
      </c>
      <c r="L5255" s="31">
        <v>46004</v>
      </c>
      <c r="M5255" s="31">
        <v>46097</v>
      </c>
      <c r="N5255" s="31"/>
      <c r="O5255" s="3" t="s">
        <v>297</v>
      </c>
    </row>
    <row r="5256" spans="1:15">
      <c r="A5256" s="3">
        <f t="shared" si="104"/>
        <v>5255</v>
      </c>
      <c r="B5256" s="65" t="s">
        <v>7729</v>
      </c>
      <c r="C5256" s="1">
        <v>9959501669</v>
      </c>
      <c r="E5256" s="17" t="s">
        <v>7685</v>
      </c>
      <c r="F5256" s="65" t="s">
        <v>7533</v>
      </c>
      <c r="G5256" s="2" t="s">
        <v>16</v>
      </c>
      <c r="H5256" s="2" t="s">
        <v>6158</v>
      </c>
      <c r="I5256" s="3" t="s">
        <v>42</v>
      </c>
      <c r="J5256" s="31">
        <v>46001</v>
      </c>
      <c r="K5256" s="31">
        <v>46003</v>
      </c>
      <c r="L5256" s="31">
        <v>46010</v>
      </c>
      <c r="M5256" s="31">
        <v>46043</v>
      </c>
      <c r="N5256" s="31">
        <v>46043</v>
      </c>
      <c r="O5256" s="3" t="s">
        <v>297</v>
      </c>
    </row>
    <row r="5257" spans="1:15">
      <c r="A5257" s="3">
        <f t="shared" si="104"/>
        <v>5256</v>
      </c>
      <c r="B5257" s="65" t="s">
        <v>7730</v>
      </c>
      <c r="C5257" s="1">
        <v>9918028817</v>
      </c>
      <c r="E5257" s="17" t="s">
        <v>5776</v>
      </c>
      <c r="F5257" s="65" t="s">
        <v>308</v>
      </c>
      <c r="G5257" s="3" t="s">
        <v>16</v>
      </c>
      <c r="H5257" s="2" t="s">
        <v>6158</v>
      </c>
      <c r="I5257" s="3" t="s">
        <v>42</v>
      </c>
      <c r="J5257" s="31">
        <v>46001</v>
      </c>
      <c r="K5257" s="31">
        <v>46003</v>
      </c>
      <c r="L5257" s="31">
        <v>46004</v>
      </c>
      <c r="M5257" s="31">
        <v>46027</v>
      </c>
      <c r="N5257" s="31">
        <v>46027</v>
      </c>
      <c r="O5257" s="3" t="s">
        <v>297</v>
      </c>
    </row>
    <row r="5258" spans="1:15">
      <c r="A5258" s="3">
        <f t="shared" ref="A5258:A5271" si="105">ROW()-1</f>
        <v>5257</v>
      </c>
      <c r="B5258" s="65" t="s">
        <v>7731</v>
      </c>
      <c r="C5258" s="1">
        <v>8500300303</v>
      </c>
      <c r="D5258" s="1">
        <v>9392662697</v>
      </c>
      <c r="E5258" s="17" t="s">
        <v>5454</v>
      </c>
      <c r="F5258" s="65" t="s">
        <v>7732</v>
      </c>
      <c r="G5258" s="3" t="s">
        <v>424</v>
      </c>
      <c r="H5258" s="2" t="s">
        <v>999</v>
      </c>
      <c r="I5258" s="3" t="s">
        <v>42</v>
      </c>
      <c r="J5258" s="31">
        <v>46001</v>
      </c>
      <c r="K5258" s="31">
        <v>46008</v>
      </c>
      <c r="L5258" s="31"/>
      <c r="M5258" s="31"/>
      <c r="N5258" s="31"/>
      <c r="O5258" s="3" t="s">
        <v>425</v>
      </c>
    </row>
    <row r="5259" spans="1:15">
      <c r="A5259" s="3">
        <f t="shared" si="105"/>
        <v>5258</v>
      </c>
      <c r="B5259" s="65" t="s">
        <v>7733</v>
      </c>
      <c r="C5259" s="1">
        <v>9948071022</v>
      </c>
      <c r="E5259" s="17" t="s">
        <v>5454</v>
      </c>
      <c r="F5259" s="65" t="s">
        <v>7734</v>
      </c>
      <c r="G5259" s="3" t="s">
        <v>708</v>
      </c>
      <c r="H5259" s="2" t="s">
        <v>999</v>
      </c>
      <c r="I5259" s="3" t="s">
        <v>42</v>
      </c>
      <c r="J5259" s="31">
        <v>46001</v>
      </c>
      <c r="K5259" s="31">
        <v>46008</v>
      </c>
      <c r="L5259" s="31"/>
      <c r="M5259" s="31"/>
      <c r="N5259" s="31"/>
      <c r="O5259" s="3" t="s">
        <v>297</v>
      </c>
    </row>
    <row r="5260" spans="1:15">
      <c r="A5260" s="3">
        <f t="shared" si="105"/>
        <v>5259</v>
      </c>
      <c r="B5260" s="65" t="s">
        <v>7735</v>
      </c>
      <c r="C5260" s="1">
        <v>8977184349</v>
      </c>
      <c r="E5260" s="17" t="s">
        <v>4963</v>
      </c>
      <c r="F5260" s="65" t="s">
        <v>2251</v>
      </c>
      <c r="G5260" s="3" t="s">
        <v>424</v>
      </c>
      <c r="H5260" s="2" t="s">
        <v>999</v>
      </c>
      <c r="I5260" s="3" t="s">
        <v>42</v>
      </c>
      <c r="J5260" s="31">
        <v>46001</v>
      </c>
      <c r="K5260" s="31">
        <v>46013</v>
      </c>
      <c r="L5260" s="31"/>
      <c r="M5260" s="31"/>
      <c r="N5260" s="31"/>
      <c r="O5260" s="3" t="s">
        <v>425</v>
      </c>
    </row>
    <row r="5261" spans="1:15">
      <c r="A5261" s="3">
        <f t="shared" si="105"/>
        <v>5260</v>
      </c>
      <c r="B5261" s="65" t="s">
        <v>7736</v>
      </c>
      <c r="C5261" s="1">
        <v>8858635274</v>
      </c>
      <c r="E5261" s="17" t="s">
        <v>6712</v>
      </c>
      <c r="F5261" s="65" t="s">
        <v>3942</v>
      </c>
      <c r="G5261" s="3" t="s">
        <v>7030</v>
      </c>
      <c r="H5261" s="2" t="s">
        <v>785</v>
      </c>
      <c r="I5261" s="3" t="s">
        <v>94</v>
      </c>
      <c r="J5261" s="31">
        <v>46001</v>
      </c>
      <c r="K5261" s="31"/>
      <c r="L5261" s="31"/>
      <c r="M5261" s="31"/>
      <c r="N5261" s="31"/>
      <c r="O5261" s="3" t="s">
        <v>1004</v>
      </c>
    </row>
    <row r="5262" spans="1:15">
      <c r="A5262" s="3">
        <f t="shared" si="105"/>
        <v>5261</v>
      </c>
      <c r="B5262" s="65" t="s">
        <v>7737</v>
      </c>
      <c r="C5262" s="1">
        <v>9553578560</v>
      </c>
      <c r="E5262" s="17" t="s">
        <v>6712</v>
      </c>
      <c r="F5262" s="65" t="s">
        <v>3942</v>
      </c>
      <c r="G5262" s="3" t="s">
        <v>7030</v>
      </c>
      <c r="H5262" s="2" t="s">
        <v>785</v>
      </c>
      <c r="I5262" s="3" t="s">
        <v>94</v>
      </c>
      <c r="J5262" s="31">
        <v>46001</v>
      </c>
      <c r="K5262" s="31"/>
      <c r="L5262" s="31"/>
      <c r="M5262" s="31"/>
      <c r="N5262" s="31"/>
      <c r="O5262" s="3" t="s">
        <v>1004</v>
      </c>
    </row>
    <row r="5263" spans="1:15">
      <c r="A5263" s="3">
        <f t="shared" si="105"/>
        <v>5262</v>
      </c>
      <c r="B5263" s="65" t="s">
        <v>7738</v>
      </c>
      <c r="C5263" s="1">
        <v>8985897774</v>
      </c>
      <c r="E5263" s="17" t="s">
        <v>6712</v>
      </c>
      <c r="F5263" s="65" t="s">
        <v>3942</v>
      </c>
      <c r="G5263" s="3" t="s">
        <v>7030</v>
      </c>
      <c r="H5263" s="2" t="s">
        <v>785</v>
      </c>
      <c r="I5263" s="3" t="s">
        <v>94</v>
      </c>
      <c r="J5263" s="31">
        <v>46001</v>
      </c>
      <c r="K5263" s="31"/>
      <c r="L5263" s="31"/>
      <c r="M5263" s="31"/>
      <c r="N5263" s="31"/>
      <c r="O5263" s="3" t="s">
        <v>1004</v>
      </c>
    </row>
    <row r="5264" spans="1:15">
      <c r="A5264" s="3">
        <f t="shared" si="105"/>
        <v>5263</v>
      </c>
      <c r="B5264" s="65" t="s">
        <v>7739</v>
      </c>
      <c r="C5264" s="1">
        <v>7661929187</v>
      </c>
      <c r="E5264" s="17" t="s">
        <v>7301</v>
      </c>
      <c r="F5264" s="65" t="s">
        <v>3224</v>
      </c>
      <c r="G5264" s="3" t="s">
        <v>295</v>
      </c>
      <c r="H5264" s="2" t="s">
        <v>2425</v>
      </c>
      <c r="I5264" s="3" t="s">
        <v>42</v>
      </c>
      <c r="J5264" s="31">
        <v>46001</v>
      </c>
      <c r="K5264" s="31">
        <v>46007</v>
      </c>
      <c r="L5264" s="31">
        <v>46016</v>
      </c>
      <c r="M5264" s="31">
        <v>46068</v>
      </c>
      <c r="N5264" s="31"/>
      <c r="O5264" s="3" t="s">
        <v>297</v>
      </c>
    </row>
    <row r="5265" spans="1:15">
      <c r="A5265" s="3">
        <f t="shared" si="105"/>
        <v>5264</v>
      </c>
      <c r="B5265" s="65" t="s">
        <v>7740</v>
      </c>
      <c r="C5265" s="1">
        <v>8186894747</v>
      </c>
      <c r="E5265" s="17" t="s">
        <v>7741</v>
      </c>
      <c r="F5265" s="65" t="s">
        <v>4291</v>
      </c>
      <c r="G5265" s="3" t="s">
        <v>416</v>
      </c>
      <c r="H5265" s="2" t="s">
        <v>6158</v>
      </c>
      <c r="I5265" s="3" t="s">
        <v>42</v>
      </c>
      <c r="J5265" s="31">
        <v>46001</v>
      </c>
      <c r="K5265" s="31">
        <v>46016</v>
      </c>
      <c r="L5265" s="31"/>
      <c r="M5265" s="31"/>
      <c r="N5265" s="31"/>
      <c r="O5265" s="3" t="s">
        <v>297</v>
      </c>
    </row>
    <row r="5266" spans="1:15">
      <c r="A5266" s="3">
        <f t="shared" si="105"/>
        <v>5265</v>
      </c>
      <c r="B5266" s="65" t="s">
        <v>7742</v>
      </c>
      <c r="C5266" s="1">
        <v>8500179756</v>
      </c>
      <c r="E5266" s="17" t="s">
        <v>6712</v>
      </c>
      <c r="F5266" s="65" t="s">
        <v>1769</v>
      </c>
      <c r="G5266" s="3" t="s">
        <v>416</v>
      </c>
      <c r="H5266" s="2" t="s">
        <v>785</v>
      </c>
      <c r="I5266" s="3" t="s">
        <v>88</v>
      </c>
      <c r="J5266" s="31">
        <v>46003</v>
      </c>
      <c r="K5266" s="31">
        <v>46013</v>
      </c>
      <c r="L5266" s="31"/>
      <c r="M5266" s="31"/>
      <c r="N5266" s="31"/>
      <c r="O5266" s="3" t="s">
        <v>297</v>
      </c>
    </row>
    <row r="5267" spans="1:15">
      <c r="A5267" s="3">
        <f t="shared" si="105"/>
        <v>5266</v>
      </c>
      <c r="B5267" s="65" t="s">
        <v>3386</v>
      </c>
      <c r="C5267" s="1">
        <v>7042037027</v>
      </c>
      <c r="E5267" s="17" t="s">
        <v>6712</v>
      </c>
      <c r="F5267" s="65" t="s">
        <v>1769</v>
      </c>
      <c r="G5267" s="3" t="s">
        <v>18</v>
      </c>
      <c r="H5267" s="2" t="s">
        <v>785</v>
      </c>
      <c r="I5267" s="3" t="s">
        <v>88</v>
      </c>
      <c r="J5267" s="31">
        <v>46003</v>
      </c>
      <c r="K5267" s="31"/>
      <c r="L5267" s="31"/>
      <c r="M5267" s="31"/>
      <c r="N5267" s="31"/>
      <c r="O5267" s="3" t="s">
        <v>1004</v>
      </c>
    </row>
    <row r="5268" spans="1:15">
      <c r="A5268" s="3">
        <f t="shared" si="105"/>
        <v>5267</v>
      </c>
      <c r="B5268" s="65" t="s">
        <v>7743</v>
      </c>
      <c r="C5268" s="1">
        <v>8978110068</v>
      </c>
      <c r="E5268" s="17" t="s">
        <v>6716</v>
      </c>
      <c r="F5268" s="65" t="s">
        <v>7744</v>
      </c>
      <c r="G5268" s="3" t="s">
        <v>424</v>
      </c>
      <c r="H5268" s="2" t="s">
        <v>785</v>
      </c>
      <c r="I5268" s="3" t="s">
        <v>88</v>
      </c>
      <c r="J5268" s="31">
        <v>46003</v>
      </c>
      <c r="K5268" s="31">
        <v>46013</v>
      </c>
      <c r="L5268" s="31"/>
      <c r="M5268" s="31"/>
      <c r="N5268" s="31"/>
      <c r="O5268" s="3" t="s">
        <v>425</v>
      </c>
    </row>
    <row r="5269" spans="1:15">
      <c r="A5269" s="3">
        <f t="shared" si="105"/>
        <v>5268</v>
      </c>
      <c r="B5269" s="65" t="s">
        <v>7745</v>
      </c>
      <c r="C5269" s="1">
        <v>8606643146</v>
      </c>
      <c r="E5269" s="17" t="s">
        <v>6716</v>
      </c>
      <c r="F5269" s="65" t="s">
        <v>3778</v>
      </c>
      <c r="G5269" s="3" t="s">
        <v>295</v>
      </c>
      <c r="H5269" s="2" t="s">
        <v>785</v>
      </c>
      <c r="I5269" s="3" t="s">
        <v>88</v>
      </c>
      <c r="J5269" s="31">
        <v>46003</v>
      </c>
      <c r="K5269" s="31">
        <v>46013</v>
      </c>
      <c r="L5269" s="31">
        <v>46031</v>
      </c>
      <c r="M5269" s="31">
        <v>46062</v>
      </c>
      <c r="N5269" s="31"/>
      <c r="O5269" s="3" t="s">
        <v>297</v>
      </c>
    </row>
    <row r="5270" spans="1:15">
      <c r="A5270" s="3">
        <f t="shared" si="105"/>
        <v>5269</v>
      </c>
      <c r="B5270" s="65" t="s">
        <v>7746</v>
      </c>
      <c r="C5270" s="1">
        <v>7905404432</v>
      </c>
      <c r="E5270" s="17" t="s">
        <v>7580</v>
      </c>
      <c r="F5270" s="65" t="s">
        <v>446</v>
      </c>
      <c r="G5270" s="3" t="s">
        <v>15</v>
      </c>
      <c r="H5270" s="2" t="s">
        <v>296</v>
      </c>
      <c r="I5270" s="3" t="s">
        <v>88</v>
      </c>
      <c r="J5270" s="31">
        <v>46003</v>
      </c>
      <c r="K5270" s="31">
        <v>46003</v>
      </c>
      <c r="L5270" s="31">
        <v>46060</v>
      </c>
      <c r="M5270" s="31">
        <v>46106</v>
      </c>
      <c r="N5270" s="31"/>
      <c r="O5270" s="3" t="s">
        <v>297</v>
      </c>
    </row>
    <row r="5271" spans="1:15">
      <c r="A5271" s="3">
        <f t="shared" si="105"/>
        <v>5270</v>
      </c>
      <c r="B5271" s="65" t="s">
        <v>7747</v>
      </c>
      <c r="C5271" s="1">
        <v>8309818737</v>
      </c>
      <c r="E5271" s="17" t="s">
        <v>7748</v>
      </c>
      <c r="F5271" s="65" t="s">
        <v>945</v>
      </c>
      <c r="G5271" s="2" t="s">
        <v>16</v>
      </c>
      <c r="H5271" s="2" t="s">
        <v>361</v>
      </c>
      <c r="I5271" s="3" t="s">
        <v>88</v>
      </c>
      <c r="J5271" s="31">
        <v>46001</v>
      </c>
      <c r="K5271" s="31">
        <v>46002</v>
      </c>
      <c r="L5271" s="31">
        <v>46002</v>
      </c>
      <c r="M5271" s="31">
        <v>46033</v>
      </c>
      <c r="N5271" s="31">
        <v>46025</v>
      </c>
      <c r="O5271" s="3" t="s">
        <v>297</v>
      </c>
    </row>
    <row r="5272" spans="1:15">
      <c r="A5272" s="3">
        <f t="shared" ref="A5272:A5308" si="106">ROW()-1</f>
        <v>5271</v>
      </c>
      <c r="B5272" s="65" t="s">
        <v>7749</v>
      </c>
      <c r="C5272" s="1">
        <v>9604445223</v>
      </c>
      <c r="E5272" s="17" t="s">
        <v>7573</v>
      </c>
      <c r="F5272" s="65" t="s">
        <v>6486</v>
      </c>
      <c r="G5272" s="3" t="s">
        <v>424</v>
      </c>
      <c r="H5272" s="2" t="s">
        <v>296</v>
      </c>
      <c r="I5272" s="3" t="s">
        <v>94</v>
      </c>
      <c r="J5272" s="31">
        <v>46003</v>
      </c>
      <c r="K5272" s="31">
        <v>46043</v>
      </c>
      <c r="L5272" s="31"/>
      <c r="M5272" s="31"/>
      <c r="N5272" s="31"/>
      <c r="O5272" s="3" t="s">
        <v>749</v>
      </c>
    </row>
    <row r="5273" spans="1:15">
      <c r="A5273" s="3">
        <f t="shared" si="106"/>
        <v>5272</v>
      </c>
      <c r="B5273" s="65" t="s">
        <v>7750</v>
      </c>
      <c r="C5273" s="1">
        <v>9334808599</v>
      </c>
      <c r="E5273" s="17" t="s">
        <v>7751</v>
      </c>
      <c r="F5273" s="65"/>
      <c r="G5273" s="3" t="s">
        <v>16</v>
      </c>
      <c r="H5273" s="2" t="s">
        <v>296</v>
      </c>
      <c r="I5273" s="3" t="s">
        <v>94</v>
      </c>
      <c r="J5273" s="31">
        <v>46003</v>
      </c>
      <c r="K5273" s="31">
        <v>46009</v>
      </c>
      <c r="L5273" s="31">
        <v>46010</v>
      </c>
      <c r="M5273" s="31">
        <v>46026</v>
      </c>
      <c r="N5273" s="31">
        <v>46020</v>
      </c>
      <c r="O5273" s="3" t="s">
        <v>297</v>
      </c>
    </row>
    <row r="5274" spans="1:15">
      <c r="A5274" s="3">
        <f t="shared" si="106"/>
        <v>5273</v>
      </c>
      <c r="B5274" s="65" t="s">
        <v>7752</v>
      </c>
      <c r="C5274" s="1">
        <v>9359568213</v>
      </c>
      <c r="E5274" s="17" t="s">
        <v>7751</v>
      </c>
      <c r="F5274" s="65"/>
      <c r="G5274" s="3" t="s">
        <v>424</v>
      </c>
      <c r="H5274" s="2" t="s">
        <v>296</v>
      </c>
      <c r="I5274" s="3" t="s">
        <v>94</v>
      </c>
      <c r="J5274" s="31">
        <v>46003</v>
      </c>
      <c r="K5274" s="31">
        <v>46009</v>
      </c>
      <c r="L5274" s="31"/>
      <c r="M5274" s="31"/>
      <c r="N5274" s="31"/>
      <c r="O5274" s="3" t="s">
        <v>425</v>
      </c>
    </row>
    <row r="5275" spans="1:15">
      <c r="A5275" s="3">
        <f t="shared" si="106"/>
        <v>5274</v>
      </c>
      <c r="B5275" s="65" t="s">
        <v>7753</v>
      </c>
      <c r="C5275" s="1">
        <v>9322536116</v>
      </c>
      <c r="E5275" s="17" t="s">
        <v>7751</v>
      </c>
      <c r="F5275" s="65"/>
      <c r="G5275" s="3" t="s">
        <v>18</v>
      </c>
      <c r="H5275" s="2" t="s">
        <v>296</v>
      </c>
      <c r="I5275" s="3" t="s">
        <v>94</v>
      </c>
      <c r="J5275" s="31">
        <v>46003</v>
      </c>
      <c r="K5275" s="31">
        <v>46009</v>
      </c>
      <c r="L5275" s="31"/>
      <c r="M5275" s="31"/>
      <c r="N5275" s="31"/>
      <c r="O5275" s="3" t="s">
        <v>297</v>
      </c>
    </row>
    <row r="5276" spans="1:15">
      <c r="A5276" s="3">
        <f t="shared" si="106"/>
        <v>5275</v>
      </c>
      <c r="B5276" s="65" t="s">
        <v>7754</v>
      </c>
      <c r="C5276" s="1">
        <v>9545889785</v>
      </c>
      <c r="E5276" s="17" t="s">
        <v>7751</v>
      </c>
      <c r="F5276" s="65"/>
      <c r="G5276" s="3" t="s">
        <v>18</v>
      </c>
      <c r="H5276" s="2" t="s">
        <v>296</v>
      </c>
      <c r="I5276" s="3" t="s">
        <v>94</v>
      </c>
      <c r="J5276" s="31">
        <v>46003</v>
      </c>
      <c r="K5276" s="31">
        <v>46017</v>
      </c>
      <c r="L5276" s="31"/>
      <c r="M5276" s="31"/>
      <c r="N5276" s="31"/>
      <c r="O5276" s="3" t="s">
        <v>297</v>
      </c>
    </row>
    <row r="5277" spans="1:15">
      <c r="A5277" s="3">
        <f t="shared" si="106"/>
        <v>5276</v>
      </c>
      <c r="B5277" s="65" t="s">
        <v>7755</v>
      </c>
      <c r="C5277" s="1">
        <v>9010159564</v>
      </c>
      <c r="E5277" s="17" t="s">
        <v>6199</v>
      </c>
      <c r="F5277" s="65" t="s">
        <v>3648</v>
      </c>
      <c r="G5277" s="3" t="s">
        <v>764</v>
      </c>
      <c r="H5277" s="2" t="s">
        <v>5774</v>
      </c>
      <c r="I5277" s="3" t="s">
        <v>42</v>
      </c>
      <c r="J5277" s="31">
        <v>46003</v>
      </c>
      <c r="K5277" s="31">
        <v>46009</v>
      </c>
      <c r="L5277" s="31"/>
      <c r="M5277" s="31"/>
      <c r="N5277" s="31"/>
      <c r="O5277" s="3" t="s">
        <v>425</v>
      </c>
    </row>
    <row r="5278" spans="1:15">
      <c r="A5278" s="3">
        <f t="shared" si="106"/>
        <v>5277</v>
      </c>
      <c r="B5278" s="65" t="s">
        <v>7756</v>
      </c>
      <c r="C5278" s="1">
        <v>9110244407</v>
      </c>
      <c r="E5278" s="17" t="s">
        <v>5776</v>
      </c>
      <c r="F5278" s="65" t="s">
        <v>1312</v>
      </c>
      <c r="G5278" s="3" t="s">
        <v>16</v>
      </c>
      <c r="H5278" s="2" t="s">
        <v>5774</v>
      </c>
      <c r="I5278" s="3" t="s">
        <v>42</v>
      </c>
      <c r="J5278" s="31">
        <v>46003</v>
      </c>
      <c r="K5278" s="31">
        <v>46006</v>
      </c>
      <c r="L5278" s="31">
        <v>46010</v>
      </c>
      <c r="M5278" s="31">
        <v>46024</v>
      </c>
      <c r="N5278" s="31">
        <v>46024</v>
      </c>
      <c r="O5278" s="3" t="s">
        <v>297</v>
      </c>
    </row>
    <row r="5279" spans="1:15">
      <c r="A5279" s="3">
        <f t="shared" si="106"/>
        <v>5278</v>
      </c>
      <c r="B5279" s="65" t="s">
        <v>7757</v>
      </c>
      <c r="C5279" s="1">
        <v>7780116929</v>
      </c>
      <c r="E5279" s="3" t="s">
        <v>5793</v>
      </c>
      <c r="F5279" s="65" t="s">
        <v>7758</v>
      </c>
      <c r="G5279" s="3" t="s">
        <v>16</v>
      </c>
      <c r="H5279" s="2" t="s">
        <v>5774</v>
      </c>
      <c r="I5279" s="3" t="s">
        <v>42</v>
      </c>
      <c r="J5279" s="31">
        <v>46003</v>
      </c>
      <c r="K5279" s="31">
        <v>46006</v>
      </c>
      <c r="L5279" s="31">
        <v>46010</v>
      </c>
      <c r="M5279" s="31">
        <v>46017</v>
      </c>
      <c r="N5279" s="31">
        <v>46007</v>
      </c>
      <c r="O5279" s="3" t="s">
        <v>297</v>
      </c>
    </row>
    <row r="5280" spans="1:15">
      <c r="A5280" s="3">
        <f t="shared" si="106"/>
        <v>5279</v>
      </c>
      <c r="B5280" s="65" t="s">
        <v>7759</v>
      </c>
      <c r="C5280" s="1">
        <v>8096141149</v>
      </c>
      <c r="E5280" s="17" t="s">
        <v>6752</v>
      </c>
      <c r="F5280" s="65" t="s">
        <v>7760</v>
      </c>
      <c r="G5280" s="3" t="s">
        <v>424</v>
      </c>
      <c r="H5280" s="2" t="s">
        <v>42</v>
      </c>
      <c r="I5280" s="3" t="s">
        <v>42</v>
      </c>
      <c r="J5280" s="31">
        <v>46003</v>
      </c>
      <c r="K5280" s="31">
        <v>46073</v>
      </c>
      <c r="L5280" s="31"/>
      <c r="M5280" s="31"/>
      <c r="N5280" s="31"/>
      <c r="O5280" s="3" t="s">
        <v>749</v>
      </c>
    </row>
    <row r="5281" spans="1:15">
      <c r="A5281" s="3">
        <f t="shared" si="106"/>
        <v>5280</v>
      </c>
      <c r="B5281" s="65" t="s">
        <v>7761</v>
      </c>
      <c r="C5281" s="1">
        <v>9515289988</v>
      </c>
      <c r="E5281" s="17" t="s">
        <v>7762</v>
      </c>
      <c r="F5281" s="65" t="s">
        <v>461</v>
      </c>
      <c r="G5281" s="3" t="s">
        <v>18</v>
      </c>
      <c r="H5281" s="2" t="s">
        <v>42</v>
      </c>
      <c r="I5281" s="3" t="s">
        <v>42</v>
      </c>
      <c r="J5281" s="31">
        <v>46003</v>
      </c>
      <c r="K5281" s="31"/>
      <c r="L5281" s="31"/>
      <c r="M5281" s="31"/>
      <c r="N5281" s="31"/>
      <c r="O5281" s="3" t="s">
        <v>1004</v>
      </c>
    </row>
    <row r="5282" spans="1:15">
      <c r="A5282" s="3">
        <f t="shared" si="106"/>
        <v>5281</v>
      </c>
      <c r="B5282" s="65" t="s">
        <v>7763</v>
      </c>
      <c r="C5282" s="1">
        <v>9573266288</v>
      </c>
      <c r="E5282" s="17" t="s">
        <v>7764</v>
      </c>
      <c r="F5282" s="65"/>
      <c r="G5282" s="3" t="s">
        <v>16</v>
      </c>
      <c r="H5282" s="2" t="s">
        <v>7765</v>
      </c>
      <c r="I5282" s="3" t="s">
        <v>94</v>
      </c>
      <c r="J5282" s="31">
        <v>45992</v>
      </c>
      <c r="K5282" s="31">
        <v>45994</v>
      </c>
      <c r="L5282" s="31">
        <v>45996</v>
      </c>
      <c r="M5282" s="31">
        <v>46013</v>
      </c>
      <c r="N5282" s="31">
        <v>46013</v>
      </c>
      <c r="O5282" s="3" t="s">
        <v>297</v>
      </c>
    </row>
    <row r="5283" spans="1:15">
      <c r="A5283" s="3">
        <f t="shared" si="106"/>
        <v>5282</v>
      </c>
      <c r="B5283" s="65" t="s">
        <v>7766</v>
      </c>
      <c r="C5283" s="1">
        <v>9966622892</v>
      </c>
      <c r="E5283" s="17" t="s">
        <v>7764</v>
      </c>
      <c r="F5283" s="65"/>
      <c r="G5283" s="3" t="s">
        <v>16</v>
      </c>
      <c r="H5283" s="2" t="s">
        <v>7765</v>
      </c>
      <c r="I5283" s="3" t="s">
        <v>94</v>
      </c>
      <c r="J5283" s="31">
        <v>45992</v>
      </c>
      <c r="K5283" s="31">
        <v>45994</v>
      </c>
      <c r="L5283" s="31">
        <v>45996</v>
      </c>
      <c r="M5283" s="31">
        <v>46013</v>
      </c>
      <c r="N5283" s="31">
        <v>46013</v>
      </c>
      <c r="O5283" s="3" t="s">
        <v>297</v>
      </c>
    </row>
    <row r="5284" spans="1:15">
      <c r="A5284" s="3">
        <f t="shared" si="106"/>
        <v>5283</v>
      </c>
      <c r="B5284" s="65" t="s">
        <v>7767</v>
      </c>
      <c r="C5284" s="1">
        <v>9704700536</v>
      </c>
      <c r="E5284" s="17" t="s">
        <v>7768</v>
      </c>
      <c r="F5284" s="65"/>
      <c r="G5284" s="3" t="s">
        <v>16</v>
      </c>
      <c r="H5284" s="2" t="s">
        <v>162</v>
      </c>
      <c r="I5284" s="3" t="s">
        <v>94</v>
      </c>
      <c r="J5284" s="31">
        <v>45992</v>
      </c>
      <c r="K5284" s="31">
        <v>45994</v>
      </c>
      <c r="L5284" s="31">
        <v>45996</v>
      </c>
      <c r="M5284" s="31">
        <v>45997</v>
      </c>
      <c r="N5284" s="31">
        <v>45996</v>
      </c>
      <c r="O5284" s="3" t="s">
        <v>297</v>
      </c>
    </row>
    <row r="5285" spans="1:15">
      <c r="A5285" s="3">
        <f t="shared" si="106"/>
        <v>5284</v>
      </c>
      <c r="B5285" s="65" t="s">
        <v>7769</v>
      </c>
      <c r="C5285" s="1">
        <v>8686774441</v>
      </c>
      <c r="E5285" s="17" t="s">
        <v>7770</v>
      </c>
      <c r="F5285" s="65"/>
      <c r="G5285" s="3" t="s">
        <v>16</v>
      </c>
      <c r="H5285" s="3" t="s">
        <v>42</v>
      </c>
      <c r="I5285" s="3" t="s">
        <v>42</v>
      </c>
      <c r="J5285" s="31">
        <v>45999</v>
      </c>
      <c r="K5285" s="31">
        <v>46001</v>
      </c>
      <c r="L5285" s="31">
        <v>46002</v>
      </c>
      <c r="M5285" s="31">
        <v>46033</v>
      </c>
      <c r="N5285" s="31">
        <v>46013</v>
      </c>
      <c r="O5285" s="3" t="s">
        <v>297</v>
      </c>
    </row>
    <row r="5286" spans="1:15">
      <c r="A5286" s="3">
        <f t="shared" si="106"/>
        <v>5285</v>
      </c>
      <c r="B5286" s="65" t="s">
        <v>7771</v>
      </c>
      <c r="C5286" s="1">
        <v>8985798927</v>
      </c>
      <c r="E5286" s="17" t="s">
        <v>7631</v>
      </c>
      <c r="F5286" s="65" t="s">
        <v>569</v>
      </c>
      <c r="G5286" s="2" t="s">
        <v>16</v>
      </c>
      <c r="H5286" s="3" t="s">
        <v>590</v>
      </c>
      <c r="I5286" s="3" t="s">
        <v>88</v>
      </c>
      <c r="J5286" s="31">
        <v>46003</v>
      </c>
      <c r="K5286" s="31">
        <v>46013</v>
      </c>
      <c r="L5286" s="31">
        <v>46010</v>
      </c>
      <c r="M5286" s="31">
        <v>46041</v>
      </c>
      <c r="N5286" s="31">
        <v>46029</v>
      </c>
      <c r="O5286" s="3" t="s">
        <v>297</v>
      </c>
    </row>
    <row r="5287" spans="1:15">
      <c r="A5287" s="3">
        <f t="shared" si="106"/>
        <v>5286</v>
      </c>
      <c r="B5287" s="65" t="s">
        <v>7772</v>
      </c>
      <c r="C5287" s="1">
        <v>6303385984</v>
      </c>
      <c r="E5287" s="17" t="s">
        <v>7631</v>
      </c>
      <c r="F5287" s="65" t="s">
        <v>1312</v>
      </c>
      <c r="G5287" s="3" t="s">
        <v>16</v>
      </c>
      <c r="H5287" s="3" t="s">
        <v>590</v>
      </c>
      <c r="I5287" s="3" t="s">
        <v>88</v>
      </c>
      <c r="J5287" s="31">
        <v>46003</v>
      </c>
      <c r="K5287" s="31">
        <v>46010</v>
      </c>
      <c r="L5287" s="31">
        <v>46010</v>
      </c>
      <c r="M5287" s="31">
        <v>46045</v>
      </c>
      <c r="N5287" s="31">
        <v>46045</v>
      </c>
      <c r="O5287" s="3" t="s">
        <v>297</v>
      </c>
    </row>
    <row r="5288" spans="1:15">
      <c r="A5288" s="3">
        <f t="shared" si="106"/>
        <v>5287</v>
      </c>
      <c r="B5288" s="65" t="s">
        <v>7773</v>
      </c>
      <c r="C5288" s="1">
        <v>9740072006</v>
      </c>
      <c r="E5288" s="17" t="s">
        <v>7531</v>
      </c>
      <c r="F5288" s="65" t="s">
        <v>2113</v>
      </c>
      <c r="G5288" s="3" t="s">
        <v>416</v>
      </c>
      <c r="H5288" s="3" t="s">
        <v>2364</v>
      </c>
      <c r="I5288" s="3" t="s">
        <v>88</v>
      </c>
      <c r="J5288" s="31">
        <v>46003</v>
      </c>
      <c r="K5288" s="31">
        <v>46017</v>
      </c>
      <c r="L5288" s="31"/>
      <c r="M5288" s="31"/>
      <c r="N5288" s="31"/>
      <c r="O5288" s="3" t="s">
        <v>297</v>
      </c>
    </row>
    <row r="5289" spans="1:15">
      <c r="A5289" s="3">
        <f t="shared" si="106"/>
        <v>5288</v>
      </c>
      <c r="B5289" s="65" t="s">
        <v>7774</v>
      </c>
      <c r="C5289" s="1">
        <v>8793709838</v>
      </c>
      <c r="E5289" s="17" t="s">
        <v>7531</v>
      </c>
      <c r="F5289" s="65" t="s">
        <v>4269</v>
      </c>
      <c r="G5289" s="3" t="s">
        <v>424</v>
      </c>
      <c r="H5289" s="3" t="s">
        <v>2364</v>
      </c>
      <c r="I5289" s="3" t="s">
        <v>88</v>
      </c>
      <c r="J5289" s="31">
        <v>46003</v>
      </c>
      <c r="K5289" s="31">
        <v>46017</v>
      </c>
      <c r="L5289" s="31"/>
      <c r="M5289" s="31"/>
      <c r="N5289" s="31"/>
      <c r="O5289" s="3" t="s">
        <v>425</v>
      </c>
    </row>
    <row r="5290" spans="1:15">
      <c r="A5290" s="3">
        <f t="shared" si="106"/>
        <v>5289</v>
      </c>
      <c r="B5290" s="65" t="s">
        <v>7775</v>
      </c>
      <c r="C5290" s="1">
        <v>9934630345</v>
      </c>
      <c r="E5290" s="17" t="s">
        <v>7531</v>
      </c>
      <c r="F5290" s="65" t="s">
        <v>569</v>
      </c>
      <c r="G5290" s="3" t="s">
        <v>424</v>
      </c>
      <c r="H5290" s="3" t="s">
        <v>2364</v>
      </c>
      <c r="I5290" s="3" t="s">
        <v>88</v>
      </c>
      <c r="J5290" s="31">
        <v>46003</v>
      </c>
      <c r="K5290" s="31">
        <v>46017</v>
      </c>
      <c r="L5290" s="31"/>
      <c r="M5290" s="31"/>
      <c r="N5290" s="31"/>
      <c r="O5290" s="3" t="s">
        <v>425</v>
      </c>
    </row>
    <row r="5291" spans="1:15">
      <c r="A5291" s="3">
        <f t="shared" si="106"/>
        <v>5290</v>
      </c>
      <c r="B5291" s="65" t="s">
        <v>7776</v>
      </c>
      <c r="C5291" s="1">
        <v>8979302075</v>
      </c>
      <c r="E5291" s="17" t="s">
        <v>7685</v>
      </c>
      <c r="F5291" s="65" t="s">
        <v>3160</v>
      </c>
      <c r="G5291" s="3" t="s">
        <v>295</v>
      </c>
      <c r="H5291" s="3" t="s">
        <v>5774</v>
      </c>
      <c r="I5291" s="3" t="s">
        <v>42</v>
      </c>
      <c r="J5291" s="31">
        <v>46004</v>
      </c>
      <c r="K5291" s="31">
        <v>46004</v>
      </c>
      <c r="L5291" s="31">
        <v>46016</v>
      </c>
      <c r="M5291" s="31">
        <v>46049</v>
      </c>
      <c r="N5291" s="31"/>
      <c r="O5291" s="3" t="s">
        <v>297</v>
      </c>
    </row>
    <row r="5292" spans="1:15">
      <c r="A5292" s="3">
        <f t="shared" si="106"/>
        <v>5291</v>
      </c>
      <c r="B5292" s="65" t="s">
        <v>7777</v>
      </c>
      <c r="C5292" s="1">
        <v>9779350448</v>
      </c>
      <c r="D5292" s="1">
        <v>7657960448</v>
      </c>
      <c r="E5292" s="3" t="s">
        <v>5323</v>
      </c>
      <c r="F5292" s="65" t="s">
        <v>612</v>
      </c>
      <c r="G5292" s="3" t="s">
        <v>7030</v>
      </c>
      <c r="H5292" s="3" t="s">
        <v>5566</v>
      </c>
      <c r="I5292" s="3" t="s">
        <v>88</v>
      </c>
      <c r="J5292" s="31">
        <v>46114</v>
      </c>
      <c r="K5292" s="31"/>
      <c r="L5292" s="31"/>
      <c r="M5292" s="31"/>
      <c r="N5292" s="31"/>
      <c r="O5292" s="3" t="s">
        <v>1004</v>
      </c>
    </row>
    <row r="5293" spans="1:15">
      <c r="A5293" s="3">
        <f t="shared" si="106"/>
        <v>5292</v>
      </c>
      <c r="B5293" s="65" t="s">
        <v>7778</v>
      </c>
      <c r="C5293" s="1">
        <v>9901319081</v>
      </c>
      <c r="D5293" s="1">
        <v>9628116276</v>
      </c>
      <c r="E5293" s="17" t="s">
        <v>7779</v>
      </c>
      <c r="F5293" s="65" t="s">
        <v>612</v>
      </c>
      <c r="G5293" s="3" t="s">
        <v>16</v>
      </c>
      <c r="H5293" s="3" t="s">
        <v>5566</v>
      </c>
      <c r="I5293" s="3" t="s">
        <v>88</v>
      </c>
      <c r="J5293" s="31">
        <v>46004</v>
      </c>
      <c r="K5293" s="31">
        <v>46040</v>
      </c>
      <c r="L5293" s="31">
        <v>46041</v>
      </c>
      <c r="M5293" s="31">
        <v>46092</v>
      </c>
      <c r="N5293" s="31">
        <v>46091</v>
      </c>
      <c r="O5293" s="3" t="s">
        <v>297</v>
      </c>
    </row>
    <row r="5294" spans="1:15">
      <c r="A5294" s="3">
        <f t="shared" si="106"/>
        <v>5293</v>
      </c>
      <c r="B5294" s="65" t="s">
        <v>7780</v>
      </c>
      <c r="C5294" s="1">
        <v>9622093527</v>
      </c>
      <c r="E5294" s="3" t="s">
        <v>5323</v>
      </c>
      <c r="F5294" s="65" t="s">
        <v>612</v>
      </c>
      <c r="G5294" s="3" t="s">
        <v>7030</v>
      </c>
      <c r="H5294" s="3" t="s">
        <v>5566</v>
      </c>
      <c r="I5294" s="3" t="s">
        <v>88</v>
      </c>
      <c r="J5294" s="31">
        <v>46114</v>
      </c>
      <c r="K5294" s="31"/>
      <c r="L5294" s="31"/>
      <c r="M5294" s="31"/>
      <c r="N5294" s="31"/>
      <c r="O5294" s="3" t="s">
        <v>1004</v>
      </c>
    </row>
    <row r="5295" spans="1:15">
      <c r="A5295" s="3">
        <f t="shared" si="106"/>
        <v>5294</v>
      </c>
      <c r="B5295" s="65" t="s">
        <v>918</v>
      </c>
      <c r="C5295" s="1">
        <v>8580575588</v>
      </c>
      <c r="E5295" s="3" t="s">
        <v>5323</v>
      </c>
      <c r="F5295" s="65" t="s">
        <v>612</v>
      </c>
      <c r="G5295" s="3" t="s">
        <v>7030</v>
      </c>
      <c r="H5295" s="3" t="s">
        <v>5566</v>
      </c>
      <c r="I5295" s="3" t="s">
        <v>88</v>
      </c>
      <c r="J5295" s="31">
        <v>46114</v>
      </c>
      <c r="K5295" s="31"/>
      <c r="L5295" s="31"/>
      <c r="M5295" s="31"/>
      <c r="N5295" s="31"/>
      <c r="O5295" s="3" t="s">
        <v>1004</v>
      </c>
    </row>
    <row r="5296" spans="1:15">
      <c r="A5296" s="3">
        <f t="shared" si="106"/>
        <v>5295</v>
      </c>
      <c r="B5296" s="65" t="s">
        <v>7781</v>
      </c>
      <c r="C5296" s="1">
        <v>9805538192</v>
      </c>
      <c r="E5296" s="3" t="s">
        <v>5323</v>
      </c>
      <c r="F5296" s="65" t="s">
        <v>612</v>
      </c>
      <c r="G5296" s="3" t="s">
        <v>295</v>
      </c>
      <c r="H5296" s="3" t="s">
        <v>5566</v>
      </c>
      <c r="I5296" s="3" t="s">
        <v>88</v>
      </c>
      <c r="J5296" s="31">
        <v>46004</v>
      </c>
      <c r="K5296" s="31">
        <v>46045</v>
      </c>
      <c r="L5296" s="31">
        <v>46046</v>
      </c>
      <c r="M5296" s="31">
        <v>46106</v>
      </c>
      <c r="N5296" s="31"/>
      <c r="O5296" s="3" t="s">
        <v>297</v>
      </c>
    </row>
    <row r="5297" spans="1:15">
      <c r="A5297" s="3">
        <f t="shared" si="106"/>
        <v>5296</v>
      </c>
      <c r="B5297" s="65" t="s">
        <v>7782</v>
      </c>
      <c r="C5297" s="1">
        <v>9805135431</v>
      </c>
      <c r="E5297" s="17" t="s">
        <v>7783</v>
      </c>
      <c r="F5297" s="65" t="s">
        <v>7784</v>
      </c>
      <c r="G5297" s="2" t="s">
        <v>16</v>
      </c>
      <c r="H5297" s="3" t="s">
        <v>357</v>
      </c>
      <c r="I5297" s="3" t="s">
        <v>88</v>
      </c>
      <c r="J5297" s="31">
        <v>46004</v>
      </c>
      <c r="K5297" s="31">
        <v>46006</v>
      </c>
      <c r="L5297" s="31">
        <v>46007</v>
      </c>
      <c r="M5297" s="31">
        <v>46038</v>
      </c>
      <c r="N5297" s="31">
        <v>46039</v>
      </c>
      <c r="O5297" s="3" t="s">
        <v>297</v>
      </c>
    </row>
    <row r="5298" spans="1:15">
      <c r="A5298" s="3">
        <f t="shared" si="106"/>
        <v>5297</v>
      </c>
      <c r="B5298" s="65" t="s">
        <v>7785</v>
      </c>
      <c r="C5298" s="1">
        <v>9767802434</v>
      </c>
      <c r="E5298" s="17" t="s">
        <v>7783</v>
      </c>
      <c r="F5298" s="65" t="s">
        <v>7786</v>
      </c>
      <c r="G5298" s="3" t="s">
        <v>764</v>
      </c>
      <c r="H5298" s="3" t="s">
        <v>357</v>
      </c>
      <c r="I5298" s="3" t="s">
        <v>88</v>
      </c>
      <c r="J5298" s="31">
        <v>46004</v>
      </c>
      <c r="K5298" s="31">
        <v>46006</v>
      </c>
      <c r="L5298" s="31"/>
      <c r="M5298" s="31"/>
      <c r="N5298" s="31"/>
      <c r="O5298" s="3" t="s">
        <v>425</v>
      </c>
    </row>
    <row r="5299" spans="1:15">
      <c r="A5299" s="3">
        <f t="shared" si="106"/>
        <v>5298</v>
      </c>
      <c r="B5299" s="65" t="s">
        <v>7787</v>
      </c>
      <c r="C5299" s="1">
        <v>8339913715</v>
      </c>
      <c r="E5299" s="17" t="s">
        <v>7783</v>
      </c>
      <c r="F5299" s="65" t="s">
        <v>7786</v>
      </c>
      <c r="G5299" s="3" t="s">
        <v>764</v>
      </c>
      <c r="H5299" s="3" t="s">
        <v>357</v>
      </c>
      <c r="I5299" s="3" t="s">
        <v>88</v>
      </c>
      <c r="J5299" s="31">
        <v>46004</v>
      </c>
      <c r="K5299" s="31">
        <v>46006</v>
      </c>
      <c r="L5299" s="31"/>
      <c r="M5299" s="31"/>
      <c r="N5299" s="31"/>
      <c r="O5299" s="3" t="s">
        <v>425</v>
      </c>
    </row>
    <row r="5300" spans="1:15">
      <c r="A5300" s="3">
        <f t="shared" si="106"/>
        <v>5299</v>
      </c>
      <c r="B5300" s="65" t="s">
        <v>1592</v>
      </c>
      <c r="C5300" s="1">
        <v>9599808727</v>
      </c>
      <c r="D5300" s="1">
        <v>8299136323</v>
      </c>
      <c r="E5300" s="17" t="s">
        <v>7788</v>
      </c>
      <c r="F5300" s="65" t="s">
        <v>294</v>
      </c>
      <c r="G5300" s="3" t="s">
        <v>295</v>
      </c>
      <c r="H5300" s="2" t="s">
        <v>296</v>
      </c>
      <c r="I5300" s="3" t="s">
        <v>88</v>
      </c>
      <c r="J5300" s="31">
        <v>46004</v>
      </c>
      <c r="K5300" s="31">
        <v>46007</v>
      </c>
      <c r="L5300" s="31">
        <v>46007</v>
      </c>
      <c r="M5300" s="31">
        <v>46057</v>
      </c>
      <c r="N5300" s="31"/>
      <c r="O5300" s="3" t="s">
        <v>297</v>
      </c>
    </row>
    <row r="5301" spans="1:15">
      <c r="A5301" s="3">
        <f t="shared" si="106"/>
        <v>5300</v>
      </c>
      <c r="B5301" s="65" t="s">
        <v>5183</v>
      </c>
      <c r="C5301" s="1">
        <v>9000566717</v>
      </c>
      <c r="D5301" s="1">
        <v>9494456375</v>
      </c>
      <c r="E5301" s="17" t="s">
        <v>7788</v>
      </c>
      <c r="F5301" s="65" t="s">
        <v>7789</v>
      </c>
      <c r="G5301" s="3" t="s">
        <v>424</v>
      </c>
      <c r="H5301" s="2" t="s">
        <v>296</v>
      </c>
      <c r="I5301" s="3" t="s">
        <v>88</v>
      </c>
      <c r="J5301" s="31">
        <v>46004</v>
      </c>
      <c r="K5301" s="31">
        <v>46020</v>
      </c>
      <c r="L5301" s="31"/>
      <c r="M5301" s="31"/>
      <c r="N5301" s="31"/>
      <c r="O5301" s="3" t="s">
        <v>425</v>
      </c>
    </row>
    <row r="5302" spans="1:15">
      <c r="A5302" s="3">
        <f t="shared" si="106"/>
        <v>5301</v>
      </c>
      <c r="B5302" s="65" t="s">
        <v>7790</v>
      </c>
      <c r="C5302" s="1">
        <v>8910399453</v>
      </c>
      <c r="D5302" s="1">
        <v>9123850653</v>
      </c>
      <c r="E5302" s="17" t="s">
        <v>7788</v>
      </c>
      <c r="F5302" s="65" t="s">
        <v>294</v>
      </c>
      <c r="G5302" s="3" t="s">
        <v>16</v>
      </c>
      <c r="H5302" s="2" t="s">
        <v>296</v>
      </c>
      <c r="I5302" s="3" t="s">
        <v>88</v>
      </c>
      <c r="J5302" s="31">
        <v>46004</v>
      </c>
      <c r="K5302" s="31">
        <v>46020</v>
      </c>
      <c r="L5302" s="31">
        <v>46024</v>
      </c>
      <c r="M5302" s="31">
        <v>46055</v>
      </c>
      <c r="N5302" s="31">
        <v>46059</v>
      </c>
      <c r="O5302" s="3" t="s">
        <v>297</v>
      </c>
    </row>
    <row r="5303" spans="1:15">
      <c r="A5303" s="3">
        <f t="shared" si="106"/>
        <v>5302</v>
      </c>
      <c r="B5303" s="65" t="s">
        <v>7791</v>
      </c>
      <c r="C5303" s="1">
        <v>7377037696</v>
      </c>
      <c r="D5303" s="1">
        <v>9372145458</v>
      </c>
      <c r="E5303" s="17" t="s">
        <v>7788</v>
      </c>
      <c r="F5303" s="65" t="s">
        <v>294</v>
      </c>
      <c r="G5303" s="3" t="s">
        <v>424</v>
      </c>
      <c r="H5303" s="2" t="s">
        <v>296</v>
      </c>
      <c r="I5303" s="3" t="s">
        <v>88</v>
      </c>
      <c r="J5303" s="31">
        <v>46004</v>
      </c>
      <c r="K5303" s="31">
        <v>46020</v>
      </c>
      <c r="L5303" s="31"/>
      <c r="M5303" s="31"/>
      <c r="N5303" s="31"/>
      <c r="O5303" s="3" t="s">
        <v>425</v>
      </c>
    </row>
    <row r="5304" spans="1:15">
      <c r="A5304" s="3">
        <f t="shared" si="106"/>
        <v>5303</v>
      </c>
      <c r="B5304" s="65" t="s">
        <v>7792</v>
      </c>
      <c r="C5304" s="1">
        <v>9734101913</v>
      </c>
      <c r="D5304" s="1">
        <v>8945576793</v>
      </c>
      <c r="E5304" s="17" t="s">
        <v>7788</v>
      </c>
      <c r="F5304" s="65" t="s">
        <v>294</v>
      </c>
      <c r="G5304" s="3" t="s">
        <v>16</v>
      </c>
      <c r="H5304" s="2" t="s">
        <v>296</v>
      </c>
      <c r="I5304" s="3" t="s">
        <v>88</v>
      </c>
      <c r="J5304" s="31">
        <v>46004</v>
      </c>
      <c r="K5304" s="31">
        <v>46020</v>
      </c>
      <c r="L5304" s="31">
        <v>46024</v>
      </c>
      <c r="M5304" s="31">
        <v>46076</v>
      </c>
      <c r="N5304" s="31">
        <v>46076</v>
      </c>
      <c r="O5304" s="3" t="s">
        <v>297</v>
      </c>
    </row>
    <row r="5305" spans="1:15">
      <c r="A5305" s="3">
        <f t="shared" si="106"/>
        <v>5304</v>
      </c>
      <c r="B5305" s="65" t="s">
        <v>7793</v>
      </c>
      <c r="C5305" s="1">
        <v>9752532453</v>
      </c>
      <c r="E5305" s="17" t="s">
        <v>7788</v>
      </c>
      <c r="F5305" s="65" t="s">
        <v>294</v>
      </c>
      <c r="G5305" s="3" t="s">
        <v>424</v>
      </c>
      <c r="H5305" s="2" t="s">
        <v>296</v>
      </c>
      <c r="I5305" s="3" t="s">
        <v>88</v>
      </c>
      <c r="J5305" s="31">
        <v>46004</v>
      </c>
      <c r="K5305" s="31">
        <v>46020</v>
      </c>
      <c r="L5305" s="31"/>
      <c r="M5305" s="31"/>
      <c r="N5305" s="31"/>
      <c r="O5305" s="3" t="s">
        <v>425</v>
      </c>
    </row>
    <row r="5306" spans="1:15">
      <c r="A5306" s="3">
        <f t="shared" si="106"/>
        <v>5305</v>
      </c>
      <c r="B5306" s="65" t="s">
        <v>7794</v>
      </c>
      <c r="C5306" s="1">
        <v>7975001076</v>
      </c>
      <c r="E5306" s="17" t="s">
        <v>7114</v>
      </c>
      <c r="F5306" s="65" t="s">
        <v>7795</v>
      </c>
      <c r="G5306" s="3" t="s">
        <v>18</v>
      </c>
      <c r="H5306" s="2" t="s">
        <v>5774</v>
      </c>
      <c r="I5306" s="3" t="s">
        <v>42</v>
      </c>
      <c r="J5306" s="31">
        <v>46004</v>
      </c>
      <c r="K5306" s="31">
        <v>46009</v>
      </c>
      <c r="L5306" s="31"/>
      <c r="M5306" s="31"/>
      <c r="N5306" s="31"/>
      <c r="O5306" s="3" t="s">
        <v>297</v>
      </c>
    </row>
    <row r="5307" spans="1:15">
      <c r="A5307" s="3">
        <f t="shared" si="106"/>
        <v>5306</v>
      </c>
      <c r="B5307" s="65" t="s">
        <v>7796</v>
      </c>
      <c r="C5307" s="1">
        <v>7036265595</v>
      </c>
      <c r="E5307" s="17" t="s">
        <v>7114</v>
      </c>
      <c r="F5307" s="65" t="s">
        <v>7795</v>
      </c>
      <c r="G5307" s="3" t="s">
        <v>416</v>
      </c>
      <c r="H5307" s="2" t="s">
        <v>5774</v>
      </c>
      <c r="I5307" s="3" t="s">
        <v>42</v>
      </c>
      <c r="J5307" s="31">
        <v>46004</v>
      </c>
      <c r="K5307" s="31">
        <v>46016</v>
      </c>
      <c r="L5307" s="31"/>
      <c r="M5307" s="31"/>
      <c r="N5307" s="31"/>
      <c r="O5307" s="3" t="s">
        <v>297</v>
      </c>
    </row>
    <row r="5308" spans="1:15">
      <c r="A5308" s="3">
        <f t="shared" si="106"/>
        <v>5307</v>
      </c>
      <c r="B5308" s="65" t="s">
        <v>7797</v>
      </c>
      <c r="C5308" s="1">
        <v>9912957915</v>
      </c>
      <c r="E5308" s="17" t="s">
        <v>7114</v>
      </c>
      <c r="F5308" s="65" t="s">
        <v>7795</v>
      </c>
      <c r="G5308" s="3" t="s">
        <v>18</v>
      </c>
      <c r="H5308" s="2" t="s">
        <v>5774</v>
      </c>
      <c r="I5308" s="3" t="s">
        <v>42</v>
      </c>
      <c r="J5308" s="31">
        <v>46004</v>
      </c>
      <c r="K5308" s="31">
        <v>46009</v>
      </c>
      <c r="L5308" s="31"/>
      <c r="M5308" s="31"/>
      <c r="N5308" s="31"/>
      <c r="O5308" s="3" t="s">
        <v>297</v>
      </c>
    </row>
    <row r="5309" spans="1:15">
      <c r="A5309" s="3">
        <f t="shared" ref="A5309:A5329" si="107">ROW()-1</f>
        <v>5308</v>
      </c>
      <c r="B5309" s="65" t="s">
        <v>7798</v>
      </c>
      <c r="C5309" s="1">
        <v>9182380540</v>
      </c>
      <c r="E5309" s="17" t="s">
        <v>7592</v>
      </c>
      <c r="F5309" s="65"/>
      <c r="G5309" s="3" t="s">
        <v>16</v>
      </c>
      <c r="H5309" s="2" t="s">
        <v>1605</v>
      </c>
      <c r="I5309" s="3" t="s">
        <v>42</v>
      </c>
      <c r="J5309" s="31">
        <v>45999</v>
      </c>
      <c r="K5309" s="31">
        <v>46001</v>
      </c>
      <c r="L5309" s="31">
        <v>46004</v>
      </c>
      <c r="M5309" s="31">
        <v>46044</v>
      </c>
      <c r="N5309" s="31">
        <v>46010</v>
      </c>
      <c r="O5309" s="3" t="s">
        <v>297</v>
      </c>
    </row>
    <row r="5310" spans="1:15">
      <c r="A5310" s="3">
        <f t="shared" si="107"/>
        <v>5309</v>
      </c>
      <c r="B5310" s="65" t="s">
        <v>7799</v>
      </c>
      <c r="C5310" s="1">
        <v>9671681382</v>
      </c>
      <c r="D5310" s="1">
        <v>9531965495</v>
      </c>
      <c r="E5310" s="17" t="s">
        <v>6236</v>
      </c>
      <c r="F5310" s="65" t="s">
        <v>7800</v>
      </c>
      <c r="G5310" s="3" t="s">
        <v>16</v>
      </c>
      <c r="H5310" s="2" t="s">
        <v>3240</v>
      </c>
      <c r="I5310" s="3" t="s">
        <v>42</v>
      </c>
      <c r="J5310" s="31">
        <v>46006</v>
      </c>
      <c r="K5310" s="31">
        <v>46009</v>
      </c>
      <c r="L5310" s="31">
        <v>46010</v>
      </c>
      <c r="M5310" s="31">
        <v>46035</v>
      </c>
      <c r="N5310" s="31">
        <v>46032</v>
      </c>
      <c r="O5310" s="3" t="s">
        <v>297</v>
      </c>
    </row>
    <row r="5311" spans="1:15">
      <c r="A5311" s="3">
        <f t="shared" si="107"/>
        <v>5310</v>
      </c>
      <c r="B5311" s="65" t="s">
        <v>7801</v>
      </c>
      <c r="C5311" s="1">
        <v>7987299576</v>
      </c>
      <c r="D5311" s="1">
        <v>9361993405</v>
      </c>
      <c r="E5311" s="17" t="s">
        <v>6236</v>
      </c>
      <c r="F5311" s="65" t="s">
        <v>612</v>
      </c>
      <c r="G5311" s="3" t="s">
        <v>16</v>
      </c>
      <c r="H5311" s="2" t="s">
        <v>3240</v>
      </c>
      <c r="I5311" s="3" t="s">
        <v>42</v>
      </c>
      <c r="J5311" s="31">
        <v>46006</v>
      </c>
      <c r="K5311" s="31">
        <v>46009</v>
      </c>
      <c r="L5311" s="31">
        <v>46010</v>
      </c>
      <c r="M5311" s="31">
        <v>46038</v>
      </c>
      <c r="N5311" s="31">
        <v>46032</v>
      </c>
      <c r="O5311" s="3" t="s">
        <v>297</v>
      </c>
    </row>
    <row r="5312" spans="1:15">
      <c r="A5312" s="3">
        <f t="shared" si="107"/>
        <v>5311</v>
      </c>
      <c r="B5312" s="65" t="s">
        <v>7802</v>
      </c>
      <c r="C5312" s="1">
        <v>7675860897</v>
      </c>
      <c r="E5312" s="17" t="s">
        <v>6236</v>
      </c>
      <c r="F5312" s="65" t="s">
        <v>6626</v>
      </c>
      <c r="G5312" s="2" t="s">
        <v>16</v>
      </c>
      <c r="H5312" s="2" t="s">
        <v>3240</v>
      </c>
      <c r="I5312" s="3" t="s">
        <v>42</v>
      </c>
      <c r="J5312" s="31">
        <v>46006</v>
      </c>
      <c r="K5312" s="31">
        <v>46009</v>
      </c>
      <c r="L5312" s="31">
        <v>46010</v>
      </c>
      <c r="M5312" s="31">
        <v>46041</v>
      </c>
      <c r="N5312" s="31">
        <v>46041</v>
      </c>
      <c r="O5312" s="3" t="s">
        <v>297</v>
      </c>
    </row>
    <row r="5313" spans="1:15">
      <c r="A5313" s="3">
        <f t="shared" si="107"/>
        <v>5312</v>
      </c>
      <c r="B5313" s="65" t="s">
        <v>7803</v>
      </c>
      <c r="C5313" s="1">
        <v>9398661574</v>
      </c>
      <c r="E5313" s="17" t="s">
        <v>6236</v>
      </c>
      <c r="F5313" s="65" t="s">
        <v>612</v>
      </c>
      <c r="G5313" s="3" t="s">
        <v>16</v>
      </c>
      <c r="H5313" s="2" t="s">
        <v>3240</v>
      </c>
      <c r="I5313" s="3" t="s">
        <v>42</v>
      </c>
      <c r="J5313" s="31">
        <v>46006</v>
      </c>
      <c r="K5313" s="31">
        <v>46009</v>
      </c>
      <c r="L5313" s="31">
        <v>46045</v>
      </c>
      <c r="M5313" s="31">
        <v>46055</v>
      </c>
      <c r="N5313" s="31">
        <v>46055</v>
      </c>
      <c r="O5313" s="3" t="s">
        <v>297</v>
      </c>
    </row>
    <row r="5314" spans="1:15">
      <c r="A5314" s="3">
        <f t="shared" si="107"/>
        <v>5313</v>
      </c>
      <c r="B5314" s="65" t="s">
        <v>7804</v>
      </c>
      <c r="C5314" s="1">
        <v>9861580144</v>
      </c>
      <c r="D5314" s="1">
        <v>9777780886</v>
      </c>
      <c r="E5314" s="3" t="s">
        <v>7805</v>
      </c>
      <c r="F5314" s="65" t="s">
        <v>6000</v>
      </c>
      <c r="G5314" s="3" t="s">
        <v>16</v>
      </c>
      <c r="H5314" s="2" t="s">
        <v>3240</v>
      </c>
      <c r="I5314" s="3" t="s">
        <v>42</v>
      </c>
      <c r="J5314" s="31">
        <v>46006</v>
      </c>
      <c r="K5314" s="31">
        <v>46009</v>
      </c>
      <c r="L5314" s="31">
        <v>46017</v>
      </c>
      <c r="M5314" s="31">
        <v>46027</v>
      </c>
      <c r="N5314" s="31">
        <v>46027</v>
      </c>
      <c r="O5314" s="3" t="s">
        <v>297</v>
      </c>
    </row>
    <row r="5315" spans="1:15">
      <c r="A5315" s="3">
        <f t="shared" si="107"/>
        <v>5314</v>
      </c>
      <c r="B5315" s="65" t="s">
        <v>7806</v>
      </c>
      <c r="C5315" s="1">
        <v>9601081831</v>
      </c>
      <c r="E5315" s="17" t="s">
        <v>7642</v>
      </c>
      <c r="F5315" s="65" t="s">
        <v>7807</v>
      </c>
      <c r="G5315" s="3" t="s">
        <v>764</v>
      </c>
      <c r="H5315" s="2" t="s">
        <v>3240</v>
      </c>
      <c r="I5315" s="3" t="s">
        <v>42</v>
      </c>
      <c r="J5315" s="31">
        <v>46006</v>
      </c>
      <c r="K5315" s="31">
        <v>46009</v>
      </c>
      <c r="L5315" s="31"/>
      <c r="M5315" s="31"/>
      <c r="N5315" s="31"/>
      <c r="O5315" s="3" t="s">
        <v>425</v>
      </c>
    </row>
    <row r="5316" spans="1:15">
      <c r="A5316" s="3">
        <f t="shared" si="107"/>
        <v>5315</v>
      </c>
      <c r="B5316" s="65" t="s">
        <v>7808</v>
      </c>
      <c r="C5316" s="1">
        <v>8639811971</v>
      </c>
      <c r="E5316" s="17" t="s">
        <v>6199</v>
      </c>
      <c r="F5316" s="65" t="s">
        <v>303</v>
      </c>
      <c r="G5316" s="3" t="s">
        <v>16</v>
      </c>
      <c r="H5316" s="2" t="s">
        <v>3240</v>
      </c>
      <c r="I5316" s="3" t="s">
        <v>42</v>
      </c>
      <c r="J5316" s="31">
        <v>46006</v>
      </c>
      <c r="K5316" s="31">
        <v>46009</v>
      </c>
      <c r="L5316" s="31">
        <v>46017</v>
      </c>
      <c r="M5316" s="31">
        <v>46027</v>
      </c>
      <c r="N5316" s="31">
        <v>46027</v>
      </c>
      <c r="O5316" s="3" t="s">
        <v>297</v>
      </c>
    </row>
    <row r="5317" spans="1:15">
      <c r="A5317" s="3">
        <f t="shared" si="107"/>
        <v>5316</v>
      </c>
      <c r="B5317" s="65" t="s">
        <v>7809</v>
      </c>
      <c r="C5317" s="1">
        <v>9618131902</v>
      </c>
      <c r="E5317" s="17" t="s">
        <v>6199</v>
      </c>
      <c r="F5317" s="65" t="s">
        <v>7810</v>
      </c>
      <c r="G5317" s="3" t="s">
        <v>764</v>
      </c>
      <c r="H5317" s="2" t="s">
        <v>3240</v>
      </c>
      <c r="I5317" s="3" t="s">
        <v>42</v>
      </c>
      <c r="J5317" s="31">
        <v>46006</v>
      </c>
      <c r="K5317" s="31">
        <v>46009</v>
      </c>
      <c r="L5317" s="31"/>
      <c r="M5317" s="31"/>
      <c r="N5317" s="31"/>
      <c r="O5317" s="3" t="s">
        <v>425</v>
      </c>
    </row>
    <row r="5318" spans="1:15">
      <c r="A5318" s="3">
        <f t="shared" si="107"/>
        <v>5317</v>
      </c>
      <c r="B5318" s="65" t="s">
        <v>7811</v>
      </c>
      <c r="C5318" s="1">
        <v>9415870940</v>
      </c>
      <c r="E5318" s="17" t="s">
        <v>6199</v>
      </c>
      <c r="F5318" s="65" t="s">
        <v>7812</v>
      </c>
      <c r="G5318" s="3" t="s">
        <v>16</v>
      </c>
      <c r="H5318" s="2" t="s">
        <v>3240</v>
      </c>
      <c r="I5318" s="3" t="s">
        <v>42</v>
      </c>
      <c r="J5318" s="31">
        <v>46006</v>
      </c>
      <c r="K5318" s="31">
        <v>46009</v>
      </c>
      <c r="L5318" s="31">
        <v>46016</v>
      </c>
      <c r="M5318" s="31">
        <v>46027</v>
      </c>
      <c r="N5318" s="31">
        <v>46027</v>
      </c>
      <c r="O5318" s="3" t="s">
        <v>297</v>
      </c>
    </row>
    <row r="5319" spans="1:15">
      <c r="A5319" s="3">
        <f t="shared" si="107"/>
        <v>5318</v>
      </c>
      <c r="B5319" s="65" t="s">
        <v>7813</v>
      </c>
      <c r="C5319" s="1">
        <v>8878797448</v>
      </c>
      <c r="E5319" s="17" t="s">
        <v>6236</v>
      </c>
      <c r="F5319" s="65" t="s">
        <v>1011</v>
      </c>
      <c r="G5319" s="3" t="s">
        <v>16</v>
      </c>
      <c r="H5319" s="2" t="s">
        <v>3240</v>
      </c>
      <c r="I5319" s="3" t="s">
        <v>42</v>
      </c>
      <c r="J5319" s="31">
        <v>46006</v>
      </c>
      <c r="K5319" s="31">
        <v>46009</v>
      </c>
      <c r="L5319" s="31">
        <v>46016</v>
      </c>
      <c r="M5319" s="31">
        <v>46034</v>
      </c>
      <c r="N5319" s="31">
        <v>46034</v>
      </c>
      <c r="O5319" s="3" t="s">
        <v>297</v>
      </c>
    </row>
    <row r="5320" spans="1:15">
      <c r="A5320" s="3">
        <f t="shared" si="107"/>
        <v>5319</v>
      </c>
      <c r="B5320" s="65" t="s">
        <v>7814</v>
      </c>
      <c r="C5320" s="1">
        <v>6378248034</v>
      </c>
      <c r="E5320" s="17" t="s">
        <v>5966</v>
      </c>
      <c r="F5320" s="65" t="s">
        <v>748</v>
      </c>
      <c r="G5320" s="3" t="s">
        <v>16</v>
      </c>
      <c r="H5320" s="2" t="s">
        <v>5774</v>
      </c>
      <c r="I5320" s="3" t="s">
        <v>42</v>
      </c>
      <c r="J5320" s="31">
        <v>46006</v>
      </c>
      <c r="K5320" s="31">
        <v>46008</v>
      </c>
      <c r="L5320" s="31">
        <v>46010</v>
      </c>
      <c r="M5320" s="31">
        <v>46042</v>
      </c>
      <c r="N5320" s="31">
        <v>46027</v>
      </c>
      <c r="O5320" s="3" t="s">
        <v>297</v>
      </c>
    </row>
    <row r="5321" spans="1:15">
      <c r="A5321" s="3">
        <f t="shared" si="107"/>
        <v>5320</v>
      </c>
      <c r="B5321" s="65" t="s">
        <v>363</v>
      </c>
      <c r="C5321" s="1">
        <v>9058999034</v>
      </c>
      <c r="D5321" s="1">
        <v>8198911248</v>
      </c>
      <c r="E5321" s="17" t="s">
        <v>5887</v>
      </c>
      <c r="F5321" s="65" t="s">
        <v>1275</v>
      </c>
      <c r="G5321" s="3" t="s">
        <v>764</v>
      </c>
      <c r="H5321" s="2" t="s">
        <v>5774</v>
      </c>
      <c r="I5321" s="3" t="s">
        <v>42</v>
      </c>
      <c r="J5321" s="31">
        <v>46006</v>
      </c>
      <c r="K5321" s="31">
        <v>46009</v>
      </c>
      <c r="L5321" s="31"/>
      <c r="M5321" s="31"/>
      <c r="N5321" s="31"/>
      <c r="O5321" s="3" t="s">
        <v>425</v>
      </c>
    </row>
    <row r="5322" spans="1:15">
      <c r="A5322" s="3">
        <f t="shared" si="107"/>
        <v>5321</v>
      </c>
      <c r="B5322" s="65" t="s">
        <v>7815</v>
      </c>
      <c r="C5322" s="1">
        <v>8106067994</v>
      </c>
      <c r="E5322" s="17" t="s">
        <v>5887</v>
      </c>
      <c r="F5322" s="65" t="s">
        <v>1275</v>
      </c>
      <c r="G5322" s="3" t="s">
        <v>764</v>
      </c>
      <c r="H5322" s="2" t="s">
        <v>5774</v>
      </c>
      <c r="I5322" s="3" t="s">
        <v>42</v>
      </c>
      <c r="J5322" s="31">
        <v>46006</v>
      </c>
      <c r="K5322" s="31">
        <v>46009</v>
      </c>
      <c r="L5322" s="31"/>
      <c r="M5322" s="31"/>
      <c r="N5322" s="31"/>
      <c r="O5322" s="3" t="s">
        <v>425</v>
      </c>
    </row>
    <row r="5323" spans="1:15">
      <c r="A5323" s="3">
        <f t="shared" si="107"/>
        <v>5322</v>
      </c>
      <c r="B5323" s="65" t="s">
        <v>6662</v>
      </c>
      <c r="C5323" s="1">
        <v>7440877859</v>
      </c>
      <c r="D5323" s="1">
        <v>9598031509</v>
      </c>
      <c r="E5323" s="17" t="s">
        <v>5887</v>
      </c>
      <c r="F5323" s="65" t="s">
        <v>6663</v>
      </c>
      <c r="G5323" s="3" t="s">
        <v>16</v>
      </c>
      <c r="H5323" s="2" t="s">
        <v>5774</v>
      </c>
      <c r="I5323" s="3" t="s">
        <v>42</v>
      </c>
      <c r="J5323" s="31">
        <v>46006</v>
      </c>
      <c r="K5323" s="31">
        <v>46008</v>
      </c>
      <c r="L5323" s="31">
        <v>46010</v>
      </c>
      <c r="M5323" s="31">
        <v>46027</v>
      </c>
      <c r="N5323" s="31">
        <v>46025</v>
      </c>
      <c r="O5323" s="3" t="s">
        <v>297</v>
      </c>
    </row>
    <row r="5324" spans="1:15">
      <c r="A5324" s="3">
        <f t="shared" si="107"/>
        <v>5323</v>
      </c>
      <c r="B5324" s="65" t="s">
        <v>7816</v>
      </c>
      <c r="C5324" s="1">
        <v>9959992043</v>
      </c>
      <c r="E5324" s="17" t="s">
        <v>7685</v>
      </c>
      <c r="F5324" s="65" t="s">
        <v>6663</v>
      </c>
      <c r="G5324" s="3" t="s">
        <v>16</v>
      </c>
      <c r="H5324" s="2" t="s">
        <v>5774</v>
      </c>
      <c r="I5324" s="3" t="s">
        <v>42</v>
      </c>
      <c r="J5324" s="31">
        <v>46006</v>
      </c>
      <c r="K5324" s="31">
        <v>46008</v>
      </c>
      <c r="L5324" s="31">
        <v>46010</v>
      </c>
      <c r="M5324" s="31">
        <v>46049</v>
      </c>
      <c r="N5324" s="31">
        <v>46048</v>
      </c>
      <c r="O5324" s="3" t="s">
        <v>297</v>
      </c>
    </row>
    <row r="5325" spans="1:15">
      <c r="A5325" s="3">
        <f t="shared" si="107"/>
        <v>5324</v>
      </c>
      <c r="B5325" s="65" t="s">
        <v>7817</v>
      </c>
      <c r="C5325" s="1">
        <v>9557119801</v>
      </c>
      <c r="E5325" s="17" t="s">
        <v>5887</v>
      </c>
      <c r="F5325" s="65" t="s">
        <v>7818</v>
      </c>
      <c r="G5325" s="3" t="s">
        <v>764</v>
      </c>
      <c r="H5325" s="2" t="s">
        <v>5774</v>
      </c>
      <c r="I5325" s="3" t="s">
        <v>42</v>
      </c>
      <c r="J5325" s="31">
        <v>46006</v>
      </c>
      <c r="K5325" s="31">
        <v>46009</v>
      </c>
      <c r="L5325" s="31"/>
      <c r="M5325" s="31"/>
      <c r="N5325" s="31"/>
      <c r="O5325" s="3" t="s">
        <v>425</v>
      </c>
    </row>
    <row r="5326" spans="1:15">
      <c r="A5326" s="3">
        <f t="shared" si="107"/>
        <v>5325</v>
      </c>
      <c r="B5326" s="65" t="s">
        <v>7819</v>
      </c>
      <c r="C5326" s="1">
        <v>7989558184</v>
      </c>
      <c r="E5326" s="17" t="s">
        <v>5887</v>
      </c>
      <c r="F5326" s="65" t="s">
        <v>333</v>
      </c>
      <c r="G5326" s="3" t="s">
        <v>764</v>
      </c>
      <c r="H5326" s="2" t="s">
        <v>5774</v>
      </c>
      <c r="I5326" s="3" t="s">
        <v>42</v>
      </c>
      <c r="J5326" s="31">
        <v>46006</v>
      </c>
      <c r="K5326" s="31">
        <v>46009</v>
      </c>
      <c r="L5326" s="31"/>
      <c r="M5326" s="31"/>
      <c r="N5326" s="31"/>
      <c r="O5326" s="3" t="s">
        <v>425</v>
      </c>
    </row>
    <row r="5327" spans="1:15">
      <c r="A5327" s="3">
        <f t="shared" si="107"/>
        <v>5326</v>
      </c>
      <c r="B5327" s="65" t="s">
        <v>7820</v>
      </c>
      <c r="C5327" s="1">
        <v>7009978133</v>
      </c>
      <c r="D5327" s="1">
        <v>8820486182</v>
      </c>
      <c r="E5327" s="17" t="s">
        <v>5887</v>
      </c>
      <c r="F5327" s="65" t="s">
        <v>7821</v>
      </c>
      <c r="G5327" s="3" t="s">
        <v>764</v>
      </c>
      <c r="H5327" s="2" t="s">
        <v>5774</v>
      </c>
      <c r="I5327" s="3" t="s">
        <v>42</v>
      </c>
      <c r="J5327" s="31">
        <v>46006</v>
      </c>
      <c r="K5327" s="31">
        <v>46009</v>
      </c>
      <c r="L5327" s="31"/>
      <c r="M5327" s="31"/>
      <c r="N5327" s="31"/>
      <c r="O5327" s="3" t="s">
        <v>425</v>
      </c>
    </row>
    <row r="5328" spans="1:15">
      <c r="A5328" s="3">
        <f t="shared" si="107"/>
        <v>5327</v>
      </c>
      <c r="B5328" s="65" t="s">
        <v>7822</v>
      </c>
      <c r="C5328" s="1">
        <v>9784646729</v>
      </c>
      <c r="E5328" s="17" t="s">
        <v>7685</v>
      </c>
      <c r="F5328" s="65" t="s">
        <v>7823</v>
      </c>
      <c r="G5328" s="3" t="s">
        <v>16</v>
      </c>
      <c r="H5328" s="2" t="s">
        <v>5774</v>
      </c>
      <c r="I5328" s="3" t="s">
        <v>42</v>
      </c>
      <c r="J5328" s="31">
        <v>46006</v>
      </c>
      <c r="K5328" s="31">
        <v>46008</v>
      </c>
      <c r="L5328" s="31">
        <v>46010</v>
      </c>
      <c r="M5328" s="31">
        <v>46042</v>
      </c>
      <c r="N5328" s="31">
        <v>46027</v>
      </c>
      <c r="O5328" s="3" t="s">
        <v>297</v>
      </c>
    </row>
    <row r="5329" spans="1:15">
      <c r="A5329" s="3">
        <f t="shared" si="107"/>
        <v>5328</v>
      </c>
      <c r="B5329" s="65" t="s">
        <v>7824</v>
      </c>
      <c r="C5329" s="1">
        <v>9515067899</v>
      </c>
      <c r="E5329" s="17" t="s">
        <v>3954</v>
      </c>
      <c r="F5329" s="65" t="s">
        <v>443</v>
      </c>
      <c r="G5329" s="3" t="s">
        <v>16</v>
      </c>
      <c r="H5329" s="2" t="s">
        <v>5774</v>
      </c>
      <c r="I5329" s="3" t="s">
        <v>42</v>
      </c>
      <c r="J5329" s="31">
        <v>46007</v>
      </c>
      <c r="K5329" s="31">
        <v>46007</v>
      </c>
      <c r="L5329" s="31">
        <v>46010</v>
      </c>
      <c r="M5329" s="31">
        <v>46027</v>
      </c>
      <c r="N5329" s="31">
        <v>46025</v>
      </c>
      <c r="O5329" s="3" t="s">
        <v>297</v>
      </c>
    </row>
    <row r="5330" spans="1:15">
      <c r="A5330" s="3">
        <f t="shared" ref="A5330:A5389" si="108">ROW()-1</f>
        <v>5329</v>
      </c>
      <c r="B5330" s="65" t="s">
        <v>7215</v>
      </c>
      <c r="C5330" s="1">
        <v>8917414033</v>
      </c>
      <c r="E5330" s="17" t="s">
        <v>7825</v>
      </c>
      <c r="F5330" s="65" t="s">
        <v>3640</v>
      </c>
      <c r="G5330" s="3" t="s">
        <v>295</v>
      </c>
      <c r="H5330" s="2" t="s">
        <v>305</v>
      </c>
      <c r="I5330" s="3" t="s">
        <v>94</v>
      </c>
      <c r="J5330" s="31">
        <v>46007</v>
      </c>
      <c r="K5330" s="31">
        <v>46022</v>
      </c>
      <c r="L5330" s="31">
        <v>46024</v>
      </c>
      <c r="M5330" s="31">
        <v>46055</v>
      </c>
      <c r="N5330" s="31"/>
      <c r="O5330" s="3" t="s">
        <v>297</v>
      </c>
    </row>
    <row r="5331" spans="1:15">
      <c r="A5331" s="3">
        <f t="shared" si="108"/>
        <v>5330</v>
      </c>
      <c r="B5331" s="65" t="s">
        <v>7826</v>
      </c>
      <c r="C5331" s="1">
        <v>8270381069</v>
      </c>
      <c r="E5331" s="17" t="s">
        <v>7827</v>
      </c>
      <c r="F5331" s="65" t="s">
        <v>308</v>
      </c>
      <c r="G5331" s="3" t="s">
        <v>416</v>
      </c>
      <c r="H5331" s="2" t="s">
        <v>305</v>
      </c>
      <c r="I5331" s="3" t="s">
        <v>94</v>
      </c>
      <c r="J5331" s="31">
        <v>46007</v>
      </c>
      <c r="K5331" s="31">
        <v>46022</v>
      </c>
      <c r="L5331" s="31"/>
      <c r="M5331" s="31"/>
      <c r="N5331" s="31"/>
      <c r="O5331" s="3" t="s">
        <v>297</v>
      </c>
    </row>
    <row r="5332" spans="1:15">
      <c r="A5332" s="3">
        <f t="shared" si="108"/>
        <v>5331</v>
      </c>
      <c r="B5332" s="65" t="s">
        <v>7828</v>
      </c>
      <c r="C5332" s="1">
        <v>7782825064</v>
      </c>
      <c r="E5332" s="17" t="s">
        <v>7827</v>
      </c>
      <c r="F5332" s="65" t="s">
        <v>308</v>
      </c>
      <c r="G5332" s="3" t="s">
        <v>424</v>
      </c>
      <c r="H5332" s="2" t="s">
        <v>305</v>
      </c>
      <c r="I5332" s="3" t="s">
        <v>94</v>
      </c>
      <c r="J5332" s="31">
        <v>46007</v>
      </c>
      <c r="K5332" s="31">
        <v>46022</v>
      </c>
      <c r="L5332" s="31"/>
      <c r="M5332" s="31"/>
      <c r="N5332" s="31"/>
      <c r="O5332" s="3" t="s">
        <v>425</v>
      </c>
    </row>
    <row r="5333" spans="1:15">
      <c r="A5333" s="3">
        <f t="shared" si="108"/>
        <v>5332</v>
      </c>
      <c r="B5333" s="65" t="s">
        <v>3460</v>
      </c>
      <c r="C5333" s="1">
        <v>7075006646</v>
      </c>
      <c r="E5333" s="17" t="s">
        <v>7827</v>
      </c>
      <c r="F5333" s="65" t="s">
        <v>308</v>
      </c>
      <c r="G5333" s="3" t="s">
        <v>424</v>
      </c>
      <c r="H5333" s="2" t="s">
        <v>305</v>
      </c>
      <c r="I5333" s="3" t="s">
        <v>94</v>
      </c>
      <c r="J5333" s="31">
        <v>46007</v>
      </c>
      <c r="K5333" s="31">
        <v>46022</v>
      </c>
      <c r="L5333" s="31"/>
      <c r="M5333" s="31"/>
      <c r="N5333" s="31"/>
      <c r="O5333" s="3" t="s">
        <v>425</v>
      </c>
    </row>
    <row r="5334" spans="1:15">
      <c r="A5334" s="3">
        <f t="shared" si="108"/>
        <v>5333</v>
      </c>
      <c r="B5334" s="65" t="s">
        <v>5318</v>
      </c>
      <c r="C5334" s="1">
        <v>7974469533</v>
      </c>
      <c r="E5334" s="17" t="s">
        <v>7829</v>
      </c>
      <c r="F5334" s="65" t="s">
        <v>2511</v>
      </c>
      <c r="G5334" s="3" t="s">
        <v>16</v>
      </c>
      <c r="H5334" s="2" t="s">
        <v>5566</v>
      </c>
      <c r="I5334" s="3" t="s">
        <v>88</v>
      </c>
      <c r="J5334" s="31">
        <v>46007</v>
      </c>
      <c r="K5334" s="31">
        <v>46045</v>
      </c>
      <c r="L5334" s="31">
        <v>46046</v>
      </c>
      <c r="M5334" s="31">
        <v>46083</v>
      </c>
      <c r="N5334" s="31">
        <v>46083</v>
      </c>
      <c r="O5334" s="3" t="s">
        <v>297</v>
      </c>
    </row>
    <row r="5335" spans="1:15">
      <c r="A5335" s="3">
        <f t="shared" si="108"/>
        <v>5334</v>
      </c>
      <c r="B5335" s="65" t="s">
        <v>7830</v>
      </c>
      <c r="C5335" s="1">
        <v>9690660823</v>
      </c>
      <c r="D5335" s="1">
        <v>9149330717</v>
      </c>
      <c r="E5335" s="17" t="s">
        <v>7829</v>
      </c>
      <c r="F5335" s="65" t="s">
        <v>7831</v>
      </c>
      <c r="G5335" s="3" t="s">
        <v>15</v>
      </c>
      <c r="H5335" s="2" t="s">
        <v>5566</v>
      </c>
      <c r="I5335" s="3" t="s">
        <v>88</v>
      </c>
      <c r="J5335" s="31">
        <v>46007</v>
      </c>
      <c r="K5335" s="31">
        <v>46076</v>
      </c>
      <c r="L5335" s="31">
        <v>46077</v>
      </c>
      <c r="M5335" s="31">
        <v>46127</v>
      </c>
      <c r="N5335" s="31"/>
      <c r="O5335" s="3" t="s">
        <v>297</v>
      </c>
    </row>
    <row r="5336" spans="1:15">
      <c r="A5336" s="3">
        <f t="shared" si="108"/>
        <v>5335</v>
      </c>
      <c r="B5336" s="65" t="s">
        <v>7832</v>
      </c>
      <c r="C5336" s="1">
        <v>8082212722</v>
      </c>
      <c r="E5336" s="17" t="s">
        <v>7833</v>
      </c>
      <c r="F5336" s="65" t="s">
        <v>461</v>
      </c>
      <c r="G5336" s="3" t="s">
        <v>16</v>
      </c>
      <c r="H5336" s="2" t="s">
        <v>1613</v>
      </c>
      <c r="I5336" s="3" t="s">
        <v>88</v>
      </c>
      <c r="J5336" s="31">
        <v>46007</v>
      </c>
      <c r="K5336" s="31">
        <v>46007</v>
      </c>
      <c r="L5336" s="31">
        <v>46010</v>
      </c>
      <c r="M5336" s="31">
        <v>46049</v>
      </c>
      <c r="N5336" s="31">
        <v>46033</v>
      </c>
      <c r="O5336" s="3" t="s">
        <v>297</v>
      </c>
    </row>
    <row r="5337" spans="1:15">
      <c r="A5337" s="3">
        <f t="shared" si="108"/>
        <v>5336</v>
      </c>
      <c r="B5337" s="65" t="s">
        <v>7834</v>
      </c>
      <c r="C5337" s="1">
        <v>9792602155</v>
      </c>
      <c r="D5337" s="127">
        <v>7317031603</v>
      </c>
      <c r="E5337" s="17" t="s">
        <v>7833</v>
      </c>
      <c r="F5337" s="65" t="s">
        <v>7835</v>
      </c>
      <c r="G5337" s="3" t="s">
        <v>16</v>
      </c>
      <c r="H5337" s="2" t="s">
        <v>1613</v>
      </c>
      <c r="I5337" s="3" t="s">
        <v>88</v>
      </c>
      <c r="J5337" s="31">
        <v>46007</v>
      </c>
      <c r="K5337" s="31">
        <v>46007</v>
      </c>
      <c r="L5337" s="31">
        <v>46010</v>
      </c>
      <c r="M5337" s="31">
        <v>46049</v>
      </c>
      <c r="N5337" s="31">
        <v>46047</v>
      </c>
      <c r="O5337" s="3" t="s">
        <v>297</v>
      </c>
    </row>
    <row r="5338" spans="1:15">
      <c r="A5338" s="3">
        <f t="shared" si="108"/>
        <v>5337</v>
      </c>
      <c r="B5338" s="65" t="s">
        <v>7836</v>
      </c>
      <c r="C5338" s="1">
        <v>8016421958</v>
      </c>
      <c r="E5338" s="17" t="s">
        <v>7833</v>
      </c>
      <c r="F5338" s="65" t="s">
        <v>461</v>
      </c>
      <c r="G5338" s="3" t="s">
        <v>764</v>
      </c>
      <c r="H5338" s="2" t="s">
        <v>1613</v>
      </c>
      <c r="I5338" s="3" t="s">
        <v>88</v>
      </c>
      <c r="J5338" s="31">
        <v>46007</v>
      </c>
      <c r="K5338" s="31">
        <v>46020</v>
      </c>
      <c r="L5338" s="31"/>
      <c r="M5338" s="31"/>
      <c r="N5338" s="31"/>
      <c r="O5338" s="3" t="s">
        <v>425</v>
      </c>
    </row>
    <row r="5339" spans="1:15">
      <c r="A5339" s="3">
        <f t="shared" si="108"/>
        <v>5338</v>
      </c>
      <c r="B5339" s="65" t="s">
        <v>2035</v>
      </c>
      <c r="C5339" s="1">
        <v>8318356446</v>
      </c>
      <c r="E5339" s="17" t="s">
        <v>6766</v>
      </c>
      <c r="F5339" s="65" t="s">
        <v>461</v>
      </c>
      <c r="G5339" s="3" t="s">
        <v>295</v>
      </c>
      <c r="H5339" s="2" t="s">
        <v>1613</v>
      </c>
      <c r="I5339" s="3" t="s">
        <v>88</v>
      </c>
      <c r="J5339" s="31">
        <v>46007</v>
      </c>
      <c r="K5339" s="31">
        <v>46020</v>
      </c>
      <c r="L5339" s="31">
        <v>46024</v>
      </c>
      <c r="M5339" s="31">
        <v>46069</v>
      </c>
      <c r="N5339" s="31"/>
      <c r="O5339" s="3" t="s">
        <v>297</v>
      </c>
    </row>
    <row r="5340" spans="1:15">
      <c r="A5340" s="3">
        <f t="shared" si="108"/>
        <v>5339</v>
      </c>
      <c r="B5340" s="65" t="s">
        <v>7837</v>
      </c>
      <c r="C5340" s="1">
        <v>7906354818</v>
      </c>
      <c r="E5340" s="17" t="s">
        <v>6766</v>
      </c>
      <c r="F5340" s="65" t="s">
        <v>461</v>
      </c>
      <c r="G5340" s="3" t="s">
        <v>764</v>
      </c>
      <c r="H5340" s="2" t="s">
        <v>1613</v>
      </c>
      <c r="I5340" s="3" t="s">
        <v>88</v>
      </c>
      <c r="J5340" s="31">
        <v>46007</v>
      </c>
      <c r="K5340" s="31">
        <v>46007</v>
      </c>
      <c r="L5340" s="31"/>
      <c r="M5340" s="31"/>
      <c r="N5340" s="31"/>
      <c r="O5340" s="3" t="s">
        <v>425</v>
      </c>
    </row>
    <row r="5341" spans="1:15">
      <c r="A5341" s="3">
        <f t="shared" si="108"/>
        <v>5340</v>
      </c>
      <c r="B5341" s="65" t="s">
        <v>7838</v>
      </c>
      <c r="C5341" s="1">
        <v>8303018961</v>
      </c>
      <c r="E5341" s="17" t="s">
        <v>6766</v>
      </c>
      <c r="F5341" s="65" t="s">
        <v>461</v>
      </c>
      <c r="G5341" s="3" t="s">
        <v>416</v>
      </c>
      <c r="H5341" s="2" t="s">
        <v>1613</v>
      </c>
      <c r="I5341" s="3" t="s">
        <v>88</v>
      </c>
      <c r="J5341" s="31">
        <v>46007</v>
      </c>
      <c r="K5341" s="31">
        <v>46020</v>
      </c>
      <c r="L5341" s="31"/>
      <c r="M5341" s="31"/>
      <c r="N5341" s="31"/>
      <c r="O5341" s="3" t="s">
        <v>297</v>
      </c>
    </row>
    <row r="5342" spans="1:15">
      <c r="A5342" s="3">
        <f t="shared" si="108"/>
        <v>5341</v>
      </c>
      <c r="B5342" s="65" t="s">
        <v>7839</v>
      </c>
      <c r="C5342" s="1">
        <v>9064249264</v>
      </c>
      <c r="E5342" s="17" t="s">
        <v>6766</v>
      </c>
      <c r="F5342" s="65" t="s">
        <v>461</v>
      </c>
      <c r="G5342" s="3" t="s">
        <v>416</v>
      </c>
      <c r="H5342" s="2" t="s">
        <v>1613</v>
      </c>
      <c r="I5342" s="3" t="s">
        <v>88</v>
      </c>
      <c r="J5342" s="31">
        <v>46007</v>
      </c>
      <c r="K5342" s="31">
        <v>46020</v>
      </c>
      <c r="L5342" s="31"/>
      <c r="M5342" s="31"/>
      <c r="N5342" s="31"/>
      <c r="O5342" s="3" t="s">
        <v>297</v>
      </c>
    </row>
    <row r="5343" spans="1:15">
      <c r="A5343" s="3">
        <f t="shared" si="108"/>
        <v>5342</v>
      </c>
      <c r="B5343" s="65" t="s">
        <v>7840</v>
      </c>
      <c r="C5343" s="1">
        <v>8115049014</v>
      </c>
      <c r="E5343" s="17" t="s">
        <v>5966</v>
      </c>
      <c r="F5343" s="65" t="s">
        <v>1369</v>
      </c>
      <c r="G5343" s="2" t="s">
        <v>16</v>
      </c>
      <c r="H5343" s="2" t="s">
        <v>5774</v>
      </c>
      <c r="I5343" s="3" t="s">
        <v>42</v>
      </c>
      <c r="J5343" s="31">
        <v>46007</v>
      </c>
      <c r="K5343" s="31">
        <v>46008</v>
      </c>
      <c r="L5343" s="31">
        <v>46010</v>
      </c>
      <c r="M5343" s="31">
        <v>46043</v>
      </c>
      <c r="N5343" s="31">
        <v>46043</v>
      </c>
      <c r="O5343" s="3" t="s">
        <v>297</v>
      </c>
    </row>
    <row r="5344" spans="1:15">
      <c r="A5344" s="3">
        <f t="shared" si="108"/>
        <v>5343</v>
      </c>
      <c r="B5344" s="65" t="s">
        <v>6024</v>
      </c>
      <c r="C5344" s="1">
        <v>8439001998</v>
      </c>
      <c r="D5344" s="1">
        <v>9926719987</v>
      </c>
      <c r="E5344" s="17" t="s">
        <v>5966</v>
      </c>
      <c r="F5344" s="65" t="s">
        <v>7841</v>
      </c>
      <c r="G5344" s="3" t="s">
        <v>330</v>
      </c>
      <c r="H5344" s="2" t="s">
        <v>5774</v>
      </c>
      <c r="I5344" s="3" t="s">
        <v>42</v>
      </c>
      <c r="J5344" s="31">
        <v>46007</v>
      </c>
      <c r="K5344" s="31">
        <v>46008</v>
      </c>
      <c r="L5344" s="31">
        <v>46010</v>
      </c>
      <c r="M5344" s="31">
        <v>46027</v>
      </c>
      <c r="N5344" s="31"/>
      <c r="O5344" s="3" t="s">
        <v>297</v>
      </c>
    </row>
    <row r="5345" spans="1:15">
      <c r="A5345" s="3">
        <f t="shared" si="108"/>
        <v>5344</v>
      </c>
      <c r="B5345" s="65" t="s">
        <v>7842</v>
      </c>
      <c r="C5345" s="1">
        <v>9473916392</v>
      </c>
      <c r="E5345" s="17" t="s">
        <v>5776</v>
      </c>
      <c r="F5345" s="65" t="s">
        <v>748</v>
      </c>
      <c r="G5345" s="3" t="s">
        <v>764</v>
      </c>
      <c r="H5345" s="2" t="s">
        <v>5774</v>
      </c>
      <c r="I5345" s="3" t="s">
        <v>42</v>
      </c>
      <c r="J5345" s="31">
        <v>46007</v>
      </c>
      <c r="K5345" s="31">
        <v>46009</v>
      </c>
      <c r="L5345" s="31"/>
      <c r="M5345" s="31"/>
      <c r="N5345" s="31"/>
      <c r="O5345" s="3" t="s">
        <v>425</v>
      </c>
    </row>
    <row r="5346" spans="1:15">
      <c r="A5346" s="3">
        <f t="shared" si="108"/>
        <v>5345</v>
      </c>
      <c r="B5346" s="65" t="s">
        <v>7843</v>
      </c>
      <c r="C5346" s="1">
        <v>8639204205</v>
      </c>
      <c r="E5346" s="17" t="s">
        <v>5966</v>
      </c>
      <c r="F5346" s="65" t="s">
        <v>308</v>
      </c>
      <c r="G5346" s="3" t="s">
        <v>416</v>
      </c>
      <c r="H5346" s="2" t="s">
        <v>5774</v>
      </c>
      <c r="I5346" s="3" t="s">
        <v>42</v>
      </c>
      <c r="J5346" s="31">
        <v>46007</v>
      </c>
      <c r="K5346" s="31">
        <v>46008</v>
      </c>
      <c r="L5346" s="31"/>
      <c r="M5346" s="31"/>
      <c r="N5346" s="31"/>
      <c r="O5346" s="3" t="s">
        <v>297</v>
      </c>
    </row>
    <row r="5347" spans="1:15">
      <c r="A5347" s="3">
        <f t="shared" si="108"/>
        <v>5346</v>
      </c>
      <c r="B5347" s="65" t="s">
        <v>7844</v>
      </c>
      <c r="C5347" s="1">
        <v>9642345121</v>
      </c>
      <c r="E5347" s="17" t="s">
        <v>7685</v>
      </c>
      <c r="F5347" s="65" t="s">
        <v>7845</v>
      </c>
      <c r="G5347" s="3" t="s">
        <v>16</v>
      </c>
      <c r="H5347" s="2" t="s">
        <v>5774</v>
      </c>
      <c r="I5347" s="3" t="s">
        <v>42</v>
      </c>
      <c r="J5347" s="31">
        <v>46007</v>
      </c>
      <c r="K5347" s="31">
        <v>46008</v>
      </c>
      <c r="L5347" s="31">
        <v>46010</v>
      </c>
      <c r="M5347" s="31">
        <v>46049</v>
      </c>
      <c r="N5347" s="31">
        <v>46049</v>
      </c>
      <c r="O5347" s="3" t="s">
        <v>297</v>
      </c>
    </row>
    <row r="5348" spans="1:15">
      <c r="A5348" s="3">
        <f t="shared" si="108"/>
        <v>5347</v>
      </c>
      <c r="B5348" s="65" t="s">
        <v>5627</v>
      </c>
      <c r="C5348" s="1">
        <v>9170621095</v>
      </c>
      <c r="E5348" s="17" t="s">
        <v>5887</v>
      </c>
      <c r="F5348" s="65" t="s">
        <v>7823</v>
      </c>
      <c r="G5348" s="3" t="s">
        <v>764</v>
      </c>
      <c r="H5348" s="2" t="s">
        <v>5774</v>
      </c>
      <c r="I5348" s="3" t="s">
        <v>42</v>
      </c>
      <c r="J5348" s="31">
        <v>46007</v>
      </c>
      <c r="K5348" s="31">
        <v>46009</v>
      </c>
      <c r="L5348" s="31"/>
      <c r="M5348" s="31"/>
      <c r="N5348" s="31"/>
      <c r="O5348" s="3" t="s">
        <v>425</v>
      </c>
    </row>
    <row r="5349" spans="1:15">
      <c r="A5349" s="3">
        <f t="shared" si="108"/>
        <v>5348</v>
      </c>
      <c r="B5349" s="65" t="s">
        <v>7846</v>
      </c>
      <c r="C5349" s="1">
        <v>8008908085</v>
      </c>
      <c r="E5349" s="17" t="s">
        <v>5887</v>
      </c>
      <c r="F5349" s="65" t="s">
        <v>7847</v>
      </c>
      <c r="G5349" s="3" t="s">
        <v>16</v>
      </c>
      <c r="H5349" s="2" t="s">
        <v>5774</v>
      </c>
      <c r="I5349" s="3" t="s">
        <v>42</v>
      </c>
      <c r="J5349" s="31">
        <v>46007</v>
      </c>
      <c r="K5349" s="31">
        <v>46008</v>
      </c>
      <c r="L5349" s="31">
        <v>46010</v>
      </c>
      <c r="M5349" s="31">
        <v>46024</v>
      </c>
      <c r="N5349" s="31">
        <v>46025</v>
      </c>
      <c r="O5349" s="3" t="s">
        <v>297</v>
      </c>
    </row>
    <row r="5350" spans="1:15">
      <c r="A5350" s="3">
        <f t="shared" si="108"/>
        <v>5349</v>
      </c>
      <c r="B5350" s="65" t="s">
        <v>7848</v>
      </c>
      <c r="C5350" s="1">
        <v>9752723219</v>
      </c>
      <c r="E5350" s="17" t="s">
        <v>7849</v>
      </c>
      <c r="F5350" s="65" t="s">
        <v>7850</v>
      </c>
      <c r="G5350" s="3" t="s">
        <v>424</v>
      </c>
      <c r="H5350" s="2" t="s">
        <v>815</v>
      </c>
      <c r="I5350" s="3" t="s">
        <v>94</v>
      </c>
      <c r="J5350" s="31">
        <v>46007</v>
      </c>
      <c r="K5350" s="31">
        <v>46011</v>
      </c>
      <c r="L5350" s="31"/>
      <c r="M5350" s="31"/>
      <c r="N5350" s="31"/>
      <c r="O5350" s="3" t="s">
        <v>425</v>
      </c>
    </row>
    <row r="5351" spans="1:15">
      <c r="A5351" s="3">
        <f t="shared" si="108"/>
        <v>5350</v>
      </c>
      <c r="B5351" s="65" t="s">
        <v>7851</v>
      </c>
      <c r="C5351" s="1">
        <v>8542829604</v>
      </c>
      <c r="E5351" s="17" t="s">
        <v>7849</v>
      </c>
      <c r="F5351" s="65" t="s">
        <v>7850</v>
      </c>
      <c r="G5351" s="3" t="s">
        <v>16</v>
      </c>
      <c r="H5351" s="2" t="s">
        <v>815</v>
      </c>
      <c r="I5351" s="3" t="s">
        <v>94</v>
      </c>
      <c r="J5351" s="31">
        <v>46007</v>
      </c>
      <c r="K5351" s="31">
        <v>46011</v>
      </c>
      <c r="L5351" s="31">
        <v>46010</v>
      </c>
      <c r="M5351" s="31">
        <v>46041</v>
      </c>
      <c r="N5351" s="31">
        <v>46049</v>
      </c>
      <c r="O5351" s="3" t="s">
        <v>297</v>
      </c>
    </row>
    <row r="5352" spans="1:15">
      <c r="A5352" s="3">
        <f t="shared" si="108"/>
        <v>5351</v>
      </c>
      <c r="B5352" s="65" t="s">
        <v>7852</v>
      </c>
      <c r="C5352" s="1">
        <v>7275383979</v>
      </c>
      <c r="D5352" s="1">
        <v>9305397116</v>
      </c>
      <c r="E5352" s="17" t="s">
        <v>7853</v>
      </c>
      <c r="F5352" s="65" t="s">
        <v>7854</v>
      </c>
      <c r="G5352" s="3" t="s">
        <v>295</v>
      </c>
      <c r="H5352" s="2" t="s">
        <v>815</v>
      </c>
      <c r="I5352" s="3" t="s">
        <v>94</v>
      </c>
      <c r="J5352" s="31">
        <v>46007</v>
      </c>
      <c r="K5352" s="31">
        <v>46011</v>
      </c>
      <c r="L5352" s="31">
        <v>46024</v>
      </c>
      <c r="M5352" s="31">
        <v>46055</v>
      </c>
      <c r="N5352" s="31"/>
      <c r="O5352" s="3" t="s">
        <v>297</v>
      </c>
    </row>
    <row r="5353" spans="1:15">
      <c r="A5353" s="3">
        <f t="shared" si="108"/>
        <v>5352</v>
      </c>
      <c r="B5353" s="65" t="s">
        <v>3296</v>
      </c>
      <c r="C5353" s="1">
        <v>9696304710</v>
      </c>
      <c r="E5353" s="17" t="s">
        <v>7855</v>
      </c>
      <c r="F5353" s="65" t="s">
        <v>5634</v>
      </c>
      <c r="G5353" s="3" t="s">
        <v>424</v>
      </c>
      <c r="H5353" s="2" t="s">
        <v>815</v>
      </c>
      <c r="I5353" s="3" t="s">
        <v>94</v>
      </c>
      <c r="J5353" s="31">
        <v>46007</v>
      </c>
      <c r="K5353" s="31">
        <v>46011</v>
      </c>
      <c r="L5353" s="31"/>
      <c r="M5353" s="31"/>
      <c r="N5353" s="31"/>
      <c r="O5353" s="3" t="s">
        <v>425</v>
      </c>
    </row>
    <row r="5354" spans="1:15">
      <c r="A5354" s="3">
        <f t="shared" si="108"/>
        <v>5353</v>
      </c>
      <c r="B5354" s="65" t="s">
        <v>7856</v>
      </c>
      <c r="C5354" s="1">
        <v>9103913644</v>
      </c>
      <c r="E5354" s="17" t="s">
        <v>7855</v>
      </c>
      <c r="F5354" s="65" t="s">
        <v>5634</v>
      </c>
      <c r="G5354" s="3" t="s">
        <v>424</v>
      </c>
      <c r="H5354" s="2" t="s">
        <v>815</v>
      </c>
      <c r="I5354" s="3" t="s">
        <v>94</v>
      </c>
      <c r="J5354" s="31">
        <v>46007</v>
      </c>
      <c r="K5354" s="31">
        <v>46011</v>
      </c>
      <c r="L5354" s="31"/>
      <c r="M5354" s="31"/>
      <c r="N5354" s="31"/>
      <c r="O5354" s="3" t="s">
        <v>425</v>
      </c>
    </row>
    <row r="5355" spans="1:15">
      <c r="A5355" s="3">
        <f t="shared" si="108"/>
        <v>5354</v>
      </c>
      <c r="B5355" s="65" t="s">
        <v>7857</v>
      </c>
      <c r="C5355" s="1">
        <v>8077327192</v>
      </c>
      <c r="E5355" s="17" t="s">
        <v>7520</v>
      </c>
      <c r="F5355" s="65" t="s">
        <v>310</v>
      </c>
      <c r="G5355" s="3" t="s">
        <v>424</v>
      </c>
      <c r="H5355" s="2" t="s">
        <v>674</v>
      </c>
      <c r="I5355" s="3" t="s">
        <v>94</v>
      </c>
      <c r="J5355" s="31">
        <v>46007</v>
      </c>
      <c r="K5355" s="31">
        <v>46024</v>
      </c>
      <c r="L5355" s="31"/>
      <c r="M5355" s="31"/>
      <c r="N5355" s="31"/>
      <c r="O5355" s="3" t="s">
        <v>425</v>
      </c>
    </row>
    <row r="5356" spans="1:15">
      <c r="A5356" s="3">
        <f t="shared" si="108"/>
        <v>5355</v>
      </c>
      <c r="B5356" s="65" t="s">
        <v>7858</v>
      </c>
      <c r="C5356" s="1">
        <v>6296658534</v>
      </c>
      <c r="E5356" s="17" t="s">
        <v>7859</v>
      </c>
      <c r="F5356" s="65" t="s">
        <v>329</v>
      </c>
      <c r="G5356" s="3" t="s">
        <v>424</v>
      </c>
      <c r="H5356" s="2" t="s">
        <v>305</v>
      </c>
      <c r="I5356" s="3" t="s">
        <v>94</v>
      </c>
      <c r="J5356" s="31">
        <v>46007</v>
      </c>
      <c r="K5356" s="31">
        <v>46009</v>
      </c>
      <c r="L5356" s="31"/>
      <c r="M5356" s="31"/>
      <c r="N5356" s="31"/>
      <c r="O5356" s="3" t="s">
        <v>749</v>
      </c>
    </row>
    <row r="5357" spans="1:15">
      <c r="A5357" s="3">
        <f t="shared" si="108"/>
        <v>5356</v>
      </c>
      <c r="B5357" s="65" t="s">
        <v>7860</v>
      </c>
      <c r="C5357" s="1">
        <v>9587772073</v>
      </c>
      <c r="E5357" s="17" t="s">
        <v>7859</v>
      </c>
      <c r="F5357" s="65" t="s">
        <v>329</v>
      </c>
      <c r="G5357" s="3" t="s">
        <v>424</v>
      </c>
      <c r="H5357" s="2" t="s">
        <v>305</v>
      </c>
      <c r="I5357" s="3" t="s">
        <v>94</v>
      </c>
      <c r="J5357" s="31">
        <v>46007</v>
      </c>
      <c r="K5357" s="31">
        <v>46009</v>
      </c>
      <c r="L5357" s="31"/>
      <c r="M5357" s="31"/>
      <c r="N5357" s="31"/>
      <c r="O5357" s="3" t="s">
        <v>749</v>
      </c>
    </row>
    <row r="5358" spans="1:15">
      <c r="A5358" s="3">
        <f t="shared" si="108"/>
        <v>5357</v>
      </c>
      <c r="B5358" s="65" t="s">
        <v>7861</v>
      </c>
      <c r="C5358" s="1">
        <v>6294690816</v>
      </c>
      <c r="E5358" s="17" t="s">
        <v>7859</v>
      </c>
      <c r="F5358" s="65" t="s">
        <v>329</v>
      </c>
      <c r="G5358" s="3" t="s">
        <v>16</v>
      </c>
      <c r="H5358" s="2" t="s">
        <v>305</v>
      </c>
      <c r="I5358" s="3" t="s">
        <v>94</v>
      </c>
      <c r="J5358" s="31">
        <v>46007</v>
      </c>
      <c r="K5358" s="31">
        <v>46009</v>
      </c>
      <c r="L5358" s="31">
        <v>46010</v>
      </c>
      <c r="M5358" s="31">
        <v>46025</v>
      </c>
      <c r="N5358" s="31">
        <v>46027</v>
      </c>
      <c r="O5358" s="3" t="s">
        <v>297</v>
      </c>
    </row>
    <row r="5359" spans="1:15">
      <c r="A5359" s="3">
        <f t="shared" si="108"/>
        <v>5358</v>
      </c>
      <c r="B5359" s="65" t="s">
        <v>7862</v>
      </c>
      <c r="C5359" s="1">
        <v>9490960075</v>
      </c>
      <c r="E5359" s="17" t="s">
        <v>7859</v>
      </c>
      <c r="F5359" s="65" t="s">
        <v>329</v>
      </c>
      <c r="G5359" s="3" t="s">
        <v>764</v>
      </c>
      <c r="H5359" s="2" t="s">
        <v>305</v>
      </c>
      <c r="I5359" s="3" t="s">
        <v>94</v>
      </c>
      <c r="J5359" s="31">
        <v>46007</v>
      </c>
      <c r="K5359" s="31">
        <v>46009</v>
      </c>
      <c r="L5359" s="31"/>
      <c r="M5359" s="31"/>
      <c r="N5359" s="31"/>
      <c r="O5359" s="3" t="s">
        <v>425</v>
      </c>
    </row>
    <row r="5360" spans="1:15">
      <c r="A5360" s="3">
        <f t="shared" si="108"/>
        <v>5359</v>
      </c>
      <c r="B5360" s="65" t="s">
        <v>7863</v>
      </c>
      <c r="C5360" s="1">
        <v>9792602557</v>
      </c>
      <c r="D5360" s="1">
        <v>7007701959</v>
      </c>
      <c r="E5360" s="17" t="s">
        <v>6236</v>
      </c>
      <c r="F5360" s="65" t="s">
        <v>994</v>
      </c>
      <c r="G5360" s="3" t="s">
        <v>16</v>
      </c>
      <c r="H5360" s="2" t="s">
        <v>3240</v>
      </c>
      <c r="I5360" s="3" t="s">
        <v>42</v>
      </c>
      <c r="J5360" s="31">
        <v>46007</v>
      </c>
      <c r="K5360" s="31">
        <v>46009</v>
      </c>
      <c r="L5360" s="31">
        <v>46010</v>
      </c>
      <c r="M5360" s="31">
        <v>46049</v>
      </c>
      <c r="N5360" s="31">
        <v>46049</v>
      </c>
      <c r="O5360" s="3" t="s">
        <v>297</v>
      </c>
    </row>
    <row r="5361" spans="1:15">
      <c r="A5361" s="3">
        <f t="shared" si="108"/>
        <v>5360</v>
      </c>
      <c r="B5361" s="65" t="s">
        <v>1614</v>
      </c>
      <c r="C5361" s="1">
        <v>9992518921</v>
      </c>
      <c r="D5361" s="1">
        <v>9991139100</v>
      </c>
      <c r="E5361" s="17" t="s">
        <v>6236</v>
      </c>
      <c r="F5361" s="65" t="s">
        <v>612</v>
      </c>
      <c r="G5361" s="3" t="s">
        <v>16</v>
      </c>
      <c r="H5361" s="2" t="s">
        <v>3240</v>
      </c>
      <c r="I5361" s="3" t="s">
        <v>42</v>
      </c>
      <c r="J5361" s="31">
        <v>46007</v>
      </c>
      <c r="K5361" s="31">
        <v>46009</v>
      </c>
      <c r="L5361" s="31">
        <v>46016</v>
      </c>
      <c r="M5361" s="31">
        <v>46049</v>
      </c>
      <c r="N5361" s="31">
        <v>46049</v>
      </c>
      <c r="O5361" s="3" t="s">
        <v>297</v>
      </c>
    </row>
    <row r="5362" spans="1:15">
      <c r="A5362" s="3">
        <f t="shared" si="108"/>
        <v>5361</v>
      </c>
      <c r="B5362" s="65" t="s">
        <v>1327</v>
      </c>
      <c r="C5362" s="1">
        <v>8423797648</v>
      </c>
      <c r="E5362" s="17" t="s">
        <v>6236</v>
      </c>
      <c r="F5362" s="65" t="s">
        <v>7864</v>
      </c>
      <c r="G5362" s="2" t="s">
        <v>16</v>
      </c>
      <c r="H5362" s="2" t="s">
        <v>3240</v>
      </c>
      <c r="I5362" s="3" t="s">
        <v>42</v>
      </c>
      <c r="J5362" s="31">
        <v>46007</v>
      </c>
      <c r="K5362" s="31">
        <v>46009</v>
      </c>
      <c r="L5362" s="31">
        <v>46010</v>
      </c>
      <c r="M5362" s="31">
        <v>46044</v>
      </c>
      <c r="N5362" s="31">
        <v>46033</v>
      </c>
      <c r="O5362" s="3" t="s">
        <v>297</v>
      </c>
    </row>
    <row r="5363" spans="1:15">
      <c r="A5363" s="3">
        <f t="shared" si="108"/>
        <v>5362</v>
      </c>
      <c r="B5363" s="65" t="s">
        <v>7865</v>
      </c>
      <c r="C5363" s="1">
        <v>9598473279</v>
      </c>
      <c r="E5363" s="17" t="s">
        <v>6199</v>
      </c>
      <c r="F5363" s="65" t="s">
        <v>7866</v>
      </c>
      <c r="G5363" s="3" t="s">
        <v>16</v>
      </c>
      <c r="H5363" s="2" t="s">
        <v>3240</v>
      </c>
      <c r="I5363" s="3" t="s">
        <v>42</v>
      </c>
      <c r="J5363" s="31">
        <v>46007</v>
      </c>
      <c r="K5363" s="31">
        <v>46009</v>
      </c>
      <c r="L5363" s="31">
        <v>46010</v>
      </c>
      <c r="M5363" s="31">
        <v>46020</v>
      </c>
      <c r="N5363" s="31">
        <v>46025</v>
      </c>
      <c r="O5363" s="3" t="s">
        <v>297</v>
      </c>
    </row>
    <row r="5364" spans="1:15">
      <c r="A5364" s="3">
        <f t="shared" si="108"/>
        <v>5363</v>
      </c>
      <c r="B5364" s="65" t="s">
        <v>7867</v>
      </c>
      <c r="C5364" s="1">
        <v>9479636881</v>
      </c>
      <c r="E5364" s="17" t="s">
        <v>6236</v>
      </c>
      <c r="F5364" s="65" t="s">
        <v>7864</v>
      </c>
      <c r="G5364" s="2" t="s">
        <v>16</v>
      </c>
      <c r="H5364" s="2" t="s">
        <v>3240</v>
      </c>
      <c r="I5364" s="3" t="s">
        <v>42</v>
      </c>
      <c r="J5364" s="31">
        <v>46007</v>
      </c>
      <c r="K5364" s="31">
        <v>46009</v>
      </c>
      <c r="L5364" s="31">
        <v>46010</v>
      </c>
      <c r="M5364" s="31">
        <v>46043</v>
      </c>
      <c r="N5364" s="31">
        <v>46043</v>
      </c>
      <c r="O5364" s="3" t="s">
        <v>297</v>
      </c>
    </row>
    <row r="5365" spans="1:15">
      <c r="A5365" s="3">
        <f t="shared" si="108"/>
        <v>5364</v>
      </c>
      <c r="B5365" s="65" t="s">
        <v>7868</v>
      </c>
      <c r="C5365" s="1">
        <v>8574422815</v>
      </c>
      <c r="D5365" s="1">
        <v>9569300217</v>
      </c>
      <c r="E5365" s="17" t="s">
        <v>6236</v>
      </c>
      <c r="F5365" s="65" t="s">
        <v>7869</v>
      </c>
      <c r="G5365" s="3" t="s">
        <v>330</v>
      </c>
      <c r="H5365" s="2" t="s">
        <v>3240</v>
      </c>
      <c r="I5365" s="3" t="s">
        <v>42</v>
      </c>
      <c r="J5365" s="31">
        <v>46007</v>
      </c>
      <c r="K5365" s="31">
        <v>46009</v>
      </c>
      <c r="L5365" s="31">
        <v>46010</v>
      </c>
      <c r="M5365" s="31">
        <v>46024</v>
      </c>
      <c r="N5365" s="31"/>
      <c r="O5365" s="3" t="s">
        <v>297</v>
      </c>
    </row>
    <row r="5366" spans="1:15">
      <c r="A5366" s="3">
        <f t="shared" si="108"/>
        <v>5365</v>
      </c>
      <c r="B5366" s="65" t="s">
        <v>7870</v>
      </c>
      <c r="C5366" s="1">
        <v>7088324554</v>
      </c>
      <c r="E5366" s="17" t="s">
        <v>6236</v>
      </c>
      <c r="F5366" s="65" t="s">
        <v>7869</v>
      </c>
      <c r="G5366" s="2" t="s">
        <v>16</v>
      </c>
      <c r="H5366" s="2" t="s">
        <v>3240</v>
      </c>
      <c r="I5366" s="3" t="s">
        <v>42</v>
      </c>
      <c r="J5366" s="31">
        <v>46007</v>
      </c>
      <c r="K5366" s="31">
        <v>46009</v>
      </c>
      <c r="L5366" s="31">
        <v>46010</v>
      </c>
      <c r="M5366" s="31">
        <v>46032</v>
      </c>
      <c r="N5366" s="31">
        <v>46032</v>
      </c>
      <c r="O5366" s="3" t="s">
        <v>297</v>
      </c>
    </row>
    <row r="5367" spans="1:15">
      <c r="A5367" s="3">
        <f t="shared" si="108"/>
        <v>5366</v>
      </c>
      <c r="B5367" s="65" t="s">
        <v>7871</v>
      </c>
      <c r="C5367" s="1">
        <v>9131340873</v>
      </c>
      <c r="D5367" s="1">
        <v>9993873126</v>
      </c>
      <c r="E5367" s="17" t="s">
        <v>6236</v>
      </c>
      <c r="F5367" s="65" t="s">
        <v>7869</v>
      </c>
      <c r="G5367" s="2" t="s">
        <v>16</v>
      </c>
      <c r="H5367" s="2" t="s">
        <v>3240</v>
      </c>
      <c r="I5367" s="3" t="s">
        <v>42</v>
      </c>
      <c r="J5367" s="31">
        <v>46007</v>
      </c>
      <c r="K5367" s="31">
        <v>46009</v>
      </c>
      <c r="L5367" s="31">
        <v>46016</v>
      </c>
      <c r="M5367" s="31">
        <v>46041</v>
      </c>
      <c r="N5367" s="31">
        <v>46041</v>
      </c>
      <c r="O5367" s="3" t="s">
        <v>297</v>
      </c>
    </row>
    <row r="5368" spans="1:15">
      <c r="A5368" s="3">
        <f t="shared" si="108"/>
        <v>5367</v>
      </c>
      <c r="B5368" s="65" t="s">
        <v>7872</v>
      </c>
      <c r="C5368" s="1">
        <v>9989957046</v>
      </c>
      <c r="E5368" s="17" t="s">
        <v>6950</v>
      </c>
      <c r="F5368" s="65" t="s">
        <v>7873</v>
      </c>
      <c r="G5368" s="3" t="s">
        <v>15</v>
      </c>
      <c r="H5368" s="2" t="s">
        <v>42</v>
      </c>
      <c r="I5368" s="3" t="s">
        <v>42</v>
      </c>
      <c r="J5368" s="31">
        <v>46008</v>
      </c>
      <c r="K5368" s="31">
        <v>46024</v>
      </c>
      <c r="L5368" s="31">
        <v>46024</v>
      </c>
      <c r="M5368" s="31">
        <v>46113</v>
      </c>
      <c r="N5368" s="31"/>
      <c r="O5368" s="3" t="s">
        <v>297</v>
      </c>
    </row>
    <row r="5369" spans="1:15">
      <c r="A5369" s="3">
        <f t="shared" si="108"/>
        <v>5368</v>
      </c>
      <c r="B5369" s="65" t="s">
        <v>7874</v>
      </c>
      <c r="C5369" s="1">
        <v>9026335345</v>
      </c>
      <c r="E5369" s="17" t="s">
        <v>7094</v>
      </c>
      <c r="F5369" s="65" t="s">
        <v>360</v>
      </c>
      <c r="G5369" s="3" t="s">
        <v>16</v>
      </c>
      <c r="H5369" s="2" t="s">
        <v>1613</v>
      </c>
      <c r="I5369" s="3" t="s">
        <v>94</v>
      </c>
      <c r="J5369" s="31">
        <v>46008</v>
      </c>
      <c r="K5369" s="31">
        <v>46008</v>
      </c>
      <c r="L5369" s="31">
        <v>46010</v>
      </c>
      <c r="M5369" s="31">
        <v>46041</v>
      </c>
      <c r="N5369" s="31">
        <v>46053</v>
      </c>
      <c r="O5369" s="3" t="s">
        <v>297</v>
      </c>
    </row>
    <row r="5370" spans="1:15">
      <c r="A5370" s="3">
        <f t="shared" si="108"/>
        <v>5369</v>
      </c>
      <c r="B5370" s="65" t="s">
        <v>4409</v>
      </c>
      <c r="C5370" s="1">
        <v>9934159981</v>
      </c>
      <c r="E5370" s="17" t="s">
        <v>7094</v>
      </c>
      <c r="F5370" s="65" t="s">
        <v>360</v>
      </c>
      <c r="G5370" s="3" t="s">
        <v>416</v>
      </c>
      <c r="H5370" s="2" t="s">
        <v>1613</v>
      </c>
      <c r="I5370" s="3" t="s">
        <v>94</v>
      </c>
      <c r="J5370" s="31">
        <v>46008</v>
      </c>
      <c r="K5370" s="31">
        <v>46008</v>
      </c>
      <c r="L5370" s="31"/>
      <c r="M5370" s="31"/>
      <c r="N5370" s="31"/>
      <c r="O5370" s="3" t="s">
        <v>297</v>
      </c>
    </row>
    <row r="5371" spans="1:15">
      <c r="A5371" s="3">
        <f t="shared" si="108"/>
        <v>5370</v>
      </c>
      <c r="B5371" s="65" t="s">
        <v>7875</v>
      </c>
      <c r="C5371" s="1">
        <v>6203129942</v>
      </c>
      <c r="E5371" s="17" t="s">
        <v>7094</v>
      </c>
      <c r="F5371" s="65" t="s">
        <v>360</v>
      </c>
      <c r="G5371" s="3" t="s">
        <v>424</v>
      </c>
      <c r="H5371" s="2" t="s">
        <v>1613</v>
      </c>
      <c r="I5371" s="3" t="s">
        <v>94</v>
      </c>
      <c r="J5371" s="31">
        <v>46008</v>
      </c>
      <c r="K5371" s="31">
        <v>46020</v>
      </c>
      <c r="L5371" s="31"/>
      <c r="M5371" s="31"/>
      <c r="N5371" s="31"/>
      <c r="O5371" s="3" t="s">
        <v>425</v>
      </c>
    </row>
    <row r="5372" spans="1:15">
      <c r="A5372" s="3">
        <f t="shared" si="108"/>
        <v>5371</v>
      </c>
      <c r="B5372" s="65" t="s">
        <v>7876</v>
      </c>
      <c r="C5372" s="1">
        <v>6397188713</v>
      </c>
      <c r="D5372" s="1">
        <v>7455863518</v>
      </c>
      <c r="E5372" s="17" t="s">
        <v>7094</v>
      </c>
      <c r="F5372" s="65" t="s">
        <v>6436</v>
      </c>
      <c r="G5372" s="3" t="s">
        <v>416</v>
      </c>
      <c r="H5372" s="2" t="s">
        <v>1613</v>
      </c>
      <c r="I5372" s="3" t="s">
        <v>94</v>
      </c>
      <c r="J5372" s="31">
        <v>46008</v>
      </c>
      <c r="K5372" s="31">
        <v>46020</v>
      </c>
      <c r="L5372" s="31"/>
      <c r="M5372" s="31"/>
      <c r="N5372" s="31"/>
      <c r="O5372" s="3" t="s">
        <v>297</v>
      </c>
    </row>
    <row r="5373" spans="1:15">
      <c r="A5373" s="3">
        <f t="shared" si="108"/>
        <v>5372</v>
      </c>
      <c r="B5373" s="65" t="s">
        <v>7877</v>
      </c>
      <c r="C5373" s="1">
        <v>8250671318</v>
      </c>
      <c r="E5373" s="17" t="s">
        <v>7878</v>
      </c>
      <c r="F5373" s="65" t="s">
        <v>277</v>
      </c>
      <c r="G5373" s="3" t="s">
        <v>764</v>
      </c>
      <c r="H5373" s="2" t="s">
        <v>630</v>
      </c>
      <c r="I5373" s="3" t="s">
        <v>94</v>
      </c>
      <c r="J5373" s="31">
        <v>46008</v>
      </c>
      <c r="K5373" s="31">
        <v>46014</v>
      </c>
      <c r="L5373" s="31"/>
      <c r="M5373" s="31"/>
      <c r="N5373" s="31"/>
      <c r="O5373" s="3" t="s">
        <v>425</v>
      </c>
    </row>
    <row r="5374" spans="1:15">
      <c r="A5374" s="3">
        <f t="shared" si="108"/>
        <v>5373</v>
      </c>
      <c r="B5374" s="65" t="s">
        <v>645</v>
      </c>
      <c r="C5374" s="1">
        <v>9837219536</v>
      </c>
      <c r="E5374" s="17" t="s">
        <v>7878</v>
      </c>
      <c r="F5374" s="65" t="s">
        <v>277</v>
      </c>
      <c r="G5374" s="3" t="s">
        <v>416</v>
      </c>
      <c r="H5374" s="2" t="s">
        <v>630</v>
      </c>
      <c r="I5374" s="3" t="s">
        <v>94</v>
      </c>
      <c r="J5374" s="31">
        <v>46008</v>
      </c>
      <c r="K5374" s="31">
        <v>46010</v>
      </c>
      <c r="L5374" s="31"/>
      <c r="M5374" s="31"/>
      <c r="N5374" s="31"/>
      <c r="O5374" s="3" t="s">
        <v>297</v>
      </c>
    </row>
    <row r="5375" spans="1:15">
      <c r="A5375" s="3">
        <f t="shared" si="108"/>
        <v>5374</v>
      </c>
      <c r="B5375" s="65" t="s">
        <v>7879</v>
      </c>
      <c r="C5375" s="1">
        <v>9701508112</v>
      </c>
      <c r="D5375" s="1">
        <v>9381832664</v>
      </c>
      <c r="E5375" s="17" t="s">
        <v>7878</v>
      </c>
      <c r="F5375" s="65" t="s">
        <v>277</v>
      </c>
      <c r="G5375" s="3" t="s">
        <v>764</v>
      </c>
      <c r="H5375" s="2" t="s">
        <v>630</v>
      </c>
      <c r="I5375" s="3" t="s">
        <v>94</v>
      </c>
      <c r="J5375" s="31">
        <v>46008</v>
      </c>
      <c r="K5375" s="31">
        <v>46010</v>
      </c>
      <c r="L5375" s="31"/>
      <c r="M5375" s="31"/>
      <c r="N5375" s="31"/>
      <c r="O5375" s="3" t="s">
        <v>425</v>
      </c>
    </row>
    <row r="5376" spans="1:15">
      <c r="A5376" s="3">
        <f t="shared" si="108"/>
        <v>5375</v>
      </c>
      <c r="B5376" s="65" t="s">
        <v>7880</v>
      </c>
      <c r="C5376" s="1">
        <v>7870743102</v>
      </c>
      <c r="E5376" s="17" t="s">
        <v>7881</v>
      </c>
      <c r="F5376" s="65" t="s">
        <v>1044</v>
      </c>
      <c r="G5376" s="3" t="s">
        <v>16</v>
      </c>
      <c r="H5376" s="2" t="s">
        <v>1613</v>
      </c>
      <c r="I5376" s="3" t="s">
        <v>94</v>
      </c>
      <c r="J5376" s="31">
        <v>46008</v>
      </c>
      <c r="K5376" s="31">
        <v>46017</v>
      </c>
      <c r="L5376" s="31">
        <v>46024</v>
      </c>
      <c r="M5376" s="31">
        <v>46105</v>
      </c>
      <c r="N5376" s="31">
        <v>46108</v>
      </c>
      <c r="O5376" s="3" t="s">
        <v>297</v>
      </c>
    </row>
    <row r="5377" spans="1:15">
      <c r="A5377" s="3">
        <f t="shared" si="108"/>
        <v>5376</v>
      </c>
      <c r="B5377" s="65" t="s">
        <v>7882</v>
      </c>
      <c r="C5377" s="1">
        <v>9065889792</v>
      </c>
      <c r="E5377" s="17" t="s">
        <v>7883</v>
      </c>
      <c r="F5377" s="65" t="s">
        <v>1044</v>
      </c>
      <c r="G5377" s="3" t="s">
        <v>295</v>
      </c>
      <c r="H5377" s="2" t="s">
        <v>1613</v>
      </c>
      <c r="I5377" s="3" t="s">
        <v>94</v>
      </c>
      <c r="J5377" s="31">
        <v>46008</v>
      </c>
      <c r="K5377" s="31">
        <v>46017</v>
      </c>
      <c r="L5377" s="31">
        <v>46024</v>
      </c>
      <c r="M5377" s="31">
        <f>L5377+10</f>
        <v>46034</v>
      </c>
      <c r="N5377" s="31"/>
      <c r="O5377" s="3" t="s">
        <v>297</v>
      </c>
    </row>
    <row r="5378" spans="1:15">
      <c r="A5378" s="3">
        <f t="shared" si="108"/>
        <v>5377</v>
      </c>
      <c r="B5378" s="65" t="s">
        <v>7884</v>
      </c>
      <c r="C5378" s="1">
        <v>9670306891</v>
      </c>
      <c r="E5378" s="17" t="s">
        <v>7881</v>
      </c>
      <c r="F5378" s="65" t="s">
        <v>1044</v>
      </c>
      <c r="G5378" s="3" t="s">
        <v>416</v>
      </c>
      <c r="H5378" s="2" t="s">
        <v>1613</v>
      </c>
      <c r="I5378" s="3" t="s">
        <v>94</v>
      </c>
      <c r="J5378" s="31">
        <v>46008</v>
      </c>
      <c r="K5378" s="31">
        <v>46017</v>
      </c>
      <c r="L5378" s="31"/>
      <c r="M5378" s="31"/>
      <c r="N5378" s="31"/>
      <c r="O5378" s="3" t="s">
        <v>297</v>
      </c>
    </row>
    <row r="5379" spans="1:15">
      <c r="A5379" s="3">
        <f t="shared" si="108"/>
        <v>5378</v>
      </c>
      <c r="B5379" s="65" t="s">
        <v>7885</v>
      </c>
      <c r="C5379" s="1">
        <v>9576852505</v>
      </c>
      <c r="E5379" s="17" t="s">
        <v>7881</v>
      </c>
      <c r="F5379" s="65" t="s">
        <v>1044</v>
      </c>
      <c r="G5379" s="3" t="s">
        <v>416</v>
      </c>
      <c r="H5379" s="2" t="s">
        <v>1613</v>
      </c>
      <c r="I5379" s="3" t="s">
        <v>94</v>
      </c>
      <c r="J5379" s="31">
        <v>46008</v>
      </c>
      <c r="K5379" s="31">
        <v>46017</v>
      </c>
      <c r="L5379" s="31"/>
      <c r="M5379" s="31"/>
      <c r="N5379" s="31"/>
      <c r="O5379" s="3" t="s">
        <v>297</v>
      </c>
    </row>
    <row r="5380" spans="1:15">
      <c r="A5380" s="3">
        <f t="shared" si="108"/>
        <v>5379</v>
      </c>
      <c r="B5380" s="65" t="s">
        <v>7886</v>
      </c>
      <c r="C5380" s="1">
        <v>9438887991</v>
      </c>
      <c r="D5380" s="1">
        <v>8309651242</v>
      </c>
      <c r="E5380" s="17" t="s">
        <v>6704</v>
      </c>
      <c r="F5380" s="65" t="s">
        <v>7887</v>
      </c>
      <c r="G5380" s="3" t="s">
        <v>416</v>
      </c>
      <c r="H5380" s="2" t="s">
        <v>3240</v>
      </c>
      <c r="I5380" s="3" t="s">
        <v>42</v>
      </c>
      <c r="J5380" s="31">
        <v>46008</v>
      </c>
      <c r="K5380" s="31">
        <v>46016</v>
      </c>
      <c r="L5380" s="31"/>
      <c r="M5380" s="31"/>
      <c r="N5380" s="31"/>
      <c r="O5380" s="3" t="s">
        <v>297</v>
      </c>
    </row>
    <row r="5381" spans="1:15">
      <c r="A5381" s="3">
        <f t="shared" si="108"/>
        <v>5380</v>
      </c>
      <c r="B5381" s="65" t="s">
        <v>7888</v>
      </c>
      <c r="C5381" s="1">
        <v>7207204919</v>
      </c>
      <c r="E5381" s="17" t="s">
        <v>7595</v>
      </c>
      <c r="F5381" s="65" t="s">
        <v>1312</v>
      </c>
      <c r="G5381" s="3" t="s">
        <v>7030</v>
      </c>
      <c r="H5381" s="2" t="s">
        <v>3240</v>
      </c>
      <c r="I5381" s="3" t="s">
        <v>42</v>
      </c>
      <c r="J5381" s="31">
        <v>46008</v>
      </c>
      <c r="K5381" s="31"/>
      <c r="L5381" s="31"/>
      <c r="M5381" s="31"/>
      <c r="N5381" s="31"/>
      <c r="O5381" s="3" t="s">
        <v>1004</v>
      </c>
    </row>
    <row r="5382" spans="1:15">
      <c r="A5382" s="3">
        <f t="shared" si="108"/>
        <v>5381</v>
      </c>
      <c r="B5382" s="65" t="s">
        <v>7889</v>
      </c>
      <c r="C5382" s="1">
        <v>7989802036</v>
      </c>
      <c r="E5382" s="17" t="s">
        <v>7890</v>
      </c>
      <c r="F5382" s="65" t="s">
        <v>7891</v>
      </c>
      <c r="G5382" s="3" t="s">
        <v>416</v>
      </c>
      <c r="H5382" s="2" t="s">
        <v>6158</v>
      </c>
      <c r="I5382" s="3" t="s">
        <v>42</v>
      </c>
      <c r="J5382" s="31">
        <v>46008</v>
      </c>
      <c r="K5382" s="31">
        <v>46011</v>
      </c>
      <c r="L5382" s="31"/>
      <c r="M5382" s="31"/>
      <c r="N5382" s="31"/>
      <c r="O5382" s="3" t="s">
        <v>297</v>
      </c>
    </row>
    <row r="5383" spans="1:15">
      <c r="A5383" s="3">
        <f t="shared" si="108"/>
        <v>5382</v>
      </c>
      <c r="B5383" s="65" t="s">
        <v>7892</v>
      </c>
      <c r="C5383" s="1">
        <v>8919410270</v>
      </c>
      <c r="E5383" s="17" t="s">
        <v>7890</v>
      </c>
      <c r="F5383" s="65" t="s">
        <v>7893</v>
      </c>
      <c r="G5383" s="3" t="s">
        <v>295</v>
      </c>
      <c r="H5383" s="2" t="s">
        <v>6158</v>
      </c>
      <c r="I5383" s="3" t="s">
        <v>42</v>
      </c>
      <c r="J5383" s="31">
        <v>46008</v>
      </c>
      <c r="K5383" s="31">
        <v>46011</v>
      </c>
      <c r="L5383" s="31">
        <v>46010</v>
      </c>
      <c r="M5383" s="31">
        <v>46043</v>
      </c>
      <c r="N5383" s="31"/>
      <c r="O5383" s="3" t="s">
        <v>297</v>
      </c>
    </row>
    <row r="5384" spans="1:15">
      <c r="A5384" s="3">
        <f t="shared" si="108"/>
        <v>5383</v>
      </c>
      <c r="B5384" s="65" t="s">
        <v>7894</v>
      </c>
      <c r="C5384" s="1">
        <v>7722927816</v>
      </c>
      <c r="E5384" s="17" t="s">
        <v>7895</v>
      </c>
      <c r="F5384" s="65" t="s">
        <v>1555</v>
      </c>
      <c r="G5384" s="3" t="s">
        <v>416</v>
      </c>
      <c r="H5384" s="2" t="s">
        <v>815</v>
      </c>
      <c r="I5384" s="3" t="s">
        <v>94</v>
      </c>
      <c r="J5384" s="31">
        <v>46010</v>
      </c>
      <c r="K5384" s="31">
        <v>46011</v>
      </c>
      <c r="L5384" s="31"/>
      <c r="M5384" s="31"/>
      <c r="N5384" s="31"/>
      <c r="O5384" s="3" t="s">
        <v>297</v>
      </c>
    </row>
    <row r="5385" spans="1:15">
      <c r="A5385" s="3">
        <f t="shared" si="108"/>
        <v>5384</v>
      </c>
      <c r="B5385" s="65" t="s">
        <v>7896</v>
      </c>
      <c r="C5385" s="1">
        <v>6299668709</v>
      </c>
      <c r="E5385" s="17" t="s">
        <v>7895</v>
      </c>
      <c r="F5385" s="65" t="s">
        <v>1555</v>
      </c>
      <c r="G5385" s="3" t="s">
        <v>16</v>
      </c>
      <c r="H5385" s="2" t="s">
        <v>815</v>
      </c>
      <c r="I5385" s="3" t="s">
        <v>94</v>
      </c>
      <c r="J5385" s="31">
        <v>46010</v>
      </c>
      <c r="K5385" s="31">
        <v>46011</v>
      </c>
      <c r="L5385" s="31">
        <v>46016</v>
      </c>
      <c r="M5385" s="31">
        <v>46037</v>
      </c>
      <c r="N5385" s="31">
        <v>46039</v>
      </c>
      <c r="O5385" s="3" t="s">
        <v>297</v>
      </c>
    </row>
    <row r="5386" spans="1:15">
      <c r="A5386" s="3">
        <f t="shared" si="108"/>
        <v>5385</v>
      </c>
      <c r="B5386" s="65" t="s">
        <v>7897</v>
      </c>
      <c r="C5386" s="1">
        <v>9709434180</v>
      </c>
      <c r="E5386" s="17" t="s">
        <v>7898</v>
      </c>
      <c r="F5386" s="65" t="s">
        <v>1555</v>
      </c>
      <c r="G5386" s="3" t="s">
        <v>16</v>
      </c>
      <c r="H5386" s="2" t="s">
        <v>815</v>
      </c>
      <c r="I5386" s="3" t="s">
        <v>94</v>
      </c>
      <c r="J5386" s="31">
        <v>46010</v>
      </c>
      <c r="K5386" s="31">
        <v>46011</v>
      </c>
      <c r="L5386" s="31">
        <v>46016</v>
      </c>
      <c r="M5386" s="31">
        <v>46047</v>
      </c>
      <c r="N5386" s="31">
        <v>46040</v>
      </c>
      <c r="O5386" s="3" t="s">
        <v>297</v>
      </c>
    </row>
    <row r="5387" spans="1:15">
      <c r="A5387" s="3">
        <f t="shared" si="108"/>
        <v>5386</v>
      </c>
      <c r="B5387" s="65" t="s">
        <v>7899</v>
      </c>
      <c r="C5387" s="1">
        <v>9668858473</v>
      </c>
      <c r="E5387" s="17" t="s">
        <v>7898</v>
      </c>
      <c r="F5387" s="65" t="s">
        <v>1555</v>
      </c>
      <c r="G5387" s="3" t="s">
        <v>424</v>
      </c>
      <c r="H5387" s="2" t="s">
        <v>815</v>
      </c>
      <c r="I5387" s="3" t="s">
        <v>94</v>
      </c>
      <c r="J5387" s="31">
        <v>46010</v>
      </c>
      <c r="K5387" s="31">
        <v>46011</v>
      </c>
      <c r="L5387" s="31"/>
      <c r="M5387" s="31"/>
      <c r="N5387" s="31"/>
      <c r="O5387" s="3" t="s">
        <v>425</v>
      </c>
    </row>
    <row r="5388" spans="1:15">
      <c r="A5388" s="3">
        <f t="shared" si="108"/>
        <v>5387</v>
      </c>
      <c r="B5388" s="65" t="s">
        <v>7900</v>
      </c>
      <c r="C5388" s="1">
        <v>9348383817</v>
      </c>
      <c r="E5388" s="17" t="s">
        <v>7898</v>
      </c>
      <c r="F5388" s="65" t="s">
        <v>1555</v>
      </c>
      <c r="G5388" s="3" t="s">
        <v>424</v>
      </c>
      <c r="H5388" s="2" t="s">
        <v>815</v>
      </c>
      <c r="I5388" s="3" t="s">
        <v>94</v>
      </c>
      <c r="J5388" s="31">
        <v>46010</v>
      </c>
      <c r="K5388" s="31">
        <v>46011</v>
      </c>
      <c r="L5388" s="31"/>
      <c r="M5388" s="31"/>
      <c r="N5388" s="31"/>
      <c r="O5388" s="3" t="s">
        <v>425</v>
      </c>
    </row>
    <row r="5389" spans="1:15">
      <c r="A5389" s="3">
        <f t="shared" si="108"/>
        <v>5388</v>
      </c>
      <c r="B5389" s="65" t="s">
        <v>634</v>
      </c>
      <c r="C5389" s="1">
        <v>8082083502</v>
      </c>
      <c r="E5389" s="17" t="s">
        <v>7901</v>
      </c>
      <c r="F5389" s="65" t="s">
        <v>1772</v>
      </c>
      <c r="G5389" s="3" t="s">
        <v>424</v>
      </c>
      <c r="H5389" s="2" t="s">
        <v>368</v>
      </c>
      <c r="I5389" s="3" t="s">
        <v>88</v>
      </c>
      <c r="J5389" s="31">
        <v>46010</v>
      </c>
      <c r="K5389" s="31">
        <v>46038</v>
      </c>
      <c r="L5389" s="31"/>
      <c r="M5389" s="31"/>
      <c r="N5389" s="31"/>
      <c r="O5389" s="3" t="s">
        <v>425</v>
      </c>
    </row>
    <row r="5390" spans="1:15">
      <c r="A5390" s="3">
        <f t="shared" ref="A5390:A5399" si="109">ROW()-1</f>
        <v>5389</v>
      </c>
      <c r="B5390" s="65" t="s">
        <v>7902</v>
      </c>
      <c r="C5390" s="1">
        <v>9076050550</v>
      </c>
      <c r="E5390" s="17" t="s">
        <v>7901</v>
      </c>
      <c r="F5390" s="65" t="s">
        <v>4238</v>
      </c>
      <c r="G5390" s="3" t="s">
        <v>764</v>
      </c>
      <c r="H5390" s="2" t="s">
        <v>368</v>
      </c>
      <c r="I5390" s="3" t="s">
        <v>88</v>
      </c>
      <c r="J5390" s="31">
        <v>46010</v>
      </c>
      <c r="K5390" s="31">
        <v>46038</v>
      </c>
      <c r="L5390" s="31"/>
      <c r="M5390" s="31"/>
      <c r="N5390" s="31"/>
      <c r="O5390" s="3" t="s">
        <v>425</v>
      </c>
    </row>
    <row r="5391" spans="1:15">
      <c r="A5391" s="3">
        <f t="shared" si="109"/>
        <v>5390</v>
      </c>
      <c r="B5391" s="65" t="s">
        <v>7903</v>
      </c>
      <c r="C5391" s="1">
        <v>8839193594</v>
      </c>
      <c r="E5391" s="17" t="s">
        <v>7904</v>
      </c>
      <c r="F5391" s="65" t="s">
        <v>3778</v>
      </c>
      <c r="G5391" s="3" t="s">
        <v>424</v>
      </c>
      <c r="H5391" s="2" t="s">
        <v>368</v>
      </c>
      <c r="I5391" s="3" t="s">
        <v>88</v>
      </c>
      <c r="J5391" s="31">
        <v>46010</v>
      </c>
      <c r="K5391" s="31">
        <v>46038</v>
      </c>
      <c r="L5391" s="31"/>
      <c r="M5391" s="31"/>
      <c r="N5391" s="31"/>
      <c r="O5391" s="3" t="s">
        <v>749</v>
      </c>
    </row>
    <row r="5392" spans="1:15">
      <c r="A5392" s="3">
        <f t="shared" si="109"/>
        <v>5391</v>
      </c>
      <c r="B5392" s="65" t="s">
        <v>7905</v>
      </c>
      <c r="C5392" s="1">
        <v>9154308608</v>
      </c>
      <c r="D5392" s="1">
        <v>9502761764</v>
      </c>
      <c r="E5392" s="17" t="s">
        <v>7904</v>
      </c>
      <c r="F5392" s="65" t="s">
        <v>3778</v>
      </c>
      <c r="G5392" s="3" t="s">
        <v>424</v>
      </c>
      <c r="H5392" s="2" t="s">
        <v>368</v>
      </c>
      <c r="I5392" s="3" t="s">
        <v>88</v>
      </c>
      <c r="J5392" s="31">
        <v>46010</v>
      </c>
      <c r="K5392" s="31">
        <v>46038</v>
      </c>
      <c r="L5392" s="31"/>
      <c r="M5392" s="31"/>
      <c r="N5392" s="31"/>
      <c r="O5392" s="3" t="s">
        <v>749</v>
      </c>
    </row>
    <row r="5393" spans="1:15">
      <c r="A5393" s="3">
        <f t="shared" si="109"/>
        <v>5392</v>
      </c>
      <c r="B5393" s="65" t="s">
        <v>7906</v>
      </c>
      <c r="C5393" s="1">
        <v>9981442362</v>
      </c>
      <c r="E5393" s="17" t="s">
        <v>7904</v>
      </c>
      <c r="F5393" s="65" t="s">
        <v>3778</v>
      </c>
      <c r="G5393" s="3" t="s">
        <v>764</v>
      </c>
      <c r="H5393" s="2" t="s">
        <v>368</v>
      </c>
      <c r="I5393" s="3" t="s">
        <v>88</v>
      </c>
      <c r="J5393" s="31">
        <v>46010</v>
      </c>
      <c r="K5393" s="31">
        <v>46038</v>
      </c>
      <c r="L5393" s="31"/>
      <c r="M5393" s="31"/>
      <c r="N5393" s="31"/>
      <c r="O5393" s="3" t="s">
        <v>425</v>
      </c>
    </row>
    <row r="5394" spans="1:15">
      <c r="A5394" s="3">
        <f t="shared" si="109"/>
        <v>5393</v>
      </c>
      <c r="B5394" s="65" t="s">
        <v>7907</v>
      </c>
      <c r="C5394" s="1">
        <v>7006471410</v>
      </c>
      <c r="E5394" s="17" t="s">
        <v>7904</v>
      </c>
      <c r="F5394" s="65" t="s">
        <v>1772</v>
      </c>
      <c r="G5394" s="3" t="s">
        <v>424</v>
      </c>
      <c r="H5394" s="2" t="s">
        <v>368</v>
      </c>
      <c r="I5394" s="3" t="s">
        <v>88</v>
      </c>
      <c r="J5394" s="31">
        <v>46010</v>
      </c>
      <c r="K5394" s="31">
        <v>46038</v>
      </c>
      <c r="L5394" s="31"/>
      <c r="M5394" s="31"/>
      <c r="N5394" s="31"/>
      <c r="O5394" s="3" t="s">
        <v>749</v>
      </c>
    </row>
    <row r="5395" spans="1:15">
      <c r="A5395" s="3">
        <f t="shared" si="109"/>
        <v>5394</v>
      </c>
      <c r="B5395" s="65" t="s">
        <v>7908</v>
      </c>
      <c r="C5395" s="1">
        <v>9392785200</v>
      </c>
      <c r="E5395" s="17" t="s">
        <v>7904</v>
      </c>
      <c r="F5395" s="65" t="s">
        <v>3778</v>
      </c>
      <c r="G5395" s="3" t="s">
        <v>424</v>
      </c>
      <c r="H5395" s="2" t="s">
        <v>368</v>
      </c>
      <c r="I5395" s="3" t="s">
        <v>88</v>
      </c>
      <c r="J5395" s="31">
        <v>46010</v>
      </c>
      <c r="K5395" s="31">
        <v>46043</v>
      </c>
      <c r="L5395" s="31"/>
      <c r="M5395" s="31"/>
      <c r="N5395" s="31"/>
      <c r="O5395" s="3" t="s">
        <v>749</v>
      </c>
    </row>
    <row r="5396" spans="1:15">
      <c r="A5396" s="3">
        <f t="shared" si="109"/>
        <v>5395</v>
      </c>
      <c r="B5396" s="65" t="s">
        <v>7909</v>
      </c>
      <c r="C5396" s="1">
        <v>9912680036</v>
      </c>
      <c r="E5396" s="17" t="s">
        <v>7904</v>
      </c>
      <c r="F5396" s="65" t="s">
        <v>4238</v>
      </c>
      <c r="G5396" s="3" t="s">
        <v>424</v>
      </c>
      <c r="H5396" s="2" t="s">
        <v>368</v>
      </c>
      <c r="I5396" s="3" t="s">
        <v>88</v>
      </c>
      <c r="J5396" s="31">
        <v>46010</v>
      </c>
      <c r="K5396" s="31">
        <v>46038</v>
      </c>
      <c r="L5396" s="31"/>
      <c r="M5396" s="31"/>
      <c r="N5396" s="31"/>
      <c r="O5396" s="3" t="s">
        <v>749</v>
      </c>
    </row>
    <row r="5397" spans="1:15">
      <c r="A5397" s="3">
        <f t="shared" si="109"/>
        <v>5396</v>
      </c>
      <c r="B5397" s="65" t="s">
        <v>7910</v>
      </c>
      <c r="C5397" s="1">
        <v>9260909771</v>
      </c>
      <c r="E5397" s="17" t="s">
        <v>7904</v>
      </c>
      <c r="F5397" s="65" t="s">
        <v>7342</v>
      </c>
      <c r="G5397" s="3" t="s">
        <v>424</v>
      </c>
      <c r="H5397" s="2" t="s">
        <v>368</v>
      </c>
      <c r="I5397" s="3" t="s">
        <v>88</v>
      </c>
      <c r="J5397" s="31">
        <v>46010</v>
      </c>
      <c r="K5397" s="31">
        <v>46038</v>
      </c>
      <c r="L5397" s="31"/>
      <c r="M5397" s="31"/>
      <c r="N5397" s="31"/>
      <c r="O5397" s="3" t="s">
        <v>749</v>
      </c>
    </row>
    <row r="5398" spans="1:15">
      <c r="A5398" s="3">
        <f t="shared" si="109"/>
        <v>5397</v>
      </c>
      <c r="B5398" s="65" t="s">
        <v>7911</v>
      </c>
      <c r="C5398" s="1">
        <v>9642913108</v>
      </c>
      <c r="D5398" s="1">
        <v>7989489300</v>
      </c>
      <c r="E5398" s="17" t="s">
        <v>7912</v>
      </c>
      <c r="F5398" s="65" t="s">
        <v>7342</v>
      </c>
      <c r="G5398" s="3" t="s">
        <v>424</v>
      </c>
      <c r="H5398" s="2" t="s">
        <v>368</v>
      </c>
      <c r="I5398" s="3" t="s">
        <v>88</v>
      </c>
      <c r="J5398" s="31">
        <v>46010</v>
      </c>
      <c r="K5398" s="31">
        <v>46038</v>
      </c>
      <c r="L5398" s="31"/>
      <c r="M5398" s="31"/>
      <c r="N5398" s="31"/>
      <c r="O5398" s="3" t="s">
        <v>749</v>
      </c>
    </row>
    <row r="5399" spans="1:15">
      <c r="A5399" s="3">
        <f t="shared" si="109"/>
        <v>5398</v>
      </c>
      <c r="B5399" s="65" t="s">
        <v>7913</v>
      </c>
      <c r="C5399" s="1">
        <v>7842374006</v>
      </c>
      <c r="E5399" s="17" t="s">
        <v>5454</v>
      </c>
      <c r="F5399" s="65" t="s">
        <v>7914</v>
      </c>
      <c r="G5399" s="3" t="s">
        <v>295</v>
      </c>
      <c r="H5399" s="2" t="s">
        <v>999</v>
      </c>
      <c r="I5399" s="3" t="s">
        <v>42</v>
      </c>
      <c r="J5399" s="31">
        <v>46010</v>
      </c>
      <c r="K5399" s="31">
        <v>46013</v>
      </c>
      <c r="L5399" s="31">
        <v>46024</v>
      </c>
      <c r="M5399" s="31">
        <v>46044</v>
      </c>
      <c r="N5399" s="31"/>
      <c r="O5399" s="3" t="s">
        <v>297</v>
      </c>
    </row>
    <row r="5400" spans="1:15">
      <c r="A5400" s="3">
        <f t="shared" ref="A5400:A5437" si="110">ROW()-1</f>
        <v>5399</v>
      </c>
      <c r="B5400" s="65" t="s">
        <v>7915</v>
      </c>
      <c r="C5400" s="1">
        <v>7257001470</v>
      </c>
      <c r="E5400" s="3" t="s">
        <v>7136</v>
      </c>
      <c r="F5400" s="65"/>
      <c r="G5400" s="3" t="s">
        <v>16</v>
      </c>
      <c r="H5400" s="2" t="s">
        <v>296</v>
      </c>
      <c r="I5400" s="3" t="s">
        <v>88</v>
      </c>
      <c r="J5400" s="31">
        <v>46004</v>
      </c>
      <c r="K5400" s="31">
        <v>46007</v>
      </c>
      <c r="L5400" s="31">
        <v>46007</v>
      </c>
      <c r="M5400" s="31">
        <v>46055</v>
      </c>
      <c r="N5400" s="31">
        <v>46055</v>
      </c>
      <c r="O5400" s="3" t="s">
        <v>297</v>
      </c>
    </row>
    <row r="5401" spans="1:15">
      <c r="A5401" s="3">
        <f t="shared" si="110"/>
        <v>5400</v>
      </c>
      <c r="B5401" s="65" t="s">
        <v>7916</v>
      </c>
      <c r="C5401" s="1">
        <v>6970969709</v>
      </c>
      <c r="E5401" s="17" t="s">
        <v>7917</v>
      </c>
      <c r="F5401" s="65"/>
      <c r="G5401" s="2" t="s">
        <v>16</v>
      </c>
      <c r="H5401" s="2" t="s">
        <v>815</v>
      </c>
      <c r="I5401" s="3" t="s">
        <v>88</v>
      </c>
      <c r="J5401" s="31">
        <v>46004</v>
      </c>
      <c r="K5401" s="31">
        <v>46007</v>
      </c>
      <c r="L5401" s="31">
        <v>46007</v>
      </c>
      <c r="M5401" s="31">
        <v>46041</v>
      </c>
      <c r="N5401" s="31">
        <v>46041</v>
      </c>
      <c r="O5401" s="3" t="s">
        <v>297</v>
      </c>
    </row>
    <row r="5402" spans="1:15">
      <c r="A5402" s="3">
        <f t="shared" si="110"/>
        <v>5401</v>
      </c>
      <c r="B5402" s="65" t="s">
        <v>7918</v>
      </c>
      <c r="C5402" s="1">
        <v>7095565741</v>
      </c>
      <c r="E5402" s="17" t="s">
        <v>7919</v>
      </c>
      <c r="F5402" s="65" t="s">
        <v>303</v>
      </c>
      <c r="G5402" s="2" t="s">
        <v>16</v>
      </c>
      <c r="H5402" s="2" t="s">
        <v>590</v>
      </c>
      <c r="I5402" s="3" t="s">
        <v>88</v>
      </c>
      <c r="J5402" s="31">
        <v>46010</v>
      </c>
      <c r="K5402" s="31">
        <v>46013</v>
      </c>
      <c r="L5402" s="31">
        <v>46010</v>
      </c>
      <c r="M5402" s="31">
        <v>46041</v>
      </c>
      <c r="N5402" s="31">
        <v>46029</v>
      </c>
      <c r="O5402" s="3" t="s">
        <v>297</v>
      </c>
    </row>
    <row r="5403" spans="1:15">
      <c r="A5403" s="3">
        <f t="shared" si="110"/>
        <v>5402</v>
      </c>
      <c r="B5403" s="65" t="s">
        <v>7920</v>
      </c>
      <c r="C5403" s="1">
        <v>6294290419</v>
      </c>
      <c r="D5403" s="1">
        <v>9734432471</v>
      </c>
      <c r="E5403" s="17" t="s">
        <v>6236</v>
      </c>
      <c r="F5403" s="65" t="s">
        <v>3594</v>
      </c>
      <c r="G5403" s="3" t="s">
        <v>16</v>
      </c>
      <c r="H5403" s="2" t="s">
        <v>3240</v>
      </c>
      <c r="I5403" s="3" t="s">
        <v>42</v>
      </c>
      <c r="J5403" s="31">
        <v>46010</v>
      </c>
      <c r="K5403" s="31">
        <v>46012</v>
      </c>
      <c r="L5403" s="31">
        <v>46010</v>
      </c>
      <c r="M5403" s="31">
        <v>46041</v>
      </c>
      <c r="N5403" s="31">
        <v>46039</v>
      </c>
      <c r="O5403" s="3" t="s">
        <v>297</v>
      </c>
    </row>
    <row r="5404" spans="1:15">
      <c r="A5404" s="3">
        <f t="shared" si="110"/>
        <v>5403</v>
      </c>
      <c r="B5404" s="65" t="s">
        <v>3174</v>
      </c>
      <c r="C5404" s="1">
        <v>8709987839</v>
      </c>
      <c r="E5404" s="17" t="s">
        <v>6236</v>
      </c>
      <c r="F5404" s="65" t="s">
        <v>303</v>
      </c>
      <c r="G5404" s="3" t="s">
        <v>416</v>
      </c>
      <c r="H5404" s="2" t="s">
        <v>3240</v>
      </c>
      <c r="I5404" s="3" t="s">
        <v>42</v>
      </c>
      <c r="J5404" s="31">
        <v>46010</v>
      </c>
      <c r="K5404" s="31">
        <v>46025</v>
      </c>
      <c r="L5404" s="31"/>
      <c r="M5404" s="31"/>
      <c r="N5404" s="31"/>
      <c r="O5404" s="3" t="s">
        <v>297</v>
      </c>
    </row>
    <row r="5405" spans="1:15">
      <c r="A5405" s="3">
        <f t="shared" si="110"/>
        <v>5404</v>
      </c>
      <c r="B5405" s="65" t="s">
        <v>7921</v>
      </c>
      <c r="C5405" s="1">
        <v>8871198276</v>
      </c>
      <c r="E5405" s="17" t="s">
        <v>6236</v>
      </c>
      <c r="F5405" s="65" t="s">
        <v>490</v>
      </c>
      <c r="G5405" s="3" t="s">
        <v>16</v>
      </c>
      <c r="H5405" s="2" t="s">
        <v>3240</v>
      </c>
      <c r="I5405" s="3" t="s">
        <v>42</v>
      </c>
      <c r="J5405" s="31">
        <v>46010</v>
      </c>
      <c r="K5405" s="31">
        <v>46012</v>
      </c>
      <c r="L5405" s="31">
        <v>46052</v>
      </c>
      <c r="M5405" s="31">
        <v>46073</v>
      </c>
      <c r="N5405" s="31">
        <v>46063</v>
      </c>
      <c r="O5405" s="3" t="s">
        <v>297</v>
      </c>
    </row>
    <row r="5406" spans="1:15">
      <c r="A5406" s="3">
        <f t="shared" si="110"/>
        <v>5405</v>
      </c>
      <c r="B5406" s="65" t="s">
        <v>7922</v>
      </c>
      <c r="C5406" s="1">
        <v>6203118093</v>
      </c>
      <c r="D5406" s="1">
        <v>8521903134</v>
      </c>
      <c r="E5406" s="17" t="s">
        <v>7923</v>
      </c>
      <c r="F5406" s="65" t="s">
        <v>6000</v>
      </c>
      <c r="G5406" s="3" t="s">
        <v>18</v>
      </c>
      <c r="H5406" s="2" t="s">
        <v>3240</v>
      </c>
      <c r="I5406" s="3" t="s">
        <v>42</v>
      </c>
      <c r="J5406" s="31">
        <v>46010</v>
      </c>
      <c r="K5406" s="31">
        <v>46025</v>
      </c>
      <c r="L5406" s="31"/>
      <c r="M5406" s="31"/>
      <c r="N5406" s="31"/>
      <c r="O5406" s="3" t="s">
        <v>297</v>
      </c>
    </row>
    <row r="5407" spans="1:15">
      <c r="A5407" s="3">
        <f t="shared" si="110"/>
        <v>5406</v>
      </c>
      <c r="B5407" s="65" t="s">
        <v>1871</v>
      </c>
      <c r="C5407" s="1">
        <v>9693220104</v>
      </c>
      <c r="D5407" s="1">
        <v>7400998807</v>
      </c>
      <c r="E5407" s="17" t="s">
        <v>6199</v>
      </c>
      <c r="F5407" s="65" t="s">
        <v>7924</v>
      </c>
      <c r="G5407" s="3" t="s">
        <v>18</v>
      </c>
      <c r="H5407" s="2" t="s">
        <v>3240</v>
      </c>
      <c r="I5407" s="3" t="s">
        <v>42</v>
      </c>
      <c r="J5407" s="31">
        <v>46010</v>
      </c>
      <c r="K5407" s="31">
        <v>46012</v>
      </c>
      <c r="L5407" s="31"/>
      <c r="M5407" s="31"/>
      <c r="N5407" s="31"/>
      <c r="O5407" s="3" t="s">
        <v>297</v>
      </c>
    </row>
    <row r="5408" spans="1:15">
      <c r="A5408" s="3">
        <f t="shared" si="110"/>
        <v>5407</v>
      </c>
      <c r="B5408" s="65" t="s">
        <v>7925</v>
      </c>
      <c r="C5408" s="1">
        <v>8862865380</v>
      </c>
      <c r="E5408" s="17" t="s">
        <v>6236</v>
      </c>
      <c r="F5408" s="65" t="s">
        <v>7926</v>
      </c>
      <c r="G5408" s="3" t="s">
        <v>295</v>
      </c>
      <c r="H5408" s="2" t="s">
        <v>3240</v>
      </c>
      <c r="I5408" s="3" t="s">
        <v>42</v>
      </c>
      <c r="J5408" s="31">
        <v>46010</v>
      </c>
      <c r="K5408" s="31">
        <v>46012</v>
      </c>
      <c r="L5408" s="31">
        <v>46016</v>
      </c>
      <c r="M5408" s="31">
        <v>46041</v>
      </c>
      <c r="N5408" s="31"/>
      <c r="O5408" s="3" t="s">
        <v>297</v>
      </c>
    </row>
    <row r="5409" spans="1:15">
      <c r="A5409" s="3">
        <f t="shared" si="110"/>
        <v>5408</v>
      </c>
      <c r="B5409" s="65" t="s">
        <v>493</v>
      </c>
      <c r="C5409" s="1">
        <v>9576228079</v>
      </c>
      <c r="E5409" s="17" t="s">
        <v>6236</v>
      </c>
      <c r="F5409" s="65" t="s">
        <v>303</v>
      </c>
      <c r="G5409" s="2" t="s">
        <v>16</v>
      </c>
      <c r="H5409" s="2" t="s">
        <v>3240</v>
      </c>
      <c r="I5409" s="3" t="s">
        <v>42</v>
      </c>
      <c r="J5409" s="31">
        <v>46010</v>
      </c>
      <c r="K5409" s="31">
        <v>46012</v>
      </c>
      <c r="L5409" s="31">
        <v>46016</v>
      </c>
      <c r="M5409" s="31">
        <v>46032</v>
      </c>
      <c r="N5409" s="31">
        <v>46032</v>
      </c>
      <c r="O5409" s="3" t="s">
        <v>297</v>
      </c>
    </row>
    <row r="5410" spans="1:15">
      <c r="A5410" s="3">
        <f t="shared" si="110"/>
        <v>5409</v>
      </c>
      <c r="B5410" s="65" t="s">
        <v>7927</v>
      </c>
      <c r="C5410" s="1">
        <v>9935105747</v>
      </c>
      <c r="E5410" s="17" t="s">
        <v>7928</v>
      </c>
      <c r="F5410" s="65" t="s">
        <v>7929</v>
      </c>
      <c r="G5410" s="3" t="s">
        <v>424</v>
      </c>
      <c r="H5410" s="2" t="s">
        <v>930</v>
      </c>
      <c r="I5410" s="3" t="s">
        <v>94</v>
      </c>
      <c r="J5410" s="31">
        <v>46010</v>
      </c>
      <c r="K5410" s="31">
        <v>46011</v>
      </c>
      <c r="L5410" s="31"/>
      <c r="M5410" s="31"/>
      <c r="N5410" s="31"/>
      <c r="O5410" s="3" t="s">
        <v>425</v>
      </c>
    </row>
    <row r="5411" spans="1:15">
      <c r="A5411" s="3">
        <f t="shared" si="110"/>
        <v>5410</v>
      </c>
      <c r="B5411" s="65" t="s">
        <v>7930</v>
      </c>
      <c r="C5411" s="1">
        <v>9748106768</v>
      </c>
      <c r="E5411" s="17" t="s">
        <v>7928</v>
      </c>
      <c r="F5411" s="65" t="s">
        <v>7931</v>
      </c>
      <c r="G5411" s="3" t="s">
        <v>424</v>
      </c>
      <c r="H5411" s="2" t="s">
        <v>930</v>
      </c>
      <c r="I5411" s="3" t="s">
        <v>94</v>
      </c>
      <c r="J5411" s="31">
        <v>46010</v>
      </c>
      <c r="K5411" s="31">
        <v>46011</v>
      </c>
      <c r="L5411" s="31"/>
      <c r="M5411" s="31"/>
      <c r="N5411" s="31"/>
      <c r="O5411" s="3" t="s">
        <v>425</v>
      </c>
    </row>
    <row r="5412" spans="1:15">
      <c r="A5412" s="3">
        <f t="shared" si="110"/>
        <v>5411</v>
      </c>
      <c r="B5412" s="65" t="s">
        <v>7932</v>
      </c>
      <c r="C5412" s="1">
        <v>8250050667</v>
      </c>
      <c r="D5412" s="1">
        <v>9455674280</v>
      </c>
      <c r="E5412" s="17" t="s">
        <v>7928</v>
      </c>
      <c r="F5412" s="65" t="s">
        <v>1312</v>
      </c>
      <c r="G5412" s="3" t="s">
        <v>416</v>
      </c>
      <c r="H5412" s="2" t="s">
        <v>930</v>
      </c>
      <c r="I5412" s="3" t="s">
        <v>94</v>
      </c>
      <c r="J5412" s="31">
        <v>46010</v>
      </c>
      <c r="K5412" s="31">
        <v>46011</v>
      </c>
      <c r="L5412" s="31"/>
      <c r="M5412" s="31"/>
      <c r="N5412" s="31"/>
      <c r="O5412" s="3" t="s">
        <v>297</v>
      </c>
    </row>
    <row r="5413" spans="1:15">
      <c r="A5413" s="3">
        <f t="shared" si="110"/>
        <v>5412</v>
      </c>
      <c r="B5413" s="65" t="s">
        <v>7933</v>
      </c>
      <c r="C5413" s="1">
        <v>7704905252</v>
      </c>
      <c r="E5413" s="17" t="s">
        <v>7934</v>
      </c>
      <c r="F5413" s="65" t="s">
        <v>2251</v>
      </c>
      <c r="G5413" s="3" t="s">
        <v>16</v>
      </c>
      <c r="H5413" s="2" t="s">
        <v>7935</v>
      </c>
      <c r="I5413" s="3" t="s">
        <v>94</v>
      </c>
      <c r="J5413" s="31">
        <v>46010</v>
      </c>
      <c r="K5413" s="31">
        <v>46014</v>
      </c>
      <c r="L5413" s="31">
        <v>46031</v>
      </c>
      <c r="M5413" s="31">
        <v>46087</v>
      </c>
      <c r="N5413" s="31">
        <v>46086</v>
      </c>
      <c r="O5413" s="3" t="s">
        <v>297</v>
      </c>
    </row>
    <row r="5414" spans="1:15">
      <c r="A5414" s="3">
        <f t="shared" si="110"/>
        <v>5413</v>
      </c>
      <c r="B5414" s="65" t="s">
        <v>7936</v>
      </c>
      <c r="C5414" s="1">
        <v>7409366704</v>
      </c>
      <c r="E5414" s="17" t="s">
        <v>7937</v>
      </c>
      <c r="F5414" s="65" t="s">
        <v>1199</v>
      </c>
      <c r="G5414" s="3" t="s">
        <v>416</v>
      </c>
      <c r="H5414" s="2" t="s">
        <v>7935</v>
      </c>
      <c r="I5414" s="3" t="s">
        <v>94</v>
      </c>
      <c r="J5414" s="31">
        <v>46010</v>
      </c>
      <c r="K5414" s="31">
        <v>46014</v>
      </c>
      <c r="L5414" s="31"/>
      <c r="M5414" s="31"/>
      <c r="N5414" s="31"/>
      <c r="O5414" s="3" t="s">
        <v>297</v>
      </c>
    </row>
    <row r="5415" spans="1:15">
      <c r="A5415" s="3">
        <f t="shared" si="110"/>
        <v>5414</v>
      </c>
      <c r="B5415" s="65" t="s">
        <v>413</v>
      </c>
      <c r="C5415" s="1">
        <v>7760525653</v>
      </c>
      <c r="E5415" s="17" t="s">
        <v>7937</v>
      </c>
      <c r="F5415" s="65" t="s">
        <v>687</v>
      </c>
      <c r="G5415" s="3" t="s">
        <v>424</v>
      </c>
      <c r="H5415" s="2" t="s">
        <v>7935</v>
      </c>
      <c r="I5415" s="3" t="s">
        <v>94</v>
      </c>
      <c r="J5415" s="31">
        <v>46010</v>
      </c>
      <c r="K5415" s="31">
        <v>46014</v>
      </c>
      <c r="L5415" s="31"/>
      <c r="M5415" s="31"/>
      <c r="N5415" s="31"/>
      <c r="O5415" s="3" t="s">
        <v>749</v>
      </c>
    </row>
    <row r="5416" spans="1:15">
      <c r="A5416" s="3">
        <f t="shared" si="110"/>
        <v>5415</v>
      </c>
      <c r="B5416" s="65" t="s">
        <v>7938</v>
      </c>
      <c r="C5416" s="1">
        <v>9510051494</v>
      </c>
      <c r="E5416" s="17" t="s">
        <v>3997</v>
      </c>
      <c r="F5416" s="65" t="s">
        <v>7939</v>
      </c>
      <c r="G5416" s="3" t="s">
        <v>14</v>
      </c>
      <c r="H5416" s="2" t="s">
        <v>296</v>
      </c>
      <c r="I5416" s="3" t="s">
        <v>94</v>
      </c>
      <c r="J5416" s="31">
        <v>46010</v>
      </c>
      <c r="K5416" s="31">
        <v>46050</v>
      </c>
      <c r="L5416" s="31"/>
      <c r="M5416" s="31"/>
      <c r="N5416" s="31"/>
      <c r="O5416" s="3" t="s">
        <v>297</v>
      </c>
    </row>
    <row r="5417" spans="1:15">
      <c r="A5417" s="3">
        <f t="shared" si="110"/>
        <v>5416</v>
      </c>
      <c r="B5417" s="65" t="s">
        <v>7940</v>
      </c>
      <c r="C5417" s="1">
        <v>7070429599</v>
      </c>
      <c r="E5417" s="17" t="s">
        <v>7901</v>
      </c>
      <c r="F5417" s="65" t="s">
        <v>1312</v>
      </c>
      <c r="G5417" s="3" t="s">
        <v>424</v>
      </c>
      <c r="H5417" s="2" t="s">
        <v>368</v>
      </c>
      <c r="I5417" s="3" t="s">
        <v>88</v>
      </c>
      <c r="J5417" s="31">
        <v>46010</v>
      </c>
      <c r="K5417" s="31">
        <v>46038</v>
      </c>
      <c r="L5417" s="31"/>
      <c r="M5417" s="31"/>
      <c r="N5417" s="31"/>
      <c r="O5417" s="3" t="s">
        <v>749</v>
      </c>
    </row>
    <row r="5418" spans="1:15">
      <c r="A5418" s="3">
        <f t="shared" si="110"/>
        <v>5417</v>
      </c>
      <c r="B5418" s="65" t="s">
        <v>1587</v>
      </c>
      <c r="C5418" s="1">
        <v>9997389904</v>
      </c>
      <c r="E5418" s="17" t="s">
        <v>7904</v>
      </c>
      <c r="F5418" s="65" t="s">
        <v>7941</v>
      </c>
      <c r="G5418" s="3" t="s">
        <v>424</v>
      </c>
      <c r="H5418" s="2" t="s">
        <v>368</v>
      </c>
      <c r="I5418" s="3" t="s">
        <v>88</v>
      </c>
      <c r="J5418" s="31">
        <v>46010</v>
      </c>
      <c r="K5418" s="31">
        <v>46038</v>
      </c>
      <c r="L5418" s="31"/>
      <c r="M5418" s="31"/>
      <c r="N5418" s="31"/>
      <c r="O5418" s="3" t="s">
        <v>749</v>
      </c>
    </row>
    <row r="5419" spans="1:15">
      <c r="A5419" s="3">
        <f t="shared" si="110"/>
        <v>5418</v>
      </c>
      <c r="B5419" s="65" t="s">
        <v>7942</v>
      </c>
      <c r="C5419" s="1">
        <v>9804657345</v>
      </c>
      <c r="E5419" s="17" t="s">
        <v>7904</v>
      </c>
      <c r="F5419" s="65" t="s">
        <v>1772</v>
      </c>
      <c r="G5419" s="3" t="s">
        <v>416</v>
      </c>
      <c r="H5419" s="2" t="s">
        <v>368</v>
      </c>
      <c r="I5419" s="3" t="s">
        <v>88</v>
      </c>
      <c r="J5419" s="31">
        <v>46010</v>
      </c>
      <c r="K5419" s="31">
        <v>46038</v>
      </c>
      <c r="L5419" s="31"/>
      <c r="M5419" s="31"/>
      <c r="N5419" s="31"/>
      <c r="O5419" s="3" t="s">
        <v>297</v>
      </c>
    </row>
    <row r="5420" spans="1:15">
      <c r="A5420" s="3">
        <f t="shared" si="110"/>
        <v>5419</v>
      </c>
      <c r="B5420" s="65" t="s">
        <v>7943</v>
      </c>
      <c r="C5420" s="1">
        <v>9182708419</v>
      </c>
      <c r="D5420" s="1">
        <v>9502175606</v>
      </c>
      <c r="E5420" s="17" t="s">
        <v>7904</v>
      </c>
      <c r="F5420" s="65" t="s">
        <v>7342</v>
      </c>
      <c r="G5420" s="3" t="s">
        <v>424</v>
      </c>
      <c r="H5420" s="2" t="s">
        <v>368</v>
      </c>
      <c r="I5420" s="3" t="s">
        <v>88</v>
      </c>
      <c r="J5420" s="31">
        <v>46010</v>
      </c>
      <c r="K5420" s="31">
        <v>46038</v>
      </c>
      <c r="L5420" s="31"/>
      <c r="M5420" s="31"/>
      <c r="N5420" s="31"/>
      <c r="O5420" s="3" t="s">
        <v>425</v>
      </c>
    </row>
    <row r="5421" spans="1:15">
      <c r="A5421" s="3">
        <f t="shared" si="110"/>
        <v>5420</v>
      </c>
      <c r="B5421" s="65" t="s">
        <v>7944</v>
      </c>
      <c r="C5421" s="1">
        <v>7006848879</v>
      </c>
      <c r="D5421" s="1">
        <v>9469294125</v>
      </c>
      <c r="E5421" s="17" t="s">
        <v>7912</v>
      </c>
      <c r="F5421" s="65" t="s">
        <v>7945</v>
      </c>
      <c r="G5421" s="3" t="s">
        <v>424</v>
      </c>
      <c r="H5421" s="2" t="s">
        <v>368</v>
      </c>
      <c r="I5421" s="3" t="s">
        <v>88</v>
      </c>
      <c r="J5421" s="31">
        <v>46010</v>
      </c>
      <c r="K5421" s="31">
        <v>46038</v>
      </c>
      <c r="L5421" s="31"/>
      <c r="M5421" s="31"/>
      <c r="N5421" s="31"/>
      <c r="O5421" s="3" t="s">
        <v>425</v>
      </c>
    </row>
    <row r="5422" spans="1:15">
      <c r="A5422" s="3">
        <f t="shared" si="110"/>
        <v>5421</v>
      </c>
      <c r="B5422" s="65" t="s">
        <v>2095</v>
      </c>
      <c r="C5422" s="1">
        <v>7225801474</v>
      </c>
      <c r="E5422" s="17" t="s">
        <v>7912</v>
      </c>
      <c r="F5422" s="65" t="s">
        <v>4370</v>
      </c>
      <c r="G5422" s="3" t="s">
        <v>424</v>
      </c>
      <c r="H5422" s="2" t="s">
        <v>368</v>
      </c>
      <c r="I5422" s="3" t="s">
        <v>88</v>
      </c>
      <c r="J5422" s="31">
        <v>46010</v>
      </c>
      <c r="K5422" s="31">
        <v>46038</v>
      </c>
      <c r="L5422" s="31"/>
      <c r="M5422" s="31"/>
      <c r="N5422" s="31"/>
      <c r="O5422" s="3" t="s">
        <v>749</v>
      </c>
    </row>
    <row r="5423" spans="1:15">
      <c r="A5423" s="3">
        <f t="shared" si="110"/>
        <v>5422</v>
      </c>
      <c r="B5423" s="65" t="s">
        <v>7946</v>
      </c>
      <c r="C5423" s="1">
        <v>9354468288</v>
      </c>
      <c r="E5423" s="17" t="s">
        <v>7912</v>
      </c>
      <c r="F5423" s="65" t="s">
        <v>7342</v>
      </c>
      <c r="G5423" s="3" t="s">
        <v>424</v>
      </c>
      <c r="H5423" s="2" t="s">
        <v>368</v>
      </c>
      <c r="I5423" s="3" t="s">
        <v>88</v>
      </c>
      <c r="J5423" s="31">
        <v>46010</v>
      </c>
      <c r="K5423" s="31">
        <v>46038</v>
      </c>
      <c r="L5423" s="31"/>
      <c r="M5423" s="31"/>
      <c r="N5423" s="31"/>
      <c r="O5423" s="3" t="s">
        <v>749</v>
      </c>
    </row>
    <row r="5424" spans="1:15">
      <c r="A5424" s="3">
        <f t="shared" si="110"/>
        <v>5423</v>
      </c>
      <c r="B5424" s="65" t="s">
        <v>7947</v>
      </c>
      <c r="C5424" s="1">
        <v>9103131895</v>
      </c>
      <c r="E5424" s="17" t="s">
        <v>7912</v>
      </c>
      <c r="F5424" s="65" t="s">
        <v>4370</v>
      </c>
      <c r="G5424" s="3" t="s">
        <v>424</v>
      </c>
      <c r="H5424" s="2" t="s">
        <v>368</v>
      </c>
      <c r="I5424" s="3" t="s">
        <v>88</v>
      </c>
      <c r="J5424" s="31">
        <v>46010</v>
      </c>
      <c r="K5424" s="31">
        <v>46038</v>
      </c>
      <c r="L5424" s="31"/>
      <c r="M5424" s="31"/>
      <c r="N5424" s="31"/>
      <c r="O5424" s="3" t="s">
        <v>749</v>
      </c>
    </row>
    <row r="5425" spans="1:15">
      <c r="A5425" s="3">
        <f t="shared" si="110"/>
        <v>5424</v>
      </c>
      <c r="B5425" s="65" t="s">
        <v>4215</v>
      </c>
      <c r="C5425" s="1">
        <v>7717642654</v>
      </c>
      <c r="D5425" s="1">
        <v>9814709255</v>
      </c>
      <c r="E5425" s="17" t="s">
        <v>7912</v>
      </c>
      <c r="F5425" s="65" t="s">
        <v>7948</v>
      </c>
      <c r="G5425" s="3" t="s">
        <v>764</v>
      </c>
      <c r="H5425" s="2" t="s">
        <v>368</v>
      </c>
      <c r="I5425" s="3" t="s">
        <v>88</v>
      </c>
      <c r="J5425" s="31">
        <v>46010</v>
      </c>
      <c r="K5425" s="31">
        <v>46038</v>
      </c>
      <c r="L5425" s="31"/>
      <c r="M5425" s="31"/>
      <c r="N5425" s="31"/>
      <c r="O5425" s="3" t="s">
        <v>425</v>
      </c>
    </row>
    <row r="5426" spans="1:15">
      <c r="A5426" s="3">
        <f t="shared" si="110"/>
        <v>5425</v>
      </c>
      <c r="B5426" s="65" t="s">
        <v>7949</v>
      </c>
      <c r="C5426" s="1">
        <v>9490053347</v>
      </c>
      <c r="E5426" s="17" t="s">
        <v>7950</v>
      </c>
      <c r="F5426" s="65" t="s">
        <v>569</v>
      </c>
      <c r="G5426" s="3" t="s">
        <v>416</v>
      </c>
      <c r="H5426" s="2" t="s">
        <v>162</v>
      </c>
      <c r="I5426" s="3" t="s">
        <v>94</v>
      </c>
      <c r="J5426" s="31">
        <v>46010</v>
      </c>
      <c r="K5426" s="31">
        <v>46031</v>
      </c>
      <c r="L5426" s="31"/>
      <c r="M5426" s="31"/>
      <c r="N5426" s="31"/>
      <c r="O5426" s="3" t="s">
        <v>297</v>
      </c>
    </row>
    <row r="5427" spans="1:15">
      <c r="A5427" s="3">
        <f t="shared" si="110"/>
        <v>5426</v>
      </c>
      <c r="B5427" s="65" t="s">
        <v>7951</v>
      </c>
      <c r="C5427" s="1">
        <v>7860629092</v>
      </c>
      <c r="D5427" s="1">
        <v>9450044102</v>
      </c>
      <c r="E5427" s="17" t="s">
        <v>7952</v>
      </c>
      <c r="F5427" s="65" t="s">
        <v>569</v>
      </c>
      <c r="G5427" s="3" t="s">
        <v>16</v>
      </c>
      <c r="H5427" s="2" t="s">
        <v>162</v>
      </c>
      <c r="I5427" s="3" t="s">
        <v>94</v>
      </c>
      <c r="J5427" s="31">
        <v>46010</v>
      </c>
      <c r="K5427" s="31">
        <v>46031</v>
      </c>
      <c r="L5427" s="31">
        <v>46031</v>
      </c>
      <c r="M5427" s="31">
        <v>46053</v>
      </c>
      <c r="N5427" s="31">
        <v>46049</v>
      </c>
      <c r="O5427" s="3" t="s">
        <v>297</v>
      </c>
    </row>
    <row r="5428" spans="1:15">
      <c r="A5428" s="3">
        <f t="shared" si="110"/>
        <v>5427</v>
      </c>
      <c r="B5428" s="65" t="s">
        <v>7953</v>
      </c>
      <c r="C5428" s="1">
        <v>9918034267</v>
      </c>
      <c r="E5428" s="17" t="s">
        <v>7950</v>
      </c>
      <c r="F5428" s="65" t="s">
        <v>569</v>
      </c>
      <c r="G5428" s="3" t="s">
        <v>424</v>
      </c>
      <c r="H5428" s="2" t="s">
        <v>162</v>
      </c>
      <c r="I5428" s="3" t="s">
        <v>94</v>
      </c>
      <c r="J5428" s="31">
        <v>46010</v>
      </c>
      <c r="K5428" s="31">
        <v>46031</v>
      </c>
      <c r="L5428" s="31"/>
      <c r="M5428" s="31"/>
      <c r="N5428" s="31"/>
      <c r="O5428" s="3" t="s">
        <v>425</v>
      </c>
    </row>
    <row r="5429" spans="1:15">
      <c r="A5429" s="3">
        <f t="shared" si="110"/>
        <v>5428</v>
      </c>
      <c r="B5429" s="65" t="s">
        <v>7954</v>
      </c>
      <c r="C5429" s="1">
        <v>8299268529</v>
      </c>
      <c r="D5429" s="1">
        <v>8756800000</v>
      </c>
      <c r="E5429" s="17" t="s">
        <v>7950</v>
      </c>
      <c r="F5429" s="65" t="s">
        <v>569</v>
      </c>
      <c r="G5429" s="3" t="s">
        <v>295</v>
      </c>
      <c r="H5429" s="2" t="s">
        <v>162</v>
      </c>
      <c r="I5429" s="3" t="s">
        <v>94</v>
      </c>
      <c r="J5429" s="31">
        <v>46010</v>
      </c>
      <c r="K5429" s="31">
        <v>46031</v>
      </c>
      <c r="L5429" s="31">
        <v>46041</v>
      </c>
      <c r="M5429" s="31">
        <v>46067</v>
      </c>
      <c r="N5429" s="31"/>
      <c r="O5429" s="3" t="s">
        <v>297</v>
      </c>
    </row>
    <row r="5430" spans="1:15">
      <c r="A5430" s="3">
        <f t="shared" si="110"/>
        <v>5429</v>
      </c>
      <c r="B5430" s="65" t="s">
        <v>1524</v>
      </c>
      <c r="C5430" s="1">
        <v>9284854830</v>
      </c>
      <c r="E5430" s="17" t="s">
        <v>7955</v>
      </c>
      <c r="F5430" s="65" t="s">
        <v>569</v>
      </c>
      <c r="G5430" s="3" t="s">
        <v>16</v>
      </c>
      <c r="H5430" s="2" t="s">
        <v>162</v>
      </c>
      <c r="I5430" s="3" t="s">
        <v>94</v>
      </c>
      <c r="J5430" s="31">
        <v>46010</v>
      </c>
      <c r="K5430" s="31">
        <v>46031</v>
      </c>
      <c r="L5430" s="31">
        <v>46045</v>
      </c>
      <c r="M5430" s="31">
        <v>46059</v>
      </c>
      <c r="N5430" s="31">
        <v>46064</v>
      </c>
      <c r="O5430" s="3" t="s">
        <v>297</v>
      </c>
    </row>
    <row r="5431" spans="1:15">
      <c r="A5431" s="3">
        <f t="shared" si="110"/>
        <v>5430</v>
      </c>
      <c r="B5431" s="65" t="s">
        <v>7956</v>
      </c>
      <c r="C5431" s="1">
        <v>8435433973</v>
      </c>
      <c r="E5431" s="17" t="s">
        <v>7952</v>
      </c>
      <c r="F5431" s="65" t="s">
        <v>569</v>
      </c>
      <c r="G5431" s="3" t="s">
        <v>424</v>
      </c>
      <c r="H5431" s="2" t="s">
        <v>162</v>
      </c>
      <c r="I5431" s="3" t="s">
        <v>94</v>
      </c>
      <c r="J5431" s="31">
        <v>46010</v>
      </c>
      <c r="K5431" s="31">
        <v>46031</v>
      </c>
      <c r="L5431" s="31"/>
      <c r="M5431" s="31"/>
      <c r="N5431" s="31"/>
      <c r="O5431" s="3" t="s">
        <v>425</v>
      </c>
    </row>
    <row r="5432" spans="1:15">
      <c r="A5432" s="3">
        <f t="shared" si="110"/>
        <v>5431</v>
      </c>
      <c r="B5432" s="65" t="s">
        <v>7957</v>
      </c>
      <c r="C5432" s="1">
        <v>6305255097</v>
      </c>
      <c r="D5432" s="1">
        <v>7207100796</v>
      </c>
      <c r="E5432" s="17" t="s">
        <v>7958</v>
      </c>
      <c r="F5432" s="65" t="s">
        <v>364</v>
      </c>
      <c r="G5432" s="3" t="s">
        <v>424</v>
      </c>
      <c r="H5432" s="2" t="s">
        <v>162</v>
      </c>
      <c r="I5432" s="3" t="s">
        <v>94</v>
      </c>
      <c r="J5432" s="31">
        <v>46010</v>
      </c>
      <c r="K5432" s="31">
        <v>46031</v>
      </c>
      <c r="L5432" s="31"/>
      <c r="M5432" s="31"/>
      <c r="N5432" s="31"/>
      <c r="O5432" s="3" t="s">
        <v>425</v>
      </c>
    </row>
    <row r="5433" spans="1:15">
      <c r="A5433" s="3">
        <f t="shared" si="110"/>
        <v>5432</v>
      </c>
      <c r="B5433" s="65" t="s">
        <v>7959</v>
      </c>
      <c r="C5433" s="1">
        <v>9131510883</v>
      </c>
      <c r="D5433" s="1">
        <v>8878747807</v>
      </c>
      <c r="E5433" s="17" t="s">
        <v>7859</v>
      </c>
      <c r="F5433" s="65" t="s">
        <v>308</v>
      </c>
      <c r="G5433" s="3" t="s">
        <v>416</v>
      </c>
      <c r="H5433" s="2" t="s">
        <v>305</v>
      </c>
      <c r="I5433" s="3" t="s">
        <v>94</v>
      </c>
      <c r="J5433" s="31">
        <v>46010</v>
      </c>
      <c r="K5433" s="31">
        <v>46015</v>
      </c>
      <c r="L5433" s="31"/>
      <c r="M5433" s="31"/>
      <c r="N5433" s="31"/>
      <c r="O5433" s="3" t="s">
        <v>297</v>
      </c>
    </row>
    <row r="5434" spans="1:15">
      <c r="A5434" s="3">
        <f t="shared" si="110"/>
        <v>5433</v>
      </c>
      <c r="B5434" s="65" t="s">
        <v>7960</v>
      </c>
      <c r="C5434" s="1">
        <v>8756633583</v>
      </c>
      <c r="E5434" s="17" t="s">
        <v>7859</v>
      </c>
      <c r="F5434" s="65" t="s">
        <v>329</v>
      </c>
      <c r="G5434" s="3" t="s">
        <v>416</v>
      </c>
      <c r="H5434" s="2" t="s">
        <v>305</v>
      </c>
      <c r="I5434" s="3" t="s">
        <v>94</v>
      </c>
      <c r="J5434" s="31">
        <v>46010</v>
      </c>
      <c r="K5434" s="31">
        <v>46014</v>
      </c>
      <c r="L5434" s="31"/>
      <c r="M5434" s="31"/>
      <c r="N5434" s="31"/>
      <c r="O5434" s="3" t="s">
        <v>297</v>
      </c>
    </row>
    <row r="5435" spans="1:15">
      <c r="A5435" s="3">
        <f t="shared" si="110"/>
        <v>5434</v>
      </c>
      <c r="B5435" s="65" t="s">
        <v>7961</v>
      </c>
      <c r="C5435" s="1">
        <v>9060370144</v>
      </c>
      <c r="D5435" s="1">
        <v>9508062243</v>
      </c>
      <c r="E5435" s="17" t="s">
        <v>1780</v>
      </c>
      <c r="F5435" s="65" t="s">
        <v>303</v>
      </c>
      <c r="G5435" s="3" t="s">
        <v>16</v>
      </c>
      <c r="H5435" s="2" t="s">
        <v>305</v>
      </c>
      <c r="I5435" s="3" t="s">
        <v>94</v>
      </c>
      <c r="J5435" s="31">
        <v>46010</v>
      </c>
      <c r="K5435" s="31">
        <v>46014</v>
      </c>
      <c r="L5435" s="31">
        <v>46016</v>
      </c>
      <c r="M5435" s="31">
        <v>46032</v>
      </c>
      <c r="N5435" s="31">
        <v>46034</v>
      </c>
      <c r="O5435" s="3" t="s">
        <v>297</v>
      </c>
    </row>
    <row r="5436" spans="1:15">
      <c r="A5436" s="3">
        <f t="shared" si="110"/>
        <v>5435</v>
      </c>
      <c r="B5436" s="65" t="s">
        <v>7962</v>
      </c>
      <c r="C5436" s="1">
        <v>7691057868</v>
      </c>
      <c r="E5436" s="17" t="s">
        <v>1780</v>
      </c>
      <c r="F5436" s="65" t="s">
        <v>303</v>
      </c>
      <c r="G5436" s="3" t="s">
        <v>424</v>
      </c>
      <c r="H5436" s="2" t="s">
        <v>305</v>
      </c>
      <c r="I5436" s="3" t="s">
        <v>94</v>
      </c>
      <c r="J5436" s="31">
        <v>46010</v>
      </c>
      <c r="K5436" s="31">
        <v>46014</v>
      </c>
      <c r="L5436" s="31"/>
      <c r="M5436" s="31"/>
      <c r="N5436" s="31"/>
      <c r="O5436" s="3" t="s">
        <v>749</v>
      </c>
    </row>
    <row r="5437" spans="1:15">
      <c r="A5437" s="3">
        <f t="shared" si="110"/>
        <v>5436</v>
      </c>
      <c r="B5437" s="65" t="s">
        <v>7963</v>
      </c>
      <c r="C5437" s="1">
        <v>9019165043</v>
      </c>
      <c r="E5437" s="17" t="s">
        <v>3954</v>
      </c>
      <c r="F5437" s="65" t="s">
        <v>7964</v>
      </c>
      <c r="G5437" s="3" t="s">
        <v>764</v>
      </c>
      <c r="H5437" s="2" t="s">
        <v>5774</v>
      </c>
      <c r="I5437" s="3" t="s">
        <v>42</v>
      </c>
      <c r="J5437" s="31">
        <v>46010</v>
      </c>
      <c r="K5437" s="31">
        <v>46045</v>
      </c>
      <c r="L5437" s="31"/>
      <c r="M5437" s="31"/>
      <c r="N5437" s="31"/>
      <c r="O5437" s="3" t="s">
        <v>425</v>
      </c>
    </row>
    <row r="5438" spans="1:15">
      <c r="A5438" s="3">
        <f t="shared" ref="A5438:A5472" si="111">ROW()-1</f>
        <v>5437</v>
      </c>
      <c r="B5438" s="65" t="s">
        <v>7965</v>
      </c>
      <c r="C5438" s="1">
        <v>9554749181</v>
      </c>
      <c r="E5438" s="17" t="s">
        <v>3326</v>
      </c>
      <c r="F5438" s="65" t="s">
        <v>294</v>
      </c>
      <c r="G5438" s="3" t="s">
        <v>424</v>
      </c>
      <c r="H5438" s="2" t="s">
        <v>630</v>
      </c>
      <c r="I5438" s="3" t="s">
        <v>94</v>
      </c>
      <c r="J5438" s="31">
        <v>46011</v>
      </c>
      <c r="K5438" s="31">
        <v>46014</v>
      </c>
      <c r="L5438" s="31"/>
      <c r="M5438" s="31"/>
      <c r="N5438" s="31"/>
      <c r="O5438" s="3" t="s">
        <v>425</v>
      </c>
    </row>
    <row r="5439" spans="1:15">
      <c r="A5439" s="3">
        <f t="shared" si="111"/>
        <v>5438</v>
      </c>
      <c r="B5439" s="65" t="s">
        <v>7966</v>
      </c>
      <c r="C5439" s="1">
        <v>6284887265</v>
      </c>
      <c r="E5439" s="17" t="s">
        <v>3326</v>
      </c>
      <c r="F5439" s="65" t="s">
        <v>294</v>
      </c>
      <c r="G5439" s="3" t="s">
        <v>764</v>
      </c>
      <c r="H5439" s="2" t="s">
        <v>630</v>
      </c>
      <c r="I5439" s="3" t="s">
        <v>94</v>
      </c>
      <c r="J5439" s="31">
        <v>46011</v>
      </c>
      <c r="K5439" s="31">
        <v>46014</v>
      </c>
      <c r="L5439" s="31"/>
      <c r="M5439" s="31"/>
      <c r="N5439" s="31"/>
      <c r="O5439" s="3" t="s">
        <v>425</v>
      </c>
    </row>
    <row r="5440" spans="1:15">
      <c r="A5440" s="3">
        <f t="shared" si="111"/>
        <v>5439</v>
      </c>
      <c r="B5440" s="65" t="s">
        <v>7967</v>
      </c>
      <c r="C5440" s="1">
        <v>7008796307</v>
      </c>
      <c r="D5440" s="1">
        <v>9583852666</v>
      </c>
      <c r="E5440" s="17" t="s">
        <v>3326</v>
      </c>
      <c r="F5440" s="65" t="s">
        <v>644</v>
      </c>
      <c r="G5440" s="3" t="s">
        <v>764</v>
      </c>
      <c r="H5440" s="2" t="s">
        <v>630</v>
      </c>
      <c r="I5440" s="3" t="s">
        <v>94</v>
      </c>
      <c r="J5440" s="31">
        <v>46011</v>
      </c>
      <c r="K5440" s="31">
        <v>46014</v>
      </c>
      <c r="L5440" s="31"/>
      <c r="M5440" s="31"/>
      <c r="N5440" s="31"/>
      <c r="O5440" s="3" t="s">
        <v>425</v>
      </c>
    </row>
    <row r="5441" spans="1:15">
      <c r="A5441" s="3">
        <f t="shared" si="111"/>
        <v>5440</v>
      </c>
      <c r="B5441" s="65" t="s">
        <v>3403</v>
      </c>
      <c r="C5441" s="1">
        <v>7404880775</v>
      </c>
      <c r="E5441" s="17" t="s">
        <v>7968</v>
      </c>
      <c r="F5441" s="65" t="s">
        <v>1434</v>
      </c>
      <c r="G5441" s="3" t="s">
        <v>424</v>
      </c>
      <c r="H5441" s="2" t="s">
        <v>630</v>
      </c>
      <c r="I5441" s="3" t="s">
        <v>94</v>
      </c>
      <c r="J5441" s="31">
        <v>46011</v>
      </c>
      <c r="K5441" s="31">
        <v>46020</v>
      </c>
      <c r="L5441" s="31"/>
      <c r="M5441" s="31"/>
      <c r="N5441" s="31"/>
      <c r="O5441" s="3" t="s">
        <v>425</v>
      </c>
    </row>
    <row r="5442" spans="1:15">
      <c r="A5442" s="3">
        <f t="shared" si="111"/>
        <v>5441</v>
      </c>
      <c r="B5442" s="65" t="s">
        <v>7962</v>
      </c>
      <c r="C5442" s="1">
        <v>6393186810</v>
      </c>
      <c r="E5442" s="17" t="s">
        <v>7968</v>
      </c>
      <c r="F5442" s="65" t="s">
        <v>294</v>
      </c>
      <c r="G5442" s="3" t="s">
        <v>424</v>
      </c>
      <c r="H5442" s="2" t="s">
        <v>630</v>
      </c>
      <c r="I5442" s="3" t="s">
        <v>94</v>
      </c>
      <c r="J5442" s="31">
        <v>46011</v>
      </c>
      <c r="K5442" s="31">
        <v>46014</v>
      </c>
      <c r="L5442" s="31"/>
      <c r="M5442" s="31"/>
      <c r="N5442" s="31"/>
      <c r="O5442" s="3" t="s">
        <v>425</v>
      </c>
    </row>
    <row r="5443" spans="1:15">
      <c r="A5443" s="3">
        <f t="shared" si="111"/>
        <v>5442</v>
      </c>
      <c r="B5443" s="65" t="s">
        <v>7969</v>
      </c>
      <c r="C5443" s="1">
        <v>9651353202</v>
      </c>
      <c r="E5443" s="17" t="s">
        <v>7970</v>
      </c>
      <c r="F5443" s="65" t="s">
        <v>792</v>
      </c>
      <c r="G5443" s="3" t="s">
        <v>416</v>
      </c>
      <c r="H5443" s="2" t="s">
        <v>296</v>
      </c>
      <c r="I5443" s="3" t="s">
        <v>94</v>
      </c>
      <c r="J5443" s="31">
        <v>46011</v>
      </c>
      <c r="K5443" s="31">
        <v>46038</v>
      </c>
      <c r="L5443" s="31"/>
      <c r="M5443" s="31"/>
      <c r="N5443" s="31"/>
      <c r="O5443" s="3" t="s">
        <v>297</v>
      </c>
    </row>
    <row r="5444" spans="1:15">
      <c r="A5444" s="3">
        <f t="shared" si="111"/>
        <v>5443</v>
      </c>
      <c r="B5444" s="65" t="s">
        <v>7971</v>
      </c>
      <c r="C5444" s="1">
        <v>9316254242</v>
      </c>
      <c r="E5444" s="17" t="s">
        <v>7970</v>
      </c>
      <c r="F5444" s="65" t="s">
        <v>2630</v>
      </c>
      <c r="G5444" s="3" t="s">
        <v>424</v>
      </c>
      <c r="H5444" s="2" t="s">
        <v>296</v>
      </c>
      <c r="I5444" s="3" t="s">
        <v>94</v>
      </c>
      <c r="J5444" s="31">
        <v>46011</v>
      </c>
      <c r="K5444" s="31">
        <v>46043</v>
      </c>
      <c r="L5444" s="31"/>
      <c r="M5444" s="31"/>
      <c r="N5444" s="31"/>
      <c r="O5444" s="3" t="s">
        <v>425</v>
      </c>
    </row>
    <row r="5445" spans="1:15">
      <c r="A5445" s="3">
        <f t="shared" si="111"/>
        <v>5444</v>
      </c>
      <c r="B5445" s="65" t="s">
        <v>7972</v>
      </c>
      <c r="C5445" s="1">
        <v>7507715304</v>
      </c>
      <c r="E5445" s="17" t="s">
        <v>7827</v>
      </c>
      <c r="F5445" s="65" t="s">
        <v>308</v>
      </c>
      <c r="G5445" s="3" t="s">
        <v>416</v>
      </c>
      <c r="H5445" s="2" t="s">
        <v>305</v>
      </c>
      <c r="I5445" s="3" t="s">
        <v>94</v>
      </c>
      <c r="J5445" s="31">
        <v>46011</v>
      </c>
      <c r="K5445" s="31">
        <v>46014</v>
      </c>
      <c r="L5445" s="31"/>
      <c r="M5445" s="31"/>
      <c r="N5445" s="31"/>
      <c r="O5445" s="3" t="s">
        <v>297</v>
      </c>
    </row>
    <row r="5446" spans="1:15">
      <c r="A5446" s="3">
        <f t="shared" si="111"/>
        <v>5445</v>
      </c>
      <c r="B5446" s="65" t="s">
        <v>7973</v>
      </c>
      <c r="C5446" s="1">
        <v>7205846096</v>
      </c>
      <c r="E5446" s="17" t="s">
        <v>7827</v>
      </c>
      <c r="F5446" s="65" t="s">
        <v>308</v>
      </c>
      <c r="G5446" s="3" t="s">
        <v>424</v>
      </c>
      <c r="H5446" s="2" t="s">
        <v>305</v>
      </c>
      <c r="I5446" s="3" t="s">
        <v>94</v>
      </c>
      <c r="J5446" s="31">
        <v>46011</v>
      </c>
      <c r="K5446" s="31">
        <v>46014</v>
      </c>
      <c r="L5446" s="31"/>
      <c r="M5446" s="31"/>
      <c r="N5446" s="31"/>
      <c r="O5446" s="3" t="s">
        <v>425</v>
      </c>
    </row>
    <row r="5447" spans="1:15">
      <c r="A5447" s="3">
        <f t="shared" si="111"/>
        <v>5446</v>
      </c>
      <c r="B5447" s="65" t="s">
        <v>566</v>
      </c>
      <c r="C5447" s="1">
        <v>9793194291</v>
      </c>
      <c r="E5447" s="17" t="s">
        <v>7827</v>
      </c>
      <c r="F5447" s="65" t="s">
        <v>308</v>
      </c>
      <c r="G5447" s="3" t="s">
        <v>16</v>
      </c>
      <c r="H5447" s="2" t="s">
        <v>305</v>
      </c>
      <c r="I5447" s="3" t="s">
        <v>94</v>
      </c>
      <c r="J5447" s="31">
        <v>46011</v>
      </c>
      <c r="K5447" s="31">
        <v>46014</v>
      </c>
      <c r="L5447" s="31">
        <v>46016</v>
      </c>
      <c r="M5447" s="31">
        <v>46032</v>
      </c>
      <c r="N5447" s="31">
        <v>46033</v>
      </c>
      <c r="O5447" s="3" t="s">
        <v>297</v>
      </c>
    </row>
    <row r="5448" spans="1:15">
      <c r="A5448" s="3">
        <f t="shared" si="111"/>
        <v>5447</v>
      </c>
      <c r="B5448" s="65" t="s">
        <v>7974</v>
      </c>
      <c r="C5448" s="1">
        <v>8299588038</v>
      </c>
      <c r="E5448" s="17" t="s">
        <v>7859</v>
      </c>
      <c r="F5448" s="65" t="s">
        <v>329</v>
      </c>
      <c r="G5448" s="3" t="s">
        <v>424</v>
      </c>
      <c r="H5448" s="2" t="s">
        <v>305</v>
      </c>
      <c r="I5448" s="3" t="s">
        <v>94</v>
      </c>
      <c r="J5448" s="31">
        <v>46011</v>
      </c>
      <c r="K5448" s="31">
        <v>46014</v>
      </c>
      <c r="L5448" s="31"/>
      <c r="M5448" s="31"/>
      <c r="N5448" s="31"/>
      <c r="O5448" s="3" t="s">
        <v>425</v>
      </c>
    </row>
    <row r="5449" spans="1:15">
      <c r="A5449" s="3">
        <f t="shared" si="111"/>
        <v>5448</v>
      </c>
      <c r="B5449" s="65" t="s">
        <v>7975</v>
      </c>
      <c r="C5449" s="1">
        <v>7355270763</v>
      </c>
      <c r="E5449" s="17" t="s">
        <v>7859</v>
      </c>
      <c r="F5449" s="65" t="s">
        <v>329</v>
      </c>
      <c r="G5449" s="3" t="s">
        <v>16</v>
      </c>
      <c r="H5449" s="2" t="s">
        <v>305</v>
      </c>
      <c r="I5449" s="3" t="s">
        <v>94</v>
      </c>
      <c r="J5449" s="31">
        <v>46011</v>
      </c>
      <c r="K5449" s="31">
        <v>46014</v>
      </c>
      <c r="L5449" s="31">
        <v>46017</v>
      </c>
      <c r="M5449" s="31">
        <v>46056</v>
      </c>
      <c r="N5449" s="31">
        <v>46059</v>
      </c>
      <c r="O5449" s="3" t="s">
        <v>297</v>
      </c>
    </row>
    <row r="5450" spans="1:15">
      <c r="A5450" s="3">
        <f t="shared" si="111"/>
        <v>5449</v>
      </c>
      <c r="B5450" s="65" t="s">
        <v>7976</v>
      </c>
      <c r="C5450" s="1">
        <v>9369043839</v>
      </c>
      <c r="E5450" s="17" t="s">
        <v>7825</v>
      </c>
      <c r="F5450" s="65" t="s">
        <v>329</v>
      </c>
      <c r="G5450" s="3" t="s">
        <v>295</v>
      </c>
      <c r="H5450" s="2" t="s">
        <v>305</v>
      </c>
      <c r="I5450" s="3" t="s">
        <v>94</v>
      </c>
      <c r="J5450" s="31">
        <v>46011</v>
      </c>
      <c r="K5450" s="31">
        <v>46014</v>
      </c>
      <c r="L5450" s="31">
        <v>46024</v>
      </c>
      <c r="M5450" s="31">
        <f>L5450+15</f>
        <v>46039</v>
      </c>
      <c r="N5450" s="31"/>
      <c r="O5450" s="3" t="s">
        <v>297</v>
      </c>
    </row>
    <row r="5451" spans="1:15">
      <c r="A5451" s="3">
        <f t="shared" si="111"/>
        <v>5450</v>
      </c>
      <c r="B5451" s="65" t="s">
        <v>2236</v>
      </c>
      <c r="C5451" s="1">
        <v>9532801286</v>
      </c>
      <c r="E5451" s="17" t="s">
        <v>7825</v>
      </c>
      <c r="F5451" s="65" t="s">
        <v>329</v>
      </c>
      <c r="G5451" s="2" t="s">
        <v>16</v>
      </c>
      <c r="H5451" s="2" t="s">
        <v>305</v>
      </c>
      <c r="I5451" s="3" t="s">
        <v>94</v>
      </c>
      <c r="J5451" s="31">
        <v>46011</v>
      </c>
      <c r="K5451" s="31">
        <v>46014</v>
      </c>
      <c r="L5451" s="31">
        <v>46017</v>
      </c>
      <c r="M5451" s="31">
        <v>46033</v>
      </c>
      <c r="N5451" s="31">
        <v>46033</v>
      </c>
      <c r="O5451" s="3" t="s">
        <v>297</v>
      </c>
    </row>
    <row r="5452" spans="1:15">
      <c r="A5452" s="3">
        <f t="shared" si="111"/>
        <v>5451</v>
      </c>
      <c r="B5452" s="65" t="s">
        <v>7977</v>
      </c>
      <c r="C5452" s="1">
        <v>8185833247</v>
      </c>
      <c r="E5452" s="17" t="s">
        <v>5887</v>
      </c>
      <c r="F5452" s="65" t="s">
        <v>7978</v>
      </c>
      <c r="G5452" s="3" t="s">
        <v>764</v>
      </c>
      <c r="H5452" s="2" t="s">
        <v>5774</v>
      </c>
      <c r="I5452" s="3" t="s">
        <v>42</v>
      </c>
      <c r="J5452" s="31">
        <v>46011</v>
      </c>
      <c r="K5452" s="31">
        <v>46013</v>
      </c>
      <c r="L5452" s="31"/>
      <c r="M5452" s="31"/>
      <c r="N5452" s="31"/>
      <c r="O5452" s="3" t="s">
        <v>425</v>
      </c>
    </row>
    <row r="5453" spans="1:15">
      <c r="A5453" s="3">
        <f t="shared" si="111"/>
        <v>5452</v>
      </c>
      <c r="B5453" s="65" t="s">
        <v>7979</v>
      </c>
      <c r="C5453" s="1">
        <v>8688170878</v>
      </c>
      <c r="E5453" s="17" t="s">
        <v>6199</v>
      </c>
      <c r="F5453" s="65" t="s">
        <v>329</v>
      </c>
      <c r="G5453" s="3" t="s">
        <v>764</v>
      </c>
      <c r="H5453" s="2" t="s">
        <v>5774</v>
      </c>
      <c r="I5453" s="3" t="s">
        <v>42</v>
      </c>
      <c r="J5453" s="31">
        <v>46011</v>
      </c>
      <c r="K5453" s="31">
        <v>46013</v>
      </c>
      <c r="L5453" s="31"/>
      <c r="M5453" s="31"/>
      <c r="N5453" s="31"/>
      <c r="O5453" s="3" t="s">
        <v>425</v>
      </c>
    </row>
    <row r="5454" spans="1:15">
      <c r="A5454" s="3">
        <f t="shared" si="111"/>
        <v>5453</v>
      </c>
      <c r="B5454" s="65" t="s">
        <v>7980</v>
      </c>
      <c r="C5454" s="1">
        <v>9010535374</v>
      </c>
      <c r="E5454" s="17" t="s">
        <v>7685</v>
      </c>
      <c r="F5454" s="65" t="s">
        <v>5971</v>
      </c>
      <c r="G5454" s="3" t="s">
        <v>16</v>
      </c>
      <c r="H5454" s="2" t="s">
        <v>5774</v>
      </c>
      <c r="I5454" s="3" t="s">
        <v>42</v>
      </c>
      <c r="J5454" s="31">
        <v>46011</v>
      </c>
      <c r="K5454" s="31">
        <v>46013</v>
      </c>
      <c r="L5454" s="31">
        <v>46017</v>
      </c>
      <c r="M5454" s="31">
        <v>46043</v>
      </c>
      <c r="N5454" s="31">
        <v>46024</v>
      </c>
      <c r="O5454" s="3" t="s">
        <v>297</v>
      </c>
    </row>
    <row r="5455" spans="1:15">
      <c r="A5455" s="3">
        <f t="shared" si="111"/>
        <v>5454</v>
      </c>
      <c r="B5455" s="65" t="s">
        <v>7981</v>
      </c>
      <c r="C5455" s="1">
        <v>7093209349</v>
      </c>
      <c r="E5455" s="17" t="s">
        <v>5966</v>
      </c>
      <c r="F5455" s="65" t="s">
        <v>5971</v>
      </c>
      <c r="G5455" s="3" t="s">
        <v>16</v>
      </c>
      <c r="H5455" s="2" t="s">
        <v>5774</v>
      </c>
      <c r="I5455" s="3" t="s">
        <v>42</v>
      </c>
      <c r="J5455" s="31">
        <v>46011</v>
      </c>
      <c r="K5455" s="31">
        <v>46013</v>
      </c>
      <c r="L5455" s="31">
        <v>46031</v>
      </c>
      <c r="M5455" s="31">
        <v>46044</v>
      </c>
      <c r="N5455" s="31">
        <v>46043</v>
      </c>
      <c r="O5455" s="3" t="s">
        <v>297</v>
      </c>
    </row>
    <row r="5456" spans="1:15">
      <c r="A5456" s="3">
        <f t="shared" si="111"/>
        <v>5455</v>
      </c>
      <c r="B5456" s="65" t="s">
        <v>7982</v>
      </c>
      <c r="C5456" s="1">
        <v>9494821602</v>
      </c>
      <c r="E5456" s="17" t="s">
        <v>5776</v>
      </c>
      <c r="F5456" s="65" t="s">
        <v>7983</v>
      </c>
      <c r="G5456" s="3" t="s">
        <v>764</v>
      </c>
      <c r="H5456" s="2" t="s">
        <v>5774</v>
      </c>
      <c r="I5456" s="3" t="s">
        <v>42</v>
      </c>
      <c r="J5456" s="31">
        <v>46011</v>
      </c>
      <c r="K5456" s="31">
        <v>46013</v>
      </c>
      <c r="L5456" s="31"/>
      <c r="M5456" s="31"/>
      <c r="N5456" s="31"/>
      <c r="O5456" s="3" t="s">
        <v>425</v>
      </c>
    </row>
    <row r="5457" spans="1:15">
      <c r="A5457" s="3">
        <f t="shared" si="111"/>
        <v>5456</v>
      </c>
      <c r="B5457" s="65" t="s">
        <v>7984</v>
      </c>
      <c r="C5457" s="1">
        <v>8330914116</v>
      </c>
      <c r="E5457" s="17" t="s">
        <v>5776</v>
      </c>
      <c r="F5457" s="65" t="s">
        <v>7985</v>
      </c>
      <c r="G5457" s="3" t="s">
        <v>764</v>
      </c>
      <c r="H5457" s="2" t="s">
        <v>5774</v>
      </c>
      <c r="I5457" s="3" t="s">
        <v>42</v>
      </c>
      <c r="J5457" s="31">
        <v>46011</v>
      </c>
      <c r="K5457" s="31">
        <v>46013</v>
      </c>
      <c r="L5457" s="31"/>
      <c r="M5457" s="31"/>
      <c r="N5457" s="31"/>
      <c r="O5457" s="3" t="s">
        <v>425</v>
      </c>
    </row>
    <row r="5458" spans="1:15">
      <c r="A5458" s="3">
        <f t="shared" si="111"/>
        <v>5457</v>
      </c>
      <c r="B5458" s="65" t="s">
        <v>7986</v>
      </c>
      <c r="C5458" s="1">
        <v>6281468590</v>
      </c>
      <c r="E5458" s="17" t="s">
        <v>5776</v>
      </c>
      <c r="F5458" s="65" t="s">
        <v>7987</v>
      </c>
      <c r="G5458" s="3" t="s">
        <v>764</v>
      </c>
      <c r="H5458" s="2" t="s">
        <v>5774</v>
      </c>
      <c r="I5458" s="3" t="s">
        <v>42</v>
      </c>
      <c r="J5458" s="31">
        <v>46011</v>
      </c>
      <c r="K5458" s="31">
        <v>46013</v>
      </c>
      <c r="L5458" s="31"/>
      <c r="M5458" s="31"/>
      <c r="N5458" s="31"/>
      <c r="O5458" s="3" t="s">
        <v>425</v>
      </c>
    </row>
    <row r="5459" spans="1:15">
      <c r="A5459" s="3">
        <f t="shared" si="111"/>
        <v>5458</v>
      </c>
      <c r="B5459" s="65" t="s">
        <v>7988</v>
      </c>
      <c r="C5459" s="1">
        <v>8885646460</v>
      </c>
      <c r="E5459" s="17" t="s">
        <v>5887</v>
      </c>
      <c r="F5459" s="65" t="s">
        <v>7978</v>
      </c>
      <c r="G5459" s="3" t="s">
        <v>764</v>
      </c>
      <c r="H5459" s="2" t="s">
        <v>5774</v>
      </c>
      <c r="I5459" s="3" t="s">
        <v>42</v>
      </c>
      <c r="J5459" s="31">
        <v>46011</v>
      </c>
      <c r="K5459" s="31">
        <v>46013</v>
      </c>
      <c r="L5459" s="31"/>
      <c r="M5459" s="31"/>
      <c r="N5459" s="31"/>
      <c r="O5459" s="3" t="s">
        <v>425</v>
      </c>
    </row>
    <row r="5460" spans="1:15">
      <c r="A5460" s="3">
        <f t="shared" si="111"/>
        <v>5459</v>
      </c>
      <c r="B5460" s="65" t="s">
        <v>7989</v>
      </c>
      <c r="C5460" s="1">
        <v>9573011427</v>
      </c>
      <c r="E5460" s="17" t="s">
        <v>5793</v>
      </c>
      <c r="F5460" s="65" t="s">
        <v>972</v>
      </c>
      <c r="G5460" s="3" t="s">
        <v>764</v>
      </c>
      <c r="H5460" s="2" t="s">
        <v>5774</v>
      </c>
      <c r="I5460" s="3" t="s">
        <v>42</v>
      </c>
      <c r="J5460" s="31">
        <v>46011</v>
      </c>
      <c r="K5460" s="31">
        <v>46013</v>
      </c>
      <c r="L5460" s="31"/>
      <c r="M5460" s="31"/>
      <c r="N5460" s="31"/>
      <c r="O5460" s="3" t="s">
        <v>425</v>
      </c>
    </row>
    <row r="5461" spans="1:15">
      <c r="A5461" s="3">
        <f t="shared" si="111"/>
        <v>5460</v>
      </c>
      <c r="B5461" s="65" t="s">
        <v>4440</v>
      </c>
      <c r="C5461" s="1">
        <v>9542944843</v>
      </c>
      <c r="E5461" s="17" t="s">
        <v>5560</v>
      </c>
      <c r="F5461" s="65" t="s">
        <v>6569</v>
      </c>
      <c r="G5461" s="3" t="s">
        <v>295</v>
      </c>
      <c r="H5461" s="2" t="s">
        <v>5774</v>
      </c>
      <c r="I5461" s="3" t="s">
        <v>42</v>
      </c>
      <c r="J5461" s="31">
        <v>46011</v>
      </c>
      <c r="K5461" s="31">
        <v>46013</v>
      </c>
      <c r="L5461" s="31">
        <v>46024</v>
      </c>
      <c r="M5461" s="31">
        <v>46059</v>
      </c>
      <c r="N5461" s="31"/>
      <c r="O5461" s="3" t="s">
        <v>297</v>
      </c>
    </row>
    <row r="5462" spans="1:15">
      <c r="A5462" s="3">
        <f t="shared" si="111"/>
        <v>5461</v>
      </c>
      <c r="B5462" s="65" t="s">
        <v>7990</v>
      </c>
      <c r="C5462" s="1">
        <v>8605844650</v>
      </c>
      <c r="D5462" s="1">
        <v>8853422167</v>
      </c>
      <c r="E5462" s="17" t="s">
        <v>7805</v>
      </c>
      <c r="F5462" s="65" t="s">
        <v>7991</v>
      </c>
      <c r="G5462" s="3" t="s">
        <v>16</v>
      </c>
      <c r="H5462" s="2" t="s">
        <v>5774</v>
      </c>
      <c r="I5462" s="3" t="s">
        <v>42</v>
      </c>
      <c r="J5462" s="31">
        <v>46011</v>
      </c>
      <c r="K5462" s="31">
        <v>46012</v>
      </c>
      <c r="L5462" s="31">
        <v>46010</v>
      </c>
      <c r="M5462" s="31">
        <v>46049</v>
      </c>
      <c r="N5462" s="31">
        <v>46061</v>
      </c>
      <c r="O5462" s="3" t="s">
        <v>297</v>
      </c>
    </row>
    <row r="5463" spans="1:15">
      <c r="A5463" s="3">
        <f t="shared" si="111"/>
        <v>5462</v>
      </c>
      <c r="B5463" s="65" t="s">
        <v>7992</v>
      </c>
      <c r="C5463" s="1">
        <v>9091440552</v>
      </c>
      <c r="E5463" s="17" t="s">
        <v>7805</v>
      </c>
      <c r="F5463" s="65" t="s">
        <v>294</v>
      </c>
      <c r="G5463" s="3" t="s">
        <v>16</v>
      </c>
      <c r="H5463" s="2" t="s">
        <v>5774</v>
      </c>
      <c r="I5463" s="3" t="s">
        <v>42</v>
      </c>
      <c r="J5463" s="31">
        <v>46011</v>
      </c>
      <c r="K5463" s="31">
        <v>46012</v>
      </c>
      <c r="L5463" s="31">
        <v>46017</v>
      </c>
      <c r="M5463" s="31">
        <v>46049</v>
      </c>
      <c r="N5463" s="31">
        <v>46049</v>
      </c>
      <c r="O5463" s="3" t="s">
        <v>297</v>
      </c>
    </row>
    <row r="5464" spans="1:15">
      <c r="A5464" s="3">
        <f t="shared" si="111"/>
        <v>5463</v>
      </c>
      <c r="B5464" s="65" t="s">
        <v>7993</v>
      </c>
      <c r="C5464" s="1">
        <v>7891530628</v>
      </c>
      <c r="E5464" s="17" t="s">
        <v>7805</v>
      </c>
      <c r="F5464" s="65" t="s">
        <v>3691</v>
      </c>
      <c r="G5464" s="3" t="s">
        <v>764</v>
      </c>
      <c r="H5464" s="2" t="s">
        <v>5774</v>
      </c>
      <c r="I5464" s="3" t="s">
        <v>42</v>
      </c>
      <c r="J5464" s="31">
        <v>46011</v>
      </c>
      <c r="K5464" s="31">
        <v>46012</v>
      </c>
      <c r="L5464" s="31"/>
      <c r="M5464" s="31"/>
      <c r="N5464" s="31"/>
      <c r="O5464" s="3" t="s">
        <v>425</v>
      </c>
    </row>
    <row r="5465" spans="1:15">
      <c r="A5465" s="3">
        <f t="shared" si="111"/>
        <v>5464</v>
      </c>
      <c r="B5465" s="65" t="s">
        <v>7994</v>
      </c>
      <c r="C5465" s="1">
        <v>9701087841</v>
      </c>
      <c r="E5465" s="17" t="s">
        <v>7805</v>
      </c>
      <c r="F5465" s="65" t="s">
        <v>294</v>
      </c>
      <c r="G5465" s="3" t="s">
        <v>764</v>
      </c>
      <c r="H5465" s="2" t="s">
        <v>5774</v>
      </c>
      <c r="I5465" s="3" t="s">
        <v>42</v>
      </c>
      <c r="J5465" s="31">
        <v>46011</v>
      </c>
      <c r="K5465" s="31">
        <v>46012</v>
      </c>
      <c r="L5465" s="31"/>
      <c r="M5465" s="31"/>
      <c r="N5465" s="31"/>
      <c r="O5465" s="3" t="s">
        <v>425</v>
      </c>
    </row>
    <row r="5466" spans="1:15">
      <c r="A5466" s="3">
        <f t="shared" si="111"/>
        <v>5465</v>
      </c>
      <c r="B5466" s="65" t="s">
        <v>7995</v>
      </c>
      <c r="C5466" s="1">
        <v>8759403941</v>
      </c>
      <c r="D5466" s="1">
        <v>7908758796</v>
      </c>
      <c r="E5466" s="17" t="s">
        <v>7805</v>
      </c>
      <c r="F5466" s="65" t="s">
        <v>294</v>
      </c>
      <c r="G5466" s="3" t="s">
        <v>16</v>
      </c>
      <c r="H5466" s="2" t="s">
        <v>5774</v>
      </c>
      <c r="I5466" s="3" t="s">
        <v>42</v>
      </c>
      <c r="J5466" s="31">
        <v>46011</v>
      </c>
      <c r="K5466" s="31">
        <v>46012</v>
      </c>
      <c r="L5466" s="31">
        <v>46010</v>
      </c>
      <c r="M5466" s="31">
        <v>46034</v>
      </c>
      <c r="N5466" s="31">
        <v>46043</v>
      </c>
      <c r="O5466" s="3" t="s">
        <v>297</v>
      </c>
    </row>
    <row r="5467" spans="1:15">
      <c r="A5467" s="3">
        <f t="shared" si="111"/>
        <v>5466</v>
      </c>
      <c r="B5467" s="65" t="s">
        <v>7996</v>
      </c>
      <c r="C5467" s="1">
        <v>8240819464</v>
      </c>
      <c r="E5467" s="17" t="s">
        <v>7805</v>
      </c>
      <c r="F5467" s="65" t="s">
        <v>7997</v>
      </c>
      <c r="G5467" s="3" t="s">
        <v>416</v>
      </c>
      <c r="H5467" s="2" t="s">
        <v>5774</v>
      </c>
      <c r="I5467" s="3" t="s">
        <v>42</v>
      </c>
      <c r="J5467" s="31">
        <v>46011</v>
      </c>
      <c r="K5467" s="31">
        <v>46012</v>
      </c>
      <c r="L5467" s="31"/>
      <c r="M5467" s="31"/>
      <c r="N5467" s="31"/>
      <c r="O5467" s="3" t="s">
        <v>297</v>
      </c>
    </row>
    <row r="5468" spans="1:15">
      <c r="A5468" s="3">
        <f t="shared" si="111"/>
        <v>5467</v>
      </c>
      <c r="B5468" s="65" t="s">
        <v>7998</v>
      </c>
      <c r="C5468" s="1">
        <v>7702326160</v>
      </c>
      <c r="E5468" s="17" t="s">
        <v>7805</v>
      </c>
      <c r="F5468" s="65" t="s">
        <v>3002</v>
      </c>
      <c r="G5468" s="3" t="s">
        <v>764</v>
      </c>
      <c r="H5468" s="2" t="s">
        <v>5774</v>
      </c>
      <c r="I5468" s="3" t="s">
        <v>42</v>
      </c>
      <c r="J5468" s="31">
        <v>46011</v>
      </c>
      <c r="K5468" s="31">
        <v>46012</v>
      </c>
      <c r="L5468" s="31"/>
      <c r="M5468" s="31"/>
      <c r="N5468" s="31"/>
      <c r="O5468" s="3" t="s">
        <v>425</v>
      </c>
    </row>
    <row r="5469" spans="1:15">
      <c r="A5469" s="3">
        <f t="shared" si="111"/>
        <v>5468</v>
      </c>
      <c r="B5469" s="65" t="s">
        <v>7967</v>
      </c>
      <c r="C5469" s="1">
        <v>7008796307</v>
      </c>
      <c r="D5469" s="1">
        <v>9583852666</v>
      </c>
      <c r="E5469" s="17" t="s">
        <v>7805</v>
      </c>
      <c r="F5469" s="65" t="s">
        <v>7999</v>
      </c>
      <c r="G5469" s="3" t="s">
        <v>424</v>
      </c>
      <c r="H5469" s="2" t="s">
        <v>5774</v>
      </c>
      <c r="I5469" s="3" t="s">
        <v>42</v>
      </c>
      <c r="J5469" s="31">
        <v>46011</v>
      </c>
      <c r="K5469" s="31">
        <v>46013</v>
      </c>
      <c r="L5469" s="31"/>
      <c r="M5469" s="31"/>
      <c r="N5469" s="31"/>
      <c r="O5469" s="3" t="s">
        <v>749</v>
      </c>
    </row>
    <row r="5470" spans="1:15">
      <c r="A5470" s="3">
        <f t="shared" si="111"/>
        <v>5469</v>
      </c>
      <c r="B5470" s="65" t="s">
        <v>8000</v>
      </c>
      <c r="C5470" s="1">
        <v>8639044864</v>
      </c>
      <c r="E5470" s="17" t="s">
        <v>7805</v>
      </c>
      <c r="F5470" s="65" t="s">
        <v>294</v>
      </c>
      <c r="G5470" s="3" t="s">
        <v>16</v>
      </c>
      <c r="H5470" s="2" t="s">
        <v>5774</v>
      </c>
      <c r="I5470" s="3" t="s">
        <v>42</v>
      </c>
      <c r="J5470" s="31">
        <v>46011</v>
      </c>
      <c r="K5470" s="31">
        <v>46012</v>
      </c>
      <c r="L5470" s="31">
        <v>46016</v>
      </c>
      <c r="M5470" s="31">
        <v>46041</v>
      </c>
      <c r="N5470" s="31">
        <v>46032</v>
      </c>
      <c r="O5470" s="3" t="s">
        <v>297</v>
      </c>
    </row>
    <row r="5471" spans="1:15">
      <c r="A5471" s="3">
        <f t="shared" si="111"/>
        <v>5470</v>
      </c>
      <c r="B5471" s="65" t="s">
        <v>8001</v>
      </c>
      <c r="C5471" s="1">
        <v>7000509169</v>
      </c>
      <c r="D5471" s="1">
        <v>9407558050</v>
      </c>
      <c r="E5471" s="17" t="s">
        <v>7805</v>
      </c>
      <c r="F5471" s="65" t="s">
        <v>8002</v>
      </c>
      <c r="G5471" s="3" t="s">
        <v>18</v>
      </c>
      <c r="H5471" s="2" t="s">
        <v>5774</v>
      </c>
      <c r="I5471" s="3" t="s">
        <v>42</v>
      </c>
      <c r="J5471" s="31">
        <v>46011</v>
      </c>
      <c r="K5471" s="31">
        <v>46012</v>
      </c>
      <c r="L5471" s="31"/>
      <c r="M5471" s="31"/>
      <c r="N5471" s="31"/>
      <c r="O5471" s="3" t="s">
        <v>297</v>
      </c>
    </row>
    <row r="5472" spans="1:15">
      <c r="A5472" s="3">
        <f t="shared" si="111"/>
        <v>5471</v>
      </c>
      <c r="B5472" s="65" t="s">
        <v>8003</v>
      </c>
      <c r="C5472" s="1">
        <v>9912618150</v>
      </c>
      <c r="E5472" s="17" t="s">
        <v>8004</v>
      </c>
      <c r="F5472" s="65" t="s">
        <v>987</v>
      </c>
      <c r="G5472" s="3" t="s">
        <v>295</v>
      </c>
      <c r="H5472" s="2" t="s">
        <v>162</v>
      </c>
      <c r="I5472" s="3" t="s">
        <v>88</v>
      </c>
      <c r="J5472" s="31">
        <v>46009</v>
      </c>
      <c r="K5472" s="31">
        <v>46010</v>
      </c>
      <c r="L5472" s="31">
        <v>46010</v>
      </c>
      <c r="M5472" s="31">
        <v>46055</v>
      </c>
      <c r="N5472" s="31"/>
      <c r="O5472" s="3" t="s">
        <v>297</v>
      </c>
    </row>
    <row r="5473" spans="1:15">
      <c r="A5473" s="3">
        <f t="shared" ref="A5473:A5487" si="112">ROW()-1</f>
        <v>5472</v>
      </c>
      <c r="B5473" s="65" t="s">
        <v>8005</v>
      </c>
      <c r="C5473" s="1">
        <v>9424968536</v>
      </c>
      <c r="D5473" s="22">
        <v>7470668536</v>
      </c>
      <c r="E5473" s="17" t="s">
        <v>7928</v>
      </c>
      <c r="F5473" s="65"/>
      <c r="G5473" s="3" t="s">
        <v>295</v>
      </c>
      <c r="H5473" s="3" t="s">
        <v>913</v>
      </c>
      <c r="I5473" s="3" t="s">
        <v>94</v>
      </c>
      <c r="J5473" s="31">
        <v>46007</v>
      </c>
      <c r="K5473" s="31">
        <v>46009</v>
      </c>
      <c r="L5473" s="31">
        <v>46010</v>
      </c>
      <c r="M5473" s="31">
        <v>46017</v>
      </c>
      <c r="N5473" s="31"/>
      <c r="O5473" s="3" t="s">
        <v>297</v>
      </c>
    </row>
    <row r="5474" spans="1:15">
      <c r="A5474" s="3">
        <f t="shared" si="112"/>
        <v>5473</v>
      </c>
      <c r="B5474" s="65" t="s">
        <v>8006</v>
      </c>
      <c r="C5474" s="1">
        <v>9424059079</v>
      </c>
      <c r="E5474" s="17" t="s">
        <v>7928</v>
      </c>
      <c r="F5474" s="65"/>
      <c r="G5474" s="3" t="s">
        <v>16</v>
      </c>
      <c r="H5474" s="2" t="s">
        <v>930</v>
      </c>
      <c r="I5474" s="3" t="s">
        <v>94</v>
      </c>
      <c r="J5474" s="31">
        <v>46007</v>
      </c>
      <c r="K5474" s="31">
        <v>46009</v>
      </c>
      <c r="L5474" s="31">
        <v>46010</v>
      </c>
      <c r="M5474" s="31">
        <v>46027</v>
      </c>
      <c r="N5474" s="31">
        <v>46033</v>
      </c>
      <c r="O5474" s="3" t="s">
        <v>297</v>
      </c>
    </row>
    <row r="5475" spans="1:15">
      <c r="A5475" s="3">
        <f t="shared" si="112"/>
        <v>5474</v>
      </c>
      <c r="B5475" s="65" t="s">
        <v>8007</v>
      </c>
      <c r="C5475" s="1">
        <v>9758866149</v>
      </c>
      <c r="E5475" s="17" t="s">
        <v>7200</v>
      </c>
      <c r="F5475" s="65"/>
      <c r="G5475" s="3" t="s">
        <v>16</v>
      </c>
      <c r="H5475" s="2" t="s">
        <v>1613</v>
      </c>
      <c r="I5475" s="3" t="s">
        <v>94</v>
      </c>
      <c r="J5475" s="31">
        <v>46007</v>
      </c>
      <c r="K5475" s="31">
        <v>46009</v>
      </c>
      <c r="L5475" s="31">
        <v>46010</v>
      </c>
      <c r="M5475" s="31">
        <v>46025</v>
      </c>
      <c r="N5475" s="31">
        <v>46028</v>
      </c>
      <c r="O5475" s="3" t="s">
        <v>297</v>
      </c>
    </row>
    <row r="5476" spans="1:15">
      <c r="A5476" s="3">
        <f t="shared" si="112"/>
        <v>5475</v>
      </c>
      <c r="B5476" s="65" t="s">
        <v>8008</v>
      </c>
      <c r="C5476" s="1">
        <v>9629626500</v>
      </c>
      <c r="E5476" s="17" t="s">
        <v>7827</v>
      </c>
      <c r="F5476" s="65"/>
      <c r="G5476" s="2" t="s">
        <v>16</v>
      </c>
      <c r="H5476" s="2" t="s">
        <v>305</v>
      </c>
      <c r="I5476" s="3" t="s">
        <v>94</v>
      </c>
      <c r="J5476" s="31">
        <v>46007</v>
      </c>
      <c r="K5476" s="31">
        <v>46009</v>
      </c>
      <c r="L5476" s="31">
        <v>46010</v>
      </c>
      <c r="M5476" s="31">
        <v>46025</v>
      </c>
      <c r="N5476" s="31">
        <v>46025</v>
      </c>
      <c r="O5476" s="3" t="s">
        <v>297</v>
      </c>
    </row>
    <row r="5477" spans="1:15">
      <c r="A5477" s="3">
        <f t="shared" si="112"/>
        <v>5476</v>
      </c>
      <c r="B5477" s="65" t="s">
        <v>8009</v>
      </c>
      <c r="C5477" s="1">
        <v>9033489973</v>
      </c>
      <c r="E5477" s="17" t="s">
        <v>1780</v>
      </c>
      <c r="F5477" s="65"/>
      <c r="G5477" s="3" t="s">
        <v>16</v>
      </c>
      <c r="H5477" s="2" t="s">
        <v>305</v>
      </c>
      <c r="I5477" s="3" t="s">
        <v>94</v>
      </c>
      <c r="J5477" s="31">
        <v>46007</v>
      </c>
      <c r="K5477" s="31">
        <v>46009</v>
      </c>
      <c r="L5477" s="31">
        <v>46010</v>
      </c>
      <c r="M5477" s="31">
        <v>46020</v>
      </c>
      <c r="N5477" s="31">
        <v>46027</v>
      </c>
      <c r="O5477" s="3" t="s">
        <v>297</v>
      </c>
    </row>
    <row r="5478" spans="1:15">
      <c r="A5478" s="3">
        <f t="shared" si="112"/>
        <v>5477</v>
      </c>
      <c r="B5478" s="65" t="s">
        <v>8010</v>
      </c>
      <c r="C5478" s="1">
        <v>8260433537</v>
      </c>
      <c r="E5478" s="17" t="s">
        <v>7788</v>
      </c>
      <c r="F5478" s="65"/>
      <c r="G5478" s="2" t="s">
        <v>16</v>
      </c>
      <c r="H5478" s="2" t="s">
        <v>5566</v>
      </c>
      <c r="I5478" s="3" t="s">
        <v>88</v>
      </c>
      <c r="J5478" s="31">
        <v>46007</v>
      </c>
      <c r="K5478" s="31">
        <v>46009</v>
      </c>
      <c r="L5478" s="31">
        <v>46010</v>
      </c>
      <c r="M5478" s="31">
        <v>46041</v>
      </c>
      <c r="N5478" s="31">
        <v>46016</v>
      </c>
      <c r="O5478" s="3" t="s">
        <v>297</v>
      </c>
    </row>
    <row r="5479" spans="1:15">
      <c r="A5479" s="3">
        <f t="shared" si="112"/>
        <v>5478</v>
      </c>
      <c r="B5479" s="65" t="s">
        <v>7597</v>
      </c>
      <c r="C5479" s="1">
        <v>9573533830</v>
      </c>
      <c r="E5479" s="17" t="s">
        <v>8011</v>
      </c>
      <c r="F5479" s="65"/>
      <c r="G5479" s="3" t="s">
        <v>16</v>
      </c>
      <c r="H5479" s="2" t="s">
        <v>999</v>
      </c>
      <c r="I5479" s="3" t="s">
        <v>88</v>
      </c>
      <c r="J5479" s="31">
        <v>46007</v>
      </c>
      <c r="K5479" s="31">
        <v>46009</v>
      </c>
      <c r="L5479" s="31">
        <v>46010</v>
      </c>
      <c r="M5479" s="31">
        <v>46042</v>
      </c>
      <c r="N5479" s="31">
        <v>46042</v>
      </c>
      <c r="O5479" s="3" t="s">
        <v>297</v>
      </c>
    </row>
    <row r="5480" spans="1:15">
      <c r="A5480" s="3">
        <f t="shared" si="112"/>
        <v>5479</v>
      </c>
      <c r="B5480" s="65" t="s">
        <v>8012</v>
      </c>
      <c r="C5480" s="1">
        <v>8158910508</v>
      </c>
      <c r="E5480" s="17" t="s">
        <v>7919</v>
      </c>
      <c r="F5480" s="65"/>
      <c r="G5480" s="2" t="s">
        <v>16</v>
      </c>
      <c r="H5480" s="2" t="s">
        <v>8013</v>
      </c>
      <c r="I5480" s="3" t="s">
        <v>88</v>
      </c>
      <c r="J5480" s="31">
        <v>46007</v>
      </c>
      <c r="K5480" s="31">
        <v>46009</v>
      </c>
      <c r="L5480" s="31">
        <v>46010</v>
      </c>
      <c r="M5480" s="31">
        <v>46041</v>
      </c>
      <c r="N5480" s="31">
        <v>46032</v>
      </c>
      <c r="O5480" s="3" t="s">
        <v>297</v>
      </c>
    </row>
    <row r="5481" spans="1:15">
      <c r="A5481" s="3">
        <f t="shared" si="112"/>
        <v>5480</v>
      </c>
      <c r="B5481" s="65" t="s">
        <v>8014</v>
      </c>
      <c r="C5481" s="1">
        <v>9908174030</v>
      </c>
      <c r="E5481" s="17" t="s">
        <v>7076</v>
      </c>
      <c r="F5481" s="65"/>
      <c r="G5481" s="3" t="s">
        <v>295</v>
      </c>
      <c r="H5481" s="2" t="s">
        <v>999</v>
      </c>
      <c r="I5481" s="3" t="s">
        <v>88</v>
      </c>
      <c r="J5481" s="31">
        <v>46007</v>
      </c>
      <c r="K5481" s="31">
        <v>46009</v>
      </c>
      <c r="L5481" s="31">
        <v>46010</v>
      </c>
      <c r="M5481" s="31">
        <v>46068</v>
      </c>
      <c r="N5481" s="31"/>
      <c r="O5481" s="3" t="s">
        <v>297</v>
      </c>
    </row>
    <row r="5482" spans="1:15">
      <c r="A5482" s="3">
        <f t="shared" si="112"/>
        <v>5481</v>
      </c>
      <c r="B5482" s="65" t="s">
        <v>8015</v>
      </c>
      <c r="C5482" s="1">
        <v>7729865201</v>
      </c>
      <c r="E5482" s="17" t="s">
        <v>7366</v>
      </c>
      <c r="F5482" s="65" t="s">
        <v>5892</v>
      </c>
      <c r="G5482" s="3" t="s">
        <v>16</v>
      </c>
      <c r="H5482" s="2" t="s">
        <v>5774</v>
      </c>
      <c r="I5482" s="3" t="s">
        <v>42</v>
      </c>
      <c r="J5482" s="31">
        <v>46014</v>
      </c>
      <c r="K5482" s="31">
        <v>46016</v>
      </c>
      <c r="L5482" s="31">
        <v>46016</v>
      </c>
      <c r="M5482" s="31">
        <v>46063</v>
      </c>
      <c r="N5482" s="31">
        <v>46059</v>
      </c>
      <c r="O5482" s="3" t="s">
        <v>297</v>
      </c>
    </row>
    <row r="5483" spans="1:15">
      <c r="A5483" s="3">
        <f t="shared" si="112"/>
        <v>5482</v>
      </c>
      <c r="B5483" s="65" t="s">
        <v>8016</v>
      </c>
      <c r="C5483" s="1">
        <v>7995859345</v>
      </c>
      <c r="E5483" s="17" t="s">
        <v>7366</v>
      </c>
      <c r="F5483" s="65" t="s">
        <v>5892</v>
      </c>
      <c r="G5483" s="3" t="s">
        <v>764</v>
      </c>
      <c r="H5483" s="2" t="s">
        <v>5774</v>
      </c>
      <c r="I5483" s="3" t="s">
        <v>42</v>
      </c>
      <c r="J5483" s="31">
        <v>46014</v>
      </c>
      <c r="K5483" s="31">
        <v>46016</v>
      </c>
      <c r="L5483" s="31"/>
      <c r="M5483" s="31"/>
      <c r="N5483" s="31"/>
      <c r="O5483" s="3" t="s">
        <v>425</v>
      </c>
    </row>
    <row r="5484" spans="1:15">
      <c r="A5484" s="3">
        <f t="shared" si="112"/>
        <v>5483</v>
      </c>
      <c r="B5484" s="65" t="s">
        <v>8017</v>
      </c>
      <c r="C5484" s="1">
        <v>6303899208</v>
      </c>
      <c r="E5484" s="17" t="s">
        <v>6779</v>
      </c>
      <c r="F5484" s="65" t="s">
        <v>8018</v>
      </c>
      <c r="G5484" s="3" t="s">
        <v>424</v>
      </c>
      <c r="H5484" s="2" t="s">
        <v>2183</v>
      </c>
      <c r="I5484" s="3" t="s">
        <v>88</v>
      </c>
      <c r="J5484" s="31">
        <v>46014</v>
      </c>
      <c r="K5484" s="31">
        <v>46055</v>
      </c>
      <c r="L5484" s="31"/>
      <c r="M5484" s="31"/>
      <c r="N5484" s="31"/>
      <c r="O5484" s="3" t="s">
        <v>749</v>
      </c>
    </row>
    <row r="5485" spans="1:15">
      <c r="A5485" s="3">
        <f t="shared" si="112"/>
        <v>5484</v>
      </c>
      <c r="B5485" s="65" t="s">
        <v>8019</v>
      </c>
      <c r="C5485" s="1">
        <v>9848277794</v>
      </c>
      <c r="E5485" s="17" t="s">
        <v>7128</v>
      </c>
      <c r="F5485" s="65" t="s">
        <v>8020</v>
      </c>
      <c r="G5485" s="3" t="s">
        <v>764</v>
      </c>
      <c r="H5485" s="2" t="s">
        <v>162</v>
      </c>
      <c r="I5485" s="3" t="s">
        <v>42</v>
      </c>
      <c r="J5485" s="31">
        <v>46014</v>
      </c>
      <c r="K5485" s="31">
        <v>46045</v>
      </c>
      <c r="L5485" s="31"/>
      <c r="M5485" s="31"/>
      <c r="N5485" s="31"/>
      <c r="O5485" s="3" t="s">
        <v>425</v>
      </c>
    </row>
    <row r="5486" spans="1:15">
      <c r="A5486" s="3">
        <f t="shared" si="112"/>
        <v>5485</v>
      </c>
      <c r="B5486" s="65" t="s">
        <v>8021</v>
      </c>
      <c r="C5486" s="1">
        <v>9182648370</v>
      </c>
      <c r="E5486" s="17" t="s">
        <v>7366</v>
      </c>
      <c r="F5486" s="65" t="s">
        <v>308</v>
      </c>
      <c r="G5486" s="3" t="s">
        <v>764</v>
      </c>
      <c r="H5486" s="1" t="s">
        <v>6158</v>
      </c>
      <c r="I5486" s="3" t="s">
        <v>42</v>
      </c>
      <c r="J5486" s="31">
        <v>46014</v>
      </c>
      <c r="K5486" s="31"/>
      <c r="L5486" s="31"/>
      <c r="M5486" s="31"/>
      <c r="N5486" s="31"/>
      <c r="O5486" s="3" t="s">
        <v>8022</v>
      </c>
    </row>
    <row r="5487" spans="1:15">
      <c r="A5487" s="3">
        <f t="shared" si="112"/>
        <v>5486</v>
      </c>
      <c r="B5487" s="65" t="s">
        <v>8023</v>
      </c>
      <c r="C5487" s="1">
        <v>8464083330</v>
      </c>
      <c r="E5487" s="17" t="s">
        <v>7366</v>
      </c>
      <c r="F5487" s="65" t="s">
        <v>8024</v>
      </c>
      <c r="G5487" s="3" t="s">
        <v>7030</v>
      </c>
      <c r="H5487" s="2" t="s">
        <v>6353</v>
      </c>
      <c r="I5487" s="3" t="s">
        <v>42</v>
      </c>
      <c r="J5487" s="31">
        <v>46014</v>
      </c>
      <c r="K5487" s="31"/>
      <c r="L5487" s="31"/>
      <c r="M5487" s="31"/>
      <c r="N5487" s="31"/>
      <c r="O5487" s="3" t="s">
        <v>1004</v>
      </c>
    </row>
    <row r="5488" spans="1:15">
      <c r="A5488" s="3">
        <f t="shared" ref="A5488:A5504" si="113">ROW()-1</f>
        <v>5487</v>
      </c>
      <c r="B5488" s="65" t="s">
        <v>8025</v>
      </c>
      <c r="C5488" s="1">
        <v>9507074000</v>
      </c>
      <c r="E5488" s="17" t="s">
        <v>7855</v>
      </c>
      <c r="F5488" s="65" t="s">
        <v>5634</v>
      </c>
      <c r="G5488" s="3" t="s">
        <v>16</v>
      </c>
      <c r="H5488" s="2" t="s">
        <v>815</v>
      </c>
      <c r="I5488" s="3" t="s">
        <v>94</v>
      </c>
      <c r="J5488" s="31">
        <v>46014</v>
      </c>
      <c r="K5488" s="31">
        <v>46031</v>
      </c>
      <c r="L5488" s="31">
        <v>46031</v>
      </c>
      <c r="M5488" s="31">
        <v>46073</v>
      </c>
      <c r="N5488" s="31">
        <v>46072</v>
      </c>
      <c r="O5488" s="3" t="s">
        <v>297</v>
      </c>
    </row>
    <row r="5489" spans="1:15">
      <c r="A5489" s="3">
        <f t="shared" si="113"/>
        <v>5488</v>
      </c>
      <c r="B5489" s="65" t="s">
        <v>8026</v>
      </c>
      <c r="C5489" s="1">
        <v>7761022032</v>
      </c>
      <c r="E5489" s="17" t="s">
        <v>7855</v>
      </c>
      <c r="F5489" s="65" t="s">
        <v>5634</v>
      </c>
      <c r="G5489" s="3" t="s">
        <v>424</v>
      </c>
      <c r="H5489" s="2" t="s">
        <v>815</v>
      </c>
      <c r="I5489" s="3" t="s">
        <v>94</v>
      </c>
      <c r="J5489" s="31">
        <v>46014</v>
      </c>
      <c r="K5489" s="31">
        <v>46017</v>
      </c>
      <c r="L5489" s="31"/>
      <c r="M5489" s="31"/>
      <c r="N5489" s="31"/>
      <c r="O5489" s="3" t="s">
        <v>425</v>
      </c>
    </row>
    <row r="5490" spans="1:15">
      <c r="A5490" s="3">
        <f t="shared" si="113"/>
        <v>5489</v>
      </c>
      <c r="B5490" s="65" t="s">
        <v>8027</v>
      </c>
      <c r="C5490" s="1">
        <v>8851192817</v>
      </c>
      <c r="E5490" s="17" t="s">
        <v>7855</v>
      </c>
      <c r="F5490" s="65" t="s">
        <v>6504</v>
      </c>
      <c r="G5490" s="3" t="s">
        <v>416</v>
      </c>
      <c r="H5490" s="2" t="s">
        <v>815</v>
      </c>
      <c r="I5490" s="3" t="s">
        <v>94</v>
      </c>
      <c r="J5490" s="31">
        <v>46014</v>
      </c>
      <c r="K5490" s="31">
        <v>46030</v>
      </c>
      <c r="L5490" s="31"/>
      <c r="M5490" s="31"/>
      <c r="N5490" s="31"/>
      <c r="O5490" s="3" t="s">
        <v>297</v>
      </c>
    </row>
    <row r="5491" spans="1:15">
      <c r="A5491" s="3">
        <f t="shared" si="113"/>
        <v>5490</v>
      </c>
      <c r="B5491" s="65" t="s">
        <v>8028</v>
      </c>
      <c r="C5491" s="1">
        <v>8602082803</v>
      </c>
      <c r="E5491" s="17" t="s">
        <v>7855</v>
      </c>
      <c r="F5491" s="65" t="s">
        <v>6504</v>
      </c>
      <c r="G5491" s="3" t="s">
        <v>424</v>
      </c>
      <c r="H5491" s="2" t="s">
        <v>815</v>
      </c>
      <c r="I5491" s="3" t="s">
        <v>94</v>
      </c>
      <c r="J5491" s="31">
        <v>46014</v>
      </c>
      <c r="K5491" s="31">
        <v>46017</v>
      </c>
      <c r="L5491" s="31"/>
      <c r="M5491" s="31"/>
      <c r="N5491" s="31"/>
      <c r="O5491" s="3" t="s">
        <v>425</v>
      </c>
    </row>
    <row r="5492" spans="1:15">
      <c r="A5492" s="3">
        <f t="shared" si="113"/>
        <v>5491</v>
      </c>
      <c r="B5492" s="65" t="s">
        <v>8029</v>
      </c>
      <c r="C5492" s="1">
        <v>7509254437</v>
      </c>
      <c r="D5492" s="1">
        <v>7024236575</v>
      </c>
      <c r="E5492" s="17" t="s">
        <v>1780</v>
      </c>
      <c r="F5492" s="65" t="s">
        <v>1011</v>
      </c>
      <c r="G5492" s="3" t="s">
        <v>16</v>
      </c>
      <c r="H5492" s="2" t="s">
        <v>305</v>
      </c>
      <c r="I5492" s="3" t="s">
        <v>94</v>
      </c>
      <c r="J5492" s="31">
        <v>46014</v>
      </c>
      <c r="K5492" s="31">
        <v>46021</v>
      </c>
      <c r="L5492" s="31">
        <v>46024</v>
      </c>
      <c r="M5492" s="31">
        <v>46058</v>
      </c>
      <c r="N5492" s="31">
        <v>46061</v>
      </c>
      <c r="O5492" s="3" t="s">
        <v>297</v>
      </c>
    </row>
    <row r="5493" spans="1:15">
      <c r="A5493" s="3">
        <f t="shared" si="113"/>
        <v>5492</v>
      </c>
      <c r="B5493" s="65" t="s">
        <v>8030</v>
      </c>
      <c r="C5493" s="1">
        <v>6300204815</v>
      </c>
      <c r="E5493" s="17" t="s">
        <v>1780</v>
      </c>
      <c r="F5493" s="65" t="s">
        <v>1011</v>
      </c>
      <c r="G5493" s="3" t="s">
        <v>416</v>
      </c>
      <c r="H5493" s="2" t="s">
        <v>305</v>
      </c>
      <c r="I5493" s="3" t="s">
        <v>94</v>
      </c>
      <c r="J5493" s="31">
        <v>46014</v>
      </c>
      <c r="K5493" s="31">
        <v>46021</v>
      </c>
      <c r="L5493" s="31"/>
      <c r="M5493" s="31"/>
      <c r="N5493" s="31"/>
      <c r="O5493" s="3" t="s">
        <v>297</v>
      </c>
    </row>
    <row r="5494" spans="1:15">
      <c r="A5494" s="3">
        <f t="shared" si="113"/>
        <v>5493</v>
      </c>
      <c r="B5494" s="65" t="s">
        <v>8031</v>
      </c>
      <c r="C5494" s="1">
        <v>9450531844</v>
      </c>
      <c r="E5494" s="17" t="s">
        <v>1780</v>
      </c>
      <c r="F5494" s="65" t="s">
        <v>303</v>
      </c>
      <c r="G5494" s="3" t="s">
        <v>424</v>
      </c>
      <c r="H5494" s="2" t="s">
        <v>305</v>
      </c>
      <c r="I5494" s="3" t="s">
        <v>94</v>
      </c>
      <c r="J5494" s="31">
        <v>46014</v>
      </c>
      <c r="K5494" s="31">
        <v>46021</v>
      </c>
      <c r="L5494" s="31"/>
      <c r="M5494" s="31"/>
      <c r="N5494" s="31"/>
      <c r="O5494" s="3" t="s">
        <v>749</v>
      </c>
    </row>
    <row r="5495" spans="1:15">
      <c r="A5495" s="3">
        <f t="shared" si="113"/>
        <v>5494</v>
      </c>
      <c r="B5495" s="65" t="s">
        <v>8032</v>
      </c>
      <c r="C5495" s="1">
        <v>8651187994</v>
      </c>
      <c r="D5495" s="1">
        <v>7004064085</v>
      </c>
      <c r="E5495" s="17" t="s">
        <v>8033</v>
      </c>
      <c r="F5495" s="65" t="s">
        <v>612</v>
      </c>
      <c r="G5495" s="3" t="s">
        <v>16</v>
      </c>
      <c r="H5495" s="2" t="s">
        <v>305</v>
      </c>
      <c r="I5495" s="3" t="s">
        <v>94</v>
      </c>
      <c r="J5495" s="31">
        <v>46014</v>
      </c>
      <c r="K5495" s="31">
        <v>46017</v>
      </c>
      <c r="L5495" s="31">
        <v>46017</v>
      </c>
      <c r="M5495" s="31">
        <v>46030</v>
      </c>
      <c r="N5495" s="31">
        <v>46032</v>
      </c>
      <c r="O5495" s="3" t="s">
        <v>297</v>
      </c>
    </row>
    <row r="5496" spans="1:15">
      <c r="A5496" s="3">
        <f t="shared" si="113"/>
        <v>5495</v>
      </c>
      <c r="B5496" s="65" t="s">
        <v>8034</v>
      </c>
      <c r="C5496" s="1">
        <v>9569233317</v>
      </c>
      <c r="E5496" s="17" t="s">
        <v>8033</v>
      </c>
      <c r="F5496" s="65" t="s">
        <v>5110</v>
      </c>
      <c r="G5496" s="3" t="s">
        <v>16</v>
      </c>
      <c r="H5496" s="2" t="s">
        <v>305</v>
      </c>
      <c r="I5496" s="3" t="s">
        <v>94</v>
      </c>
      <c r="J5496" s="31">
        <v>46014</v>
      </c>
      <c r="K5496" s="31">
        <v>46017</v>
      </c>
      <c r="L5496" s="31">
        <v>46024</v>
      </c>
      <c r="M5496" s="31">
        <f>L5496+10</f>
        <v>46034</v>
      </c>
      <c r="N5496" s="31">
        <v>46037</v>
      </c>
      <c r="O5496" s="3" t="s">
        <v>297</v>
      </c>
    </row>
    <row r="5497" spans="1:15">
      <c r="A5497" s="3">
        <f t="shared" si="113"/>
        <v>5496</v>
      </c>
      <c r="B5497" s="65" t="s">
        <v>8035</v>
      </c>
      <c r="C5497" s="1">
        <v>6394378426</v>
      </c>
      <c r="E5497" s="17" t="s">
        <v>8033</v>
      </c>
      <c r="F5497" s="65" t="s">
        <v>5110</v>
      </c>
      <c r="G5497" s="3" t="s">
        <v>16</v>
      </c>
      <c r="H5497" s="2" t="s">
        <v>305</v>
      </c>
      <c r="I5497" s="3" t="s">
        <v>94</v>
      </c>
      <c r="J5497" s="31">
        <v>46014</v>
      </c>
      <c r="K5497" s="31">
        <v>46017</v>
      </c>
      <c r="L5497" s="31">
        <v>46024</v>
      </c>
      <c r="M5497" s="31">
        <f>L5497+10</f>
        <v>46034</v>
      </c>
      <c r="N5497" s="31">
        <v>46039</v>
      </c>
      <c r="O5497" s="3" t="s">
        <v>297</v>
      </c>
    </row>
    <row r="5498" spans="1:15">
      <c r="A5498" s="3">
        <f t="shared" si="113"/>
        <v>5497</v>
      </c>
      <c r="B5498" s="65" t="s">
        <v>8036</v>
      </c>
      <c r="C5498" s="1">
        <v>8900940722</v>
      </c>
      <c r="E5498" s="17" t="s">
        <v>8033</v>
      </c>
      <c r="F5498" s="65" t="s">
        <v>303</v>
      </c>
      <c r="G5498" s="3" t="s">
        <v>416</v>
      </c>
      <c r="H5498" s="2" t="s">
        <v>305</v>
      </c>
      <c r="I5498" s="3" t="s">
        <v>94</v>
      </c>
      <c r="J5498" s="31">
        <v>46014</v>
      </c>
      <c r="K5498" s="31">
        <v>46017</v>
      </c>
      <c r="L5498" s="31"/>
      <c r="M5498" s="31"/>
      <c r="N5498" s="31"/>
      <c r="O5498" s="3" t="s">
        <v>297</v>
      </c>
    </row>
    <row r="5499" spans="1:15">
      <c r="A5499" s="3">
        <f t="shared" si="113"/>
        <v>5498</v>
      </c>
      <c r="B5499" s="65" t="s">
        <v>5643</v>
      </c>
      <c r="C5499" s="1">
        <v>7897535024</v>
      </c>
      <c r="E5499" s="17" t="s">
        <v>7825</v>
      </c>
      <c r="F5499" s="65" t="s">
        <v>303</v>
      </c>
      <c r="G5499" s="3" t="s">
        <v>16</v>
      </c>
      <c r="H5499" s="2" t="s">
        <v>305</v>
      </c>
      <c r="I5499" s="3" t="s">
        <v>94</v>
      </c>
      <c r="J5499" s="31">
        <v>46014</v>
      </c>
      <c r="K5499" s="31">
        <v>46017</v>
      </c>
      <c r="L5499" s="31">
        <v>46041</v>
      </c>
      <c r="M5499" s="31">
        <v>46074</v>
      </c>
      <c r="N5499" s="31">
        <v>46074</v>
      </c>
      <c r="O5499" s="3" t="s">
        <v>297</v>
      </c>
    </row>
    <row r="5500" spans="1:15">
      <c r="A5500" s="3">
        <f t="shared" si="113"/>
        <v>5499</v>
      </c>
      <c r="B5500" s="65" t="s">
        <v>8037</v>
      </c>
      <c r="C5500" s="1">
        <v>8939803959</v>
      </c>
      <c r="E5500" s="17" t="s">
        <v>6779</v>
      </c>
      <c r="F5500" s="65" t="s">
        <v>8018</v>
      </c>
      <c r="G5500" s="3" t="s">
        <v>424</v>
      </c>
      <c r="H5500" s="2" t="s">
        <v>2183</v>
      </c>
      <c r="I5500" s="3" t="s">
        <v>88</v>
      </c>
      <c r="J5500" s="31">
        <v>46015</v>
      </c>
      <c r="K5500" s="31">
        <v>46055</v>
      </c>
      <c r="L5500" s="31"/>
      <c r="M5500" s="31"/>
      <c r="N5500" s="31"/>
      <c r="O5500" s="3" t="s">
        <v>749</v>
      </c>
    </row>
    <row r="5501" spans="1:15">
      <c r="A5501" s="3">
        <f t="shared" si="113"/>
        <v>5500</v>
      </c>
      <c r="B5501" s="65" t="s">
        <v>8038</v>
      </c>
      <c r="C5501" s="1">
        <v>8546097577</v>
      </c>
      <c r="E5501" s="17" t="s">
        <v>7928</v>
      </c>
      <c r="F5501" s="65" t="s">
        <v>1935</v>
      </c>
      <c r="G5501" s="3" t="s">
        <v>416</v>
      </c>
      <c r="H5501" s="2" t="s">
        <v>930</v>
      </c>
      <c r="I5501" s="3" t="s">
        <v>94</v>
      </c>
      <c r="J5501" s="31">
        <v>46015</v>
      </c>
      <c r="K5501" s="31">
        <v>46015</v>
      </c>
      <c r="L5501" s="31"/>
      <c r="M5501" s="31"/>
      <c r="N5501" s="31"/>
      <c r="O5501" s="3" t="s">
        <v>297</v>
      </c>
    </row>
    <row r="5502" spans="1:15">
      <c r="A5502" s="3">
        <f t="shared" si="113"/>
        <v>5501</v>
      </c>
      <c r="B5502" s="65" t="s">
        <v>8039</v>
      </c>
      <c r="C5502" s="1">
        <v>9455401997</v>
      </c>
      <c r="D5502" s="1">
        <v>8299556686</v>
      </c>
      <c r="E5502" s="17" t="s">
        <v>7928</v>
      </c>
      <c r="F5502" s="65" t="s">
        <v>1935</v>
      </c>
      <c r="G5502" s="3" t="s">
        <v>424</v>
      </c>
      <c r="H5502" s="2" t="s">
        <v>930</v>
      </c>
      <c r="I5502" s="3" t="s">
        <v>94</v>
      </c>
      <c r="J5502" s="31">
        <v>46015</v>
      </c>
      <c r="K5502" s="31">
        <v>46015</v>
      </c>
      <c r="L5502" s="31"/>
      <c r="M5502" s="31"/>
      <c r="N5502" s="31"/>
      <c r="O5502" s="3" t="s">
        <v>425</v>
      </c>
    </row>
    <row r="5503" spans="1:15">
      <c r="A5503" s="3">
        <f t="shared" si="113"/>
        <v>5502</v>
      </c>
      <c r="B5503" s="65" t="s">
        <v>8040</v>
      </c>
      <c r="C5503" s="1">
        <v>9506965210</v>
      </c>
      <c r="E5503" s="17" t="s">
        <v>7928</v>
      </c>
      <c r="F5503" s="65" t="s">
        <v>8041</v>
      </c>
      <c r="G5503" s="3" t="s">
        <v>424</v>
      </c>
      <c r="H5503" s="2" t="s">
        <v>930</v>
      </c>
      <c r="I5503" s="3" t="s">
        <v>94</v>
      </c>
      <c r="J5503" s="31">
        <v>46015</v>
      </c>
      <c r="K5503" s="31">
        <v>46015</v>
      </c>
      <c r="L5503" s="31"/>
      <c r="M5503" s="31"/>
      <c r="N5503" s="31"/>
      <c r="O5503" s="3" t="s">
        <v>425</v>
      </c>
    </row>
    <row r="5504" spans="1:15">
      <c r="A5504" s="3">
        <f t="shared" si="113"/>
        <v>5503</v>
      </c>
      <c r="B5504" s="65" t="s">
        <v>8042</v>
      </c>
      <c r="C5504" s="1">
        <v>9554255362</v>
      </c>
      <c r="E5504" s="17" t="s">
        <v>7928</v>
      </c>
      <c r="F5504" s="65" t="s">
        <v>8041</v>
      </c>
      <c r="G5504" s="3" t="s">
        <v>295</v>
      </c>
      <c r="H5504" s="2" t="s">
        <v>930</v>
      </c>
      <c r="I5504" s="3" t="s">
        <v>94</v>
      </c>
      <c r="J5504" s="31">
        <v>46015</v>
      </c>
      <c r="K5504" s="31">
        <v>46015</v>
      </c>
      <c r="L5504" s="31">
        <v>46016</v>
      </c>
      <c r="M5504" s="31">
        <v>46044</v>
      </c>
      <c r="N5504" s="31"/>
      <c r="O5504" s="3" t="s">
        <v>297</v>
      </c>
    </row>
    <row r="5505" spans="1:15">
      <c r="A5505" s="3">
        <f>ROW()-1</f>
        <v>5504</v>
      </c>
      <c r="B5505" s="65" t="s">
        <v>8043</v>
      </c>
      <c r="C5505" s="1">
        <v>9685875213</v>
      </c>
      <c r="E5505" s="17" t="s">
        <v>8044</v>
      </c>
      <c r="F5505" s="65" t="s">
        <v>8041</v>
      </c>
      <c r="G5505" s="3" t="s">
        <v>424</v>
      </c>
      <c r="H5505" s="2" t="s">
        <v>930</v>
      </c>
      <c r="I5505" s="3" t="s">
        <v>94</v>
      </c>
      <c r="J5505" s="31">
        <v>46015</v>
      </c>
      <c r="K5505" s="31">
        <v>46027</v>
      </c>
      <c r="L5505" s="31"/>
      <c r="M5505" s="31"/>
      <c r="N5505" s="31"/>
      <c r="O5505" s="3" t="s">
        <v>425</v>
      </c>
    </row>
    <row r="5506" spans="1:15">
      <c r="A5506" s="3">
        <f>ROW()-1</f>
        <v>5505</v>
      </c>
      <c r="B5506" s="65" t="s">
        <v>8045</v>
      </c>
      <c r="C5506" s="1">
        <v>9987841054</v>
      </c>
      <c r="E5506" s="17" t="s">
        <v>8046</v>
      </c>
      <c r="F5506" s="65" t="s">
        <v>303</v>
      </c>
      <c r="G5506" s="3" t="s">
        <v>424</v>
      </c>
      <c r="H5506" s="2" t="s">
        <v>305</v>
      </c>
      <c r="I5506" s="3" t="s">
        <v>94</v>
      </c>
      <c r="J5506" s="31">
        <v>46015</v>
      </c>
      <c r="K5506" s="31">
        <v>46025</v>
      </c>
      <c r="L5506" s="31"/>
      <c r="M5506" s="31"/>
      <c r="N5506" s="31"/>
      <c r="O5506" s="3" t="s">
        <v>749</v>
      </c>
    </row>
    <row r="5507" spans="1:15">
      <c r="A5507" s="3">
        <f>ROW()-1</f>
        <v>5506</v>
      </c>
      <c r="B5507" s="65" t="s">
        <v>8047</v>
      </c>
      <c r="C5507" s="1">
        <v>7828359144</v>
      </c>
      <c r="E5507" s="17" t="s">
        <v>8046</v>
      </c>
      <c r="F5507" s="65" t="s">
        <v>245</v>
      </c>
      <c r="G5507" s="3" t="s">
        <v>295</v>
      </c>
      <c r="H5507" s="2" t="s">
        <v>305</v>
      </c>
      <c r="I5507" s="3" t="s">
        <v>94</v>
      </c>
      <c r="J5507" s="31">
        <v>46015</v>
      </c>
      <c r="K5507" s="31">
        <v>46024</v>
      </c>
      <c r="L5507" s="31">
        <v>46024</v>
      </c>
      <c r="M5507" s="31">
        <v>46041</v>
      </c>
      <c r="N5507" s="31"/>
      <c r="O5507" s="3" t="s">
        <v>297</v>
      </c>
    </row>
    <row r="5508" spans="1:15">
      <c r="A5508" s="3">
        <f>ROW()-1</f>
        <v>5507</v>
      </c>
      <c r="B5508" s="65" t="s">
        <v>8048</v>
      </c>
      <c r="C5508" s="1">
        <v>8081255941</v>
      </c>
      <c r="E5508" s="17" t="s">
        <v>7522</v>
      </c>
      <c r="F5508" s="65" t="s">
        <v>245</v>
      </c>
      <c r="G5508" s="3" t="s">
        <v>295</v>
      </c>
      <c r="H5508" s="2" t="s">
        <v>305</v>
      </c>
      <c r="I5508" s="3" t="s">
        <v>94</v>
      </c>
      <c r="J5508" s="31">
        <v>46015</v>
      </c>
      <c r="K5508" s="31">
        <v>46024</v>
      </c>
      <c r="L5508" s="31">
        <v>46024</v>
      </c>
      <c r="M5508" s="31">
        <v>46041</v>
      </c>
      <c r="N5508" s="31"/>
      <c r="O5508" s="3" t="s">
        <v>297</v>
      </c>
    </row>
    <row r="5509" spans="1:15">
      <c r="A5509" s="3">
        <f>ROW()-1</f>
        <v>5508</v>
      </c>
      <c r="B5509" s="65" t="s">
        <v>8049</v>
      </c>
      <c r="C5509" s="1">
        <v>9460851771</v>
      </c>
      <c r="E5509" s="17" t="s">
        <v>1780</v>
      </c>
      <c r="F5509" s="65" t="s">
        <v>303</v>
      </c>
      <c r="G5509" s="3" t="s">
        <v>424</v>
      </c>
      <c r="H5509" s="2" t="s">
        <v>305</v>
      </c>
      <c r="I5509" s="3" t="s">
        <v>94</v>
      </c>
      <c r="J5509" s="31">
        <v>46015</v>
      </c>
      <c r="K5509" s="31">
        <v>46026</v>
      </c>
      <c r="L5509" s="31"/>
      <c r="M5509" s="31"/>
      <c r="N5509" s="31"/>
      <c r="O5509" s="3" t="s">
        <v>425</v>
      </c>
    </row>
    <row r="5510" spans="1:15">
      <c r="A5510" s="3">
        <f t="shared" ref="A5510:A5542" si="114">ROW()-1</f>
        <v>5509</v>
      </c>
      <c r="B5510" s="65" t="s">
        <v>8050</v>
      </c>
      <c r="C5510" s="1">
        <v>8498950313</v>
      </c>
      <c r="E5510" s="17" t="s">
        <v>6236</v>
      </c>
      <c r="F5510" s="65" t="s">
        <v>303</v>
      </c>
      <c r="G5510" s="3" t="s">
        <v>18</v>
      </c>
      <c r="H5510" s="2" t="s">
        <v>3240</v>
      </c>
      <c r="I5510" s="3" t="s">
        <v>42</v>
      </c>
      <c r="J5510" s="31">
        <v>46015</v>
      </c>
      <c r="K5510" s="31">
        <v>46016</v>
      </c>
      <c r="L5510" s="31"/>
      <c r="M5510" s="31"/>
      <c r="N5510" s="31"/>
      <c r="O5510" s="3" t="s">
        <v>297</v>
      </c>
    </row>
    <row r="5511" spans="1:15">
      <c r="A5511" s="3">
        <f t="shared" si="114"/>
        <v>5510</v>
      </c>
      <c r="B5511" s="65" t="s">
        <v>8051</v>
      </c>
      <c r="C5511" s="1">
        <v>7770939615</v>
      </c>
      <c r="D5511" s="1">
        <v>9588345550</v>
      </c>
      <c r="E5511" s="17" t="s">
        <v>6236</v>
      </c>
      <c r="F5511" s="65" t="s">
        <v>8052</v>
      </c>
      <c r="G5511" s="3" t="s">
        <v>16</v>
      </c>
      <c r="H5511" s="2" t="s">
        <v>3240</v>
      </c>
      <c r="I5511" s="3" t="s">
        <v>42</v>
      </c>
      <c r="J5511" s="31">
        <v>46015</v>
      </c>
      <c r="K5511" s="31">
        <v>46016</v>
      </c>
      <c r="L5511" s="31">
        <v>46045</v>
      </c>
      <c r="M5511" s="31">
        <v>46055</v>
      </c>
      <c r="N5511" s="31">
        <v>46055</v>
      </c>
      <c r="O5511" s="3" t="s">
        <v>297</v>
      </c>
    </row>
    <row r="5512" spans="1:15">
      <c r="A5512" s="3">
        <f t="shared" si="114"/>
        <v>5511</v>
      </c>
      <c r="B5512" s="65" t="s">
        <v>4988</v>
      </c>
      <c r="C5512" s="1">
        <v>9179212806</v>
      </c>
      <c r="E5512" s="17" t="s">
        <v>6236</v>
      </c>
      <c r="F5512" s="65" t="s">
        <v>3648</v>
      </c>
      <c r="G5512" s="3" t="s">
        <v>16</v>
      </c>
      <c r="H5512" s="2" t="s">
        <v>3240</v>
      </c>
      <c r="I5512" s="3" t="s">
        <v>42</v>
      </c>
      <c r="J5512" s="31">
        <v>46015</v>
      </c>
      <c r="K5512" s="31">
        <v>46016</v>
      </c>
      <c r="L5512" s="31">
        <v>46045</v>
      </c>
      <c r="M5512" s="31">
        <v>46076</v>
      </c>
      <c r="N5512" s="31">
        <v>46080</v>
      </c>
      <c r="O5512" s="3" t="s">
        <v>297</v>
      </c>
    </row>
    <row r="5513" spans="1:15">
      <c r="A5513" s="3">
        <f t="shared" si="114"/>
        <v>5512</v>
      </c>
      <c r="B5513" s="65" t="s">
        <v>8053</v>
      </c>
      <c r="C5513" s="1">
        <v>9098519243</v>
      </c>
      <c r="D5513" s="1">
        <v>7509356844</v>
      </c>
      <c r="E5513" s="17" t="s">
        <v>6199</v>
      </c>
      <c r="F5513" s="65" t="s">
        <v>3447</v>
      </c>
      <c r="G5513" s="3" t="s">
        <v>424</v>
      </c>
      <c r="H5513" s="2" t="s">
        <v>3240</v>
      </c>
      <c r="I5513" s="3" t="s">
        <v>42</v>
      </c>
      <c r="J5513" s="31">
        <v>46015</v>
      </c>
      <c r="K5513" s="31">
        <v>46016</v>
      </c>
      <c r="L5513" s="31"/>
      <c r="M5513" s="31"/>
      <c r="N5513" s="31"/>
      <c r="O5513" s="3" t="s">
        <v>425</v>
      </c>
    </row>
    <row r="5514" spans="1:15">
      <c r="A5514" s="3">
        <f t="shared" si="114"/>
        <v>5513</v>
      </c>
      <c r="B5514" s="65" t="s">
        <v>8054</v>
      </c>
      <c r="C5514" s="1">
        <v>9473806911</v>
      </c>
      <c r="E5514" s="17" t="s">
        <v>6199</v>
      </c>
      <c r="F5514" s="65" t="s">
        <v>3447</v>
      </c>
      <c r="G5514" s="3" t="s">
        <v>424</v>
      </c>
      <c r="H5514" s="2" t="s">
        <v>3240</v>
      </c>
      <c r="I5514" s="3" t="s">
        <v>42</v>
      </c>
      <c r="J5514" s="31">
        <v>46015</v>
      </c>
      <c r="K5514" s="31">
        <v>46016</v>
      </c>
      <c r="L5514" s="31"/>
      <c r="M5514" s="31"/>
      <c r="N5514" s="31"/>
      <c r="O5514" s="3" t="s">
        <v>425</v>
      </c>
    </row>
    <row r="5515" spans="1:15">
      <c r="A5515" s="3">
        <f t="shared" si="114"/>
        <v>5514</v>
      </c>
      <c r="B5515" s="65" t="s">
        <v>8055</v>
      </c>
      <c r="C5515" s="1">
        <v>7057767033</v>
      </c>
      <c r="E5515" s="17" t="s">
        <v>6199</v>
      </c>
      <c r="F5515" s="65" t="s">
        <v>3447</v>
      </c>
      <c r="G5515" s="3" t="s">
        <v>424</v>
      </c>
      <c r="H5515" s="2" t="s">
        <v>3240</v>
      </c>
      <c r="I5515" s="3" t="s">
        <v>42</v>
      </c>
      <c r="J5515" s="31">
        <v>46015</v>
      </c>
      <c r="K5515" s="31">
        <v>46016</v>
      </c>
      <c r="L5515" s="31"/>
      <c r="M5515" s="31"/>
      <c r="N5515" s="31"/>
      <c r="O5515" s="3" t="s">
        <v>425</v>
      </c>
    </row>
    <row r="5516" spans="1:15">
      <c r="A5516" s="3">
        <f t="shared" si="114"/>
        <v>5515</v>
      </c>
      <c r="B5516" s="65" t="s">
        <v>8056</v>
      </c>
      <c r="C5516" s="1">
        <v>8179266693</v>
      </c>
      <c r="E5516" s="17" t="s">
        <v>6236</v>
      </c>
      <c r="F5516" s="65" t="s">
        <v>8057</v>
      </c>
      <c r="G5516" s="3" t="s">
        <v>16</v>
      </c>
      <c r="H5516" s="2" t="s">
        <v>3240</v>
      </c>
      <c r="I5516" s="3" t="s">
        <v>42</v>
      </c>
      <c r="J5516" s="31">
        <v>46015</v>
      </c>
      <c r="K5516" s="31">
        <v>46016</v>
      </c>
      <c r="L5516" s="31">
        <v>46028</v>
      </c>
      <c r="M5516" s="31">
        <v>46042</v>
      </c>
      <c r="N5516" s="31">
        <v>46042</v>
      </c>
      <c r="O5516" s="3" t="s">
        <v>297</v>
      </c>
    </row>
    <row r="5517" spans="1:15">
      <c r="A5517" s="3">
        <f t="shared" si="114"/>
        <v>5516</v>
      </c>
      <c r="B5517" s="65" t="s">
        <v>8058</v>
      </c>
      <c r="C5517" s="1">
        <v>6202882559</v>
      </c>
      <c r="E5517" s="17" t="s">
        <v>6199</v>
      </c>
      <c r="F5517" s="65" t="s">
        <v>3696</v>
      </c>
      <c r="G5517" s="3" t="s">
        <v>764</v>
      </c>
      <c r="H5517" s="2" t="s">
        <v>3240</v>
      </c>
      <c r="I5517" s="3" t="s">
        <v>42</v>
      </c>
      <c r="J5517" s="31">
        <v>46015</v>
      </c>
      <c r="K5517" s="31">
        <v>46016</v>
      </c>
      <c r="L5517" s="31"/>
      <c r="M5517" s="31"/>
      <c r="N5517" s="31"/>
      <c r="O5517" s="3" t="s">
        <v>425</v>
      </c>
    </row>
    <row r="5518" spans="1:15">
      <c r="A5518" s="3">
        <f t="shared" si="114"/>
        <v>5517</v>
      </c>
      <c r="B5518" s="65" t="s">
        <v>8059</v>
      </c>
      <c r="C5518" s="1">
        <v>9955567151</v>
      </c>
      <c r="D5518" s="1">
        <v>9470378405</v>
      </c>
      <c r="E5518" s="17" t="s">
        <v>6236</v>
      </c>
      <c r="F5518" s="65" t="s">
        <v>575</v>
      </c>
      <c r="G5518" s="3" t="s">
        <v>16</v>
      </c>
      <c r="H5518" s="2" t="s">
        <v>3240</v>
      </c>
      <c r="I5518" s="3" t="s">
        <v>42</v>
      </c>
      <c r="J5518" s="31">
        <v>46015</v>
      </c>
      <c r="K5518" s="31">
        <v>46016</v>
      </c>
      <c r="L5518" s="31">
        <v>46017</v>
      </c>
      <c r="M5518" s="31">
        <v>46033</v>
      </c>
      <c r="N5518" s="31">
        <v>46032</v>
      </c>
      <c r="O5518" s="3" t="s">
        <v>297</v>
      </c>
    </row>
    <row r="5519" spans="1:15">
      <c r="A5519" s="3">
        <f t="shared" si="114"/>
        <v>5518</v>
      </c>
      <c r="B5519" s="65" t="s">
        <v>8060</v>
      </c>
      <c r="C5519" s="1">
        <v>8008553297</v>
      </c>
      <c r="D5519" s="1">
        <v>9440861891</v>
      </c>
      <c r="E5519" s="17" t="s">
        <v>8061</v>
      </c>
      <c r="F5519" s="65" t="s">
        <v>8062</v>
      </c>
      <c r="G5519" s="3" t="s">
        <v>16</v>
      </c>
      <c r="H5519" s="2" t="s">
        <v>2183</v>
      </c>
      <c r="I5519" s="3" t="s">
        <v>88</v>
      </c>
      <c r="J5519" s="31">
        <v>46016</v>
      </c>
      <c r="K5519" s="31">
        <v>46035</v>
      </c>
      <c r="L5519" s="31">
        <v>46050</v>
      </c>
      <c r="M5519" s="31">
        <v>46090</v>
      </c>
      <c r="N5519" s="31">
        <v>46090</v>
      </c>
      <c r="O5519" s="3" t="s">
        <v>297</v>
      </c>
    </row>
    <row r="5520" spans="1:15">
      <c r="A5520" s="3">
        <f t="shared" si="114"/>
        <v>5519</v>
      </c>
      <c r="B5520" s="65" t="s">
        <v>8063</v>
      </c>
      <c r="C5520" s="1">
        <v>8500437252</v>
      </c>
      <c r="E5520" s="17" t="s">
        <v>7741</v>
      </c>
      <c r="F5520" s="65" t="s">
        <v>8064</v>
      </c>
      <c r="G5520" s="3" t="s">
        <v>424</v>
      </c>
      <c r="H5520" s="2" t="s">
        <v>5774</v>
      </c>
      <c r="I5520" s="3" t="s">
        <v>42</v>
      </c>
      <c r="J5520" s="31">
        <v>46016</v>
      </c>
      <c r="K5520" s="31">
        <v>46017</v>
      </c>
      <c r="L5520" s="31"/>
      <c r="M5520" s="31"/>
      <c r="N5520" s="31"/>
      <c r="O5520" s="3" t="s">
        <v>425</v>
      </c>
    </row>
    <row r="5521" spans="1:15">
      <c r="A5521" s="3">
        <f t="shared" si="114"/>
        <v>5520</v>
      </c>
      <c r="B5521" s="65" t="s">
        <v>8065</v>
      </c>
      <c r="C5521" s="1">
        <v>6296456487</v>
      </c>
      <c r="E5521" s="17" t="s">
        <v>7741</v>
      </c>
      <c r="F5521" s="65" t="s">
        <v>8066</v>
      </c>
      <c r="G5521" s="3" t="s">
        <v>16</v>
      </c>
      <c r="H5521" s="2" t="s">
        <v>5774</v>
      </c>
      <c r="I5521" s="3" t="s">
        <v>42</v>
      </c>
      <c r="J5521" s="31">
        <v>46016</v>
      </c>
      <c r="K5521" s="31">
        <v>46017</v>
      </c>
      <c r="L5521" s="31">
        <v>46031</v>
      </c>
      <c r="M5521" s="31">
        <v>46063</v>
      </c>
      <c r="N5521" s="31">
        <v>46063</v>
      </c>
      <c r="O5521" s="3" t="s">
        <v>297</v>
      </c>
    </row>
    <row r="5522" spans="1:15">
      <c r="A5522" s="3">
        <f t="shared" si="114"/>
        <v>5521</v>
      </c>
      <c r="B5522" s="65" t="s">
        <v>8067</v>
      </c>
      <c r="C5522" s="1">
        <v>9398854908</v>
      </c>
      <c r="E5522" s="17" t="s">
        <v>7741</v>
      </c>
      <c r="F5522" s="65" t="s">
        <v>8068</v>
      </c>
      <c r="G5522" s="3" t="s">
        <v>16</v>
      </c>
      <c r="H5522" s="2" t="s">
        <v>5774</v>
      </c>
      <c r="I5522" s="3" t="s">
        <v>42</v>
      </c>
      <c r="J5522" s="31">
        <v>46016</v>
      </c>
      <c r="K5522" s="31">
        <v>46017</v>
      </c>
      <c r="L5522" s="31">
        <v>46017</v>
      </c>
      <c r="M5522" s="31">
        <v>46052</v>
      </c>
      <c r="N5522" s="31">
        <v>46052</v>
      </c>
      <c r="O5522" s="3" t="s">
        <v>297</v>
      </c>
    </row>
    <row r="5523" spans="1:15">
      <c r="A5523" s="3">
        <f t="shared" si="114"/>
        <v>5522</v>
      </c>
      <c r="B5523" s="65" t="s">
        <v>8069</v>
      </c>
      <c r="C5523" s="1">
        <v>7815949235</v>
      </c>
      <c r="E5523" s="17" t="s">
        <v>7114</v>
      </c>
      <c r="F5523" s="65" t="s">
        <v>8070</v>
      </c>
      <c r="G5523" s="3" t="s">
        <v>295</v>
      </c>
      <c r="H5523" s="2" t="s">
        <v>5774</v>
      </c>
      <c r="I5523" s="3" t="s">
        <v>42</v>
      </c>
      <c r="J5523" s="31">
        <v>46016</v>
      </c>
      <c r="K5523" s="31">
        <v>46017</v>
      </c>
      <c r="L5523" s="31">
        <v>46017</v>
      </c>
      <c r="M5523" s="31">
        <v>46050</v>
      </c>
      <c r="N5523" s="31"/>
      <c r="O5523" s="3" t="s">
        <v>297</v>
      </c>
    </row>
    <row r="5524" spans="1:15">
      <c r="A5524" s="3">
        <f t="shared" si="114"/>
        <v>5523</v>
      </c>
      <c r="B5524" s="65" t="s">
        <v>8071</v>
      </c>
      <c r="C5524" s="1">
        <v>7382073840</v>
      </c>
      <c r="E5524" s="17" t="s">
        <v>5843</v>
      </c>
      <c r="F5524" s="65" t="s">
        <v>2141</v>
      </c>
      <c r="G5524" s="3" t="s">
        <v>1175</v>
      </c>
      <c r="H5524" s="3" t="s">
        <v>4145</v>
      </c>
      <c r="I5524" s="3" t="s">
        <v>42</v>
      </c>
      <c r="J5524" s="31">
        <v>46016</v>
      </c>
      <c r="K5524" s="31"/>
      <c r="L5524" s="31"/>
      <c r="M5524" s="31"/>
      <c r="N5524" s="31"/>
      <c r="O5524" s="3" t="s">
        <v>1004</v>
      </c>
    </row>
    <row r="5525" spans="1:15">
      <c r="A5525" s="3">
        <f t="shared" si="114"/>
        <v>5524</v>
      </c>
      <c r="B5525" s="65" t="s">
        <v>1390</v>
      </c>
      <c r="C5525" s="1">
        <v>9084770589</v>
      </c>
      <c r="E5525" s="17" t="s">
        <v>7580</v>
      </c>
      <c r="F5525" s="65" t="s">
        <v>8072</v>
      </c>
      <c r="G5525" s="3" t="s">
        <v>295</v>
      </c>
      <c r="H5525" s="2" t="s">
        <v>2364</v>
      </c>
      <c r="I5525" s="3" t="s">
        <v>88</v>
      </c>
      <c r="J5525" s="31">
        <v>46016</v>
      </c>
      <c r="K5525" s="31">
        <v>46017</v>
      </c>
      <c r="L5525" s="31">
        <v>46017</v>
      </c>
      <c r="M5525" s="31">
        <v>46049</v>
      </c>
      <c r="N5525" s="31"/>
      <c r="O5525" s="3" t="s">
        <v>297</v>
      </c>
    </row>
    <row r="5526" spans="1:15">
      <c r="A5526" s="3">
        <f t="shared" si="114"/>
        <v>5525</v>
      </c>
      <c r="B5526" s="65" t="s">
        <v>8073</v>
      </c>
      <c r="C5526" s="1">
        <v>7013357129</v>
      </c>
      <c r="E5526" s="17" t="s">
        <v>7531</v>
      </c>
      <c r="F5526" s="65" t="s">
        <v>2602</v>
      </c>
      <c r="G5526" s="3" t="s">
        <v>416</v>
      </c>
      <c r="H5526" s="2" t="s">
        <v>2364</v>
      </c>
      <c r="I5526" s="3" t="s">
        <v>88</v>
      </c>
      <c r="J5526" s="31">
        <v>46016</v>
      </c>
      <c r="K5526" s="31">
        <v>46017</v>
      </c>
      <c r="L5526" s="31"/>
      <c r="M5526" s="31"/>
      <c r="N5526" s="31"/>
      <c r="O5526" s="3" t="s">
        <v>297</v>
      </c>
    </row>
    <row r="5527" spans="1:15">
      <c r="A5527" s="3">
        <f t="shared" si="114"/>
        <v>5526</v>
      </c>
      <c r="B5527" s="65" t="s">
        <v>535</v>
      </c>
      <c r="C5527" s="1">
        <v>9121761240</v>
      </c>
      <c r="E5527" s="17" t="s">
        <v>7531</v>
      </c>
      <c r="F5527" s="65" t="s">
        <v>8074</v>
      </c>
      <c r="G5527" s="3" t="s">
        <v>16</v>
      </c>
      <c r="H5527" s="2" t="s">
        <v>2364</v>
      </c>
      <c r="I5527" s="3" t="s">
        <v>88</v>
      </c>
      <c r="J5527" s="31">
        <v>46016</v>
      </c>
      <c r="K5527" s="31">
        <v>46017</v>
      </c>
      <c r="L5527" s="31">
        <v>46017</v>
      </c>
      <c r="M5527" s="31">
        <v>46054</v>
      </c>
      <c r="N5527" s="31">
        <v>46052</v>
      </c>
      <c r="O5527" s="3" t="s">
        <v>297</v>
      </c>
    </row>
    <row r="5528" spans="1:15">
      <c r="A5528" s="3">
        <f t="shared" si="114"/>
        <v>5527</v>
      </c>
      <c r="B5528" s="65" t="s">
        <v>8075</v>
      </c>
      <c r="C5528" s="1">
        <v>7997427192</v>
      </c>
      <c r="E5528" s="17" t="s">
        <v>7531</v>
      </c>
      <c r="F5528" s="65" t="s">
        <v>8076</v>
      </c>
      <c r="G5528" s="3" t="s">
        <v>295</v>
      </c>
      <c r="H5528" s="2" t="s">
        <v>2364</v>
      </c>
      <c r="I5528" s="3" t="s">
        <v>88</v>
      </c>
      <c r="J5528" s="31">
        <v>46016</v>
      </c>
      <c r="K5528" s="31">
        <v>46017</v>
      </c>
      <c r="L5528" s="31">
        <v>46017</v>
      </c>
      <c r="M5528" s="31">
        <v>46054</v>
      </c>
      <c r="N5528" s="31"/>
      <c r="O5528" s="3" t="s">
        <v>297</v>
      </c>
    </row>
    <row r="5529" spans="1:15">
      <c r="A5529" s="3">
        <f t="shared" si="114"/>
        <v>5528</v>
      </c>
      <c r="B5529" s="65" t="s">
        <v>8077</v>
      </c>
      <c r="C5529" s="1">
        <v>8886915212</v>
      </c>
      <c r="E5529" s="17" t="s">
        <v>7531</v>
      </c>
      <c r="F5529" s="65" t="s">
        <v>8074</v>
      </c>
      <c r="G5529" s="3" t="s">
        <v>16</v>
      </c>
      <c r="H5529" s="2" t="s">
        <v>2364</v>
      </c>
      <c r="I5529" s="3" t="s">
        <v>88</v>
      </c>
      <c r="J5529" s="31">
        <v>46016</v>
      </c>
      <c r="K5529" s="31">
        <v>46017</v>
      </c>
      <c r="L5529" s="31">
        <v>46024</v>
      </c>
      <c r="M5529" s="31">
        <v>46055</v>
      </c>
      <c r="N5529" s="31">
        <v>46051</v>
      </c>
      <c r="O5529" s="3" t="s">
        <v>297</v>
      </c>
    </row>
    <row r="5530" spans="1:15">
      <c r="A5530" s="3">
        <f t="shared" si="114"/>
        <v>5529</v>
      </c>
      <c r="B5530" s="65" t="s">
        <v>8078</v>
      </c>
      <c r="C5530" s="1">
        <v>9140361688</v>
      </c>
      <c r="E5530" s="17" t="s">
        <v>7751</v>
      </c>
      <c r="F5530" s="65" t="s">
        <v>62</v>
      </c>
      <c r="G5530" s="3" t="s">
        <v>18</v>
      </c>
      <c r="H5530" s="2" t="s">
        <v>296</v>
      </c>
      <c r="I5530" s="3" t="s">
        <v>94</v>
      </c>
      <c r="J5530" s="31">
        <v>46016</v>
      </c>
      <c r="K5530" s="31">
        <v>46017</v>
      </c>
      <c r="L5530" s="31"/>
      <c r="M5530" s="31"/>
      <c r="N5530" s="31"/>
      <c r="O5530" s="3" t="s">
        <v>297</v>
      </c>
    </row>
    <row r="5531" spans="1:15">
      <c r="A5531" s="3">
        <f t="shared" si="114"/>
        <v>5530</v>
      </c>
      <c r="B5531" s="65" t="s">
        <v>8079</v>
      </c>
      <c r="C5531" s="1">
        <v>9182093382</v>
      </c>
      <c r="E5531" s="17" t="s">
        <v>7751</v>
      </c>
      <c r="F5531" s="65" t="s">
        <v>62</v>
      </c>
      <c r="G5531" s="3" t="s">
        <v>424</v>
      </c>
      <c r="H5531" s="2" t="s">
        <v>296</v>
      </c>
      <c r="I5531" s="3" t="s">
        <v>94</v>
      </c>
      <c r="J5531" s="31">
        <v>46016</v>
      </c>
      <c r="K5531" s="31">
        <v>46017</v>
      </c>
      <c r="L5531" s="31"/>
      <c r="M5531" s="31"/>
      <c r="N5531" s="31"/>
      <c r="O5531" s="3" t="s">
        <v>425</v>
      </c>
    </row>
    <row r="5532" spans="1:15">
      <c r="A5532" s="3">
        <f t="shared" si="114"/>
        <v>5531</v>
      </c>
      <c r="B5532" s="65" t="s">
        <v>8080</v>
      </c>
      <c r="C5532" s="1">
        <v>8651956528</v>
      </c>
      <c r="E5532" s="17" t="s">
        <v>7751</v>
      </c>
      <c r="F5532" s="65" t="s">
        <v>62</v>
      </c>
      <c r="G5532" s="3" t="s">
        <v>295</v>
      </c>
      <c r="H5532" s="2" t="s">
        <v>296</v>
      </c>
      <c r="I5532" s="3" t="s">
        <v>94</v>
      </c>
      <c r="J5532" s="31">
        <v>46016</v>
      </c>
      <c r="K5532" s="31">
        <v>46017</v>
      </c>
      <c r="L5532" s="31">
        <v>46017</v>
      </c>
      <c r="M5532" s="31">
        <v>46027</v>
      </c>
      <c r="N5532" s="31"/>
      <c r="O5532" s="3" t="s">
        <v>297</v>
      </c>
    </row>
    <row r="5533" spans="1:15">
      <c r="A5533" s="3">
        <f t="shared" si="114"/>
        <v>5532</v>
      </c>
      <c r="B5533" s="65" t="s">
        <v>8081</v>
      </c>
      <c r="C5533" s="1">
        <v>9606541081</v>
      </c>
      <c r="E5533" s="17" t="s">
        <v>8082</v>
      </c>
      <c r="F5533" s="65" t="s">
        <v>2630</v>
      </c>
      <c r="G5533" s="3" t="s">
        <v>16</v>
      </c>
      <c r="H5533" s="2" t="s">
        <v>296</v>
      </c>
      <c r="I5533" s="3" t="s">
        <v>94</v>
      </c>
      <c r="J5533" s="31">
        <v>46016</v>
      </c>
      <c r="K5533" s="31">
        <v>46052</v>
      </c>
      <c r="L5533" s="31">
        <v>46059</v>
      </c>
      <c r="M5533" s="31">
        <v>46067</v>
      </c>
      <c r="N5533" s="31">
        <v>46069</v>
      </c>
      <c r="O5533" s="3" t="s">
        <v>297</v>
      </c>
    </row>
    <row r="5534" spans="1:15">
      <c r="A5534" s="3">
        <f t="shared" si="114"/>
        <v>5533</v>
      </c>
      <c r="B5534" s="65" t="s">
        <v>8083</v>
      </c>
      <c r="C5534" s="1">
        <v>9860962591</v>
      </c>
      <c r="E5534" s="17" t="s">
        <v>6217</v>
      </c>
      <c r="F5534" s="65" t="s">
        <v>4051</v>
      </c>
      <c r="G5534" s="3" t="s">
        <v>416</v>
      </c>
      <c r="H5534" s="2" t="s">
        <v>1613</v>
      </c>
      <c r="I5534" s="3" t="s">
        <v>88</v>
      </c>
      <c r="J5534" s="31">
        <v>46016</v>
      </c>
      <c r="K5534" s="31">
        <v>46017</v>
      </c>
      <c r="L5534" s="31"/>
      <c r="M5534" s="31"/>
      <c r="N5534" s="31"/>
      <c r="O5534" s="3" t="s">
        <v>297</v>
      </c>
    </row>
    <row r="5535" spans="1:15">
      <c r="A5535" s="3">
        <f t="shared" si="114"/>
        <v>5534</v>
      </c>
      <c r="B5535" s="65" t="s">
        <v>8084</v>
      </c>
      <c r="C5535" s="1">
        <v>7747893377</v>
      </c>
      <c r="E5535" s="17" t="s">
        <v>6217</v>
      </c>
      <c r="F5535" s="65" t="s">
        <v>461</v>
      </c>
      <c r="G5535" s="3" t="s">
        <v>416</v>
      </c>
      <c r="H5535" s="2" t="s">
        <v>1613</v>
      </c>
      <c r="I5535" s="3" t="s">
        <v>88</v>
      </c>
      <c r="J5535" s="31">
        <v>46016</v>
      </c>
      <c r="K5535" s="31">
        <v>46035</v>
      </c>
      <c r="L5535" s="31"/>
      <c r="M5535" s="31"/>
      <c r="N5535" s="31"/>
      <c r="O5535" s="3" t="s">
        <v>297</v>
      </c>
    </row>
    <row r="5536" spans="1:15">
      <c r="A5536" s="3">
        <f t="shared" si="114"/>
        <v>5535</v>
      </c>
      <c r="B5536" s="65" t="s">
        <v>8085</v>
      </c>
      <c r="C5536" s="1">
        <v>9923940901</v>
      </c>
      <c r="E5536" s="17" t="s">
        <v>6217</v>
      </c>
      <c r="F5536" s="65" t="s">
        <v>461</v>
      </c>
      <c r="G5536" s="3" t="s">
        <v>16</v>
      </c>
      <c r="H5536" s="2" t="s">
        <v>1613</v>
      </c>
      <c r="I5536" s="3" t="s">
        <v>88</v>
      </c>
      <c r="J5536" s="31">
        <v>46016</v>
      </c>
      <c r="K5536" s="31">
        <v>46017</v>
      </c>
      <c r="L5536" s="31">
        <v>46017</v>
      </c>
      <c r="M5536" s="31">
        <v>46056</v>
      </c>
      <c r="N5536" s="31">
        <v>46057</v>
      </c>
      <c r="O5536" s="3" t="s">
        <v>297</v>
      </c>
    </row>
    <row r="5537" spans="1:15">
      <c r="A5537" s="3">
        <f t="shared" si="114"/>
        <v>5536</v>
      </c>
      <c r="B5537" s="65" t="s">
        <v>8086</v>
      </c>
      <c r="C5537" s="1">
        <v>9137138852</v>
      </c>
      <c r="E5537" s="17" t="s">
        <v>6217</v>
      </c>
      <c r="F5537" s="65" t="s">
        <v>461</v>
      </c>
      <c r="G5537" s="3" t="s">
        <v>416</v>
      </c>
      <c r="H5537" s="2" t="s">
        <v>1613</v>
      </c>
      <c r="I5537" s="3" t="s">
        <v>88</v>
      </c>
      <c r="J5537" s="31">
        <v>46016</v>
      </c>
      <c r="K5537" s="31">
        <v>46020</v>
      </c>
      <c r="L5537" s="31"/>
      <c r="M5537" s="31"/>
      <c r="N5537" s="31"/>
      <c r="O5537" s="3" t="s">
        <v>297</v>
      </c>
    </row>
    <row r="5538" spans="1:15">
      <c r="A5538" s="3">
        <f t="shared" si="114"/>
        <v>5537</v>
      </c>
      <c r="B5538" s="65" t="s">
        <v>8087</v>
      </c>
      <c r="C5538" s="1">
        <v>6201045229</v>
      </c>
      <c r="E5538" s="17" t="s">
        <v>6217</v>
      </c>
      <c r="F5538" s="65" t="s">
        <v>8088</v>
      </c>
      <c r="G5538" s="3" t="s">
        <v>424</v>
      </c>
      <c r="H5538" s="2" t="s">
        <v>1613</v>
      </c>
      <c r="I5538" s="3" t="s">
        <v>88</v>
      </c>
      <c r="J5538" s="31">
        <v>46016</v>
      </c>
      <c r="K5538" s="31">
        <v>46017</v>
      </c>
      <c r="L5538" s="31"/>
      <c r="M5538" s="31"/>
      <c r="N5538" s="31"/>
      <c r="O5538" s="3" t="s">
        <v>425</v>
      </c>
    </row>
    <row r="5539" spans="1:15">
      <c r="A5539" s="3">
        <f t="shared" si="114"/>
        <v>5538</v>
      </c>
      <c r="B5539" s="65" t="s">
        <v>8089</v>
      </c>
      <c r="C5539" s="1">
        <v>9030708525</v>
      </c>
      <c r="E5539" s="17" t="s">
        <v>5776</v>
      </c>
      <c r="F5539" s="65"/>
      <c r="G5539" s="3" t="s">
        <v>16</v>
      </c>
      <c r="H5539" s="2" t="s">
        <v>5774</v>
      </c>
      <c r="I5539" s="3" t="s">
        <v>42</v>
      </c>
      <c r="J5539" s="31">
        <v>46012</v>
      </c>
      <c r="K5539" s="31">
        <v>46014</v>
      </c>
      <c r="L5539" s="31">
        <v>46016</v>
      </c>
      <c r="M5539" s="31">
        <v>46027</v>
      </c>
      <c r="N5539" s="31">
        <v>46027</v>
      </c>
      <c r="O5539" s="3" t="s">
        <v>297</v>
      </c>
    </row>
    <row r="5540" spans="1:15">
      <c r="A5540" s="3">
        <f t="shared" si="114"/>
        <v>5539</v>
      </c>
      <c r="B5540" s="65" t="s">
        <v>8090</v>
      </c>
      <c r="C5540" s="1">
        <v>7382876540</v>
      </c>
      <c r="E5540" s="17" t="s">
        <v>7366</v>
      </c>
      <c r="F5540" s="65"/>
      <c r="G5540" s="3" t="s">
        <v>16</v>
      </c>
      <c r="H5540" s="2" t="s">
        <v>5774</v>
      </c>
      <c r="I5540" s="3" t="s">
        <v>42</v>
      </c>
      <c r="J5540" s="31">
        <v>46012</v>
      </c>
      <c r="K5540" s="31">
        <v>46014</v>
      </c>
      <c r="L5540" s="31">
        <v>46016</v>
      </c>
      <c r="M5540" s="31">
        <v>46043</v>
      </c>
      <c r="N5540" s="31">
        <v>46042</v>
      </c>
      <c r="O5540" s="3" t="s">
        <v>297</v>
      </c>
    </row>
    <row r="5541" spans="1:15">
      <c r="A5541" s="3">
        <f t="shared" si="114"/>
        <v>5540</v>
      </c>
      <c r="B5541" s="65" t="s">
        <v>8091</v>
      </c>
      <c r="C5541" s="1">
        <v>7036603110</v>
      </c>
      <c r="E5541" s="17" t="s">
        <v>7366</v>
      </c>
      <c r="F5541" s="65"/>
      <c r="G5541" s="3" t="s">
        <v>16</v>
      </c>
      <c r="H5541" s="2" t="s">
        <v>5774</v>
      </c>
      <c r="I5541" s="3" t="s">
        <v>42</v>
      </c>
      <c r="J5541" s="31">
        <v>46012</v>
      </c>
      <c r="K5541" s="31">
        <v>46014</v>
      </c>
      <c r="L5541" s="31">
        <v>46016</v>
      </c>
      <c r="M5541" s="31">
        <v>46054</v>
      </c>
      <c r="N5541" s="31">
        <v>46055</v>
      </c>
      <c r="O5541" s="3" t="s">
        <v>297</v>
      </c>
    </row>
    <row r="5542" spans="1:15">
      <c r="A5542" s="3">
        <f t="shared" si="114"/>
        <v>5541</v>
      </c>
      <c r="B5542" s="65" t="s">
        <v>8092</v>
      </c>
      <c r="C5542" s="1">
        <v>6303578258</v>
      </c>
      <c r="E5542" s="17" t="s">
        <v>8093</v>
      </c>
      <c r="F5542" s="65"/>
      <c r="G5542" s="3" t="s">
        <v>16</v>
      </c>
      <c r="H5542" s="2" t="s">
        <v>5774</v>
      </c>
      <c r="I5542" s="3" t="s">
        <v>42</v>
      </c>
      <c r="J5542" s="31">
        <v>46012</v>
      </c>
      <c r="K5542" s="31">
        <v>46014</v>
      </c>
      <c r="L5542" s="31">
        <v>46016</v>
      </c>
      <c r="M5542" s="31">
        <v>46054</v>
      </c>
      <c r="N5542" s="31">
        <v>46041</v>
      </c>
      <c r="O5542" s="3" t="s">
        <v>297</v>
      </c>
    </row>
    <row r="5543" spans="1:15">
      <c r="A5543" s="3">
        <f>ROW()-1</f>
        <v>5542</v>
      </c>
      <c r="B5543" s="65" t="s">
        <v>8094</v>
      </c>
      <c r="C5543" s="1">
        <v>9830575752</v>
      </c>
      <c r="E5543" s="17" t="s">
        <v>8095</v>
      </c>
      <c r="F5543" s="65" t="s">
        <v>8096</v>
      </c>
      <c r="G5543" s="3" t="s">
        <v>424</v>
      </c>
      <c r="H5543" s="2" t="s">
        <v>296</v>
      </c>
      <c r="I5543" s="3" t="s">
        <v>94</v>
      </c>
      <c r="J5543" s="31">
        <v>46017</v>
      </c>
      <c r="K5543" s="31">
        <v>46064</v>
      </c>
      <c r="L5543" s="31"/>
      <c r="M5543" s="31"/>
      <c r="N5543" s="31"/>
      <c r="O5543" s="3" t="s">
        <v>749</v>
      </c>
    </row>
    <row r="5544" spans="1:15">
      <c r="A5544" s="3">
        <f>ROW()-1</f>
        <v>5543</v>
      </c>
      <c r="B5544" s="65" t="s">
        <v>8097</v>
      </c>
      <c r="C5544" s="1">
        <v>8457904340</v>
      </c>
      <c r="D5544" s="1">
        <v>8619573212</v>
      </c>
      <c r="E5544" s="17" t="s">
        <v>8095</v>
      </c>
      <c r="F5544" s="65" t="s">
        <v>8096</v>
      </c>
      <c r="G5544" s="3" t="s">
        <v>1175</v>
      </c>
      <c r="H5544" s="2" t="s">
        <v>296</v>
      </c>
      <c r="I5544" s="3" t="s">
        <v>94</v>
      </c>
      <c r="J5544" s="31">
        <v>46017</v>
      </c>
      <c r="K5544" s="31"/>
      <c r="L5544" s="31"/>
      <c r="M5544" s="31"/>
      <c r="N5544" s="31"/>
      <c r="O5544" s="3" t="s">
        <v>1004</v>
      </c>
    </row>
    <row r="5545" spans="1:15">
      <c r="A5545" s="3">
        <f>ROW()-1</f>
        <v>5544</v>
      </c>
      <c r="B5545" s="65" t="s">
        <v>8098</v>
      </c>
      <c r="C5545" s="1">
        <v>9474501129</v>
      </c>
      <c r="D5545" s="1">
        <v>8847455413</v>
      </c>
      <c r="E5545" s="17" t="s">
        <v>8095</v>
      </c>
      <c r="F5545" s="65" t="s">
        <v>7509</v>
      </c>
      <c r="G5545" s="3" t="s">
        <v>1175</v>
      </c>
      <c r="H5545" s="2" t="s">
        <v>296</v>
      </c>
      <c r="I5545" s="3" t="s">
        <v>94</v>
      </c>
      <c r="J5545" s="31">
        <v>46017</v>
      </c>
      <c r="K5545" s="31"/>
      <c r="L5545" s="31"/>
      <c r="M5545" s="31"/>
      <c r="N5545" s="31"/>
      <c r="O5545" s="3" t="s">
        <v>1004</v>
      </c>
    </row>
    <row r="5546" spans="1:15">
      <c r="A5546" s="3">
        <f t="shared" ref="A5546:A5605" si="115">ROW()-1</f>
        <v>5545</v>
      </c>
      <c r="B5546" s="65" t="s">
        <v>8099</v>
      </c>
      <c r="C5546" s="1">
        <v>9154234786</v>
      </c>
      <c r="E5546" s="17" t="s">
        <v>7114</v>
      </c>
      <c r="F5546" s="65" t="s">
        <v>443</v>
      </c>
      <c r="G5546" s="3" t="s">
        <v>16</v>
      </c>
      <c r="H5546" s="2" t="s">
        <v>5774</v>
      </c>
      <c r="I5546" s="3" t="s">
        <v>42</v>
      </c>
      <c r="J5546" s="31">
        <v>46017</v>
      </c>
      <c r="K5546" s="31">
        <v>46024</v>
      </c>
      <c r="L5546" s="31">
        <v>46024</v>
      </c>
      <c r="M5546" s="31">
        <v>46041</v>
      </c>
      <c r="N5546" s="31">
        <v>46030</v>
      </c>
      <c r="O5546" s="3" t="s">
        <v>297</v>
      </c>
    </row>
    <row r="5547" spans="1:15">
      <c r="A5547" s="3">
        <f t="shared" si="115"/>
        <v>5546</v>
      </c>
      <c r="B5547" s="65" t="s">
        <v>8100</v>
      </c>
      <c r="C5547" s="1">
        <v>8682829886</v>
      </c>
      <c r="E5547" s="17" t="s">
        <v>7741</v>
      </c>
      <c r="F5547" s="65" t="s">
        <v>8101</v>
      </c>
      <c r="G5547" s="3" t="s">
        <v>15</v>
      </c>
      <c r="H5547" s="2" t="s">
        <v>5774</v>
      </c>
      <c r="I5547" s="3" t="s">
        <v>42</v>
      </c>
      <c r="J5547" s="31">
        <v>46017</v>
      </c>
      <c r="K5547" s="31">
        <v>46017</v>
      </c>
      <c r="L5547" s="31">
        <v>46017</v>
      </c>
      <c r="M5547" s="31">
        <v>46113</v>
      </c>
      <c r="N5547" s="31"/>
      <c r="O5547" s="3" t="s">
        <v>297</v>
      </c>
    </row>
    <row r="5548" spans="1:15">
      <c r="A5548" s="3">
        <f t="shared" si="115"/>
        <v>5547</v>
      </c>
      <c r="B5548" s="65" t="s">
        <v>8102</v>
      </c>
      <c r="C5548" s="1">
        <v>7659987918</v>
      </c>
      <c r="E5548" s="17" t="s">
        <v>3954</v>
      </c>
      <c r="F5548" s="65" t="s">
        <v>8103</v>
      </c>
      <c r="G5548" s="3" t="s">
        <v>16</v>
      </c>
      <c r="H5548" s="2" t="s">
        <v>5774</v>
      </c>
      <c r="I5548" s="3" t="s">
        <v>42</v>
      </c>
      <c r="J5548" s="31">
        <v>46017</v>
      </c>
      <c r="K5548" s="31">
        <v>46025</v>
      </c>
      <c r="L5548" s="31">
        <v>46030</v>
      </c>
      <c r="M5548" s="31">
        <v>46063</v>
      </c>
      <c r="N5548" s="31">
        <v>46063</v>
      </c>
      <c r="O5548" s="3" t="s">
        <v>297</v>
      </c>
    </row>
    <row r="5549" spans="1:15">
      <c r="A5549" s="3">
        <f t="shared" si="115"/>
        <v>5548</v>
      </c>
      <c r="B5549" s="65" t="s">
        <v>8104</v>
      </c>
      <c r="C5549" s="1">
        <v>6303921281</v>
      </c>
      <c r="D5549" s="1">
        <v>8489628842</v>
      </c>
      <c r="E5549" s="17" t="s">
        <v>7741</v>
      </c>
      <c r="F5549" s="65" t="s">
        <v>8105</v>
      </c>
      <c r="G5549" s="3" t="s">
        <v>416</v>
      </c>
      <c r="H5549" s="2" t="s">
        <v>5774</v>
      </c>
      <c r="I5549" s="3" t="s">
        <v>42</v>
      </c>
      <c r="J5549" s="31">
        <v>46017</v>
      </c>
      <c r="K5549" s="31">
        <v>46017</v>
      </c>
      <c r="L5549" s="31"/>
      <c r="M5549" s="31"/>
      <c r="N5549" s="31"/>
      <c r="O5549" s="3" t="s">
        <v>297</v>
      </c>
    </row>
    <row r="5550" spans="1:15">
      <c r="A5550" s="3">
        <f t="shared" si="115"/>
        <v>5549</v>
      </c>
      <c r="B5550" s="65" t="s">
        <v>8106</v>
      </c>
      <c r="C5550" s="1">
        <v>9092032497</v>
      </c>
      <c r="D5550" s="1">
        <v>8925839904</v>
      </c>
      <c r="E5550" s="17" t="s">
        <v>7741</v>
      </c>
      <c r="F5550" s="65" t="s">
        <v>8105</v>
      </c>
      <c r="G5550" s="3" t="s">
        <v>416</v>
      </c>
      <c r="H5550" s="2" t="s">
        <v>5774</v>
      </c>
      <c r="I5550" s="3" t="s">
        <v>42</v>
      </c>
      <c r="J5550" s="31">
        <v>46017</v>
      </c>
      <c r="K5550" s="31">
        <v>46017</v>
      </c>
      <c r="L5550" s="31"/>
      <c r="M5550" s="31"/>
      <c r="N5550" s="31"/>
      <c r="O5550" s="3" t="s">
        <v>297</v>
      </c>
    </row>
    <row r="5551" spans="1:15">
      <c r="A5551" s="3">
        <f t="shared" si="115"/>
        <v>5550</v>
      </c>
      <c r="B5551" s="65" t="s">
        <v>8107</v>
      </c>
      <c r="C5551" s="1">
        <v>9030207304</v>
      </c>
      <c r="E5551" s="17" t="s">
        <v>7741</v>
      </c>
      <c r="F5551" s="65" t="s">
        <v>8108</v>
      </c>
      <c r="G5551" s="3" t="s">
        <v>16</v>
      </c>
      <c r="H5551" s="2" t="s">
        <v>5774</v>
      </c>
      <c r="I5551" s="3" t="s">
        <v>42</v>
      </c>
      <c r="J5551" s="31">
        <v>46017</v>
      </c>
      <c r="K5551" s="31">
        <v>46017</v>
      </c>
      <c r="L5551" s="31">
        <v>46017</v>
      </c>
      <c r="M5551" s="31">
        <v>46063</v>
      </c>
      <c r="N5551" s="31">
        <v>46065</v>
      </c>
      <c r="O5551" s="3" t="s">
        <v>297</v>
      </c>
    </row>
    <row r="5552" spans="1:15">
      <c r="A5552" s="3">
        <f t="shared" si="115"/>
        <v>5551</v>
      </c>
      <c r="B5552" s="65" t="s">
        <v>8109</v>
      </c>
      <c r="C5552" s="1">
        <v>9052539860</v>
      </c>
      <c r="E5552" s="17" t="s">
        <v>7114</v>
      </c>
      <c r="F5552" s="65" t="s">
        <v>4550</v>
      </c>
      <c r="G5552" s="3" t="s">
        <v>16</v>
      </c>
      <c r="H5552" s="2" t="s">
        <v>5774</v>
      </c>
      <c r="I5552" s="3" t="s">
        <v>42</v>
      </c>
      <c r="J5552" s="31">
        <v>46017</v>
      </c>
      <c r="K5552" s="31">
        <v>46022</v>
      </c>
      <c r="L5552" s="31">
        <v>46024</v>
      </c>
      <c r="M5552" s="31">
        <v>46043</v>
      </c>
      <c r="N5552" s="31">
        <v>46044</v>
      </c>
      <c r="O5552" s="3" t="s">
        <v>297</v>
      </c>
    </row>
    <row r="5553" spans="1:15">
      <c r="A5553" s="3">
        <f t="shared" si="115"/>
        <v>5552</v>
      </c>
      <c r="B5553" s="65" t="s">
        <v>8110</v>
      </c>
      <c r="C5553" s="1">
        <v>7384930307</v>
      </c>
      <c r="E5553" s="17" t="s">
        <v>7114</v>
      </c>
      <c r="F5553" s="65" t="s">
        <v>1897</v>
      </c>
      <c r="G5553" s="3" t="s">
        <v>15</v>
      </c>
      <c r="H5553" s="2" t="s">
        <v>5774</v>
      </c>
      <c r="I5553" s="3" t="s">
        <v>42</v>
      </c>
      <c r="J5553" s="31">
        <v>46017</v>
      </c>
      <c r="K5553" s="31">
        <v>46022</v>
      </c>
      <c r="L5553" s="31">
        <v>46073</v>
      </c>
      <c r="M5553" s="31">
        <v>46144</v>
      </c>
      <c r="N5553" s="31"/>
      <c r="O5553" s="3" t="s">
        <v>297</v>
      </c>
    </row>
    <row r="5554" spans="1:15">
      <c r="A5554" s="3">
        <f t="shared" si="115"/>
        <v>5553</v>
      </c>
      <c r="B5554" s="65" t="s">
        <v>8111</v>
      </c>
      <c r="C5554" s="1">
        <v>6207853852</v>
      </c>
      <c r="E5554" s="17" t="s">
        <v>7741</v>
      </c>
      <c r="F5554" s="65" t="s">
        <v>8112</v>
      </c>
      <c r="G5554" s="3" t="s">
        <v>295</v>
      </c>
      <c r="H5554" s="2" t="s">
        <v>5774</v>
      </c>
      <c r="I5554" s="3" t="s">
        <v>42</v>
      </c>
      <c r="J5554" s="31">
        <v>46017</v>
      </c>
      <c r="K5554" s="31">
        <v>46022</v>
      </c>
      <c r="L5554" s="31">
        <v>46024</v>
      </c>
      <c r="M5554" s="31">
        <v>46055</v>
      </c>
      <c r="N5554" s="31"/>
      <c r="O5554" s="3" t="s">
        <v>297</v>
      </c>
    </row>
    <row r="5555" spans="1:15">
      <c r="A5555" s="3">
        <f t="shared" si="115"/>
        <v>5554</v>
      </c>
      <c r="B5555" s="65" t="s">
        <v>8113</v>
      </c>
      <c r="C5555" s="1">
        <v>9572197795</v>
      </c>
      <c r="E5555" s="17" t="s">
        <v>8046</v>
      </c>
      <c r="F5555" s="65"/>
      <c r="G5555" s="3" t="s">
        <v>295</v>
      </c>
      <c r="H5555" s="2" t="s">
        <v>305</v>
      </c>
      <c r="I5555" s="3" t="s">
        <v>94</v>
      </c>
      <c r="J5555" s="31">
        <v>46017</v>
      </c>
      <c r="K5555" s="31">
        <v>46021</v>
      </c>
      <c r="L5555" s="31">
        <v>46024</v>
      </c>
      <c r="M5555" s="31">
        <v>46083</v>
      </c>
      <c r="N5555" s="31"/>
      <c r="O5555" s="3" t="s">
        <v>297</v>
      </c>
    </row>
    <row r="5556" spans="1:15">
      <c r="A5556" s="3">
        <f t="shared" si="115"/>
        <v>5555</v>
      </c>
      <c r="B5556" s="65" t="s">
        <v>8114</v>
      </c>
      <c r="C5556" s="1">
        <v>7972089930</v>
      </c>
      <c r="E5556" s="17" t="s">
        <v>8033</v>
      </c>
      <c r="F5556" s="65"/>
      <c r="G5556" s="3" t="s">
        <v>18</v>
      </c>
      <c r="H5556" s="2" t="s">
        <v>305</v>
      </c>
      <c r="I5556" s="3" t="s">
        <v>94</v>
      </c>
      <c r="J5556" s="31">
        <v>46017</v>
      </c>
      <c r="K5556" s="31">
        <v>46021</v>
      </c>
      <c r="L5556" s="31"/>
      <c r="M5556" s="31"/>
      <c r="N5556" s="31"/>
      <c r="O5556" s="3" t="s">
        <v>297</v>
      </c>
    </row>
    <row r="5557" spans="1:15">
      <c r="A5557" s="3">
        <f t="shared" si="115"/>
        <v>5556</v>
      </c>
      <c r="B5557" s="65" t="s">
        <v>558</v>
      </c>
      <c r="C5557" s="1">
        <v>7749849120</v>
      </c>
      <c r="E5557" s="17" t="s">
        <v>8033</v>
      </c>
      <c r="F5557" s="65"/>
      <c r="G5557" s="3" t="s">
        <v>424</v>
      </c>
      <c r="H5557" s="2" t="s">
        <v>305</v>
      </c>
      <c r="I5557" s="3" t="s">
        <v>94</v>
      </c>
      <c r="J5557" s="31">
        <v>46017</v>
      </c>
      <c r="K5557" s="31">
        <v>46021</v>
      </c>
      <c r="L5557" s="31"/>
      <c r="M5557" s="31"/>
      <c r="N5557" s="31"/>
      <c r="O5557" s="3" t="s">
        <v>425</v>
      </c>
    </row>
    <row r="5558" spans="1:15">
      <c r="A5558" s="3">
        <f t="shared" si="115"/>
        <v>5557</v>
      </c>
      <c r="B5558" s="65" t="s">
        <v>8115</v>
      </c>
      <c r="C5558" s="1">
        <v>7054214256</v>
      </c>
      <c r="E5558" s="17" t="s">
        <v>8046</v>
      </c>
      <c r="F5558" s="65"/>
      <c r="G5558" s="2" t="s">
        <v>16</v>
      </c>
      <c r="H5558" s="2" t="s">
        <v>305</v>
      </c>
      <c r="I5558" s="3" t="s">
        <v>94</v>
      </c>
      <c r="J5558" s="31">
        <v>46017</v>
      </c>
      <c r="K5558" s="31">
        <v>46025</v>
      </c>
      <c r="L5558" s="31">
        <v>46052</v>
      </c>
      <c r="M5558" s="31">
        <v>46072</v>
      </c>
      <c r="N5558" s="31">
        <v>46066</v>
      </c>
      <c r="O5558" s="3" t="s">
        <v>297</v>
      </c>
    </row>
    <row r="5559" spans="1:15">
      <c r="A5559" s="3">
        <f t="shared" si="115"/>
        <v>5558</v>
      </c>
      <c r="B5559" s="65" t="s">
        <v>8116</v>
      </c>
      <c r="C5559" s="1">
        <v>7654265961</v>
      </c>
      <c r="E5559" s="17" t="s">
        <v>8033</v>
      </c>
      <c r="F5559" s="65"/>
      <c r="G5559" s="3" t="s">
        <v>424</v>
      </c>
      <c r="H5559" s="2" t="s">
        <v>305</v>
      </c>
      <c r="I5559" s="3" t="s">
        <v>94</v>
      </c>
      <c r="J5559" s="31">
        <v>46017</v>
      </c>
      <c r="K5559" s="31">
        <v>46025</v>
      </c>
      <c r="L5559" s="31"/>
      <c r="M5559" s="31"/>
      <c r="N5559" s="31"/>
      <c r="O5559" s="3" t="s">
        <v>425</v>
      </c>
    </row>
    <row r="5560" spans="1:15">
      <c r="A5560" s="3">
        <f t="shared" si="115"/>
        <v>5559</v>
      </c>
      <c r="B5560" s="65" t="s">
        <v>8117</v>
      </c>
      <c r="C5560" s="1">
        <v>9604195002</v>
      </c>
      <c r="E5560" s="17" t="s">
        <v>8046</v>
      </c>
      <c r="F5560" s="65"/>
      <c r="G5560" s="3" t="s">
        <v>295</v>
      </c>
      <c r="H5560" s="2" t="s">
        <v>305</v>
      </c>
      <c r="I5560" s="3" t="s">
        <v>94</v>
      </c>
      <c r="J5560" s="31">
        <v>46017</v>
      </c>
      <c r="K5560" s="31">
        <v>46025</v>
      </c>
      <c r="L5560" s="31">
        <v>46059</v>
      </c>
      <c r="M5560" s="31">
        <v>46074</v>
      </c>
      <c r="N5560" s="31"/>
      <c r="O5560" s="3" t="s">
        <v>297</v>
      </c>
    </row>
    <row r="5561" spans="1:15">
      <c r="A5561" s="3">
        <f t="shared" si="115"/>
        <v>5560</v>
      </c>
      <c r="B5561" s="65" t="s">
        <v>8118</v>
      </c>
      <c r="C5561" s="1">
        <v>8638591480</v>
      </c>
      <c r="E5561" s="17" t="s">
        <v>8046</v>
      </c>
      <c r="F5561" s="65"/>
      <c r="G5561" s="3" t="s">
        <v>424</v>
      </c>
      <c r="H5561" s="2" t="s">
        <v>305</v>
      </c>
      <c r="I5561" s="3" t="s">
        <v>94</v>
      </c>
      <c r="J5561" s="31">
        <v>46017</v>
      </c>
      <c r="K5561" s="31">
        <v>46025</v>
      </c>
      <c r="L5561" s="31"/>
      <c r="M5561" s="31"/>
      <c r="N5561" s="31"/>
      <c r="O5561" s="3" t="s">
        <v>749</v>
      </c>
    </row>
    <row r="5562" spans="1:15">
      <c r="A5562" s="3">
        <f t="shared" si="115"/>
        <v>5561</v>
      </c>
      <c r="B5562" s="65" t="s">
        <v>8119</v>
      </c>
      <c r="C5562" s="1">
        <v>8240765235</v>
      </c>
      <c r="E5562" s="17" t="s">
        <v>8046</v>
      </c>
      <c r="F5562" s="65"/>
      <c r="G5562" s="3" t="s">
        <v>416</v>
      </c>
      <c r="H5562" s="2" t="s">
        <v>305</v>
      </c>
      <c r="I5562" s="3" t="s">
        <v>94</v>
      </c>
      <c r="J5562" s="31">
        <v>46017</v>
      </c>
      <c r="K5562" s="31">
        <v>46025</v>
      </c>
      <c r="L5562" s="31"/>
      <c r="M5562" s="31"/>
      <c r="N5562" s="31"/>
      <c r="O5562" s="3" t="s">
        <v>297</v>
      </c>
    </row>
    <row r="5563" spans="1:15">
      <c r="A5563" s="3">
        <f t="shared" si="115"/>
        <v>5562</v>
      </c>
      <c r="B5563" s="65" t="s">
        <v>8120</v>
      </c>
      <c r="C5563" s="1">
        <v>8600980916</v>
      </c>
      <c r="E5563" s="17" t="s">
        <v>8046</v>
      </c>
      <c r="F5563" s="65"/>
      <c r="G5563" s="3" t="s">
        <v>416</v>
      </c>
      <c r="H5563" s="2" t="s">
        <v>305</v>
      </c>
      <c r="I5563" s="3" t="s">
        <v>94</v>
      </c>
      <c r="J5563" s="31">
        <v>46017</v>
      </c>
      <c r="K5563" s="31">
        <v>46025</v>
      </c>
      <c r="L5563" s="31"/>
      <c r="M5563" s="31"/>
      <c r="N5563" s="31"/>
      <c r="O5563" s="3" t="s">
        <v>297</v>
      </c>
    </row>
    <row r="5564" spans="1:15">
      <c r="A5564" s="3">
        <f t="shared" si="115"/>
        <v>5563</v>
      </c>
      <c r="B5564" s="65" t="s">
        <v>8121</v>
      </c>
      <c r="C5564" s="1">
        <v>9779524484</v>
      </c>
      <c r="E5564" s="17" t="s">
        <v>8046</v>
      </c>
      <c r="F5564" s="65"/>
      <c r="G5564" s="3" t="s">
        <v>424</v>
      </c>
      <c r="H5564" s="2" t="s">
        <v>305</v>
      </c>
      <c r="I5564" s="3" t="s">
        <v>94</v>
      </c>
      <c r="J5564" s="31">
        <v>46017</v>
      </c>
      <c r="K5564" s="31">
        <v>46025</v>
      </c>
      <c r="L5564" s="31"/>
      <c r="M5564" s="31"/>
      <c r="N5564" s="31"/>
      <c r="O5564" s="3" t="s">
        <v>425</v>
      </c>
    </row>
    <row r="5565" spans="1:15">
      <c r="A5565" s="3">
        <f t="shared" si="115"/>
        <v>5564</v>
      </c>
      <c r="B5565" s="65" t="s">
        <v>8122</v>
      </c>
      <c r="C5565" s="1">
        <v>8054737076</v>
      </c>
      <c r="E5565" s="17" t="s">
        <v>7827</v>
      </c>
      <c r="F5565" s="65"/>
      <c r="G5565" s="3" t="s">
        <v>16</v>
      </c>
      <c r="H5565" s="2" t="s">
        <v>305</v>
      </c>
      <c r="I5565" s="3" t="s">
        <v>94</v>
      </c>
      <c r="J5565" s="31">
        <v>46014</v>
      </c>
      <c r="K5565" s="31">
        <v>46015</v>
      </c>
      <c r="L5565" s="31">
        <v>46016</v>
      </c>
      <c r="M5565" s="31">
        <v>46023</v>
      </c>
      <c r="N5565" s="31">
        <v>46026</v>
      </c>
      <c r="O5565" s="3" t="s">
        <v>297</v>
      </c>
    </row>
    <row r="5566" spans="1:15">
      <c r="A5566" s="3">
        <f t="shared" si="115"/>
        <v>5565</v>
      </c>
      <c r="B5566" s="65" t="s">
        <v>8123</v>
      </c>
      <c r="C5566" s="1">
        <v>8550904429</v>
      </c>
      <c r="E5566" s="17" t="s">
        <v>7919</v>
      </c>
      <c r="F5566" s="65"/>
      <c r="G5566" s="3" t="s">
        <v>295</v>
      </c>
      <c r="H5566" s="2" t="s">
        <v>8013</v>
      </c>
      <c r="I5566" s="3" t="s">
        <v>88</v>
      </c>
      <c r="J5566" s="31">
        <v>46014</v>
      </c>
      <c r="K5566" s="31">
        <v>46015</v>
      </c>
      <c r="L5566" s="31">
        <v>46016</v>
      </c>
      <c r="M5566" s="31">
        <v>46032</v>
      </c>
      <c r="N5566" s="31"/>
      <c r="O5566" s="3" t="s">
        <v>297</v>
      </c>
    </row>
    <row r="5567" spans="1:15">
      <c r="A5567" s="3">
        <f t="shared" si="115"/>
        <v>5566</v>
      </c>
      <c r="B5567" s="65" t="s">
        <v>8124</v>
      </c>
      <c r="C5567" s="1">
        <v>7839431680</v>
      </c>
      <c r="E5567" s="17" t="s">
        <v>6489</v>
      </c>
      <c r="F5567" s="65"/>
      <c r="G5567" s="3" t="s">
        <v>16</v>
      </c>
      <c r="H5567" s="2" t="s">
        <v>42</v>
      </c>
      <c r="I5567" s="3" t="s">
        <v>42</v>
      </c>
      <c r="J5567" s="31">
        <v>46014</v>
      </c>
      <c r="K5567" s="31">
        <v>46015</v>
      </c>
      <c r="L5567" s="31">
        <v>46017</v>
      </c>
      <c r="M5567" s="31">
        <v>46032</v>
      </c>
      <c r="N5567" s="31">
        <v>46027</v>
      </c>
      <c r="O5567" s="3" t="s">
        <v>297</v>
      </c>
    </row>
    <row r="5568" spans="1:15">
      <c r="A5568" s="3">
        <f t="shared" si="115"/>
        <v>5567</v>
      </c>
      <c r="B5568" s="65" t="s">
        <v>8125</v>
      </c>
      <c r="C5568" s="1">
        <v>7023767971</v>
      </c>
      <c r="E5568" s="17" t="s">
        <v>8126</v>
      </c>
      <c r="F5568" s="65"/>
      <c r="G5568" s="3" t="s">
        <v>16</v>
      </c>
      <c r="H5568" s="2" t="s">
        <v>42</v>
      </c>
      <c r="I5568" s="3" t="s">
        <v>42</v>
      </c>
      <c r="J5568" s="31">
        <v>46014</v>
      </c>
      <c r="K5568" s="31">
        <v>46015</v>
      </c>
      <c r="L5568" s="31">
        <v>46017</v>
      </c>
      <c r="M5568" s="31">
        <v>46092</v>
      </c>
      <c r="N5568" s="31">
        <v>46027</v>
      </c>
      <c r="O5568" s="3" t="s">
        <v>297</v>
      </c>
    </row>
    <row r="5569" spans="1:15">
      <c r="A5569" s="3">
        <f t="shared" si="115"/>
        <v>5568</v>
      </c>
      <c r="B5569" s="65" t="s">
        <v>8127</v>
      </c>
      <c r="C5569" s="1">
        <v>7989861665</v>
      </c>
      <c r="E5569" s="17" t="s">
        <v>7366</v>
      </c>
      <c r="F5569" s="65"/>
      <c r="G5569" s="3" t="s">
        <v>16</v>
      </c>
      <c r="H5569" s="2" t="s">
        <v>5774</v>
      </c>
      <c r="I5569" s="3" t="s">
        <v>42</v>
      </c>
      <c r="J5569" s="31">
        <v>46014</v>
      </c>
      <c r="K5569" s="31">
        <v>46015</v>
      </c>
      <c r="L5569" s="31">
        <v>46017</v>
      </c>
      <c r="M5569" s="31">
        <v>46049</v>
      </c>
      <c r="N5569" s="31">
        <v>46043</v>
      </c>
      <c r="O5569" s="3" t="s">
        <v>297</v>
      </c>
    </row>
    <row r="5570" spans="1:15">
      <c r="A5570" s="3">
        <f t="shared" si="115"/>
        <v>5569</v>
      </c>
      <c r="B5570" s="65" t="s">
        <v>8128</v>
      </c>
      <c r="C5570" s="1">
        <v>7893840468</v>
      </c>
      <c r="E5570" s="17" t="s">
        <v>7366</v>
      </c>
      <c r="F5570" s="65"/>
      <c r="G5570" s="3" t="s">
        <v>16</v>
      </c>
      <c r="H5570" s="2" t="s">
        <v>5774</v>
      </c>
      <c r="I5570" s="3" t="s">
        <v>42</v>
      </c>
      <c r="J5570" s="31">
        <v>46014</v>
      </c>
      <c r="K5570" s="31">
        <v>46015</v>
      </c>
      <c r="L5570" s="31">
        <v>46017</v>
      </c>
      <c r="M5570" s="31">
        <v>46027</v>
      </c>
      <c r="N5570" s="31">
        <v>46027</v>
      </c>
      <c r="O5570" s="3" t="s">
        <v>297</v>
      </c>
    </row>
    <row r="5571" spans="1:15">
      <c r="A5571" s="3">
        <f t="shared" si="115"/>
        <v>5570</v>
      </c>
      <c r="B5571" s="65" t="s">
        <v>8129</v>
      </c>
      <c r="C5571" s="1">
        <v>9381152920</v>
      </c>
      <c r="E5571" s="17" t="s">
        <v>7366</v>
      </c>
      <c r="F5571" s="65"/>
      <c r="G5571" s="3" t="s">
        <v>15</v>
      </c>
      <c r="H5571" s="2" t="s">
        <v>5774</v>
      </c>
      <c r="I5571" s="3" t="s">
        <v>42</v>
      </c>
      <c r="J5571" s="31">
        <v>46014</v>
      </c>
      <c r="K5571" s="31">
        <v>46015</v>
      </c>
      <c r="L5571" s="31">
        <v>46017</v>
      </c>
      <c r="M5571" s="31">
        <v>46132</v>
      </c>
      <c r="N5571" s="31"/>
      <c r="O5571" s="3" t="s">
        <v>297</v>
      </c>
    </row>
    <row r="5572" spans="1:15">
      <c r="A5572" s="3">
        <f t="shared" si="115"/>
        <v>5571</v>
      </c>
      <c r="B5572" s="65" t="s">
        <v>8130</v>
      </c>
      <c r="C5572" s="1">
        <v>8919885944</v>
      </c>
      <c r="E5572" s="17" t="s">
        <v>7366</v>
      </c>
      <c r="F5572" s="65"/>
      <c r="G5572" s="3" t="s">
        <v>16</v>
      </c>
      <c r="H5572" s="2" t="s">
        <v>5774</v>
      </c>
      <c r="I5572" s="3" t="s">
        <v>42</v>
      </c>
      <c r="J5572" s="31">
        <v>46014</v>
      </c>
      <c r="K5572" s="31">
        <v>46015</v>
      </c>
      <c r="L5572" s="31">
        <v>46017</v>
      </c>
      <c r="M5572" s="31">
        <v>46049</v>
      </c>
      <c r="N5572" s="31">
        <v>46048</v>
      </c>
      <c r="O5572" s="3" t="s">
        <v>297</v>
      </c>
    </row>
    <row r="5573" spans="1:15">
      <c r="A5573" s="3">
        <f t="shared" si="115"/>
        <v>5572</v>
      </c>
      <c r="B5573" s="65" t="s">
        <v>8131</v>
      </c>
      <c r="C5573" s="1">
        <v>8328184161</v>
      </c>
      <c r="E5573" s="17" t="s">
        <v>7366</v>
      </c>
      <c r="F5573" s="65"/>
      <c r="G5573" s="3" t="s">
        <v>16</v>
      </c>
      <c r="H5573" s="2" t="s">
        <v>5774</v>
      </c>
      <c r="I5573" s="3" t="s">
        <v>42</v>
      </c>
      <c r="J5573" s="31">
        <v>46014</v>
      </c>
      <c r="K5573" s="31">
        <v>46015</v>
      </c>
      <c r="L5573" s="31">
        <v>46017</v>
      </c>
      <c r="M5573" s="31">
        <v>46049</v>
      </c>
      <c r="N5573" s="31">
        <v>46049</v>
      </c>
      <c r="O5573" s="3" t="s">
        <v>297</v>
      </c>
    </row>
    <row r="5574" spans="1:15">
      <c r="A5574" s="3">
        <f t="shared" si="115"/>
        <v>5573</v>
      </c>
      <c r="B5574" s="65" t="s">
        <v>8132</v>
      </c>
      <c r="C5574" s="1">
        <v>6281877898</v>
      </c>
      <c r="E5574" s="17" t="s">
        <v>7685</v>
      </c>
      <c r="F5574" s="65"/>
      <c r="G5574" s="2" t="s">
        <v>16</v>
      </c>
      <c r="H5574" s="2" t="s">
        <v>5774</v>
      </c>
      <c r="I5574" s="3" t="s">
        <v>42</v>
      </c>
      <c r="J5574" s="31">
        <v>46014</v>
      </c>
      <c r="K5574" s="31">
        <v>46015</v>
      </c>
      <c r="L5574" s="31">
        <v>46017</v>
      </c>
      <c r="M5574" s="31">
        <v>46032</v>
      </c>
      <c r="N5574" s="31">
        <v>46032</v>
      </c>
      <c r="O5574" s="3" t="s">
        <v>297</v>
      </c>
    </row>
    <row r="5575" spans="1:15">
      <c r="A5575" s="3">
        <f t="shared" si="115"/>
        <v>5574</v>
      </c>
      <c r="B5575" s="65" t="s">
        <v>8133</v>
      </c>
      <c r="C5575" s="1">
        <v>9542141942</v>
      </c>
      <c r="E5575" s="17" t="s">
        <v>6236</v>
      </c>
      <c r="F5575" s="65"/>
      <c r="G5575" s="3" t="s">
        <v>16</v>
      </c>
      <c r="H5575" s="2" t="s">
        <v>5774</v>
      </c>
      <c r="I5575" s="3" t="s">
        <v>42</v>
      </c>
      <c r="J5575" s="31">
        <v>46014</v>
      </c>
      <c r="K5575" s="31">
        <v>46015</v>
      </c>
      <c r="L5575" s="31">
        <v>46017</v>
      </c>
      <c r="M5575" s="31">
        <v>46050</v>
      </c>
      <c r="N5575" s="31">
        <v>46051</v>
      </c>
      <c r="O5575" s="3" t="s">
        <v>297</v>
      </c>
    </row>
    <row r="5576" spans="1:15">
      <c r="A5576" s="3">
        <f t="shared" si="115"/>
        <v>5575</v>
      </c>
      <c r="B5576" s="65" t="s">
        <v>8134</v>
      </c>
      <c r="C5576" s="1">
        <v>7350929448</v>
      </c>
      <c r="E5576" s="17" t="s">
        <v>3326</v>
      </c>
      <c r="F5576" s="65" t="s">
        <v>294</v>
      </c>
      <c r="G5576" s="3" t="s">
        <v>424</v>
      </c>
      <c r="H5576" s="2" t="s">
        <v>630</v>
      </c>
      <c r="I5576" s="3" t="s">
        <v>94</v>
      </c>
      <c r="J5576" s="31">
        <v>46020</v>
      </c>
      <c r="K5576" s="31">
        <v>46028</v>
      </c>
      <c r="L5576" s="31"/>
      <c r="M5576" s="31"/>
      <c r="N5576" s="31"/>
      <c r="O5576" s="3" t="s">
        <v>425</v>
      </c>
    </row>
    <row r="5577" spans="1:15">
      <c r="A5577" s="3">
        <f t="shared" si="115"/>
        <v>5576</v>
      </c>
      <c r="B5577" s="65" t="s">
        <v>8135</v>
      </c>
      <c r="C5577" s="1">
        <v>7860530448</v>
      </c>
      <c r="E5577" s="17" t="s">
        <v>3326</v>
      </c>
      <c r="F5577" s="65" t="s">
        <v>294</v>
      </c>
      <c r="G5577" s="3" t="s">
        <v>424</v>
      </c>
      <c r="H5577" s="2" t="s">
        <v>630</v>
      </c>
      <c r="I5577" s="3" t="s">
        <v>94</v>
      </c>
      <c r="J5577" s="31">
        <v>46020</v>
      </c>
      <c r="K5577" s="31">
        <v>46028</v>
      </c>
      <c r="L5577" s="31"/>
      <c r="M5577" s="31"/>
      <c r="N5577" s="31"/>
      <c r="O5577" s="3" t="s">
        <v>425</v>
      </c>
    </row>
    <row r="5578" spans="1:15">
      <c r="A5578" s="3">
        <f t="shared" si="115"/>
        <v>5577</v>
      </c>
      <c r="B5578" s="65" t="s">
        <v>8136</v>
      </c>
      <c r="C5578" s="1">
        <v>8459374168</v>
      </c>
      <c r="E5578" s="17" t="s">
        <v>3326</v>
      </c>
      <c r="F5578" s="65" t="s">
        <v>3002</v>
      </c>
      <c r="G5578" s="3" t="s">
        <v>424</v>
      </c>
      <c r="H5578" s="2" t="s">
        <v>630</v>
      </c>
      <c r="I5578" s="3" t="s">
        <v>94</v>
      </c>
      <c r="J5578" s="31">
        <v>46020</v>
      </c>
      <c r="K5578" s="31">
        <v>46031</v>
      </c>
      <c r="L5578" s="31"/>
      <c r="M5578" s="31"/>
      <c r="N5578" s="31"/>
      <c r="O5578" s="3" t="s">
        <v>425</v>
      </c>
    </row>
    <row r="5579" spans="1:15">
      <c r="A5579" s="3">
        <f t="shared" si="115"/>
        <v>5578</v>
      </c>
      <c r="B5579" s="65" t="s">
        <v>8137</v>
      </c>
      <c r="C5579" s="1">
        <v>7007795092</v>
      </c>
      <c r="E5579" s="17" t="s">
        <v>8138</v>
      </c>
      <c r="F5579" s="65" t="s">
        <v>8139</v>
      </c>
      <c r="G5579" s="3" t="s">
        <v>1175</v>
      </c>
      <c r="H5579" s="2" t="s">
        <v>5273</v>
      </c>
      <c r="I5579" s="3" t="s">
        <v>88</v>
      </c>
      <c r="J5579" s="31">
        <v>46017</v>
      </c>
      <c r="K5579" s="31"/>
      <c r="L5579" s="31"/>
      <c r="M5579" s="31"/>
      <c r="N5579" s="31"/>
      <c r="O5579" s="3" t="s">
        <v>1004</v>
      </c>
    </row>
    <row r="5580" spans="1:15">
      <c r="A5580" s="3">
        <f t="shared" si="115"/>
        <v>5579</v>
      </c>
      <c r="B5580" s="65" t="s">
        <v>8140</v>
      </c>
      <c r="C5580" s="1">
        <v>9931573023</v>
      </c>
      <c r="E5580" s="17" t="s">
        <v>8138</v>
      </c>
      <c r="F5580" s="65" t="s">
        <v>8141</v>
      </c>
      <c r="G5580" s="3" t="s">
        <v>1175</v>
      </c>
      <c r="H5580" s="2" t="s">
        <v>5273</v>
      </c>
      <c r="I5580" s="3" t="s">
        <v>88</v>
      </c>
      <c r="J5580" s="31">
        <v>46017</v>
      </c>
      <c r="K5580" s="31"/>
      <c r="L5580" s="31"/>
      <c r="M5580" s="31"/>
      <c r="N5580" s="31"/>
      <c r="O5580" s="3" t="s">
        <v>1004</v>
      </c>
    </row>
    <row r="5581" spans="1:15">
      <c r="A5581" s="3">
        <f t="shared" si="115"/>
        <v>5580</v>
      </c>
      <c r="B5581" s="65" t="s">
        <v>8142</v>
      </c>
      <c r="C5581" s="1">
        <v>9140953429</v>
      </c>
      <c r="E5581" s="17" t="s">
        <v>8143</v>
      </c>
      <c r="F5581" s="65" t="s">
        <v>569</v>
      </c>
      <c r="G5581" s="3" t="s">
        <v>1175</v>
      </c>
      <c r="H5581" s="2" t="s">
        <v>5273</v>
      </c>
      <c r="I5581" s="3" t="s">
        <v>88</v>
      </c>
      <c r="J5581" s="31">
        <v>46017</v>
      </c>
      <c r="K5581" s="31"/>
      <c r="L5581" s="31"/>
      <c r="M5581" s="31"/>
      <c r="N5581" s="31"/>
      <c r="O5581" s="3" t="s">
        <v>1004</v>
      </c>
    </row>
    <row r="5582" spans="1:15">
      <c r="A5582" s="3">
        <f t="shared" si="115"/>
        <v>5581</v>
      </c>
      <c r="B5582" s="65" t="s">
        <v>8144</v>
      </c>
      <c r="C5582" s="1">
        <v>8368418636</v>
      </c>
      <c r="D5582" s="1">
        <v>8802146265</v>
      </c>
      <c r="E5582" s="17" t="s">
        <v>8143</v>
      </c>
      <c r="F5582" s="65" t="s">
        <v>8145</v>
      </c>
      <c r="G5582" s="3" t="s">
        <v>1175</v>
      </c>
      <c r="H5582" s="2" t="s">
        <v>5273</v>
      </c>
      <c r="I5582" s="3" t="s">
        <v>88</v>
      </c>
      <c r="J5582" s="31">
        <v>46017</v>
      </c>
      <c r="K5582" s="31"/>
      <c r="L5582" s="31"/>
      <c r="M5582" s="31"/>
      <c r="N5582" s="31"/>
      <c r="O5582" s="3" t="s">
        <v>1004</v>
      </c>
    </row>
    <row r="5583" spans="1:15">
      <c r="A5583" s="3">
        <f t="shared" si="115"/>
        <v>5582</v>
      </c>
      <c r="B5583" s="65" t="s">
        <v>8146</v>
      </c>
      <c r="C5583" s="1">
        <v>9676167701</v>
      </c>
      <c r="E5583" s="1" t="s">
        <v>2181</v>
      </c>
      <c r="F5583" s="65" t="s">
        <v>451</v>
      </c>
      <c r="G5583" s="3" t="s">
        <v>295</v>
      </c>
      <c r="H5583" s="2" t="s">
        <v>2183</v>
      </c>
      <c r="I5583" s="3" t="s">
        <v>88</v>
      </c>
      <c r="J5583" s="31">
        <v>46020</v>
      </c>
      <c r="K5583" s="31">
        <v>46031</v>
      </c>
      <c r="L5583" s="31">
        <v>46031</v>
      </c>
      <c r="M5583" s="31">
        <v>46111</v>
      </c>
      <c r="N5583" s="31"/>
      <c r="O5583" s="3" t="s">
        <v>297</v>
      </c>
    </row>
    <row r="5584" spans="1:15">
      <c r="A5584" s="3">
        <f t="shared" si="115"/>
        <v>5583</v>
      </c>
      <c r="B5584" s="65" t="s">
        <v>8147</v>
      </c>
      <c r="C5584" s="1">
        <v>8919166075</v>
      </c>
      <c r="D5584" s="1">
        <v>7286081631</v>
      </c>
      <c r="E5584" s="17" t="s">
        <v>7076</v>
      </c>
      <c r="F5584" s="65" t="s">
        <v>308</v>
      </c>
      <c r="G5584" s="3" t="s">
        <v>16</v>
      </c>
      <c r="H5584" s="2" t="s">
        <v>2183</v>
      </c>
      <c r="I5584" s="3" t="s">
        <v>88</v>
      </c>
      <c r="J5584" s="31">
        <v>46020</v>
      </c>
      <c r="K5584" s="31">
        <v>46031</v>
      </c>
      <c r="L5584" s="31">
        <v>46031</v>
      </c>
      <c r="M5584" s="31">
        <v>46081</v>
      </c>
      <c r="N5584" s="31">
        <v>46083</v>
      </c>
      <c r="O5584" s="3" t="s">
        <v>297</v>
      </c>
    </row>
    <row r="5585" spans="1:15">
      <c r="A5585" s="3">
        <f t="shared" si="115"/>
        <v>5584</v>
      </c>
      <c r="B5585" s="65" t="s">
        <v>8148</v>
      </c>
      <c r="C5585" s="1">
        <v>9553759068</v>
      </c>
      <c r="D5585" s="1">
        <v>8332032360</v>
      </c>
      <c r="E5585" s="17" t="s">
        <v>7076</v>
      </c>
      <c r="F5585" s="65" t="s">
        <v>308</v>
      </c>
      <c r="G5585" s="3" t="s">
        <v>424</v>
      </c>
      <c r="H5585" s="2" t="s">
        <v>2183</v>
      </c>
      <c r="I5585" s="3" t="s">
        <v>88</v>
      </c>
      <c r="J5585" s="31">
        <v>46020</v>
      </c>
      <c r="K5585" s="31">
        <v>46055</v>
      </c>
      <c r="L5585" s="31"/>
      <c r="M5585" s="31"/>
      <c r="N5585" s="31"/>
      <c r="O5585" s="3" t="s">
        <v>425</v>
      </c>
    </row>
    <row r="5586" spans="1:15">
      <c r="A5586" s="3">
        <f t="shared" si="115"/>
        <v>5585</v>
      </c>
      <c r="B5586" s="65" t="s">
        <v>1303</v>
      </c>
      <c r="C5586" s="1">
        <v>9078398617</v>
      </c>
      <c r="E5586" s="17" t="s">
        <v>7076</v>
      </c>
      <c r="F5586" s="65" t="s">
        <v>308</v>
      </c>
      <c r="G5586" s="3" t="s">
        <v>424</v>
      </c>
      <c r="H5586" s="2" t="s">
        <v>2183</v>
      </c>
      <c r="I5586" s="3" t="s">
        <v>88</v>
      </c>
      <c r="J5586" s="31">
        <v>46020</v>
      </c>
      <c r="K5586" s="31">
        <v>46055</v>
      </c>
      <c r="L5586" s="31"/>
      <c r="M5586" s="31"/>
      <c r="N5586" s="31"/>
      <c r="O5586" s="3" t="s">
        <v>425</v>
      </c>
    </row>
    <row r="5587" spans="1:15">
      <c r="A5587" s="3">
        <f t="shared" si="115"/>
        <v>5586</v>
      </c>
      <c r="B5587" s="65" t="s">
        <v>8149</v>
      </c>
      <c r="C5587" s="1">
        <v>9848749460</v>
      </c>
      <c r="E5587" s="17" t="s">
        <v>7076</v>
      </c>
      <c r="F5587" s="65" t="s">
        <v>308</v>
      </c>
      <c r="G5587" s="3" t="s">
        <v>424</v>
      </c>
      <c r="H5587" s="2" t="s">
        <v>2183</v>
      </c>
      <c r="I5587" s="3" t="s">
        <v>88</v>
      </c>
      <c r="J5587" s="31">
        <v>46020</v>
      </c>
      <c r="K5587" s="31">
        <v>46055</v>
      </c>
      <c r="L5587" s="31"/>
      <c r="M5587" s="31"/>
      <c r="N5587" s="31"/>
      <c r="O5587" s="3" t="s">
        <v>425</v>
      </c>
    </row>
    <row r="5588" spans="1:15">
      <c r="A5588" s="3">
        <f t="shared" si="115"/>
        <v>5587</v>
      </c>
      <c r="B5588" s="65" t="s">
        <v>8150</v>
      </c>
      <c r="C5588" s="1">
        <v>9440706370</v>
      </c>
      <c r="E5588" s="17" t="s">
        <v>6716</v>
      </c>
      <c r="F5588" s="65" t="s">
        <v>8151</v>
      </c>
      <c r="G5588" s="3" t="s">
        <v>416</v>
      </c>
      <c r="H5588" s="2" t="s">
        <v>785</v>
      </c>
      <c r="I5588" s="3" t="s">
        <v>88</v>
      </c>
      <c r="J5588" s="31">
        <v>46020</v>
      </c>
      <c r="K5588" s="31">
        <v>46076</v>
      </c>
      <c r="L5588" s="31"/>
      <c r="M5588" s="31"/>
      <c r="N5588" s="31"/>
      <c r="O5588" s="3" t="s">
        <v>297</v>
      </c>
    </row>
    <row r="5589" spans="1:15">
      <c r="A5589" s="3">
        <f t="shared" si="115"/>
        <v>5588</v>
      </c>
      <c r="B5589" s="65" t="s">
        <v>8152</v>
      </c>
      <c r="C5589" s="1">
        <v>6303273106</v>
      </c>
      <c r="E5589" s="17" t="s">
        <v>6712</v>
      </c>
      <c r="F5589" s="65" t="s">
        <v>1769</v>
      </c>
      <c r="G5589" s="3" t="s">
        <v>14</v>
      </c>
      <c r="H5589" s="2" t="s">
        <v>785</v>
      </c>
      <c r="I5589" s="3" t="s">
        <v>88</v>
      </c>
      <c r="J5589" s="31">
        <v>46020</v>
      </c>
      <c r="K5589" s="31">
        <v>46076</v>
      </c>
      <c r="L5589" s="31"/>
      <c r="M5589" s="31"/>
      <c r="N5589" s="31"/>
      <c r="O5589" s="3" t="s">
        <v>297</v>
      </c>
    </row>
    <row r="5590" spans="1:15">
      <c r="A5590" s="3">
        <f t="shared" si="115"/>
        <v>5589</v>
      </c>
      <c r="B5590" s="65" t="s">
        <v>8153</v>
      </c>
      <c r="C5590" s="1">
        <v>9640407293</v>
      </c>
      <c r="E5590" s="17" t="s">
        <v>7344</v>
      </c>
      <c r="F5590" s="65" t="s">
        <v>2113</v>
      </c>
      <c r="G5590" s="3" t="s">
        <v>295</v>
      </c>
      <c r="H5590" s="2" t="s">
        <v>785</v>
      </c>
      <c r="I5590" s="3" t="s">
        <v>88</v>
      </c>
      <c r="J5590" s="31">
        <v>46020</v>
      </c>
      <c r="K5590" s="31">
        <v>46076</v>
      </c>
      <c r="L5590" s="31">
        <v>46077</v>
      </c>
      <c r="M5590" s="31">
        <v>46105</v>
      </c>
      <c r="N5590" s="31"/>
      <c r="O5590" s="3" t="s">
        <v>297</v>
      </c>
    </row>
    <row r="5591" spans="1:15">
      <c r="A5591" s="3">
        <f t="shared" si="115"/>
        <v>5590</v>
      </c>
      <c r="B5591" s="65" t="s">
        <v>8154</v>
      </c>
      <c r="C5591" s="1">
        <v>6372737739</v>
      </c>
      <c r="E5591" s="17" t="s">
        <v>6712</v>
      </c>
      <c r="F5591" s="65" t="s">
        <v>4238</v>
      </c>
      <c r="G5591" s="3" t="s">
        <v>7030</v>
      </c>
      <c r="H5591" s="2" t="s">
        <v>785</v>
      </c>
      <c r="I5591" s="3" t="s">
        <v>88</v>
      </c>
      <c r="J5591" s="31">
        <v>46020</v>
      </c>
      <c r="K5591" s="31"/>
      <c r="L5591" s="31"/>
      <c r="M5591" s="31"/>
      <c r="N5591" s="31"/>
      <c r="O5591" s="3" t="s">
        <v>1004</v>
      </c>
    </row>
    <row r="5592" spans="1:15">
      <c r="A5592" s="3">
        <f t="shared" si="115"/>
        <v>5591</v>
      </c>
      <c r="B5592" s="65" t="s">
        <v>8155</v>
      </c>
      <c r="C5592" s="1">
        <v>8374146118</v>
      </c>
      <c r="D5592" s="1">
        <v>9154900000</v>
      </c>
      <c r="E5592" s="17" t="s">
        <v>6716</v>
      </c>
      <c r="F5592" s="65" t="s">
        <v>4238</v>
      </c>
      <c r="G5592" s="3" t="s">
        <v>15</v>
      </c>
      <c r="H5592" s="2" t="s">
        <v>785</v>
      </c>
      <c r="I5592" s="3" t="s">
        <v>88</v>
      </c>
      <c r="J5592" s="31">
        <v>46020</v>
      </c>
      <c r="K5592" s="31">
        <v>46076</v>
      </c>
      <c r="L5592" s="31">
        <v>46077</v>
      </c>
      <c r="M5592" s="31">
        <v>46143</v>
      </c>
      <c r="N5592" s="31"/>
      <c r="O5592" s="3" t="s">
        <v>297</v>
      </c>
    </row>
    <row r="5593" spans="1:15">
      <c r="A5593" s="3">
        <f t="shared" si="115"/>
        <v>5592</v>
      </c>
      <c r="B5593" s="65" t="s">
        <v>8156</v>
      </c>
      <c r="C5593" s="1">
        <v>9573184690</v>
      </c>
      <c r="E5593" s="17" t="s">
        <v>6716</v>
      </c>
      <c r="F5593" s="65" t="s">
        <v>3778</v>
      </c>
      <c r="G5593" s="3" t="s">
        <v>15</v>
      </c>
      <c r="H5593" s="2" t="s">
        <v>785</v>
      </c>
      <c r="I5593" s="3" t="s">
        <v>88</v>
      </c>
      <c r="J5593" s="31">
        <v>46020</v>
      </c>
      <c r="K5593" s="31">
        <v>46072</v>
      </c>
      <c r="L5593" s="31">
        <v>46073</v>
      </c>
      <c r="M5593" s="31">
        <v>46127</v>
      </c>
      <c r="N5593" s="31"/>
      <c r="O5593" s="3" t="s">
        <v>297</v>
      </c>
    </row>
    <row r="5594" spans="1:15">
      <c r="A5594" s="3">
        <f t="shared" si="115"/>
        <v>5593</v>
      </c>
      <c r="B5594" s="65" t="s">
        <v>8157</v>
      </c>
      <c r="C5594" s="1">
        <v>7093357828</v>
      </c>
      <c r="E5594" s="17" t="s">
        <v>6712</v>
      </c>
      <c r="F5594" s="65" t="s">
        <v>1769</v>
      </c>
      <c r="G5594" s="3" t="s">
        <v>14</v>
      </c>
      <c r="H5594" s="2" t="s">
        <v>785</v>
      </c>
      <c r="I5594" s="3" t="s">
        <v>88</v>
      </c>
      <c r="J5594" s="31">
        <v>46020</v>
      </c>
      <c r="K5594" s="31">
        <v>46076</v>
      </c>
      <c r="L5594" s="31"/>
      <c r="M5594" s="31"/>
      <c r="N5594" s="31"/>
      <c r="O5594" s="3" t="s">
        <v>297</v>
      </c>
    </row>
    <row r="5595" spans="1:15">
      <c r="A5595" s="3">
        <f t="shared" si="115"/>
        <v>5594</v>
      </c>
      <c r="B5595" s="65" t="s">
        <v>8158</v>
      </c>
      <c r="C5595" s="1">
        <v>9441372216</v>
      </c>
      <c r="E5595" s="17" t="s">
        <v>7076</v>
      </c>
      <c r="F5595" s="65"/>
      <c r="G5595" s="3" t="s">
        <v>16</v>
      </c>
      <c r="H5595" s="2" t="s">
        <v>6353</v>
      </c>
      <c r="I5595" s="3" t="s">
        <v>88</v>
      </c>
      <c r="J5595" s="31">
        <v>46014</v>
      </c>
      <c r="K5595" s="31">
        <v>46015</v>
      </c>
      <c r="L5595" s="31">
        <v>46017</v>
      </c>
      <c r="M5595" s="31">
        <v>46051</v>
      </c>
      <c r="N5595" s="31">
        <v>46044</v>
      </c>
      <c r="O5595" s="3" t="s">
        <v>297</v>
      </c>
    </row>
    <row r="5596" spans="1:15">
      <c r="A5596" s="3">
        <f t="shared" si="115"/>
        <v>5595</v>
      </c>
      <c r="B5596" s="65" t="s">
        <v>8159</v>
      </c>
      <c r="C5596" s="1">
        <v>9441454201</v>
      </c>
      <c r="E5596" s="17" t="s">
        <v>7917</v>
      </c>
      <c r="F5596" s="65"/>
      <c r="G5596" s="3" t="s">
        <v>16</v>
      </c>
      <c r="H5596" s="2" t="s">
        <v>815</v>
      </c>
      <c r="I5596" s="3" t="s">
        <v>88</v>
      </c>
      <c r="J5596" s="31">
        <v>46014</v>
      </c>
      <c r="K5596" s="31">
        <v>46015</v>
      </c>
      <c r="L5596" s="31">
        <v>46017</v>
      </c>
      <c r="M5596" s="31">
        <v>46076</v>
      </c>
      <c r="N5596" s="31">
        <v>46076</v>
      </c>
      <c r="O5596" s="3" t="s">
        <v>297</v>
      </c>
    </row>
    <row r="5597" spans="1:15">
      <c r="A5597" s="3">
        <f t="shared" si="115"/>
        <v>5596</v>
      </c>
      <c r="B5597" s="65" t="s">
        <v>8160</v>
      </c>
      <c r="C5597" s="1">
        <v>8332843066</v>
      </c>
      <c r="E5597" s="17" t="s">
        <v>7751</v>
      </c>
      <c r="F5597" s="65"/>
      <c r="G5597" s="3" t="s">
        <v>295</v>
      </c>
      <c r="H5597" s="2" t="s">
        <v>296</v>
      </c>
      <c r="I5597" s="3" t="s">
        <v>94</v>
      </c>
      <c r="J5597" s="31">
        <v>46021</v>
      </c>
      <c r="K5597" s="31">
        <v>46031</v>
      </c>
      <c r="L5597" s="31">
        <v>46031</v>
      </c>
      <c r="M5597" s="31">
        <v>46041</v>
      </c>
      <c r="N5597" s="31"/>
      <c r="O5597" s="3" t="s">
        <v>297</v>
      </c>
    </row>
    <row r="5598" spans="1:15">
      <c r="A5598" s="3">
        <f t="shared" si="115"/>
        <v>5597</v>
      </c>
      <c r="B5598" s="65" t="s">
        <v>8161</v>
      </c>
      <c r="C5598" s="1">
        <v>7870091289</v>
      </c>
      <c r="E5598" s="17" t="s">
        <v>7751</v>
      </c>
      <c r="F5598" s="65"/>
      <c r="G5598" s="3" t="s">
        <v>424</v>
      </c>
      <c r="H5598" s="2" t="s">
        <v>296</v>
      </c>
      <c r="I5598" s="3" t="s">
        <v>94</v>
      </c>
      <c r="J5598" s="31">
        <v>46021</v>
      </c>
      <c r="K5598" s="31">
        <v>46031</v>
      </c>
      <c r="L5598" s="31"/>
      <c r="M5598" s="31"/>
      <c r="N5598" s="31"/>
      <c r="O5598" s="3" t="s">
        <v>425</v>
      </c>
    </row>
    <row r="5599" spans="1:15">
      <c r="A5599" s="3">
        <f t="shared" si="115"/>
        <v>5598</v>
      </c>
      <c r="B5599" s="65" t="s">
        <v>2226</v>
      </c>
      <c r="C5599" s="1">
        <v>9938390074</v>
      </c>
      <c r="E5599" s="17" t="s">
        <v>8162</v>
      </c>
      <c r="F5599" s="65" t="s">
        <v>8163</v>
      </c>
      <c r="G5599" s="3" t="s">
        <v>416</v>
      </c>
      <c r="H5599" s="2" t="s">
        <v>162</v>
      </c>
      <c r="I5599" s="3" t="s">
        <v>88</v>
      </c>
      <c r="J5599" s="31">
        <v>46021</v>
      </c>
      <c r="K5599" s="31">
        <v>46022</v>
      </c>
      <c r="L5599" s="31"/>
      <c r="M5599" s="31"/>
      <c r="N5599" s="31"/>
      <c r="O5599" s="3" t="s">
        <v>297</v>
      </c>
    </row>
    <row r="5600" spans="1:15">
      <c r="A5600" s="3">
        <f t="shared" si="115"/>
        <v>5599</v>
      </c>
      <c r="B5600" s="65" t="s">
        <v>1803</v>
      </c>
      <c r="C5600" s="1">
        <v>9264984656</v>
      </c>
      <c r="E5600" s="17" t="s">
        <v>8162</v>
      </c>
      <c r="F5600" s="65" t="s">
        <v>2482</v>
      </c>
      <c r="G5600" s="3" t="s">
        <v>424</v>
      </c>
      <c r="H5600" s="2" t="s">
        <v>162</v>
      </c>
      <c r="I5600" s="3" t="s">
        <v>88</v>
      </c>
      <c r="J5600" s="31">
        <v>46021</v>
      </c>
      <c r="K5600" s="31">
        <v>46022</v>
      </c>
      <c r="L5600" s="31"/>
      <c r="M5600" s="31"/>
      <c r="N5600" s="31"/>
      <c r="O5600" s="3" t="s">
        <v>425</v>
      </c>
    </row>
    <row r="5601" spans="1:15">
      <c r="A5601" s="3">
        <f t="shared" si="115"/>
        <v>5600</v>
      </c>
      <c r="B5601" s="65" t="s">
        <v>6618</v>
      </c>
      <c r="C5601" s="1">
        <v>7746800893</v>
      </c>
      <c r="E5601" s="17" t="s">
        <v>8162</v>
      </c>
      <c r="F5601" s="65" t="s">
        <v>339</v>
      </c>
      <c r="G5601" s="3" t="s">
        <v>424</v>
      </c>
      <c r="H5601" s="2" t="s">
        <v>162</v>
      </c>
      <c r="I5601" s="3" t="s">
        <v>88</v>
      </c>
      <c r="J5601" s="31">
        <v>46021</v>
      </c>
      <c r="K5601" s="31">
        <v>46022</v>
      </c>
      <c r="L5601" s="31"/>
      <c r="M5601" s="31"/>
      <c r="N5601" s="31"/>
      <c r="O5601" s="3" t="s">
        <v>425</v>
      </c>
    </row>
    <row r="5602" spans="1:15">
      <c r="A5602" s="3">
        <f t="shared" si="115"/>
        <v>5601</v>
      </c>
      <c r="B5602" s="65" t="s">
        <v>8164</v>
      </c>
      <c r="C5602" s="1">
        <v>8280405789</v>
      </c>
      <c r="E5602" s="17" t="s">
        <v>7829</v>
      </c>
      <c r="F5602" s="65" t="s">
        <v>8165</v>
      </c>
      <c r="G5602" s="3" t="s">
        <v>1175</v>
      </c>
      <c r="H5602" s="2" t="s">
        <v>5566</v>
      </c>
      <c r="I5602" s="3" t="s">
        <v>88</v>
      </c>
      <c r="J5602" s="31">
        <v>46021</v>
      </c>
      <c r="K5602" s="31"/>
      <c r="L5602" s="31"/>
      <c r="M5602" s="31"/>
      <c r="N5602" s="31"/>
      <c r="O5602" s="3" t="s">
        <v>1004</v>
      </c>
    </row>
    <row r="5603" spans="1:15">
      <c r="A5603" s="3">
        <f t="shared" si="115"/>
        <v>5602</v>
      </c>
      <c r="B5603" s="65" t="s">
        <v>8166</v>
      </c>
      <c r="C5603" s="1">
        <v>8686349090</v>
      </c>
      <c r="E5603" s="17" t="s">
        <v>7114</v>
      </c>
      <c r="F5603" s="65" t="s">
        <v>8167</v>
      </c>
      <c r="G5603" s="3" t="s">
        <v>295</v>
      </c>
      <c r="H5603" s="2" t="s">
        <v>6158</v>
      </c>
      <c r="I5603" s="3" t="s">
        <v>42</v>
      </c>
      <c r="J5603" s="31">
        <v>46021</v>
      </c>
      <c r="K5603" s="31">
        <v>46022</v>
      </c>
      <c r="L5603" s="31">
        <v>46028</v>
      </c>
      <c r="M5603" s="31">
        <v>46062</v>
      </c>
      <c r="N5603" s="31"/>
      <c r="O5603" s="3" t="s">
        <v>297</v>
      </c>
    </row>
    <row r="5604" spans="1:15">
      <c r="A5604" s="3">
        <f t="shared" si="115"/>
        <v>5603</v>
      </c>
      <c r="B5604" s="65" t="s">
        <v>8168</v>
      </c>
      <c r="C5604" s="1">
        <v>8309284656</v>
      </c>
      <c r="E5604" s="17" t="s">
        <v>7114</v>
      </c>
      <c r="F5604" s="65" t="s">
        <v>5892</v>
      </c>
      <c r="G5604" s="3" t="s">
        <v>295</v>
      </c>
      <c r="H5604" s="2" t="s">
        <v>6158</v>
      </c>
      <c r="I5604" s="3" t="s">
        <v>42</v>
      </c>
      <c r="J5604" s="31">
        <v>46021</v>
      </c>
      <c r="K5604" s="31">
        <v>46022</v>
      </c>
      <c r="L5604" s="31">
        <v>46024</v>
      </c>
      <c r="M5604" s="31">
        <v>46079</v>
      </c>
      <c r="N5604" s="31"/>
      <c r="O5604" s="3" t="s">
        <v>297</v>
      </c>
    </row>
    <row r="5605" spans="1:15">
      <c r="A5605" s="3">
        <f t="shared" si="115"/>
        <v>5604</v>
      </c>
      <c r="B5605" s="65" t="s">
        <v>8169</v>
      </c>
      <c r="C5605" s="1">
        <v>8525849603</v>
      </c>
      <c r="E5605" s="17" t="s">
        <v>7114</v>
      </c>
      <c r="F5605" s="65" t="s">
        <v>8170</v>
      </c>
      <c r="G5605" s="3" t="s">
        <v>764</v>
      </c>
      <c r="H5605" s="2" t="s">
        <v>6158</v>
      </c>
      <c r="I5605" s="3" t="s">
        <v>42</v>
      </c>
      <c r="J5605" s="31">
        <v>46021</v>
      </c>
      <c r="K5605" s="31">
        <v>46022</v>
      </c>
      <c r="L5605" s="31"/>
      <c r="M5605" s="31"/>
      <c r="N5605" s="31"/>
      <c r="O5605" s="3" t="s">
        <v>425</v>
      </c>
    </row>
    <row r="5606" spans="1:15">
      <c r="A5606" s="3">
        <f>ROW()-1</f>
        <v>5605</v>
      </c>
      <c r="B5606" s="65" t="s">
        <v>8171</v>
      </c>
      <c r="C5606" s="1">
        <v>8637278004</v>
      </c>
      <c r="D5606" s="1">
        <v>9668994082</v>
      </c>
      <c r="E5606" s="17" t="s">
        <v>8172</v>
      </c>
      <c r="F5606" s="65" t="s">
        <v>8173</v>
      </c>
      <c r="G5606" s="2" t="s">
        <v>16</v>
      </c>
      <c r="H5606" s="2" t="s">
        <v>162</v>
      </c>
      <c r="I5606" s="3" t="s">
        <v>88</v>
      </c>
      <c r="J5606" s="31">
        <v>46021</v>
      </c>
      <c r="K5606" s="31">
        <v>46024</v>
      </c>
      <c r="L5606" s="31">
        <v>46031</v>
      </c>
      <c r="M5606" s="31">
        <v>46062</v>
      </c>
      <c r="N5606" s="31">
        <v>46065</v>
      </c>
      <c r="O5606" s="3" t="s">
        <v>297</v>
      </c>
    </row>
    <row r="5607" spans="1:15">
      <c r="A5607" s="3">
        <f>ROW()-1</f>
        <v>5606</v>
      </c>
      <c r="B5607" s="65" t="s">
        <v>8174</v>
      </c>
      <c r="C5607" s="1">
        <v>7482056600</v>
      </c>
      <c r="D5607" s="1">
        <v>8303076006</v>
      </c>
      <c r="E5607" s="17" t="s">
        <v>7855</v>
      </c>
      <c r="F5607" s="65" t="s">
        <v>825</v>
      </c>
      <c r="G5607" s="3" t="s">
        <v>424</v>
      </c>
      <c r="H5607" s="2" t="s">
        <v>815</v>
      </c>
      <c r="I5607" s="3" t="s">
        <v>94</v>
      </c>
      <c r="J5607" s="31">
        <v>46021</v>
      </c>
      <c r="K5607" s="31">
        <v>46030</v>
      </c>
      <c r="L5607" s="31"/>
      <c r="M5607" s="31"/>
      <c r="N5607" s="31"/>
      <c r="O5607" s="3" t="s">
        <v>425</v>
      </c>
    </row>
    <row r="5608" spans="1:15">
      <c r="A5608" s="3">
        <f>ROW()-1</f>
        <v>5607</v>
      </c>
      <c r="B5608" s="65" t="s">
        <v>8175</v>
      </c>
      <c r="C5608" s="1">
        <v>8318716853</v>
      </c>
      <c r="D5608" s="1">
        <v>9198844366</v>
      </c>
      <c r="E5608" s="17" t="s">
        <v>7853</v>
      </c>
      <c r="F5608" s="65" t="s">
        <v>8176</v>
      </c>
      <c r="G5608" s="3" t="s">
        <v>424</v>
      </c>
      <c r="H5608" s="2" t="s">
        <v>815</v>
      </c>
      <c r="I5608" s="3" t="s">
        <v>94</v>
      </c>
      <c r="J5608" s="31">
        <v>46021</v>
      </c>
      <c r="K5608" s="31">
        <v>46030</v>
      </c>
      <c r="L5608" s="31"/>
      <c r="M5608" s="31"/>
      <c r="N5608" s="31"/>
      <c r="O5608" s="3" t="s">
        <v>425</v>
      </c>
    </row>
    <row r="5609" spans="1:15">
      <c r="A5609" s="3">
        <f>ROW()-1</f>
        <v>5608</v>
      </c>
      <c r="B5609" s="65" t="s">
        <v>3779</v>
      </c>
      <c r="C5609" s="1">
        <v>8009623562</v>
      </c>
      <c r="E5609" s="17" t="s">
        <v>7853</v>
      </c>
      <c r="F5609" s="65" t="s">
        <v>8176</v>
      </c>
      <c r="G5609" s="3" t="s">
        <v>424</v>
      </c>
      <c r="H5609" s="2" t="s">
        <v>815</v>
      </c>
      <c r="I5609" s="3" t="s">
        <v>94</v>
      </c>
      <c r="J5609" s="31">
        <v>46021</v>
      </c>
      <c r="K5609" s="31">
        <v>46030</v>
      </c>
      <c r="L5609" s="31"/>
      <c r="M5609" s="31"/>
      <c r="N5609" s="31"/>
      <c r="O5609" s="3" t="s">
        <v>425</v>
      </c>
    </row>
    <row r="5610" spans="1:15">
      <c r="A5610" s="3">
        <f t="shared" ref="A5610:A5658" si="116">ROW()-1</f>
        <v>5609</v>
      </c>
      <c r="B5610" s="65" t="s">
        <v>6444</v>
      </c>
      <c r="C5610" s="1">
        <v>7017347563</v>
      </c>
      <c r="E5610" s="17" t="s">
        <v>6105</v>
      </c>
      <c r="F5610" s="65" t="s">
        <v>8177</v>
      </c>
      <c r="G5610" s="3" t="s">
        <v>764</v>
      </c>
      <c r="H5610" s="2" t="s">
        <v>6107</v>
      </c>
      <c r="I5610" s="3" t="s">
        <v>42</v>
      </c>
      <c r="J5610" s="31">
        <v>46022</v>
      </c>
      <c r="K5610" s="31">
        <v>46045</v>
      </c>
      <c r="L5610" s="31"/>
      <c r="M5610" s="31"/>
      <c r="N5610" s="31"/>
      <c r="O5610" s="3" t="s">
        <v>425</v>
      </c>
    </row>
    <row r="5611" spans="1:15">
      <c r="A5611" s="3">
        <f t="shared" si="116"/>
        <v>5610</v>
      </c>
      <c r="B5611" s="65" t="s">
        <v>8178</v>
      </c>
      <c r="C5611" s="1">
        <v>9953783611</v>
      </c>
      <c r="E5611" s="17" t="s">
        <v>6105</v>
      </c>
      <c r="F5611" s="65" t="s">
        <v>8179</v>
      </c>
      <c r="G5611" s="3" t="s">
        <v>16</v>
      </c>
      <c r="H5611" s="2" t="s">
        <v>6107</v>
      </c>
      <c r="I5611" s="3" t="s">
        <v>42</v>
      </c>
      <c r="J5611" s="31">
        <v>46022</v>
      </c>
      <c r="K5611" s="31">
        <v>46022</v>
      </c>
      <c r="L5611" s="31">
        <v>46030</v>
      </c>
      <c r="M5611" s="31">
        <v>46066</v>
      </c>
      <c r="N5611" s="31">
        <v>46066</v>
      </c>
      <c r="O5611" s="3" t="s">
        <v>297</v>
      </c>
    </row>
    <row r="5612" spans="1:15">
      <c r="A5612" s="3">
        <f t="shared" si="116"/>
        <v>5611</v>
      </c>
      <c r="B5612" s="65" t="s">
        <v>8180</v>
      </c>
      <c r="C5612" s="1">
        <v>8700609226</v>
      </c>
      <c r="E5612" s="17" t="s">
        <v>6105</v>
      </c>
      <c r="F5612" s="65" t="s">
        <v>8181</v>
      </c>
      <c r="G5612" s="3" t="s">
        <v>764</v>
      </c>
      <c r="H5612" s="2" t="s">
        <v>6107</v>
      </c>
      <c r="I5612" s="3" t="s">
        <v>42</v>
      </c>
      <c r="J5612" s="31">
        <v>46022</v>
      </c>
      <c r="K5612" s="31">
        <v>46045</v>
      </c>
      <c r="L5612" s="31"/>
      <c r="M5612" s="31"/>
      <c r="N5612" s="31"/>
      <c r="O5612" s="3" t="s">
        <v>425</v>
      </c>
    </row>
    <row r="5613" spans="1:15">
      <c r="A5613" s="3">
        <f t="shared" si="116"/>
        <v>5612</v>
      </c>
      <c r="B5613" s="65" t="s">
        <v>8182</v>
      </c>
      <c r="C5613" s="1">
        <v>9735985610</v>
      </c>
      <c r="E5613" s="17" t="s">
        <v>8183</v>
      </c>
      <c r="F5613" s="65" t="s">
        <v>569</v>
      </c>
      <c r="G5613" s="3" t="s">
        <v>18</v>
      </c>
      <c r="H5613" s="2" t="s">
        <v>1605</v>
      </c>
      <c r="I5613" s="3" t="s">
        <v>94</v>
      </c>
      <c r="J5613" s="31">
        <v>46022</v>
      </c>
      <c r="K5613" s="31"/>
      <c r="L5613" s="31"/>
      <c r="M5613" s="31"/>
      <c r="N5613" s="31"/>
      <c r="O5613" s="3" t="s">
        <v>1004</v>
      </c>
    </row>
    <row r="5614" spans="1:15">
      <c r="A5614" s="3">
        <f t="shared" si="116"/>
        <v>5613</v>
      </c>
      <c r="B5614" s="65" t="s">
        <v>5419</v>
      </c>
      <c r="C5614" s="1">
        <v>7351780898</v>
      </c>
      <c r="E5614" s="17" t="s">
        <v>8184</v>
      </c>
      <c r="F5614" s="65" t="s">
        <v>569</v>
      </c>
      <c r="G5614" s="3" t="s">
        <v>18</v>
      </c>
      <c r="H5614" s="2" t="s">
        <v>1605</v>
      </c>
      <c r="I5614" s="3" t="s">
        <v>94</v>
      </c>
      <c r="J5614" s="31">
        <v>46022</v>
      </c>
      <c r="K5614" s="31"/>
      <c r="L5614" s="31"/>
      <c r="M5614" s="31"/>
      <c r="N5614" s="31"/>
      <c r="O5614" s="3" t="s">
        <v>1004</v>
      </c>
    </row>
    <row r="5615" spans="1:15">
      <c r="A5615" s="3">
        <f t="shared" si="116"/>
        <v>5614</v>
      </c>
      <c r="B5615" s="65" t="s">
        <v>5418</v>
      </c>
      <c r="C5615" s="1">
        <v>7583849798</v>
      </c>
      <c r="E5615" s="17" t="s">
        <v>8184</v>
      </c>
      <c r="F5615" s="65" t="s">
        <v>569</v>
      </c>
      <c r="G5615" s="3" t="s">
        <v>18</v>
      </c>
      <c r="H5615" s="2" t="s">
        <v>1605</v>
      </c>
      <c r="I5615" s="3" t="s">
        <v>94</v>
      </c>
      <c r="J5615" s="31">
        <v>46022</v>
      </c>
      <c r="K5615" s="31"/>
      <c r="L5615" s="31"/>
      <c r="M5615" s="31"/>
      <c r="N5615" s="31"/>
      <c r="O5615" s="3" t="s">
        <v>1004</v>
      </c>
    </row>
    <row r="5616" spans="1:15">
      <c r="A5616" s="3">
        <f t="shared" si="116"/>
        <v>5615</v>
      </c>
      <c r="B5616" s="65" t="s">
        <v>8185</v>
      </c>
      <c r="C5616" s="1">
        <v>7337406812</v>
      </c>
      <c r="E5616" s="17" t="s">
        <v>8186</v>
      </c>
      <c r="F5616" s="65"/>
      <c r="G5616" s="3" t="s">
        <v>16</v>
      </c>
      <c r="H5616" s="2" t="s">
        <v>162</v>
      </c>
      <c r="I5616" s="3" t="s">
        <v>42</v>
      </c>
      <c r="J5616" s="31">
        <v>46020</v>
      </c>
      <c r="K5616" s="31">
        <v>46021</v>
      </c>
      <c r="L5616" s="31">
        <v>46022</v>
      </c>
      <c r="M5616" s="31">
        <v>46055</v>
      </c>
      <c r="N5616" s="31">
        <v>46042</v>
      </c>
      <c r="O5616" s="3" t="s">
        <v>297</v>
      </c>
    </row>
    <row r="5617" spans="1:15">
      <c r="A5617" s="3">
        <f t="shared" si="116"/>
        <v>5616</v>
      </c>
      <c r="B5617" s="65" t="s">
        <v>8187</v>
      </c>
      <c r="C5617" s="1">
        <v>9494174833</v>
      </c>
      <c r="E5617" s="17" t="s">
        <v>8188</v>
      </c>
      <c r="F5617" s="65"/>
      <c r="G5617" s="3" t="s">
        <v>16</v>
      </c>
      <c r="H5617" s="2" t="s">
        <v>162</v>
      </c>
      <c r="I5617" s="3" t="s">
        <v>42</v>
      </c>
      <c r="J5617" s="31">
        <v>46020</v>
      </c>
      <c r="K5617" s="31">
        <v>46021</v>
      </c>
      <c r="L5617" s="31">
        <v>46022</v>
      </c>
      <c r="M5617" s="31">
        <v>46049</v>
      </c>
      <c r="N5617" s="31">
        <v>46016</v>
      </c>
      <c r="O5617" s="3" t="s">
        <v>297</v>
      </c>
    </row>
    <row r="5618" spans="1:15">
      <c r="A5618" s="3">
        <f t="shared" si="116"/>
        <v>5617</v>
      </c>
      <c r="B5618" s="65" t="s">
        <v>8189</v>
      </c>
      <c r="C5618" s="1">
        <v>9491072100</v>
      </c>
      <c r="E5618" s="17" t="s">
        <v>7366</v>
      </c>
      <c r="F5618" s="65"/>
      <c r="G5618" s="3" t="s">
        <v>295</v>
      </c>
      <c r="H5618" s="2" t="s">
        <v>5774</v>
      </c>
      <c r="I5618" s="3" t="s">
        <v>42</v>
      </c>
      <c r="J5618" s="31">
        <v>46020</v>
      </c>
      <c r="K5618" s="31">
        <v>46021</v>
      </c>
      <c r="L5618" s="31">
        <v>46022</v>
      </c>
      <c r="M5618" s="31">
        <v>46050</v>
      </c>
      <c r="N5618" s="31"/>
      <c r="O5618" s="3" t="s">
        <v>297</v>
      </c>
    </row>
    <row r="5619" spans="1:15">
      <c r="A5619" s="3">
        <f t="shared" si="116"/>
        <v>5618</v>
      </c>
      <c r="B5619" s="65" t="s">
        <v>8190</v>
      </c>
      <c r="C5619" s="1">
        <v>9014966359</v>
      </c>
      <c r="D5619" s="1">
        <v>8886042025</v>
      </c>
      <c r="E5619" s="17" t="s">
        <v>7545</v>
      </c>
      <c r="F5619" s="65" t="s">
        <v>8191</v>
      </c>
      <c r="G5619" s="3" t="s">
        <v>295</v>
      </c>
      <c r="H5619" s="2" t="s">
        <v>2183</v>
      </c>
      <c r="I5619" s="3" t="s">
        <v>88</v>
      </c>
      <c r="J5619" s="31">
        <v>46024</v>
      </c>
      <c r="K5619" s="31">
        <v>46024</v>
      </c>
      <c r="L5619" s="31">
        <v>46024</v>
      </c>
      <c r="M5619" s="31">
        <v>46082</v>
      </c>
      <c r="N5619" s="31"/>
      <c r="O5619" s="3" t="s">
        <v>297</v>
      </c>
    </row>
    <row r="5620" spans="1:15">
      <c r="A5620" s="3">
        <f t="shared" si="116"/>
        <v>5619</v>
      </c>
      <c r="B5620" s="65" t="s">
        <v>8192</v>
      </c>
      <c r="C5620" s="1">
        <v>9989097817</v>
      </c>
      <c r="E5620" s="17" t="s">
        <v>8193</v>
      </c>
      <c r="F5620" s="65" t="s">
        <v>6146</v>
      </c>
      <c r="G5620" s="3" t="s">
        <v>16</v>
      </c>
      <c r="H5620" s="2" t="s">
        <v>815</v>
      </c>
      <c r="I5620" s="3" t="s">
        <v>42</v>
      </c>
      <c r="J5620" s="31">
        <v>46024</v>
      </c>
      <c r="K5620" s="31">
        <v>46024</v>
      </c>
      <c r="L5620" s="31">
        <v>46024</v>
      </c>
      <c r="M5620" s="31">
        <v>46043</v>
      </c>
      <c r="N5620" s="31">
        <v>46043</v>
      </c>
      <c r="O5620" s="3" t="s">
        <v>297</v>
      </c>
    </row>
    <row r="5621" spans="1:15">
      <c r="A5621" s="3">
        <f t="shared" si="116"/>
        <v>5620</v>
      </c>
      <c r="B5621" s="65" t="s">
        <v>8194</v>
      </c>
      <c r="C5621" s="1">
        <v>6302832804</v>
      </c>
      <c r="E5621" s="17" t="s">
        <v>8193</v>
      </c>
      <c r="F5621" s="65" t="s">
        <v>6146</v>
      </c>
      <c r="G5621" s="2" t="s">
        <v>16</v>
      </c>
      <c r="H5621" s="2" t="s">
        <v>815</v>
      </c>
      <c r="I5621" s="3" t="s">
        <v>42</v>
      </c>
      <c r="J5621" s="31">
        <v>46024</v>
      </c>
      <c r="K5621" s="31">
        <v>46024</v>
      </c>
      <c r="L5621" s="31">
        <v>46024</v>
      </c>
      <c r="M5621" s="31">
        <v>46041</v>
      </c>
      <c r="N5621" s="31">
        <v>46041</v>
      </c>
      <c r="O5621" s="3" t="s">
        <v>297</v>
      </c>
    </row>
    <row r="5622" spans="1:15">
      <c r="A5622" s="3">
        <f t="shared" si="116"/>
        <v>5621</v>
      </c>
      <c r="B5622" s="65" t="s">
        <v>8195</v>
      </c>
      <c r="C5622" s="1">
        <v>7659966440</v>
      </c>
      <c r="E5622" s="17" t="s">
        <v>7114</v>
      </c>
      <c r="F5622" s="65"/>
      <c r="G5622" s="3" t="s">
        <v>416</v>
      </c>
      <c r="H5622" s="2" t="s">
        <v>4145</v>
      </c>
      <c r="I5622" s="3" t="s">
        <v>42</v>
      </c>
      <c r="J5622" s="31">
        <v>46024</v>
      </c>
      <c r="K5622" s="31">
        <v>46025</v>
      </c>
      <c r="L5622" s="31"/>
      <c r="M5622" s="31"/>
      <c r="N5622" s="31"/>
      <c r="O5622" s="3" t="s">
        <v>297</v>
      </c>
    </row>
    <row r="5623" spans="1:15">
      <c r="A5623" s="3">
        <f t="shared" si="116"/>
        <v>5622</v>
      </c>
      <c r="B5623" s="65" t="s">
        <v>8196</v>
      </c>
      <c r="C5623" s="1">
        <v>8179741150</v>
      </c>
      <c r="E5623" s="17" t="s">
        <v>7741</v>
      </c>
      <c r="F5623" s="65"/>
      <c r="G5623" s="3" t="s">
        <v>16</v>
      </c>
      <c r="H5623" s="2" t="s">
        <v>4145</v>
      </c>
      <c r="I5623" s="3" t="s">
        <v>42</v>
      </c>
      <c r="J5623" s="31">
        <v>46024</v>
      </c>
      <c r="K5623" s="31">
        <v>46024</v>
      </c>
      <c r="L5623" s="31">
        <v>46024</v>
      </c>
      <c r="M5623" s="31">
        <v>46044</v>
      </c>
      <c r="N5623" s="31">
        <v>46044</v>
      </c>
      <c r="O5623" s="3" t="s">
        <v>297</v>
      </c>
    </row>
    <row r="5624" spans="1:15">
      <c r="A5624" s="3">
        <f t="shared" si="116"/>
        <v>5623</v>
      </c>
      <c r="B5624" s="65" t="s">
        <v>8197</v>
      </c>
      <c r="C5624" s="1">
        <v>6289183402</v>
      </c>
      <c r="D5624" s="1">
        <v>7319343651</v>
      </c>
      <c r="E5624" s="17" t="s">
        <v>3954</v>
      </c>
      <c r="F5624" s="65"/>
      <c r="G5624" s="3" t="s">
        <v>295</v>
      </c>
      <c r="H5624" s="2" t="s">
        <v>4145</v>
      </c>
      <c r="I5624" s="3" t="s">
        <v>42</v>
      </c>
      <c r="J5624" s="31">
        <v>46024</v>
      </c>
      <c r="K5624" s="31">
        <v>46024</v>
      </c>
      <c r="L5624" s="31">
        <v>46024</v>
      </c>
      <c r="M5624" s="31">
        <v>46055</v>
      </c>
      <c r="N5624" s="31"/>
      <c r="O5624" s="3" t="s">
        <v>297</v>
      </c>
    </row>
    <row r="5625" spans="1:15">
      <c r="A5625" s="3">
        <f t="shared" si="116"/>
        <v>5624</v>
      </c>
      <c r="B5625" s="65" t="s">
        <v>8198</v>
      </c>
      <c r="C5625" s="1">
        <v>6302304236</v>
      </c>
      <c r="E5625" s="17" t="s">
        <v>3954</v>
      </c>
      <c r="F5625" s="65"/>
      <c r="G5625" s="3" t="s">
        <v>16</v>
      </c>
      <c r="H5625" s="2" t="s">
        <v>4145</v>
      </c>
      <c r="I5625" s="3" t="s">
        <v>42</v>
      </c>
      <c r="J5625" s="31">
        <v>46024</v>
      </c>
      <c r="K5625" s="31">
        <v>46024</v>
      </c>
      <c r="L5625" s="31">
        <v>46024</v>
      </c>
      <c r="M5625" s="31">
        <v>46055</v>
      </c>
      <c r="N5625" s="31">
        <v>46055</v>
      </c>
      <c r="O5625" s="3" t="s">
        <v>297</v>
      </c>
    </row>
    <row r="5626" spans="1:15">
      <c r="A5626" s="3">
        <f t="shared" si="116"/>
        <v>5625</v>
      </c>
      <c r="B5626" s="65" t="s">
        <v>8199</v>
      </c>
      <c r="C5626" s="1">
        <v>9579537659</v>
      </c>
      <c r="D5626" s="1">
        <v>9977799958</v>
      </c>
      <c r="E5626" s="17" t="s">
        <v>7741</v>
      </c>
      <c r="F5626" s="65"/>
      <c r="G5626" s="3" t="s">
        <v>764</v>
      </c>
      <c r="H5626" s="2" t="s">
        <v>4145</v>
      </c>
      <c r="I5626" s="3" t="s">
        <v>42</v>
      </c>
      <c r="J5626" s="31">
        <v>46024</v>
      </c>
      <c r="K5626" s="31">
        <v>46045</v>
      </c>
      <c r="L5626" s="31"/>
      <c r="M5626" s="31"/>
      <c r="N5626" s="31"/>
      <c r="O5626" s="3" t="s">
        <v>425</v>
      </c>
    </row>
    <row r="5627" spans="1:15">
      <c r="A5627" s="3">
        <f t="shared" si="116"/>
        <v>5626</v>
      </c>
      <c r="B5627" s="65" t="s">
        <v>8200</v>
      </c>
      <c r="C5627" s="1">
        <v>9353426467</v>
      </c>
      <c r="E5627" s="17" t="s">
        <v>7741</v>
      </c>
      <c r="F5627" s="65"/>
      <c r="G5627" s="3" t="s">
        <v>16</v>
      </c>
      <c r="H5627" s="2" t="s">
        <v>4145</v>
      </c>
      <c r="I5627" s="3" t="s">
        <v>42</v>
      </c>
      <c r="J5627" s="31">
        <v>46024</v>
      </c>
      <c r="K5627" s="31">
        <v>46024</v>
      </c>
      <c r="L5627" s="31">
        <v>46024</v>
      </c>
      <c r="M5627" s="31">
        <v>46057</v>
      </c>
      <c r="N5627" s="31">
        <v>46057</v>
      </c>
      <c r="O5627" s="3" t="s">
        <v>297</v>
      </c>
    </row>
    <row r="5628" spans="1:15">
      <c r="A5628" s="3">
        <f t="shared" si="116"/>
        <v>5627</v>
      </c>
      <c r="B5628" s="65" t="s">
        <v>8201</v>
      </c>
      <c r="C5628" s="1">
        <v>8688080274</v>
      </c>
      <c r="E5628" s="17" t="s">
        <v>7741</v>
      </c>
      <c r="F5628" s="65"/>
      <c r="G5628" s="3" t="s">
        <v>295</v>
      </c>
      <c r="H5628" s="2" t="s">
        <v>4145</v>
      </c>
      <c r="I5628" s="3" t="s">
        <v>42</v>
      </c>
      <c r="J5628" s="31">
        <v>46024</v>
      </c>
      <c r="K5628" s="31">
        <v>46024</v>
      </c>
      <c r="L5628" s="31">
        <v>46024</v>
      </c>
      <c r="M5628" s="31">
        <v>46055</v>
      </c>
      <c r="N5628" s="31"/>
      <c r="O5628" s="3" t="s">
        <v>297</v>
      </c>
    </row>
    <row r="5629" spans="1:15">
      <c r="A5629" s="3">
        <f t="shared" si="116"/>
        <v>5628</v>
      </c>
      <c r="B5629" s="65" t="s">
        <v>8202</v>
      </c>
      <c r="C5629" s="1">
        <v>9032629609</v>
      </c>
      <c r="E5629" s="17" t="s">
        <v>7762</v>
      </c>
      <c r="F5629" s="65"/>
      <c r="G5629" s="3" t="s">
        <v>16</v>
      </c>
      <c r="H5629" s="2" t="s">
        <v>361</v>
      </c>
      <c r="I5629" s="3" t="s">
        <v>42</v>
      </c>
      <c r="J5629" s="31">
        <v>46024</v>
      </c>
      <c r="K5629" s="31">
        <v>46024</v>
      </c>
      <c r="L5629" s="31">
        <v>46024</v>
      </c>
      <c r="M5629" s="31">
        <v>46059</v>
      </c>
      <c r="N5629" s="31">
        <v>46066</v>
      </c>
      <c r="O5629" s="3" t="s">
        <v>297</v>
      </c>
    </row>
    <row r="5630" spans="1:15">
      <c r="A5630" s="3">
        <f t="shared" si="116"/>
        <v>5629</v>
      </c>
      <c r="B5630" s="65" t="s">
        <v>8203</v>
      </c>
      <c r="C5630" s="1">
        <v>9734191889</v>
      </c>
      <c r="E5630" s="17" t="s">
        <v>3326</v>
      </c>
      <c r="F5630" s="65" t="s">
        <v>294</v>
      </c>
      <c r="G5630" s="2" t="s">
        <v>16</v>
      </c>
      <c r="H5630" s="2" t="s">
        <v>630</v>
      </c>
      <c r="I5630" s="3" t="s">
        <v>94</v>
      </c>
      <c r="J5630" s="31">
        <v>46024</v>
      </c>
      <c r="K5630" s="31">
        <v>46027</v>
      </c>
      <c r="L5630" s="31">
        <v>46031</v>
      </c>
      <c r="M5630" s="31">
        <v>46062</v>
      </c>
      <c r="N5630" s="31">
        <v>46066</v>
      </c>
      <c r="O5630" s="3" t="s">
        <v>297</v>
      </c>
    </row>
    <row r="5631" spans="1:15">
      <c r="A5631" s="3">
        <f t="shared" si="116"/>
        <v>5630</v>
      </c>
      <c r="B5631" s="65" t="s">
        <v>8204</v>
      </c>
      <c r="C5631" s="1">
        <v>7084411339</v>
      </c>
      <c r="E5631" s="17" t="s">
        <v>7878</v>
      </c>
      <c r="F5631" s="65" t="s">
        <v>3002</v>
      </c>
      <c r="G5631" s="3" t="s">
        <v>424</v>
      </c>
      <c r="H5631" s="2" t="s">
        <v>630</v>
      </c>
      <c r="I5631" s="3" t="s">
        <v>94</v>
      </c>
      <c r="J5631" s="31">
        <v>46024</v>
      </c>
      <c r="K5631" s="31">
        <v>46028</v>
      </c>
      <c r="L5631" s="31"/>
      <c r="M5631" s="31"/>
      <c r="N5631" s="31"/>
      <c r="O5631" s="3" t="s">
        <v>425</v>
      </c>
    </row>
    <row r="5632" spans="1:15">
      <c r="A5632" s="3">
        <f t="shared" si="116"/>
        <v>5631</v>
      </c>
      <c r="B5632" s="65" t="s">
        <v>8205</v>
      </c>
      <c r="C5632" s="1">
        <v>9931327246</v>
      </c>
      <c r="E5632" s="17" t="s">
        <v>7878</v>
      </c>
      <c r="F5632" s="65" t="s">
        <v>294</v>
      </c>
      <c r="G5632" s="3" t="s">
        <v>16</v>
      </c>
      <c r="H5632" s="2" t="s">
        <v>630</v>
      </c>
      <c r="I5632" s="3" t="s">
        <v>94</v>
      </c>
      <c r="J5632" s="31">
        <v>46027</v>
      </c>
      <c r="K5632" s="31">
        <v>46034</v>
      </c>
      <c r="L5632" s="31">
        <v>46041</v>
      </c>
      <c r="M5632" s="31">
        <v>46058</v>
      </c>
      <c r="N5632" s="31">
        <v>46060</v>
      </c>
      <c r="O5632" s="3" t="s">
        <v>297</v>
      </c>
    </row>
    <row r="5633" spans="1:15">
      <c r="A5633" s="3">
        <f t="shared" si="116"/>
        <v>5632</v>
      </c>
      <c r="B5633" s="65" t="s">
        <v>5649</v>
      </c>
      <c r="C5633" s="1">
        <v>8909903306</v>
      </c>
      <c r="E5633" s="17" t="s">
        <v>7878</v>
      </c>
      <c r="F5633" s="65" t="s">
        <v>7561</v>
      </c>
      <c r="G5633" s="3" t="s">
        <v>424</v>
      </c>
      <c r="H5633" s="2" t="s">
        <v>630</v>
      </c>
      <c r="I5633" s="3" t="s">
        <v>94</v>
      </c>
      <c r="J5633" s="31">
        <v>46027</v>
      </c>
      <c r="K5633" s="31">
        <v>46034</v>
      </c>
      <c r="L5633" s="31"/>
      <c r="M5633" s="31"/>
      <c r="N5633" s="31"/>
      <c r="O5633" s="3" t="s">
        <v>425</v>
      </c>
    </row>
    <row r="5634" spans="1:15">
      <c r="A5634" s="3">
        <f t="shared" si="116"/>
        <v>5633</v>
      </c>
      <c r="B5634" s="65" t="s">
        <v>8206</v>
      </c>
      <c r="C5634" s="1">
        <v>7735281315</v>
      </c>
      <c r="E5634" s="17" t="s">
        <v>8207</v>
      </c>
      <c r="F5634" s="65" t="s">
        <v>8208</v>
      </c>
      <c r="G5634" s="3" t="s">
        <v>295</v>
      </c>
      <c r="H5634" s="2" t="s">
        <v>162</v>
      </c>
      <c r="I5634" s="3" t="s">
        <v>94</v>
      </c>
      <c r="J5634" s="31">
        <v>46027</v>
      </c>
      <c r="K5634" s="31">
        <v>46031</v>
      </c>
      <c r="L5634" s="31">
        <v>46031</v>
      </c>
      <c r="M5634" s="31">
        <v>46041</v>
      </c>
      <c r="N5634" s="31"/>
      <c r="O5634" s="3" t="s">
        <v>297</v>
      </c>
    </row>
    <row r="5635" spans="1:15">
      <c r="A5635" s="3">
        <f t="shared" si="116"/>
        <v>5634</v>
      </c>
      <c r="B5635" s="65" t="s">
        <v>8209</v>
      </c>
      <c r="C5635" s="1">
        <v>8817349140</v>
      </c>
      <c r="E5635" s="17" t="s">
        <v>8207</v>
      </c>
      <c r="F5635" s="65" t="s">
        <v>8208</v>
      </c>
      <c r="G5635" s="3" t="s">
        <v>424</v>
      </c>
      <c r="H5635" s="2" t="s">
        <v>162</v>
      </c>
      <c r="I5635" s="3" t="s">
        <v>94</v>
      </c>
      <c r="J5635" s="31">
        <v>46027</v>
      </c>
      <c r="K5635" s="31">
        <v>46031</v>
      </c>
      <c r="L5635" s="31"/>
      <c r="M5635" s="31"/>
      <c r="N5635" s="31"/>
      <c r="O5635" s="3" t="s">
        <v>425</v>
      </c>
    </row>
    <row r="5636" spans="1:15">
      <c r="A5636" s="3">
        <f t="shared" si="116"/>
        <v>5635</v>
      </c>
      <c r="B5636" s="65" t="s">
        <v>8210</v>
      </c>
      <c r="C5636" s="1">
        <v>9123403208</v>
      </c>
      <c r="E5636" s="17" t="s">
        <v>8207</v>
      </c>
      <c r="F5636" s="65" t="s">
        <v>8208</v>
      </c>
      <c r="G5636" s="3" t="s">
        <v>295</v>
      </c>
      <c r="H5636" s="2" t="s">
        <v>162</v>
      </c>
      <c r="I5636" s="3" t="s">
        <v>94</v>
      </c>
      <c r="J5636" s="31">
        <v>46027</v>
      </c>
      <c r="K5636" s="31">
        <v>46031</v>
      </c>
      <c r="L5636" s="31">
        <v>46059</v>
      </c>
      <c r="M5636" s="31">
        <v>46074</v>
      </c>
      <c r="N5636" s="31"/>
      <c r="O5636" s="3" t="s">
        <v>297</v>
      </c>
    </row>
    <row r="5637" spans="1:15">
      <c r="A5637" s="3">
        <f t="shared" si="116"/>
        <v>5636</v>
      </c>
      <c r="B5637" s="65" t="s">
        <v>8211</v>
      </c>
      <c r="C5637" s="1">
        <v>8756316262</v>
      </c>
      <c r="E5637" s="17" t="s">
        <v>8207</v>
      </c>
      <c r="F5637" s="65" t="s">
        <v>8208</v>
      </c>
      <c r="G5637" s="3" t="s">
        <v>16</v>
      </c>
      <c r="H5637" s="2" t="s">
        <v>162</v>
      </c>
      <c r="I5637" s="3" t="s">
        <v>94</v>
      </c>
      <c r="J5637" s="31">
        <v>46027</v>
      </c>
      <c r="K5637" s="31">
        <v>46031</v>
      </c>
      <c r="L5637" s="31">
        <v>46059</v>
      </c>
      <c r="M5637" s="31">
        <v>46074</v>
      </c>
      <c r="N5637" s="31">
        <v>46076</v>
      </c>
      <c r="O5637" s="3" t="s">
        <v>297</v>
      </c>
    </row>
    <row r="5638" spans="1:15">
      <c r="A5638" s="3">
        <f t="shared" si="116"/>
        <v>5637</v>
      </c>
      <c r="B5638" s="65" t="s">
        <v>8212</v>
      </c>
      <c r="C5638" s="1">
        <v>9679411949</v>
      </c>
      <c r="E5638" s="17" t="s">
        <v>8213</v>
      </c>
      <c r="F5638" s="65" t="s">
        <v>638</v>
      </c>
      <c r="G5638" s="3" t="s">
        <v>295</v>
      </c>
      <c r="H5638" s="2" t="s">
        <v>8214</v>
      </c>
      <c r="I5638" s="3" t="s">
        <v>42</v>
      </c>
      <c r="J5638" s="31">
        <v>46024</v>
      </c>
      <c r="K5638" s="31">
        <v>46024</v>
      </c>
      <c r="L5638" s="31">
        <v>46030</v>
      </c>
      <c r="M5638" s="31">
        <v>46069</v>
      </c>
      <c r="N5638" s="31"/>
      <c r="O5638" s="3" t="s">
        <v>297</v>
      </c>
    </row>
    <row r="5639" spans="1:15">
      <c r="A5639" s="3">
        <f t="shared" si="116"/>
        <v>5638</v>
      </c>
      <c r="B5639" s="65" t="s">
        <v>8215</v>
      </c>
      <c r="C5639" s="1">
        <v>8637318269</v>
      </c>
      <c r="E5639" s="17" t="s">
        <v>8213</v>
      </c>
      <c r="F5639" s="65" t="s">
        <v>294</v>
      </c>
      <c r="G5639" s="3" t="s">
        <v>295</v>
      </c>
      <c r="H5639" s="2" t="s">
        <v>8214</v>
      </c>
      <c r="I5639" s="3" t="s">
        <v>42</v>
      </c>
      <c r="J5639" s="31">
        <v>46024</v>
      </c>
      <c r="K5639" s="31">
        <v>46024</v>
      </c>
      <c r="L5639" s="31">
        <v>46028</v>
      </c>
      <c r="M5639" s="31">
        <v>46073</v>
      </c>
      <c r="N5639" s="31"/>
      <c r="O5639" s="3" t="s">
        <v>297</v>
      </c>
    </row>
    <row r="5640" spans="1:15">
      <c r="A5640" s="3">
        <f t="shared" si="116"/>
        <v>5639</v>
      </c>
      <c r="B5640" s="65" t="s">
        <v>8216</v>
      </c>
      <c r="C5640" s="1">
        <v>7974085560</v>
      </c>
      <c r="D5640" s="1">
        <v>7887891183</v>
      </c>
      <c r="E5640" s="17" t="s">
        <v>7805</v>
      </c>
      <c r="F5640" s="65" t="s">
        <v>2196</v>
      </c>
      <c r="G5640" s="3" t="s">
        <v>424</v>
      </c>
      <c r="H5640" s="2" t="s">
        <v>8214</v>
      </c>
      <c r="I5640" s="3" t="s">
        <v>42</v>
      </c>
      <c r="J5640" s="31">
        <v>46024</v>
      </c>
      <c r="K5640" s="31">
        <v>46024</v>
      </c>
      <c r="L5640" s="31"/>
      <c r="M5640" s="31"/>
      <c r="N5640" s="31"/>
      <c r="O5640" s="3" t="s">
        <v>425</v>
      </c>
    </row>
    <row r="5641" spans="1:15">
      <c r="A5641" s="3">
        <f t="shared" si="116"/>
        <v>5640</v>
      </c>
      <c r="B5641" s="65" t="s">
        <v>8217</v>
      </c>
      <c r="C5641" s="1">
        <v>6301643329</v>
      </c>
      <c r="E5641" s="17" t="s">
        <v>7805</v>
      </c>
      <c r="F5641" s="65" t="s">
        <v>8218</v>
      </c>
      <c r="G5641" s="3" t="s">
        <v>16</v>
      </c>
      <c r="H5641" s="2" t="s">
        <v>8214</v>
      </c>
      <c r="I5641" s="3" t="s">
        <v>42</v>
      </c>
      <c r="J5641" s="31">
        <v>46024</v>
      </c>
      <c r="K5641" s="31">
        <v>46024</v>
      </c>
      <c r="L5641" s="31">
        <v>46024</v>
      </c>
      <c r="M5641" s="31">
        <v>46044</v>
      </c>
      <c r="N5641" s="31">
        <v>46042</v>
      </c>
      <c r="O5641" s="3" t="s">
        <v>297</v>
      </c>
    </row>
    <row r="5642" spans="1:15">
      <c r="A5642" s="3">
        <f t="shared" si="116"/>
        <v>5641</v>
      </c>
      <c r="B5642" s="65" t="s">
        <v>8219</v>
      </c>
      <c r="C5642" s="1">
        <v>9347298291</v>
      </c>
      <c r="E5642" s="17" t="s">
        <v>7595</v>
      </c>
      <c r="F5642" s="65" t="s">
        <v>7795</v>
      </c>
      <c r="G5642" s="3" t="s">
        <v>416</v>
      </c>
      <c r="H5642" s="2" t="s">
        <v>3240</v>
      </c>
      <c r="I5642" s="3" t="s">
        <v>42</v>
      </c>
      <c r="J5642" s="31">
        <v>46027</v>
      </c>
      <c r="K5642" s="31">
        <v>46034</v>
      </c>
      <c r="L5642" s="31"/>
      <c r="M5642" s="31"/>
      <c r="N5642" s="31"/>
      <c r="O5642" s="3" t="s">
        <v>297</v>
      </c>
    </row>
    <row r="5643" spans="1:15">
      <c r="A5643" s="3">
        <f t="shared" si="116"/>
        <v>5642</v>
      </c>
      <c r="B5643" s="65" t="s">
        <v>8220</v>
      </c>
      <c r="C5643" s="1">
        <v>7999628894</v>
      </c>
      <c r="E5643" s="17" t="s">
        <v>8221</v>
      </c>
      <c r="F5643" s="65" t="s">
        <v>8222</v>
      </c>
      <c r="G5643" s="3" t="s">
        <v>416</v>
      </c>
      <c r="H5643" s="2" t="s">
        <v>162</v>
      </c>
      <c r="I5643" s="3" t="s">
        <v>42</v>
      </c>
      <c r="J5643" s="31">
        <v>46027</v>
      </c>
      <c r="K5643" s="31">
        <v>46044</v>
      </c>
      <c r="L5643" s="31"/>
      <c r="M5643" s="31"/>
      <c r="N5643" s="31"/>
      <c r="O5643" s="3" t="s">
        <v>297</v>
      </c>
    </row>
    <row r="5644" spans="1:15">
      <c r="A5644" s="3">
        <f t="shared" si="116"/>
        <v>5643</v>
      </c>
      <c r="B5644" s="65" t="s">
        <v>8223</v>
      </c>
      <c r="C5644" s="1">
        <v>7036996319</v>
      </c>
      <c r="E5644" s="17" t="s">
        <v>8221</v>
      </c>
      <c r="F5644" s="65" t="s">
        <v>8222</v>
      </c>
      <c r="G5644" s="3" t="s">
        <v>424</v>
      </c>
      <c r="H5644" s="2" t="s">
        <v>162</v>
      </c>
      <c r="I5644" s="3" t="s">
        <v>42</v>
      </c>
      <c r="J5644" s="31">
        <v>46027</v>
      </c>
      <c r="K5644" s="31">
        <v>46044</v>
      </c>
      <c r="L5644" s="31"/>
      <c r="M5644" s="31"/>
      <c r="N5644" s="31"/>
      <c r="O5644" s="3" t="s">
        <v>425</v>
      </c>
    </row>
    <row r="5645" spans="1:15">
      <c r="A5645" s="3">
        <f t="shared" si="116"/>
        <v>5644</v>
      </c>
      <c r="B5645" s="65" t="s">
        <v>8224</v>
      </c>
      <c r="C5645" s="1">
        <v>8455087371</v>
      </c>
      <c r="E5645" s="17" t="s">
        <v>8221</v>
      </c>
      <c r="F5645" s="65" t="s">
        <v>8222</v>
      </c>
      <c r="G5645" s="3" t="s">
        <v>424</v>
      </c>
      <c r="H5645" s="2" t="s">
        <v>162</v>
      </c>
      <c r="I5645" s="3" t="s">
        <v>42</v>
      </c>
      <c r="J5645" s="31">
        <v>46027</v>
      </c>
      <c r="K5645" s="31">
        <v>46044</v>
      </c>
      <c r="L5645" s="31"/>
      <c r="M5645" s="31"/>
      <c r="N5645" s="31"/>
      <c r="O5645" s="3" t="s">
        <v>425</v>
      </c>
    </row>
    <row r="5646" spans="1:15">
      <c r="A5646" s="3">
        <f t="shared" si="116"/>
        <v>5645</v>
      </c>
      <c r="B5646" s="65" t="s">
        <v>8225</v>
      </c>
      <c r="C5646" s="1">
        <v>9391563692</v>
      </c>
      <c r="E5646" s="17" t="s">
        <v>8226</v>
      </c>
      <c r="F5646" s="65" t="s">
        <v>8227</v>
      </c>
      <c r="G5646" s="3" t="s">
        <v>18</v>
      </c>
      <c r="H5646" s="2" t="s">
        <v>162</v>
      </c>
      <c r="I5646" s="3" t="s">
        <v>42</v>
      </c>
      <c r="J5646" s="31">
        <v>46027</v>
      </c>
      <c r="K5646" s="31">
        <v>46028</v>
      </c>
      <c r="L5646" s="31"/>
      <c r="M5646" s="31"/>
      <c r="N5646" s="31"/>
      <c r="O5646" s="3" t="s">
        <v>297</v>
      </c>
    </row>
    <row r="5647" spans="1:15">
      <c r="A5647" s="3">
        <f t="shared" si="116"/>
        <v>5646</v>
      </c>
      <c r="B5647" s="65" t="s">
        <v>8228</v>
      </c>
      <c r="C5647" s="1">
        <v>8074974338</v>
      </c>
      <c r="E5647" s="17" t="s">
        <v>8226</v>
      </c>
      <c r="F5647" s="65" t="s">
        <v>8229</v>
      </c>
      <c r="G5647" s="3" t="s">
        <v>16</v>
      </c>
      <c r="H5647" s="2" t="s">
        <v>162</v>
      </c>
      <c r="I5647" s="3" t="s">
        <v>42</v>
      </c>
      <c r="J5647" s="31">
        <v>46027</v>
      </c>
      <c r="K5647" s="31">
        <v>46028</v>
      </c>
      <c r="L5647" s="31">
        <v>46030</v>
      </c>
      <c r="M5647" s="31">
        <v>46041</v>
      </c>
      <c r="N5647" s="31">
        <v>46042</v>
      </c>
      <c r="O5647" s="3" t="s">
        <v>297</v>
      </c>
    </row>
    <row r="5648" spans="1:15">
      <c r="A5648" s="3">
        <f t="shared" si="116"/>
        <v>5647</v>
      </c>
      <c r="B5648" s="65" t="s">
        <v>8230</v>
      </c>
      <c r="C5648" s="1">
        <v>8247374752</v>
      </c>
      <c r="E5648" s="17" t="s">
        <v>8226</v>
      </c>
      <c r="F5648" s="65" t="s">
        <v>2482</v>
      </c>
      <c r="G5648" s="3" t="s">
        <v>16</v>
      </c>
      <c r="H5648" s="2" t="s">
        <v>162</v>
      </c>
      <c r="I5648" s="3" t="s">
        <v>42</v>
      </c>
      <c r="J5648" s="31">
        <v>46027</v>
      </c>
      <c r="K5648" s="31">
        <v>46028</v>
      </c>
      <c r="L5648" s="31">
        <v>46028</v>
      </c>
      <c r="M5648" s="31">
        <v>46041</v>
      </c>
      <c r="N5648" s="31">
        <v>46041</v>
      </c>
      <c r="O5648" s="3" t="s">
        <v>297</v>
      </c>
    </row>
    <row r="5649" spans="1:15">
      <c r="A5649" s="3">
        <f t="shared" si="116"/>
        <v>5648</v>
      </c>
      <c r="B5649" s="65" t="s">
        <v>8231</v>
      </c>
      <c r="C5649" s="1">
        <v>8179464408</v>
      </c>
      <c r="E5649" s="17" t="s">
        <v>8226</v>
      </c>
      <c r="F5649" s="65" t="s">
        <v>4503</v>
      </c>
      <c r="G5649" s="3" t="s">
        <v>295</v>
      </c>
      <c r="H5649" s="2" t="s">
        <v>162</v>
      </c>
      <c r="I5649" s="3" t="s">
        <v>42</v>
      </c>
      <c r="J5649" s="31">
        <v>46027</v>
      </c>
      <c r="K5649" s="31">
        <v>46028</v>
      </c>
      <c r="L5649" s="31">
        <v>46073</v>
      </c>
      <c r="M5649" s="31">
        <v>46088</v>
      </c>
      <c r="N5649" s="31"/>
      <c r="O5649" s="3" t="s">
        <v>297</v>
      </c>
    </row>
    <row r="5650" spans="1:15">
      <c r="A5650" s="3">
        <f t="shared" si="116"/>
        <v>5649</v>
      </c>
      <c r="B5650" s="65" t="s">
        <v>8232</v>
      </c>
      <c r="C5650" s="1">
        <v>9912832514</v>
      </c>
      <c r="E5650" s="3" t="s">
        <v>8233</v>
      </c>
      <c r="F5650" s="65" t="s">
        <v>8227</v>
      </c>
      <c r="G5650" s="3" t="s">
        <v>295</v>
      </c>
      <c r="H5650" s="2" t="s">
        <v>162</v>
      </c>
      <c r="I5650" s="3" t="s">
        <v>42</v>
      </c>
      <c r="J5650" s="31">
        <v>46027</v>
      </c>
      <c r="K5650" s="31">
        <v>46028</v>
      </c>
      <c r="L5650" s="31">
        <v>46028</v>
      </c>
      <c r="M5650" s="31">
        <v>46041</v>
      </c>
      <c r="N5650" s="31"/>
      <c r="O5650" s="3" t="s">
        <v>297</v>
      </c>
    </row>
    <row r="5651" spans="1:15">
      <c r="A5651" s="3">
        <f t="shared" si="116"/>
        <v>5650</v>
      </c>
      <c r="B5651" s="65" t="s">
        <v>8234</v>
      </c>
      <c r="C5651" s="1">
        <v>9392863185</v>
      </c>
      <c r="E5651" s="17" t="s">
        <v>8226</v>
      </c>
      <c r="F5651" s="65" t="s">
        <v>8227</v>
      </c>
      <c r="G5651" s="3" t="s">
        <v>16</v>
      </c>
      <c r="H5651" s="2" t="s">
        <v>162</v>
      </c>
      <c r="I5651" s="3" t="s">
        <v>42</v>
      </c>
      <c r="J5651" s="31">
        <v>46027</v>
      </c>
      <c r="K5651" s="31">
        <v>46028</v>
      </c>
      <c r="L5651" s="31">
        <v>46030</v>
      </c>
      <c r="M5651" s="31">
        <v>46042</v>
      </c>
      <c r="N5651" s="31">
        <v>46042</v>
      </c>
      <c r="O5651" s="3" t="s">
        <v>297</v>
      </c>
    </row>
    <row r="5652" spans="1:15">
      <c r="A5652" s="3">
        <f t="shared" si="116"/>
        <v>5651</v>
      </c>
      <c r="B5652" s="65" t="s">
        <v>8235</v>
      </c>
      <c r="C5652" s="1">
        <v>8919147418</v>
      </c>
      <c r="E5652" s="17" t="s">
        <v>8226</v>
      </c>
      <c r="F5652" s="65" t="s">
        <v>8227</v>
      </c>
      <c r="G5652" s="3" t="s">
        <v>16</v>
      </c>
      <c r="H5652" s="2" t="s">
        <v>162</v>
      </c>
      <c r="I5652" s="3" t="s">
        <v>42</v>
      </c>
      <c r="J5652" s="31">
        <v>46027</v>
      </c>
      <c r="K5652" s="31">
        <v>46028</v>
      </c>
      <c r="L5652" s="31">
        <v>46045</v>
      </c>
      <c r="M5652" s="31">
        <v>46055</v>
      </c>
      <c r="N5652" s="31">
        <v>46055</v>
      </c>
      <c r="O5652" s="3" t="s">
        <v>297</v>
      </c>
    </row>
    <row r="5653" spans="1:15">
      <c r="A5653" s="3">
        <f t="shared" si="116"/>
        <v>5652</v>
      </c>
      <c r="B5653" s="65" t="s">
        <v>8236</v>
      </c>
      <c r="C5653" s="1">
        <v>8121498558</v>
      </c>
      <c r="E5653" s="17" t="s">
        <v>7114</v>
      </c>
      <c r="F5653" s="65" t="s">
        <v>8237</v>
      </c>
      <c r="G5653" s="3" t="s">
        <v>416</v>
      </c>
      <c r="H5653" s="2" t="s">
        <v>6158</v>
      </c>
      <c r="I5653" s="3" t="s">
        <v>42</v>
      </c>
      <c r="J5653" s="31">
        <v>46028</v>
      </c>
      <c r="K5653" s="31">
        <v>46034</v>
      </c>
      <c r="L5653" s="31"/>
      <c r="M5653" s="31"/>
      <c r="N5653" s="31"/>
      <c r="O5653" s="3" t="s">
        <v>297</v>
      </c>
    </row>
    <row r="5654" spans="1:15">
      <c r="A5654" s="3">
        <f t="shared" si="116"/>
        <v>5653</v>
      </c>
      <c r="B5654" s="65" t="s">
        <v>8238</v>
      </c>
      <c r="C5654" s="1">
        <v>7993350234</v>
      </c>
      <c r="E5654" s="17" t="s">
        <v>8221</v>
      </c>
      <c r="F5654" s="65" t="s">
        <v>2482</v>
      </c>
      <c r="G5654" s="3" t="s">
        <v>424</v>
      </c>
      <c r="H5654" s="2" t="s">
        <v>162</v>
      </c>
      <c r="I5654" s="3" t="s">
        <v>42</v>
      </c>
      <c r="J5654" s="31">
        <v>46025</v>
      </c>
      <c r="K5654" s="31">
        <v>46028</v>
      </c>
      <c r="L5654" s="31"/>
      <c r="M5654" s="31"/>
      <c r="N5654" s="31"/>
      <c r="O5654" s="3" t="s">
        <v>749</v>
      </c>
    </row>
    <row r="5655" spans="1:15">
      <c r="A5655" s="3">
        <f t="shared" si="116"/>
        <v>5654</v>
      </c>
      <c r="B5655" s="65" t="s">
        <v>8239</v>
      </c>
      <c r="C5655" s="1">
        <v>9951370264</v>
      </c>
      <c r="E5655" s="17" t="s">
        <v>8240</v>
      </c>
      <c r="F5655" s="65" t="s">
        <v>2482</v>
      </c>
      <c r="G5655" s="3" t="s">
        <v>424</v>
      </c>
      <c r="H5655" s="2" t="s">
        <v>162</v>
      </c>
      <c r="I5655" s="3" t="s">
        <v>42</v>
      </c>
      <c r="J5655" s="31">
        <v>46025</v>
      </c>
      <c r="K5655" s="31">
        <v>46028</v>
      </c>
      <c r="L5655" s="31"/>
      <c r="M5655" s="31"/>
      <c r="N5655" s="31"/>
      <c r="O5655" s="3" t="s">
        <v>425</v>
      </c>
    </row>
    <row r="5656" spans="1:15">
      <c r="A5656" s="3">
        <f t="shared" si="116"/>
        <v>5655</v>
      </c>
      <c r="B5656" s="65" t="s">
        <v>2226</v>
      </c>
      <c r="C5656" s="1">
        <v>9938390074</v>
      </c>
      <c r="E5656" s="17" t="s">
        <v>8221</v>
      </c>
      <c r="F5656" s="65" t="s">
        <v>8241</v>
      </c>
      <c r="G5656" s="3" t="s">
        <v>16</v>
      </c>
      <c r="H5656" s="2" t="s">
        <v>162</v>
      </c>
      <c r="I5656" s="3" t="s">
        <v>42</v>
      </c>
      <c r="J5656" s="31">
        <v>46025</v>
      </c>
      <c r="K5656" s="31">
        <v>46028</v>
      </c>
      <c r="L5656" s="31">
        <v>46028</v>
      </c>
      <c r="M5656" s="31">
        <v>46055</v>
      </c>
      <c r="N5656" s="31">
        <v>46054</v>
      </c>
      <c r="O5656" s="3" t="s">
        <v>297</v>
      </c>
    </row>
    <row r="5657" spans="1:15">
      <c r="A5657" s="3">
        <f t="shared" si="116"/>
        <v>5656</v>
      </c>
      <c r="B5657" s="65" t="s">
        <v>8242</v>
      </c>
      <c r="C5657" s="1">
        <v>9398821440</v>
      </c>
      <c r="E5657" s="17" t="s">
        <v>8240</v>
      </c>
      <c r="F5657" s="65" t="s">
        <v>4546</v>
      </c>
      <c r="G5657" s="3" t="s">
        <v>764</v>
      </c>
      <c r="H5657" s="2" t="s">
        <v>162</v>
      </c>
      <c r="I5657" s="3" t="s">
        <v>42</v>
      </c>
      <c r="J5657" s="31">
        <v>46025</v>
      </c>
      <c r="K5657" s="31">
        <v>46028</v>
      </c>
      <c r="L5657" s="31"/>
      <c r="M5657" s="31"/>
      <c r="N5657" s="31"/>
      <c r="O5657" s="3" t="s">
        <v>425</v>
      </c>
    </row>
    <row r="5658" spans="1:15">
      <c r="A5658" s="3">
        <f t="shared" si="116"/>
        <v>5657</v>
      </c>
      <c r="B5658" s="65" t="s">
        <v>8243</v>
      </c>
      <c r="C5658" s="1">
        <v>9700170560</v>
      </c>
      <c r="E5658" s="17" t="s">
        <v>8244</v>
      </c>
      <c r="F5658" s="65" t="s">
        <v>5892</v>
      </c>
      <c r="G5658" s="3" t="s">
        <v>295</v>
      </c>
      <c r="H5658" s="2" t="s">
        <v>3240</v>
      </c>
      <c r="I5658" s="3" t="s">
        <v>42</v>
      </c>
      <c r="J5658" s="31">
        <v>46029</v>
      </c>
      <c r="K5658" s="31">
        <v>46055</v>
      </c>
      <c r="L5658" s="31">
        <v>46055</v>
      </c>
      <c r="M5658" s="31">
        <v>46090</v>
      </c>
      <c r="N5658" s="31"/>
      <c r="O5658" s="3" t="s">
        <v>297</v>
      </c>
    </row>
    <row r="5659" spans="1:15">
      <c r="A5659" s="3">
        <f>ROW()-1</f>
        <v>5658</v>
      </c>
      <c r="B5659" s="65" t="s">
        <v>8245</v>
      </c>
      <c r="C5659" s="1">
        <v>9749384924</v>
      </c>
      <c r="E5659" s="17" t="s">
        <v>8246</v>
      </c>
      <c r="F5659" s="65" t="s">
        <v>294</v>
      </c>
      <c r="G5659" s="3" t="s">
        <v>295</v>
      </c>
      <c r="H5659" s="2" t="s">
        <v>6158</v>
      </c>
      <c r="I5659" s="3" t="s">
        <v>42</v>
      </c>
      <c r="J5659" s="31">
        <v>46029</v>
      </c>
      <c r="K5659" s="31">
        <v>46031</v>
      </c>
      <c r="L5659" s="31">
        <v>46031</v>
      </c>
      <c r="M5659" s="31">
        <v>46055</v>
      </c>
      <c r="N5659" s="31"/>
      <c r="O5659" s="3" t="s">
        <v>297</v>
      </c>
    </row>
    <row r="5660" spans="1:15">
      <c r="A5660" s="3">
        <f>ROW()-1</f>
        <v>5659</v>
      </c>
      <c r="B5660" s="65" t="s">
        <v>8247</v>
      </c>
      <c r="C5660" s="1">
        <v>8972847525</v>
      </c>
      <c r="E5660" s="17" t="s">
        <v>8246</v>
      </c>
      <c r="F5660" s="65" t="s">
        <v>294</v>
      </c>
      <c r="G5660" s="3" t="s">
        <v>16</v>
      </c>
      <c r="H5660" s="2" t="s">
        <v>6158</v>
      </c>
      <c r="I5660" s="3" t="s">
        <v>42</v>
      </c>
      <c r="J5660" s="31">
        <v>46029</v>
      </c>
      <c r="K5660" s="31">
        <v>46030</v>
      </c>
      <c r="L5660" s="31">
        <v>46030</v>
      </c>
      <c r="M5660" s="31">
        <v>46050</v>
      </c>
      <c r="N5660" s="31">
        <v>46050</v>
      </c>
      <c r="O5660" s="3" t="s">
        <v>297</v>
      </c>
    </row>
    <row r="5661" spans="1:15">
      <c r="A5661" s="3">
        <f>ROW()-1</f>
        <v>5660</v>
      </c>
      <c r="B5661" s="65" t="s">
        <v>8248</v>
      </c>
      <c r="C5661" s="1">
        <v>8420837656</v>
      </c>
      <c r="E5661" s="17" t="s">
        <v>8246</v>
      </c>
      <c r="F5661" s="65" t="s">
        <v>294</v>
      </c>
      <c r="G5661" s="3" t="s">
        <v>764</v>
      </c>
      <c r="H5661" s="2" t="s">
        <v>6158</v>
      </c>
      <c r="I5661" s="3" t="s">
        <v>42</v>
      </c>
      <c r="J5661" s="31">
        <v>46029</v>
      </c>
      <c r="K5661" s="31">
        <v>46038</v>
      </c>
      <c r="L5661" s="31"/>
      <c r="M5661" s="31"/>
      <c r="N5661" s="31"/>
      <c r="O5661" s="3" t="s">
        <v>425</v>
      </c>
    </row>
    <row r="5662" spans="1:15">
      <c r="A5662" s="3">
        <f t="shared" ref="A5662:A5672" si="117">ROW()-1</f>
        <v>5661</v>
      </c>
      <c r="B5662" s="65" t="s">
        <v>8249</v>
      </c>
      <c r="C5662" s="1">
        <v>6260891771</v>
      </c>
      <c r="E5662" s="17" t="s">
        <v>8250</v>
      </c>
      <c r="F5662" s="65" t="s">
        <v>8251</v>
      </c>
      <c r="G5662" s="3" t="s">
        <v>416</v>
      </c>
      <c r="H5662" s="2" t="s">
        <v>296</v>
      </c>
      <c r="I5662" s="3" t="s">
        <v>94</v>
      </c>
      <c r="J5662" s="31">
        <v>46030</v>
      </c>
      <c r="K5662" s="31">
        <v>46064</v>
      </c>
      <c r="L5662" s="31"/>
      <c r="M5662" s="31"/>
      <c r="N5662" s="31"/>
      <c r="O5662" s="2" t="s">
        <v>297</v>
      </c>
    </row>
    <row r="5663" spans="1:15">
      <c r="A5663" s="3">
        <f t="shared" si="117"/>
        <v>5662</v>
      </c>
      <c r="B5663" s="65" t="s">
        <v>8252</v>
      </c>
      <c r="C5663" s="1">
        <v>9614638538</v>
      </c>
      <c r="E5663" s="17" t="s">
        <v>8250</v>
      </c>
      <c r="F5663" s="65" t="s">
        <v>6246</v>
      </c>
      <c r="G5663" s="3" t="s">
        <v>424</v>
      </c>
      <c r="H5663" s="2" t="s">
        <v>296</v>
      </c>
      <c r="I5663" s="3" t="s">
        <v>94</v>
      </c>
      <c r="J5663" s="31">
        <v>46030</v>
      </c>
      <c r="K5663" s="31">
        <v>46061</v>
      </c>
      <c r="L5663" s="31"/>
      <c r="M5663" s="31"/>
      <c r="N5663" s="31"/>
      <c r="O5663" s="3" t="s">
        <v>425</v>
      </c>
    </row>
    <row r="5664" spans="1:15">
      <c r="A5664" s="3">
        <f t="shared" si="117"/>
        <v>5663</v>
      </c>
      <c r="B5664" s="65" t="s">
        <v>2522</v>
      </c>
      <c r="C5664" s="1">
        <v>9963722727</v>
      </c>
      <c r="E5664" s="17" t="s">
        <v>7247</v>
      </c>
      <c r="F5664" s="65" t="s">
        <v>569</v>
      </c>
      <c r="G5664" s="3" t="s">
        <v>16</v>
      </c>
      <c r="H5664" s="2" t="s">
        <v>999</v>
      </c>
      <c r="I5664" s="3" t="s">
        <v>88</v>
      </c>
      <c r="J5664" s="31">
        <v>46030</v>
      </c>
      <c r="K5664" s="31">
        <v>46031</v>
      </c>
      <c r="L5664" s="31">
        <v>46031</v>
      </c>
      <c r="M5664" s="31">
        <v>46069</v>
      </c>
      <c r="N5664" s="31">
        <v>46069</v>
      </c>
      <c r="O5664" s="3" t="s">
        <v>297</v>
      </c>
    </row>
    <row r="5665" spans="1:15">
      <c r="A5665" s="3">
        <f t="shared" si="117"/>
        <v>5664</v>
      </c>
      <c r="B5665" s="65" t="s">
        <v>8253</v>
      </c>
      <c r="C5665" s="1">
        <v>9494591743</v>
      </c>
      <c r="E5665" s="17" t="s">
        <v>7247</v>
      </c>
      <c r="F5665" s="65" t="s">
        <v>569</v>
      </c>
      <c r="G5665" s="3" t="s">
        <v>16</v>
      </c>
      <c r="H5665" s="2" t="s">
        <v>999</v>
      </c>
      <c r="I5665" s="3" t="s">
        <v>88</v>
      </c>
      <c r="J5665" s="31">
        <v>46030</v>
      </c>
      <c r="K5665" s="31">
        <v>46031</v>
      </c>
      <c r="L5665" s="31">
        <v>46031</v>
      </c>
      <c r="M5665" s="31">
        <v>46113</v>
      </c>
      <c r="N5665" s="31">
        <v>46113</v>
      </c>
      <c r="O5665" s="3" t="s">
        <v>297</v>
      </c>
    </row>
    <row r="5666" spans="1:15">
      <c r="A5666" s="3">
        <f t="shared" si="117"/>
        <v>5665</v>
      </c>
      <c r="B5666" s="65" t="s">
        <v>8254</v>
      </c>
      <c r="C5666" s="1">
        <v>9492661797</v>
      </c>
      <c r="E5666" s="17" t="s">
        <v>7554</v>
      </c>
      <c r="F5666" s="65" t="s">
        <v>308</v>
      </c>
      <c r="G5666" s="2" t="s">
        <v>16</v>
      </c>
      <c r="H5666" s="2" t="s">
        <v>999</v>
      </c>
      <c r="I5666" s="3" t="s">
        <v>88</v>
      </c>
      <c r="J5666" s="31">
        <v>46030</v>
      </c>
      <c r="K5666" s="31">
        <v>46031</v>
      </c>
      <c r="L5666" s="31">
        <v>46031</v>
      </c>
      <c r="M5666" s="31">
        <v>46062</v>
      </c>
      <c r="N5666" s="31">
        <v>46065</v>
      </c>
      <c r="O5666" s="3" t="s">
        <v>297</v>
      </c>
    </row>
    <row r="5667" spans="1:15">
      <c r="A5667" s="3">
        <f t="shared" si="117"/>
        <v>5666</v>
      </c>
      <c r="B5667" s="65" t="s">
        <v>8255</v>
      </c>
      <c r="C5667" s="1">
        <v>9550232130</v>
      </c>
      <c r="E5667" s="17" t="s">
        <v>7076</v>
      </c>
      <c r="F5667" s="65" t="s">
        <v>308</v>
      </c>
      <c r="G5667" s="3" t="s">
        <v>16</v>
      </c>
      <c r="H5667" s="2" t="s">
        <v>999</v>
      </c>
      <c r="I5667" s="3" t="s">
        <v>88</v>
      </c>
      <c r="J5667" s="31">
        <v>46030</v>
      </c>
      <c r="K5667" s="31">
        <v>46031</v>
      </c>
      <c r="L5667" s="31">
        <v>46031</v>
      </c>
      <c r="M5667" s="31">
        <v>46069</v>
      </c>
      <c r="N5667" s="31">
        <v>46069</v>
      </c>
      <c r="O5667" s="3" t="s">
        <v>297</v>
      </c>
    </row>
    <row r="5668" spans="1:15">
      <c r="A5668" s="3">
        <f t="shared" si="117"/>
        <v>5667</v>
      </c>
      <c r="B5668" s="65" t="s">
        <v>8256</v>
      </c>
      <c r="C5668" s="1">
        <v>9542865514</v>
      </c>
      <c r="E5668" s="17" t="s">
        <v>7076</v>
      </c>
      <c r="F5668" s="65" t="s">
        <v>308</v>
      </c>
      <c r="G5668" s="3" t="s">
        <v>16</v>
      </c>
      <c r="H5668" s="2" t="s">
        <v>999</v>
      </c>
      <c r="I5668" s="3" t="s">
        <v>88</v>
      </c>
      <c r="J5668" s="31">
        <v>46030</v>
      </c>
      <c r="K5668" s="31">
        <v>46031</v>
      </c>
      <c r="L5668" s="31">
        <v>46031</v>
      </c>
      <c r="M5668" s="31">
        <v>46073</v>
      </c>
      <c r="N5668" s="31">
        <v>46073</v>
      </c>
      <c r="O5668" s="3" t="s">
        <v>297</v>
      </c>
    </row>
    <row r="5669" spans="1:15">
      <c r="A5669" s="3">
        <f t="shared" si="117"/>
        <v>5668</v>
      </c>
      <c r="B5669" s="65" t="s">
        <v>8257</v>
      </c>
      <c r="C5669" s="1">
        <v>8639120047</v>
      </c>
      <c r="E5669" s="17" t="s">
        <v>8258</v>
      </c>
      <c r="F5669" s="65" t="s">
        <v>329</v>
      </c>
      <c r="G5669" s="3" t="s">
        <v>424</v>
      </c>
      <c r="H5669" s="2" t="s">
        <v>999</v>
      </c>
      <c r="I5669" s="3" t="s">
        <v>88</v>
      </c>
      <c r="J5669" s="31">
        <v>46030</v>
      </c>
      <c r="K5669" s="31">
        <v>46062</v>
      </c>
      <c r="L5669" s="31"/>
      <c r="M5669" s="31"/>
      <c r="N5669" s="31"/>
      <c r="O5669" s="3" t="s">
        <v>425</v>
      </c>
    </row>
    <row r="5670" spans="1:15">
      <c r="A5670" s="3">
        <f t="shared" si="117"/>
        <v>5669</v>
      </c>
      <c r="B5670" s="65" t="s">
        <v>8259</v>
      </c>
      <c r="C5670" s="1">
        <v>9398145477</v>
      </c>
      <c r="E5670" s="17" t="s">
        <v>8260</v>
      </c>
      <c r="F5670" s="65" t="s">
        <v>569</v>
      </c>
      <c r="G5670" s="3" t="s">
        <v>7030</v>
      </c>
      <c r="H5670" s="2" t="s">
        <v>999</v>
      </c>
      <c r="I5670" s="3" t="s">
        <v>88</v>
      </c>
      <c r="J5670" s="31">
        <v>46030</v>
      </c>
      <c r="K5670" s="31"/>
      <c r="L5670" s="31"/>
      <c r="M5670" s="31"/>
      <c r="N5670" s="31"/>
      <c r="O5670" s="3" t="s">
        <v>1004</v>
      </c>
    </row>
    <row r="5671" spans="1:15">
      <c r="A5671" s="3">
        <f t="shared" si="117"/>
        <v>5670</v>
      </c>
      <c r="B5671" s="65" t="s">
        <v>8261</v>
      </c>
      <c r="C5671" s="1">
        <v>8639296484</v>
      </c>
      <c r="E5671" s="17" t="s">
        <v>8258</v>
      </c>
      <c r="F5671" s="65" t="s">
        <v>308</v>
      </c>
      <c r="G5671" s="3" t="s">
        <v>7030</v>
      </c>
      <c r="H5671" s="2" t="s">
        <v>999</v>
      </c>
      <c r="I5671" s="3" t="s">
        <v>88</v>
      </c>
      <c r="J5671" s="31">
        <v>46030</v>
      </c>
      <c r="K5671" s="31"/>
      <c r="L5671" s="31"/>
      <c r="M5671" s="31"/>
      <c r="N5671" s="31"/>
      <c r="O5671" s="3" t="s">
        <v>1004</v>
      </c>
    </row>
    <row r="5672" spans="1:15">
      <c r="A5672" s="3">
        <f t="shared" si="117"/>
        <v>5671</v>
      </c>
      <c r="B5672" s="65" t="s">
        <v>8262</v>
      </c>
      <c r="C5672" s="1">
        <v>9490151816</v>
      </c>
      <c r="E5672" s="17" t="s">
        <v>7238</v>
      </c>
      <c r="F5672" s="65" t="s">
        <v>308</v>
      </c>
      <c r="G5672" s="3" t="s">
        <v>424</v>
      </c>
      <c r="H5672" s="2" t="s">
        <v>999</v>
      </c>
      <c r="I5672" s="3" t="s">
        <v>88</v>
      </c>
      <c r="J5672" s="31">
        <v>46030</v>
      </c>
      <c r="K5672" s="31">
        <v>46070</v>
      </c>
      <c r="L5672" s="31"/>
      <c r="M5672" s="31"/>
      <c r="N5672" s="31"/>
      <c r="O5672" s="3" t="s">
        <v>425</v>
      </c>
    </row>
    <row r="5673" spans="1:15">
      <c r="A5673" s="3">
        <f t="shared" ref="A5673:A5682" si="118">ROW()-1</f>
        <v>5672</v>
      </c>
      <c r="B5673" s="65" t="s">
        <v>8263</v>
      </c>
      <c r="C5673" s="1">
        <v>8972456141</v>
      </c>
      <c r="E5673" s="17" t="s">
        <v>8264</v>
      </c>
      <c r="F5673" s="65"/>
      <c r="G5673" s="2" t="s">
        <v>16</v>
      </c>
      <c r="H5673" s="2" t="s">
        <v>785</v>
      </c>
      <c r="I5673" s="3" t="s">
        <v>88</v>
      </c>
      <c r="J5673" s="31">
        <v>46025</v>
      </c>
      <c r="K5673" s="31">
        <v>46027</v>
      </c>
      <c r="L5673" s="31">
        <v>46031</v>
      </c>
      <c r="M5673" s="31">
        <v>46062</v>
      </c>
      <c r="N5673" s="31">
        <v>46052</v>
      </c>
      <c r="O5673" s="3" t="s">
        <v>297</v>
      </c>
    </row>
    <row r="5674" spans="1:15">
      <c r="A5674" s="3">
        <f t="shared" si="118"/>
        <v>5673</v>
      </c>
      <c r="B5674" s="65" t="s">
        <v>8265</v>
      </c>
      <c r="C5674" s="1">
        <v>9035040891</v>
      </c>
      <c r="E5674" s="17" t="s">
        <v>7554</v>
      </c>
      <c r="F5674" s="65"/>
      <c r="G5674" s="2" t="s">
        <v>16</v>
      </c>
      <c r="H5674" s="2" t="s">
        <v>2183</v>
      </c>
      <c r="I5674" s="3" t="s">
        <v>88</v>
      </c>
      <c r="J5674" s="31">
        <v>46025</v>
      </c>
      <c r="K5674" s="31">
        <v>46027</v>
      </c>
      <c r="L5674" s="31">
        <v>46031</v>
      </c>
      <c r="M5674" s="31">
        <v>46062</v>
      </c>
      <c r="N5674" s="31">
        <v>46045</v>
      </c>
      <c r="O5674" s="3" t="s">
        <v>297</v>
      </c>
    </row>
    <row r="5675" spans="1:15">
      <c r="A5675" s="3">
        <f t="shared" si="118"/>
        <v>5674</v>
      </c>
      <c r="B5675" s="65" t="s">
        <v>8266</v>
      </c>
      <c r="C5675" s="1">
        <v>9415106951</v>
      </c>
      <c r="E5675" s="17" t="s">
        <v>8044</v>
      </c>
      <c r="F5675" s="65"/>
      <c r="G5675" s="3" t="s">
        <v>16</v>
      </c>
      <c r="H5675" s="2" t="s">
        <v>930</v>
      </c>
      <c r="I5675" s="3" t="s">
        <v>94</v>
      </c>
      <c r="J5675" s="31">
        <v>46025</v>
      </c>
      <c r="K5675" s="31">
        <v>46027</v>
      </c>
      <c r="L5675" s="31">
        <v>46031</v>
      </c>
      <c r="M5675" s="31">
        <v>46041</v>
      </c>
      <c r="N5675" s="31">
        <v>46041</v>
      </c>
      <c r="O5675" s="3" t="s">
        <v>297</v>
      </c>
    </row>
    <row r="5676" spans="1:15">
      <c r="A5676" s="3">
        <f t="shared" si="118"/>
        <v>5675</v>
      </c>
      <c r="B5676" s="65" t="s">
        <v>7903</v>
      </c>
      <c r="C5676" s="1">
        <v>6307372936</v>
      </c>
      <c r="E5676" s="17" t="s">
        <v>8044</v>
      </c>
      <c r="F5676" s="65"/>
      <c r="G5676" s="3" t="s">
        <v>16</v>
      </c>
      <c r="H5676" s="2" t="s">
        <v>930</v>
      </c>
      <c r="I5676" s="3" t="s">
        <v>94</v>
      </c>
      <c r="J5676" s="31">
        <v>46025</v>
      </c>
      <c r="K5676" s="31">
        <v>46027</v>
      </c>
      <c r="L5676" s="31">
        <v>46031</v>
      </c>
      <c r="M5676" s="31">
        <v>46041</v>
      </c>
      <c r="N5676" s="31">
        <v>46041</v>
      </c>
      <c r="O5676" s="3" t="s">
        <v>297</v>
      </c>
    </row>
    <row r="5677" spans="1:15">
      <c r="A5677" s="3">
        <f t="shared" si="118"/>
        <v>5676</v>
      </c>
      <c r="B5677" s="65" t="s">
        <v>8267</v>
      </c>
      <c r="C5677" s="1">
        <v>8287558628</v>
      </c>
      <c r="E5677" s="17" t="s">
        <v>3326</v>
      </c>
      <c r="F5677" s="65"/>
      <c r="G5677" s="3" t="s">
        <v>295</v>
      </c>
      <c r="H5677" s="2" t="s">
        <v>630</v>
      </c>
      <c r="I5677" s="3" t="s">
        <v>94</v>
      </c>
      <c r="J5677" s="31">
        <v>46025</v>
      </c>
      <c r="K5677" s="31">
        <v>46027</v>
      </c>
      <c r="L5677" s="31">
        <v>46031</v>
      </c>
      <c r="M5677" s="31">
        <v>46062</v>
      </c>
      <c r="N5677" s="31"/>
      <c r="O5677" s="3" t="s">
        <v>297</v>
      </c>
    </row>
    <row r="5678" spans="1:15">
      <c r="A5678" s="3">
        <f t="shared" si="118"/>
        <v>5677</v>
      </c>
      <c r="B5678" s="65" t="s">
        <v>8268</v>
      </c>
      <c r="C5678" s="1">
        <v>7893186909</v>
      </c>
      <c r="E5678" s="17" t="s">
        <v>8193</v>
      </c>
      <c r="F5678" s="65"/>
      <c r="G5678" s="3" t="s">
        <v>295</v>
      </c>
      <c r="H5678" s="2" t="s">
        <v>815</v>
      </c>
      <c r="I5678" s="3" t="s">
        <v>42</v>
      </c>
      <c r="J5678" s="31">
        <v>46025</v>
      </c>
      <c r="K5678" s="31">
        <v>46027</v>
      </c>
      <c r="L5678" s="31">
        <v>46030</v>
      </c>
      <c r="M5678" s="31">
        <v>46042</v>
      </c>
      <c r="N5678" s="31"/>
      <c r="O5678" s="3" t="s">
        <v>297</v>
      </c>
    </row>
    <row r="5679" spans="1:15">
      <c r="A5679" s="3">
        <f t="shared" si="118"/>
        <v>5678</v>
      </c>
      <c r="B5679" s="65" t="s">
        <v>8269</v>
      </c>
      <c r="C5679" s="1">
        <v>8367665533</v>
      </c>
      <c r="E5679" s="17" t="s">
        <v>8193</v>
      </c>
      <c r="F5679" s="65"/>
      <c r="G5679" s="3" t="s">
        <v>16</v>
      </c>
      <c r="H5679" s="2" t="s">
        <v>815</v>
      </c>
      <c r="I5679" s="3" t="s">
        <v>42</v>
      </c>
      <c r="J5679" s="31">
        <v>46025</v>
      </c>
      <c r="K5679" s="31">
        <v>46027</v>
      </c>
      <c r="L5679" s="31">
        <v>46030</v>
      </c>
      <c r="M5679" s="31">
        <v>46043</v>
      </c>
      <c r="N5679" s="31">
        <v>46030</v>
      </c>
      <c r="O5679" s="3" t="s">
        <v>297</v>
      </c>
    </row>
    <row r="5680" spans="1:15">
      <c r="A5680" s="3">
        <f t="shared" si="118"/>
        <v>5679</v>
      </c>
      <c r="B5680" s="65" t="s">
        <v>8270</v>
      </c>
      <c r="C5680" s="1">
        <v>9346095661</v>
      </c>
      <c r="E5680" s="17" t="s">
        <v>8193</v>
      </c>
      <c r="F5680" s="65"/>
      <c r="G5680" s="3" t="s">
        <v>16</v>
      </c>
      <c r="H5680" s="2" t="s">
        <v>815</v>
      </c>
      <c r="I5680" s="3" t="s">
        <v>42</v>
      </c>
      <c r="J5680" s="31">
        <v>46025</v>
      </c>
      <c r="K5680" s="31">
        <v>46027</v>
      </c>
      <c r="L5680" s="31">
        <v>46030</v>
      </c>
      <c r="M5680" s="31">
        <v>46043</v>
      </c>
      <c r="N5680" s="31">
        <v>46043</v>
      </c>
      <c r="O5680" s="3" t="s">
        <v>297</v>
      </c>
    </row>
    <row r="5681" spans="1:15">
      <c r="A5681" s="3">
        <f t="shared" si="118"/>
        <v>5680</v>
      </c>
      <c r="B5681" s="65" t="s">
        <v>8271</v>
      </c>
      <c r="C5681" s="1">
        <v>7416399691</v>
      </c>
      <c r="E5681" s="17" t="s">
        <v>7366</v>
      </c>
      <c r="F5681" s="65"/>
      <c r="G5681" s="3" t="s">
        <v>16</v>
      </c>
      <c r="H5681" s="2" t="s">
        <v>6353</v>
      </c>
      <c r="I5681" s="3" t="s">
        <v>42</v>
      </c>
      <c r="J5681" s="31">
        <v>46025</v>
      </c>
      <c r="K5681" s="31">
        <v>46027</v>
      </c>
      <c r="L5681" s="31">
        <v>46030</v>
      </c>
      <c r="M5681" s="31">
        <v>46063</v>
      </c>
      <c r="N5681" s="31">
        <v>46055</v>
      </c>
      <c r="O5681" s="3" t="s">
        <v>297</v>
      </c>
    </row>
    <row r="5682" spans="1:15">
      <c r="A5682" s="3">
        <f t="shared" si="118"/>
        <v>5681</v>
      </c>
      <c r="B5682" s="65" t="s">
        <v>8272</v>
      </c>
      <c r="C5682" s="1">
        <v>7671961119</v>
      </c>
      <c r="E5682" s="17" t="s">
        <v>7114</v>
      </c>
      <c r="F5682" s="65"/>
      <c r="G5682" s="3" t="s">
        <v>16</v>
      </c>
      <c r="H5682" s="2" t="s">
        <v>4145</v>
      </c>
      <c r="I5682" s="3" t="s">
        <v>42</v>
      </c>
      <c r="J5682" s="31">
        <v>46025</v>
      </c>
      <c r="K5682" s="31">
        <v>46027</v>
      </c>
      <c r="L5682" s="31">
        <v>46030</v>
      </c>
      <c r="M5682" s="31">
        <v>46050</v>
      </c>
      <c r="N5682" s="31">
        <v>46050</v>
      </c>
      <c r="O5682" s="3" t="s">
        <v>297</v>
      </c>
    </row>
    <row r="5683" spans="1:15">
      <c r="A5683" s="3">
        <f t="shared" ref="A5683:A5692" si="119">ROW()-1</f>
        <v>5682</v>
      </c>
      <c r="B5683" s="65" t="s">
        <v>8273</v>
      </c>
      <c r="C5683" s="1">
        <v>8074319515</v>
      </c>
      <c r="E5683" s="17" t="s">
        <v>8226</v>
      </c>
      <c r="F5683" s="65"/>
      <c r="G5683" s="2" t="s">
        <v>16</v>
      </c>
      <c r="H5683" s="2" t="s">
        <v>3461</v>
      </c>
      <c r="I5683" s="3" t="s">
        <v>42</v>
      </c>
      <c r="J5683" s="31">
        <v>46025</v>
      </c>
      <c r="K5683" s="31">
        <v>46027</v>
      </c>
      <c r="L5683" s="31">
        <v>46028</v>
      </c>
      <c r="M5683" s="31">
        <v>46032</v>
      </c>
      <c r="N5683" s="31">
        <v>46032</v>
      </c>
      <c r="O5683" s="3" t="s">
        <v>297</v>
      </c>
    </row>
    <row r="5684" spans="1:15">
      <c r="A5684" s="3">
        <f t="shared" si="119"/>
        <v>5683</v>
      </c>
      <c r="B5684" s="65" t="s">
        <v>8274</v>
      </c>
      <c r="C5684" s="1">
        <v>6304730738</v>
      </c>
      <c r="E5684" s="17" t="s">
        <v>7082</v>
      </c>
      <c r="F5684" s="65"/>
      <c r="G5684" s="3" t="s">
        <v>16</v>
      </c>
      <c r="H5684" s="2" t="s">
        <v>815</v>
      </c>
      <c r="I5684" s="3" t="s">
        <v>42</v>
      </c>
      <c r="J5684" s="31">
        <v>46025</v>
      </c>
      <c r="K5684" s="31">
        <v>46027</v>
      </c>
      <c r="L5684" s="31">
        <v>46028</v>
      </c>
      <c r="M5684" s="31">
        <v>46055</v>
      </c>
      <c r="N5684" s="31">
        <v>46054</v>
      </c>
      <c r="O5684" s="3" t="s">
        <v>297</v>
      </c>
    </row>
    <row r="5685" spans="1:15">
      <c r="A5685" s="3">
        <f t="shared" si="119"/>
        <v>5684</v>
      </c>
      <c r="B5685" s="65" t="s">
        <v>8275</v>
      </c>
      <c r="C5685" s="1">
        <v>9247888559</v>
      </c>
      <c r="E5685" s="17" t="s">
        <v>7449</v>
      </c>
      <c r="F5685" s="65"/>
      <c r="G5685" s="3" t="s">
        <v>295</v>
      </c>
      <c r="H5685" s="2" t="s">
        <v>3240</v>
      </c>
      <c r="I5685" s="3" t="s">
        <v>42</v>
      </c>
      <c r="J5685" s="31">
        <v>46025</v>
      </c>
      <c r="K5685" s="31">
        <v>46027</v>
      </c>
      <c r="L5685" s="31">
        <v>46028</v>
      </c>
      <c r="M5685" s="31">
        <v>46041</v>
      </c>
      <c r="N5685" s="31"/>
      <c r="O5685" s="3" t="s">
        <v>297</v>
      </c>
    </row>
    <row r="5686" spans="1:15">
      <c r="A5686" s="3">
        <f t="shared" si="119"/>
        <v>5685</v>
      </c>
      <c r="B5686" s="65" t="s">
        <v>8276</v>
      </c>
      <c r="C5686" s="1">
        <v>9985996642</v>
      </c>
      <c r="E5686" s="17" t="s">
        <v>8233</v>
      </c>
      <c r="F5686" s="65"/>
      <c r="G5686" s="2" t="s">
        <v>16</v>
      </c>
      <c r="H5686" s="2" t="s">
        <v>162</v>
      </c>
      <c r="I5686" s="3" t="s">
        <v>42</v>
      </c>
      <c r="J5686" s="31">
        <v>46025</v>
      </c>
      <c r="K5686" s="31">
        <v>46027</v>
      </c>
      <c r="L5686" s="31">
        <v>46028</v>
      </c>
      <c r="M5686" s="31">
        <v>46041</v>
      </c>
      <c r="N5686" s="31">
        <v>46041</v>
      </c>
      <c r="O5686" s="3" t="s">
        <v>297</v>
      </c>
    </row>
    <row r="5687" spans="1:15">
      <c r="A5687" s="3">
        <f t="shared" si="119"/>
        <v>5686</v>
      </c>
      <c r="B5687" s="65" t="s">
        <v>8277</v>
      </c>
      <c r="C5687" s="1">
        <v>8185953107</v>
      </c>
      <c r="E5687" s="17" t="s">
        <v>8260</v>
      </c>
      <c r="F5687" s="65" t="s">
        <v>569</v>
      </c>
      <c r="G5687" s="3" t="s">
        <v>16</v>
      </c>
      <c r="H5687" s="2" t="s">
        <v>999</v>
      </c>
      <c r="I5687" s="3" t="s">
        <v>88</v>
      </c>
      <c r="J5687" s="31">
        <v>46031</v>
      </c>
      <c r="K5687" s="31">
        <v>46035</v>
      </c>
      <c r="L5687" s="31">
        <v>46041</v>
      </c>
      <c r="M5687" s="31">
        <v>46080</v>
      </c>
      <c r="N5687" s="31">
        <v>46083</v>
      </c>
      <c r="O5687" s="3" t="s">
        <v>297</v>
      </c>
    </row>
    <row r="5688" spans="1:15">
      <c r="A5688" s="3">
        <f t="shared" si="119"/>
        <v>5687</v>
      </c>
      <c r="B5688" s="65" t="s">
        <v>8278</v>
      </c>
      <c r="C5688" s="1">
        <v>8008934218</v>
      </c>
      <c r="E5688" s="1" t="s">
        <v>8260</v>
      </c>
      <c r="F5688" s="65" t="s">
        <v>308</v>
      </c>
      <c r="G5688" s="3" t="s">
        <v>16</v>
      </c>
      <c r="H5688" s="2" t="s">
        <v>999</v>
      </c>
      <c r="I5688" s="3" t="s">
        <v>88</v>
      </c>
      <c r="J5688" s="31">
        <v>46031</v>
      </c>
      <c r="K5688" s="31">
        <v>46035</v>
      </c>
      <c r="L5688" s="31">
        <v>46041</v>
      </c>
      <c r="M5688" s="31">
        <v>46082</v>
      </c>
      <c r="N5688" s="31">
        <v>46083</v>
      </c>
      <c r="O5688" s="3" t="s">
        <v>297</v>
      </c>
    </row>
    <row r="5689" spans="1:15">
      <c r="A5689" s="3">
        <f t="shared" si="119"/>
        <v>5688</v>
      </c>
      <c r="B5689" s="65" t="s">
        <v>8279</v>
      </c>
      <c r="C5689" s="1">
        <v>9014799190</v>
      </c>
      <c r="E5689" s="1" t="s">
        <v>7550</v>
      </c>
      <c r="F5689" s="65" t="s">
        <v>308</v>
      </c>
      <c r="G5689" s="3" t="s">
        <v>16</v>
      </c>
      <c r="H5689" s="2" t="s">
        <v>999</v>
      </c>
      <c r="I5689" s="3" t="s">
        <v>88</v>
      </c>
      <c r="J5689" s="31">
        <v>46031</v>
      </c>
      <c r="K5689" s="31">
        <v>46035</v>
      </c>
      <c r="L5689" s="31">
        <v>46041</v>
      </c>
      <c r="M5689" s="31">
        <v>46080</v>
      </c>
      <c r="N5689" s="31">
        <v>46083</v>
      </c>
      <c r="O5689" s="3" t="s">
        <v>297</v>
      </c>
    </row>
    <row r="5690" spans="1:15">
      <c r="A5690" s="3">
        <f t="shared" si="119"/>
        <v>5689</v>
      </c>
      <c r="B5690" s="65" t="s">
        <v>8280</v>
      </c>
      <c r="C5690" s="1">
        <v>8790979562</v>
      </c>
      <c r="E5690" s="17" t="s">
        <v>7554</v>
      </c>
      <c r="F5690" s="65" t="s">
        <v>308</v>
      </c>
      <c r="G5690" s="3" t="s">
        <v>424</v>
      </c>
      <c r="H5690" s="2" t="s">
        <v>999</v>
      </c>
      <c r="I5690" s="3" t="s">
        <v>88</v>
      </c>
      <c r="J5690" s="31">
        <v>46031</v>
      </c>
      <c r="K5690" s="31">
        <v>46035</v>
      </c>
      <c r="L5690" s="31"/>
      <c r="M5690" s="31"/>
      <c r="N5690" s="31"/>
      <c r="O5690" s="3" t="s">
        <v>425</v>
      </c>
    </row>
    <row r="5691" spans="1:15">
      <c r="A5691" s="3">
        <f t="shared" si="119"/>
        <v>5690</v>
      </c>
      <c r="B5691" s="65" t="s">
        <v>5325</v>
      </c>
      <c r="C5691" s="1">
        <v>8074269599</v>
      </c>
      <c r="E5691" s="17" t="s">
        <v>8258</v>
      </c>
      <c r="F5691" s="65" t="s">
        <v>569</v>
      </c>
      <c r="G5691" s="3" t="s">
        <v>16</v>
      </c>
      <c r="H5691" s="2" t="s">
        <v>999</v>
      </c>
      <c r="I5691" s="3" t="s">
        <v>88</v>
      </c>
      <c r="J5691" s="31">
        <v>46031</v>
      </c>
      <c r="K5691" s="31">
        <v>46045</v>
      </c>
      <c r="L5691" s="31">
        <v>46046</v>
      </c>
      <c r="M5691" s="31">
        <v>46083</v>
      </c>
      <c r="N5691" s="31">
        <v>46083</v>
      </c>
      <c r="O5691" s="3" t="s">
        <v>297</v>
      </c>
    </row>
    <row r="5692" spans="1:15">
      <c r="A5692" s="3">
        <f t="shared" si="119"/>
        <v>5691</v>
      </c>
      <c r="B5692" s="65" t="s">
        <v>8281</v>
      </c>
      <c r="C5692" s="1">
        <v>9059691114</v>
      </c>
      <c r="E5692" s="17" t="s">
        <v>8260</v>
      </c>
      <c r="F5692" s="65" t="s">
        <v>308</v>
      </c>
      <c r="G5692" s="3" t="s">
        <v>18</v>
      </c>
      <c r="H5692" s="2" t="s">
        <v>999</v>
      </c>
      <c r="I5692" s="3" t="s">
        <v>88</v>
      </c>
      <c r="J5692" s="31">
        <v>46031</v>
      </c>
      <c r="K5692" s="31">
        <v>46035</v>
      </c>
      <c r="L5692" s="31"/>
      <c r="M5692" s="31"/>
      <c r="N5692" s="31"/>
      <c r="O5692" s="3" t="s">
        <v>297</v>
      </c>
    </row>
    <row r="5693" spans="1:15">
      <c r="A5693" s="3">
        <f>ROW()-1</f>
        <v>5692</v>
      </c>
      <c r="B5693" s="65" t="s">
        <v>8282</v>
      </c>
      <c r="C5693" s="1">
        <v>7093247559</v>
      </c>
      <c r="E5693" s="17" t="s">
        <v>7958</v>
      </c>
      <c r="F5693" s="65" t="s">
        <v>575</v>
      </c>
      <c r="G5693" s="3" t="s">
        <v>295</v>
      </c>
      <c r="H5693" s="2" t="s">
        <v>162</v>
      </c>
      <c r="I5693" s="3" t="s">
        <v>94</v>
      </c>
      <c r="J5693" s="31">
        <v>46031</v>
      </c>
      <c r="K5693" s="31">
        <v>46031</v>
      </c>
      <c r="L5693" s="31">
        <v>46031</v>
      </c>
      <c r="M5693" s="31">
        <v>46052</v>
      </c>
      <c r="N5693" s="31"/>
      <c r="O5693" s="3" t="s">
        <v>297</v>
      </c>
    </row>
    <row r="5694" spans="1:15">
      <c r="A5694" s="3">
        <f t="shared" ref="A5694:A5726" si="120">ROW()-1</f>
        <v>5693</v>
      </c>
      <c r="B5694" s="65" t="s">
        <v>8283</v>
      </c>
      <c r="C5694" s="1">
        <v>6301462830</v>
      </c>
      <c r="E5694" s="17" t="s">
        <v>8193</v>
      </c>
      <c r="F5694" s="65"/>
      <c r="G5694" s="3" t="s">
        <v>16</v>
      </c>
      <c r="H5694" s="2" t="s">
        <v>815</v>
      </c>
      <c r="I5694" s="3" t="s">
        <v>42</v>
      </c>
      <c r="J5694" s="31">
        <v>46031</v>
      </c>
      <c r="K5694" s="31">
        <v>46031</v>
      </c>
      <c r="L5694" s="31">
        <v>46031</v>
      </c>
      <c r="M5694" s="31">
        <v>46041</v>
      </c>
      <c r="N5694" s="31">
        <v>46031</v>
      </c>
      <c r="O5694" s="3" t="s">
        <v>297</v>
      </c>
    </row>
    <row r="5695" spans="1:15">
      <c r="A5695" s="3">
        <f t="shared" si="120"/>
        <v>5694</v>
      </c>
      <c r="B5695" s="65" t="s">
        <v>8284</v>
      </c>
      <c r="C5695" s="1">
        <v>9133230618</v>
      </c>
      <c r="E5695" s="17" t="s">
        <v>8193</v>
      </c>
      <c r="F5695" s="65"/>
      <c r="G5695" s="3" t="s">
        <v>16</v>
      </c>
      <c r="H5695" s="2" t="s">
        <v>815</v>
      </c>
      <c r="I5695" s="3" t="s">
        <v>42</v>
      </c>
      <c r="J5695" s="31">
        <v>46031</v>
      </c>
      <c r="K5695" s="31">
        <v>46031</v>
      </c>
      <c r="L5695" s="31">
        <v>46031</v>
      </c>
      <c r="M5695" s="31">
        <v>46104</v>
      </c>
      <c r="N5695" s="31">
        <v>46105</v>
      </c>
      <c r="O5695" s="3" t="s">
        <v>297</v>
      </c>
    </row>
    <row r="5696" spans="1:15">
      <c r="A5696" s="3">
        <f t="shared" si="120"/>
        <v>5695</v>
      </c>
      <c r="B5696" s="65" t="s">
        <v>8285</v>
      </c>
      <c r="C5696" s="1">
        <v>9177073525</v>
      </c>
      <c r="E5696" s="17" t="s">
        <v>8193</v>
      </c>
      <c r="F5696" s="65"/>
      <c r="G5696" s="3" t="s">
        <v>15</v>
      </c>
      <c r="H5696" s="2" t="s">
        <v>815</v>
      </c>
      <c r="I5696" s="3" t="s">
        <v>42</v>
      </c>
      <c r="J5696" s="31">
        <v>46031</v>
      </c>
      <c r="K5696" s="31">
        <v>46031</v>
      </c>
      <c r="L5696" s="31">
        <v>46031</v>
      </c>
      <c r="M5696" s="31">
        <v>46106</v>
      </c>
      <c r="N5696" s="31"/>
      <c r="O5696" s="3" t="s">
        <v>297</v>
      </c>
    </row>
    <row r="5697" spans="1:15">
      <c r="A5697" s="3">
        <f t="shared" si="120"/>
        <v>5696</v>
      </c>
      <c r="B5697" s="65" t="s">
        <v>8286</v>
      </c>
      <c r="C5697" s="1">
        <v>9337335250</v>
      </c>
      <c r="E5697" s="17" t="s">
        <v>5560</v>
      </c>
      <c r="F5697" s="65"/>
      <c r="G5697" s="2" t="s">
        <v>16</v>
      </c>
      <c r="H5697" s="2" t="s">
        <v>5774</v>
      </c>
      <c r="I5697" s="3" t="s">
        <v>42</v>
      </c>
      <c r="J5697" s="31">
        <v>46031</v>
      </c>
      <c r="K5697" s="31">
        <v>46031</v>
      </c>
      <c r="L5697" s="31">
        <v>46031</v>
      </c>
      <c r="M5697" s="31">
        <v>46041</v>
      </c>
      <c r="N5697" s="31">
        <v>46041</v>
      </c>
      <c r="O5697" s="3" t="s">
        <v>297</v>
      </c>
    </row>
    <row r="5698" spans="1:15">
      <c r="A5698" s="3">
        <f t="shared" si="120"/>
        <v>5697</v>
      </c>
      <c r="B5698" s="65" t="s">
        <v>8287</v>
      </c>
      <c r="C5698" s="1">
        <v>9573615105</v>
      </c>
      <c r="E5698" s="17" t="s">
        <v>151</v>
      </c>
      <c r="F5698" s="65"/>
      <c r="G5698" s="2" t="s">
        <v>16</v>
      </c>
      <c r="H5698" s="2" t="s">
        <v>2553</v>
      </c>
      <c r="I5698" s="3" t="s">
        <v>42</v>
      </c>
      <c r="J5698" s="31">
        <v>46031</v>
      </c>
      <c r="K5698" s="31">
        <v>46031</v>
      </c>
      <c r="L5698" s="31">
        <v>46031</v>
      </c>
      <c r="M5698" s="31">
        <v>46041</v>
      </c>
      <c r="N5698" s="31">
        <v>46041</v>
      </c>
      <c r="O5698" s="3" t="s">
        <v>297</v>
      </c>
    </row>
    <row r="5699" spans="1:15">
      <c r="A5699" s="3">
        <f t="shared" si="120"/>
        <v>5698</v>
      </c>
      <c r="B5699" s="65" t="s">
        <v>8288</v>
      </c>
      <c r="C5699" s="1">
        <v>8143256996</v>
      </c>
      <c r="E5699" s="17" t="s">
        <v>6537</v>
      </c>
      <c r="F5699" s="65"/>
      <c r="G5699" s="2" t="s">
        <v>16</v>
      </c>
      <c r="H5699" s="2" t="s">
        <v>42</v>
      </c>
      <c r="I5699" s="3" t="s">
        <v>42</v>
      </c>
      <c r="J5699" s="31">
        <v>46031</v>
      </c>
      <c r="K5699" s="31">
        <v>46031</v>
      </c>
      <c r="L5699" s="31">
        <v>46031</v>
      </c>
      <c r="M5699" s="31">
        <v>46041</v>
      </c>
      <c r="N5699" s="31">
        <v>46041</v>
      </c>
      <c r="O5699" s="3" t="s">
        <v>297</v>
      </c>
    </row>
    <row r="5700" spans="1:15">
      <c r="A5700" s="3">
        <f t="shared" si="120"/>
        <v>5699</v>
      </c>
      <c r="B5700" s="65" t="s">
        <v>8289</v>
      </c>
      <c r="C5700" s="1">
        <v>9691739202</v>
      </c>
      <c r="E5700" s="17" t="s">
        <v>75</v>
      </c>
      <c r="F5700" s="65" t="s">
        <v>308</v>
      </c>
      <c r="G5700" s="3" t="s">
        <v>295</v>
      </c>
      <c r="H5700" s="2" t="s">
        <v>5774</v>
      </c>
      <c r="I5700" s="3" t="s">
        <v>42</v>
      </c>
      <c r="J5700" s="31">
        <v>46034</v>
      </c>
      <c r="K5700" s="31">
        <v>46035</v>
      </c>
      <c r="L5700" s="31">
        <v>46041</v>
      </c>
      <c r="M5700" s="31">
        <v>46063</v>
      </c>
      <c r="N5700" s="31"/>
      <c r="O5700" s="3" t="s">
        <v>297</v>
      </c>
    </row>
    <row r="5701" spans="1:15">
      <c r="A5701" s="3">
        <f t="shared" si="120"/>
        <v>5700</v>
      </c>
      <c r="B5701" s="65" t="s">
        <v>8290</v>
      </c>
      <c r="C5701" s="1">
        <v>9492513801</v>
      </c>
      <c r="E5701" s="17" t="s">
        <v>5966</v>
      </c>
      <c r="F5701" s="65" t="s">
        <v>308</v>
      </c>
      <c r="G5701" s="3" t="s">
        <v>764</v>
      </c>
      <c r="H5701" s="2" t="s">
        <v>5774</v>
      </c>
      <c r="I5701" s="3" t="s">
        <v>42</v>
      </c>
      <c r="J5701" s="31">
        <v>46034</v>
      </c>
      <c r="K5701" s="31">
        <v>46035</v>
      </c>
      <c r="L5701" s="31"/>
      <c r="M5701" s="31"/>
      <c r="N5701" s="31"/>
      <c r="O5701" s="3" t="s">
        <v>425</v>
      </c>
    </row>
    <row r="5702" spans="1:15">
      <c r="A5702" s="3">
        <f t="shared" si="120"/>
        <v>5701</v>
      </c>
      <c r="B5702" s="65" t="s">
        <v>8291</v>
      </c>
      <c r="C5702" s="1">
        <v>8332961902</v>
      </c>
      <c r="E5702" s="17" t="s">
        <v>5966</v>
      </c>
      <c r="F5702" s="65" t="s">
        <v>308</v>
      </c>
      <c r="G5702" s="3" t="s">
        <v>16</v>
      </c>
      <c r="H5702" s="2" t="s">
        <v>5774</v>
      </c>
      <c r="I5702" s="3" t="s">
        <v>42</v>
      </c>
      <c r="J5702" s="31">
        <v>46034</v>
      </c>
      <c r="K5702" s="31">
        <v>46034</v>
      </c>
      <c r="L5702" s="31">
        <v>46045</v>
      </c>
      <c r="M5702" s="31">
        <v>46050</v>
      </c>
      <c r="N5702" s="31">
        <v>46056</v>
      </c>
      <c r="O5702" s="3" t="s">
        <v>297</v>
      </c>
    </row>
    <row r="5703" spans="1:15">
      <c r="A5703" s="3">
        <f t="shared" si="120"/>
        <v>5702</v>
      </c>
      <c r="B5703" s="65" t="s">
        <v>8292</v>
      </c>
      <c r="C5703" s="1">
        <v>7981612646</v>
      </c>
      <c r="E5703" s="17" t="s">
        <v>5966</v>
      </c>
      <c r="F5703" s="65" t="s">
        <v>8293</v>
      </c>
      <c r="G5703" s="3" t="s">
        <v>16</v>
      </c>
      <c r="H5703" s="2" t="s">
        <v>5774</v>
      </c>
      <c r="I5703" s="3" t="s">
        <v>42</v>
      </c>
      <c r="J5703" s="31">
        <v>46034</v>
      </c>
      <c r="K5703" s="31">
        <v>46035</v>
      </c>
      <c r="L5703" s="31">
        <v>46045</v>
      </c>
      <c r="M5703" s="31">
        <v>46069</v>
      </c>
      <c r="N5703" s="31">
        <v>46064</v>
      </c>
      <c r="O5703" s="3" t="s">
        <v>297</v>
      </c>
    </row>
    <row r="5704" spans="1:15">
      <c r="A5704" s="3">
        <f t="shared" si="120"/>
        <v>5703</v>
      </c>
      <c r="B5704" s="65" t="s">
        <v>8294</v>
      </c>
      <c r="C5704" s="1">
        <v>9182419897</v>
      </c>
      <c r="E5704" s="17" t="s">
        <v>5966</v>
      </c>
      <c r="F5704" s="65" t="s">
        <v>8295</v>
      </c>
      <c r="G5704" s="3" t="s">
        <v>416</v>
      </c>
      <c r="H5704" s="2" t="s">
        <v>5774</v>
      </c>
      <c r="I5704" s="3" t="s">
        <v>42</v>
      </c>
      <c r="J5704" s="31">
        <v>46034</v>
      </c>
      <c r="K5704" s="31">
        <v>46035</v>
      </c>
      <c r="L5704" s="31"/>
      <c r="M5704" s="31"/>
      <c r="N5704" s="31"/>
      <c r="O5704" s="3" t="s">
        <v>297</v>
      </c>
    </row>
    <row r="5705" spans="1:15">
      <c r="A5705" s="3">
        <f t="shared" si="120"/>
        <v>5704</v>
      </c>
      <c r="B5705" s="65" t="s">
        <v>8296</v>
      </c>
      <c r="C5705" s="1">
        <v>9666369047</v>
      </c>
      <c r="E5705" s="17" t="s">
        <v>75</v>
      </c>
      <c r="F5705" s="65" t="s">
        <v>8297</v>
      </c>
      <c r="G5705" s="3" t="s">
        <v>764</v>
      </c>
      <c r="H5705" s="2" t="s">
        <v>5774</v>
      </c>
      <c r="I5705" s="3" t="s">
        <v>42</v>
      </c>
      <c r="J5705" s="31">
        <v>46034</v>
      </c>
      <c r="K5705" s="31">
        <v>46035</v>
      </c>
      <c r="L5705" s="31"/>
      <c r="M5705" s="31"/>
      <c r="N5705" s="31"/>
      <c r="O5705" s="3" t="s">
        <v>425</v>
      </c>
    </row>
    <row r="5706" spans="1:15">
      <c r="A5706" s="3">
        <f t="shared" si="120"/>
        <v>5705</v>
      </c>
      <c r="B5706" s="65" t="s">
        <v>8298</v>
      </c>
      <c r="C5706" s="1">
        <v>7981974490</v>
      </c>
      <c r="E5706" s="17" t="s">
        <v>75</v>
      </c>
      <c r="F5706" s="65" t="s">
        <v>2438</v>
      </c>
      <c r="G5706" s="3" t="s">
        <v>295</v>
      </c>
      <c r="H5706" s="2" t="s">
        <v>5774</v>
      </c>
      <c r="I5706" s="3" t="s">
        <v>42</v>
      </c>
      <c r="J5706" s="31">
        <v>46034</v>
      </c>
      <c r="K5706" s="31">
        <v>46035</v>
      </c>
      <c r="L5706" s="31">
        <v>46041</v>
      </c>
      <c r="M5706" s="31">
        <v>46072</v>
      </c>
      <c r="N5706" s="31"/>
      <c r="O5706" s="3" t="s">
        <v>297</v>
      </c>
    </row>
    <row r="5707" spans="1:15">
      <c r="A5707" s="3">
        <f t="shared" si="120"/>
        <v>5706</v>
      </c>
      <c r="B5707" s="65" t="s">
        <v>1130</v>
      </c>
      <c r="C5707" s="1">
        <v>8858850551</v>
      </c>
      <c r="E5707" s="17" t="s">
        <v>6537</v>
      </c>
      <c r="F5707" s="65" t="s">
        <v>329</v>
      </c>
      <c r="G5707" s="3" t="s">
        <v>764</v>
      </c>
      <c r="H5707" s="2" t="s">
        <v>5774</v>
      </c>
      <c r="I5707" s="3" t="s">
        <v>42</v>
      </c>
      <c r="J5707" s="31">
        <v>46034</v>
      </c>
      <c r="K5707" s="31">
        <v>46035</v>
      </c>
      <c r="L5707" s="31"/>
      <c r="M5707" s="31"/>
      <c r="N5707" s="31"/>
      <c r="O5707" s="3" t="s">
        <v>425</v>
      </c>
    </row>
    <row r="5708" spans="1:15">
      <c r="A5708" s="3">
        <f t="shared" si="120"/>
        <v>5707</v>
      </c>
      <c r="B5708" s="65" t="s">
        <v>8299</v>
      </c>
      <c r="C5708" s="1">
        <v>7031003850</v>
      </c>
      <c r="D5708" s="1">
        <v>8837270513</v>
      </c>
      <c r="E5708" s="17" t="s">
        <v>7923</v>
      </c>
      <c r="F5708" s="65" t="s">
        <v>8300</v>
      </c>
      <c r="G5708" s="3" t="s">
        <v>16</v>
      </c>
      <c r="H5708" s="2" t="s">
        <v>5774</v>
      </c>
      <c r="I5708" s="3" t="s">
        <v>42</v>
      </c>
      <c r="J5708" s="31">
        <v>46034</v>
      </c>
      <c r="K5708" s="31">
        <v>46035</v>
      </c>
      <c r="L5708" s="31">
        <v>46041</v>
      </c>
      <c r="M5708" s="31">
        <v>46081</v>
      </c>
      <c r="N5708" s="31">
        <v>46079</v>
      </c>
      <c r="O5708" s="3" t="s">
        <v>297</v>
      </c>
    </row>
    <row r="5709" spans="1:15">
      <c r="A5709" s="3">
        <f t="shared" si="120"/>
        <v>5708</v>
      </c>
      <c r="B5709" s="65" t="s">
        <v>5692</v>
      </c>
      <c r="C5709" s="1">
        <v>9096696604</v>
      </c>
      <c r="D5709" s="1">
        <v>8010870967</v>
      </c>
      <c r="E5709" s="17" t="s">
        <v>7923</v>
      </c>
      <c r="F5709" s="65" t="s">
        <v>8301</v>
      </c>
      <c r="G5709" s="2" t="s">
        <v>15</v>
      </c>
      <c r="H5709" s="1" t="s">
        <v>3240</v>
      </c>
      <c r="I5709" s="3" t="s">
        <v>42</v>
      </c>
      <c r="J5709" s="31">
        <v>46034</v>
      </c>
      <c r="K5709" s="31">
        <v>46072</v>
      </c>
      <c r="L5709" s="31">
        <v>46087</v>
      </c>
      <c r="M5709" s="31">
        <v>46118</v>
      </c>
      <c r="N5709" s="31"/>
      <c r="O5709" s="3" t="s">
        <v>297</v>
      </c>
    </row>
    <row r="5710" spans="1:15">
      <c r="A5710" s="3">
        <f t="shared" si="120"/>
        <v>5709</v>
      </c>
      <c r="B5710" s="65" t="s">
        <v>8302</v>
      </c>
      <c r="C5710" s="1">
        <v>8338812931</v>
      </c>
      <c r="E5710" s="17" t="s">
        <v>7923</v>
      </c>
      <c r="F5710" s="65" t="s">
        <v>3213</v>
      </c>
      <c r="G5710" s="3" t="s">
        <v>16</v>
      </c>
      <c r="H5710" s="2" t="s">
        <v>5774</v>
      </c>
      <c r="I5710" s="3" t="s">
        <v>42</v>
      </c>
      <c r="J5710" s="31">
        <v>46034</v>
      </c>
      <c r="K5710" s="31">
        <v>46045</v>
      </c>
      <c r="L5710" s="31">
        <v>46094</v>
      </c>
      <c r="M5710" s="31">
        <v>46101</v>
      </c>
      <c r="N5710" s="31">
        <v>46101</v>
      </c>
      <c r="O5710" s="3" t="s">
        <v>297</v>
      </c>
    </row>
    <row r="5711" spans="1:15">
      <c r="A5711" s="3">
        <f t="shared" si="120"/>
        <v>5710</v>
      </c>
      <c r="B5711" s="65" t="s">
        <v>8303</v>
      </c>
      <c r="C5711" s="1">
        <v>7660926617</v>
      </c>
      <c r="E5711" s="17" t="s">
        <v>7923</v>
      </c>
      <c r="F5711" s="65" t="s">
        <v>303</v>
      </c>
      <c r="G5711" s="2" t="s">
        <v>16</v>
      </c>
      <c r="H5711" s="2" t="s">
        <v>5774</v>
      </c>
      <c r="I5711" s="3" t="s">
        <v>42</v>
      </c>
      <c r="J5711" s="31">
        <v>46034</v>
      </c>
      <c r="K5711" s="31">
        <v>46035</v>
      </c>
      <c r="L5711" s="31">
        <v>46041</v>
      </c>
      <c r="M5711" s="31">
        <v>46045</v>
      </c>
      <c r="N5711" s="31">
        <v>46045</v>
      </c>
      <c r="O5711" s="3" t="s">
        <v>297</v>
      </c>
    </row>
    <row r="5712" spans="1:15">
      <c r="A5712" s="3">
        <f t="shared" si="120"/>
        <v>5711</v>
      </c>
      <c r="B5712" s="65" t="s">
        <v>8304</v>
      </c>
      <c r="C5712" s="1">
        <v>8849758132</v>
      </c>
      <c r="E5712" s="17" t="s">
        <v>7923</v>
      </c>
      <c r="F5712" s="65" t="s">
        <v>303</v>
      </c>
      <c r="G5712" s="3" t="s">
        <v>416</v>
      </c>
      <c r="H5712" s="1" t="s">
        <v>3240</v>
      </c>
      <c r="I5712" s="3" t="s">
        <v>42</v>
      </c>
      <c r="J5712" s="31">
        <v>46034</v>
      </c>
      <c r="K5712" s="31">
        <v>46063</v>
      </c>
      <c r="L5712" s="31"/>
      <c r="M5712" s="31"/>
      <c r="N5712" s="31"/>
      <c r="O5712" s="3" t="s">
        <v>297</v>
      </c>
    </row>
    <row r="5713" spans="1:15">
      <c r="A5713" s="3">
        <f t="shared" si="120"/>
        <v>5712</v>
      </c>
      <c r="B5713" s="65" t="s">
        <v>8305</v>
      </c>
      <c r="C5713" s="1">
        <v>7799449706</v>
      </c>
      <c r="E5713" s="17" t="s">
        <v>7923</v>
      </c>
      <c r="F5713" s="65" t="s">
        <v>303</v>
      </c>
      <c r="G5713" s="3" t="s">
        <v>7030</v>
      </c>
      <c r="H5713" s="1" t="s">
        <v>3240</v>
      </c>
      <c r="I5713" s="3" t="s">
        <v>42</v>
      </c>
      <c r="J5713" s="31">
        <v>46034</v>
      </c>
      <c r="K5713" s="31"/>
      <c r="L5713" s="31"/>
      <c r="M5713" s="31"/>
      <c r="N5713" s="31"/>
      <c r="O5713" s="3" t="s">
        <v>1004</v>
      </c>
    </row>
    <row r="5714" spans="1:15">
      <c r="A5714" s="3">
        <f t="shared" si="120"/>
        <v>5713</v>
      </c>
      <c r="B5714" s="65" t="s">
        <v>8306</v>
      </c>
      <c r="C5714" s="1">
        <v>9441819927</v>
      </c>
      <c r="E5714" s="17" t="s">
        <v>7923</v>
      </c>
      <c r="F5714" s="65" t="s">
        <v>303</v>
      </c>
      <c r="G5714" s="3" t="s">
        <v>416</v>
      </c>
      <c r="H5714" s="2" t="s">
        <v>5774</v>
      </c>
      <c r="I5714" s="3" t="s">
        <v>42</v>
      </c>
      <c r="J5714" s="31">
        <v>46034</v>
      </c>
      <c r="K5714" s="31">
        <v>46035</v>
      </c>
      <c r="L5714" s="31"/>
      <c r="M5714" s="31"/>
      <c r="N5714" s="31"/>
      <c r="O5714" s="3" t="s">
        <v>297</v>
      </c>
    </row>
    <row r="5715" spans="1:15">
      <c r="A5715" s="3">
        <f t="shared" si="120"/>
        <v>5714</v>
      </c>
      <c r="B5715" s="65" t="s">
        <v>8307</v>
      </c>
      <c r="C5715" s="1">
        <v>9492391800</v>
      </c>
      <c r="E5715" s="17" t="s">
        <v>7923</v>
      </c>
      <c r="F5715" s="65" t="s">
        <v>8308</v>
      </c>
      <c r="G5715" s="3" t="s">
        <v>416</v>
      </c>
      <c r="H5715" s="2" t="s">
        <v>5774</v>
      </c>
      <c r="I5715" s="3" t="s">
        <v>42</v>
      </c>
      <c r="J5715" s="31">
        <v>46034</v>
      </c>
      <c r="K5715" s="31">
        <v>46035</v>
      </c>
      <c r="L5715" s="31"/>
      <c r="M5715" s="31"/>
      <c r="N5715" s="31"/>
      <c r="O5715" s="3" t="s">
        <v>297</v>
      </c>
    </row>
    <row r="5716" spans="1:15">
      <c r="A5716" s="3">
        <f t="shared" si="120"/>
        <v>5715</v>
      </c>
      <c r="B5716" s="65" t="s">
        <v>8309</v>
      </c>
      <c r="C5716" s="1">
        <v>8249609092</v>
      </c>
      <c r="D5716" s="1">
        <v>8763971681</v>
      </c>
      <c r="E5716" s="17" t="s">
        <v>8310</v>
      </c>
      <c r="F5716" s="65" t="s">
        <v>7561</v>
      </c>
      <c r="G5716" s="3" t="s">
        <v>764</v>
      </c>
      <c r="H5716" s="2" t="s">
        <v>630</v>
      </c>
      <c r="I5716" s="3" t="s">
        <v>94</v>
      </c>
      <c r="J5716" s="31">
        <v>46034</v>
      </c>
      <c r="K5716" s="31">
        <v>46049</v>
      </c>
      <c r="L5716" s="31"/>
      <c r="M5716" s="31"/>
      <c r="N5716" s="31"/>
      <c r="O5716" s="3" t="s">
        <v>425</v>
      </c>
    </row>
    <row r="5717" spans="1:15">
      <c r="A5717" s="3">
        <f t="shared" si="120"/>
        <v>5716</v>
      </c>
      <c r="B5717" s="65" t="s">
        <v>8311</v>
      </c>
      <c r="C5717" s="1">
        <v>9901145939</v>
      </c>
      <c r="E5717" s="17" t="s">
        <v>7968</v>
      </c>
      <c r="F5717" s="65" t="s">
        <v>638</v>
      </c>
      <c r="G5717" s="3" t="s">
        <v>764</v>
      </c>
      <c r="H5717" s="2" t="s">
        <v>630</v>
      </c>
      <c r="I5717" s="3" t="s">
        <v>94</v>
      </c>
      <c r="J5717" s="31">
        <v>46034</v>
      </c>
      <c r="K5717" s="31">
        <v>46049</v>
      </c>
      <c r="L5717" s="31"/>
      <c r="M5717" s="31"/>
      <c r="N5717" s="31"/>
      <c r="O5717" s="3" t="s">
        <v>425</v>
      </c>
    </row>
    <row r="5718" spans="1:15">
      <c r="A5718" s="3">
        <f t="shared" si="120"/>
        <v>5717</v>
      </c>
      <c r="B5718" s="65" t="s">
        <v>8312</v>
      </c>
      <c r="C5718" s="1">
        <v>9555528084</v>
      </c>
      <c r="D5718" s="1">
        <v>6386432498</v>
      </c>
      <c r="E5718" s="17" t="s">
        <v>7968</v>
      </c>
      <c r="F5718" s="65" t="s">
        <v>638</v>
      </c>
      <c r="G5718" s="3" t="s">
        <v>764</v>
      </c>
      <c r="H5718" s="2" t="s">
        <v>630</v>
      </c>
      <c r="I5718" s="3" t="s">
        <v>94</v>
      </c>
      <c r="J5718" s="31">
        <v>46034</v>
      </c>
      <c r="K5718" s="31">
        <v>46049</v>
      </c>
      <c r="L5718" s="31"/>
      <c r="M5718" s="31"/>
      <c r="N5718" s="31"/>
      <c r="O5718" s="3" t="s">
        <v>425</v>
      </c>
    </row>
    <row r="5719" spans="1:15">
      <c r="A5719" s="3">
        <f t="shared" si="120"/>
        <v>5718</v>
      </c>
      <c r="B5719" s="65" t="s">
        <v>8313</v>
      </c>
      <c r="C5719" s="1">
        <v>9561521329</v>
      </c>
      <c r="E5719" s="17" t="s">
        <v>7751</v>
      </c>
      <c r="F5719" s="65" t="s">
        <v>8314</v>
      </c>
      <c r="G5719" s="3" t="s">
        <v>18</v>
      </c>
      <c r="H5719" s="2" t="s">
        <v>296</v>
      </c>
      <c r="I5719" s="3" t="s">
        <v>94</v>
      </c>
      <c r="J5719" s="31">
        <v>46034</v>
      </c>
      <c r="K5719" s="31"/>
      <c r="L5719" s="31"/>
      <c r="M5719" s="31"/>
      <c r="N5719" s="31"/>
      <c r="O5719" s="3" t="s">
        <v>1004</v>
      </c>
    </row>
    <row r="5720" spans="1:15">
      <c r="A5720" s="3">
        <f t="shared" si="120"/>
        <v>5719</v>
      </c>
      <c r="B5720" s="65" t="s">
        <v>8315</v>
      </c>
      <c r="C5720" s="1">
        <v>6388668853</v>
      </c>
      <c r="E5720" s="17" t="s">
        <v>8316</v>
      </c>
      <c r="F5720" s="65" t="s">
        <v>8314</v>
      </c>
      <c r="G5720" s="3" t="s">
        <v>16</v>
      </c>
      <c r="H5720" s="2" t="s">
        <v>296</v>
      </c>
      <c r="I5720" s="3" t="s">
        <v>88</v>
      </c>
      <c r="J5720" s="31">
        <v>46034</v>
      </c>
      <c r="K5720" s="31">
        <v>46040</v>
      </c>
      <c r="L5720" s="31">
        <v>46041</v>
      </c>
      <c r="M5720" s="31">
        <v>46072</v>
      </c>
      <c r="N5720" s="31">
        <v>46072</v>
      </c>
      <c r="O5720" s="3" t="s">
        <v>297</v>
      </c>
    </row>
    <row r="5721" spans="1:15">
      <c r="A5721" s="3">
        <f t="shared" si="120"/>
        <v>5720</v>
      </c>
      <c r="B5721" s="65" t="s">
        <v>8317</v>
      </c>
      <c r="C5721" s="1">
        <v>8971739484</v>
      </c>
      <c r="E5721" s="17" t="s">
        <v>7751</v>
      </c>
      <c r="F5721" s="65" t="s">
        <v>8314</v>
      </c>
      <c r="G5721" s="3" t="s">
        <v>295</v>
      </c>
      <c r="H5721" s="2" t="s">
        <v>296</v>
      </c>
      <c r="I5721" s="3" t="s">
        <v>94</v>
      </c>
      <c r="J5721" s="31">
        <v>46034</v>
      </c>
      <c r="K5721" s="31">
        <v>46035</v>
      </c>
      <c r="L5721" s="31">
        <v>46041</v>
      </c>
      <c r="M5721" s="31">
        <v>46063</v>
      </c>
      <c r="N5721" s="31"/>
      <c r="O5721" s="3" t="s">
        <v>297</v>
      </c>
    </row>
    <row r="5722" spans="1:15">
      <c r="A5722" s="3">
        <f t="shared" si="120"/>
        <v>5721</v>
      </c>
      <c r="B5722" s="65" t="s">
        <v>2942</v>
      </c>
      <c r="C5722" s="1">
        <v>6393935528</v>
      </c>
      <c r="E5722" s="17" t="s">
        <v>8044</v>
      </c>
      <c r="F5722" s="65" t="s">
        <v>8041</v>
      </c>
      <c r="G5722" s="3" t="s">
        <v>16</v>
      </c>
      <c r="H5722" s="2" t="s">
        <v>930</v>
      </c>
      <c r="I5722" s="3" t="s">
        <v>94</v>
      </c>
      <c r="J5722" s="31">
        <v>46034</v>
      </c>
      <c r="K5722" s="31">
        <v>46051</v>
      </c>
      <c r="L5722" s="31">
        <v>46052</v>
      </c>
      <c r="M5722" s="31">
        <v>46069</v>
      </c>
      <c r="N5722" s="31">
        <v>46069</v>
      </c>
      <c r="O5722" s="3" t="s">
        <v>297</v>
      </c>
    </row>
    <row r="5723" spans="1:15">
      <c r="A5723" s="3">
        <f t="shared" si="120"/>
        <v>5722</v>
      </c>
      <c r="B5723" s="65" t="s">
        <v>8318</v>
      </c>
      <c r="C5723" s="1">
        <v>9415817697</v>
      </c>
      <c r="D5723" s="1">
        <v>9935683308</v>
      </c>
      <c r="E5723" s="17" t="s">
        <v>8044</v>
      </c>
      <c r="F5723" s="65" t="s">
        <v>1935</v>
      </c>
      <c r="G5723" s="3" t="s">
        <v>424</v>
      </c>
      <c r="H5723" s="2" t="s">
        <v>930</v>
      </c>
      <c r="I5723" s="3" t="s">
        <v>94</v>
      </c>
      <c r="J5723" s="31">
        <v>46034</v>
      </c>
      <c r="K5723" s="31">
        <v>46052</v>
      </c>
      <c r="L5723" s="31"/>
      <c r="M5723" s="31"/>
      <c r="N5723" s="31"/>
      <c r="O5723" s="3" t="s">
        <v>425</v>
      </c>
    </row>
    <row r="5724" spans="1:15">
      <c r="A5724" s="3">
        <f t="shared" si="120"/>
        <v>5723</v>
      </c>
      <c r="B5724" s="65" t="s">
        <v>8319</v>
      </c>
      <c r="C5724" s="1">
        <v>7974079707</v>
      </c>
      <c r="E5724" s="17" t="s">
        <v>7057</v>
      </c>
      <c r="F5724" s="65" t="s">
        <v>294</v>
      </c>
      <c r="G5724" s="3" t="s">
        <v>16</v>
      </c>
      <c r="H5724" s="2" t="s">
        <v>296</v>
      </c>
      <c r="I5724" s="3" t="s">
        <v>94</v>
      </c>
      <c r="J5724" s="31">
        <v>46034</v>
      </c>
      <c r="K5724" s="31">
        <v>46034</v>
      </c>
      <c r="L5724" s="31">
        <v>46041</v>
      </c>
      <c r="M5724" s="31">
        <v>46074</v>
      </c>
      <c r="N5724" s="31">
        <v>46074</v>
      </c>
      <c r="O5724" s="3" t="s">
        <v>297</v>
      </c>
    </row>
    <row r="5725" spans="1:15">
      <c r="A5725" s="3">
        <f t="shared" si="120"/>
        <v>5724</v>
      </c>
      <c r="B5725" s="65" t="s">
        <v>8320</v>
      </c>
      <c r="C5725" s="1">
        <v>8840151148</v>
      </c>
      <c r="D5725" s="1">
        <v>7897536465</v>
      </c>
      <c r="E5725" s="17" t="s">
        <v>7573</v>
      </c>
      <c r="F5725" s="65" t="s">
        <v>443</v>
      </c>
      <c r="G5725" s="3" t="s">
        <v>15</v>
      </c>
      <c r="H5725" s="2" t="s">
        <v>296</v>
      </c>
      <c r="I5725" s="3" t="s">
        <v>94</v>
      </c>
      <c r="J5725" s="31">
        <v>46034</v>
      </c>
      <c r="K5725" s="31">
        <v>46043</v>
      </c>
      <c r="L5725" s="31">
        <v>46052</v>
      </c>
      <c r="M5725" s="31">
        <v>46114</v>
      </c>
      <c r="N5725" s="31"/>
      <c r="O5725" s="3" t="s">
        <v>297</v>
      </c>
    </row>
    <row r="5726" spans="1:15">
      <c r="A5726" s="3">
        <f t="shared" si="120"/>
        <v>5725</v>
      </c>
      <c r="B5726" s="65" t="s">
        <v>8321</v>
      </c>
      <c r="C5726" s="1">
        <v>9550201837</v>
      </c>
      <c r="E5726" s="17" t="s">
        <v>7050</v>
      </c>
      <c r="F5726" s="65" t="s">
        <v>8322</v>
      </c>
      <c r="G5726" s="3" t="s">
        <v>424</v>
      </c>
      <c r="H5726" s="2" t="s">
        <v>2425</v>
      </c>
      <c r="I5726" s="3" t="s">
        <v>42</v>
      </c>
      <c r="J5726" s="31">
        <v>46035</v>
      </c>
      <c r="K5726" s="31">
        <v>46077</v>
      </c>
      <c r="L5726" s="31"/>
      <c r="M5726" s="31"/>
      <c r="N5726" s="31"/>
      <c r="O5726" s="3" t="s">
        <v>425</v>
      </c>
    </row>
    <row r="5727" spans="1:15">
      <c r="A5727" s="3">
        <f>ROW()-1</f>
        <v>5726</v>
      </c>
      <c r="B5727" s="65" t="s">
        <v>8323</v>
      </c>
      <c r="C5727" s="1">
        <v>7866058031</v>
      </c>
      <c r="E5727" s="17" t="s">
        <v>5966</v>
      </c>
      <c r="F5727" s="65" t="s">
        <v>8324</v>
      </c>
      <c r="G5727" s="3" t="s">
        <v>416</v>
      </c>
      <c r="H5727" s="2" t="s">
        <v>5774</v>
      </c>
      <c r="I5727" s="3" t="s">
        <v>42</v>
      </c>
      <c r="J5727" s="31">
        <v>46034</v>
      </c>
      <c r="K5727" s="31">
        <v>46035</v>
      </c>
      <c r="L5727" s="31"/>
      <c r="M5727" s="31"/>
      <c r="N5727" s="31"/>
      <c r="O5727" s="3" t="s">
        <v>297</v>
      </c>
    </row>
    <row r="5728" spans="1:15">
      <c r="A5728" s="3">
        <f t="shared" ref="A5728:A5748" si="121">ROW()-1</f>
        <v>5727</v>
      </c>
      <c r="B5728" s="65" t="s">
        <v>8325</v>
      </c>
      <c r="C5728" s="1">
        <v>8084946798</v>
      </c>
      <c r="E5728" s="17" t="s">
        <v>5560</v>
      </c>
      <c r="F5728" s="65" t="s">
        <v>275</v>
      </c>
      <c r="G5728" s="3" t="s">
        <v>424</v>
      </c>
      <c r="H5728" s="2" t="s">
        <v>6158</v>
      </c>
      <c r="I5728" s="3" t="s">
        <v>42</v>
      </c>
      <c r="J5728" s="31">
        <v>46035</v>
      </c>
      <c r="K5728" s="31">
        <v>46111</v>
      </c>
      <c r="L5728" s="31"/>
      <c r="M5728" s="31"/>
      <c r="N5728" s="31"/>
      <c r="O5728" s="3" t="s">
        <v>425</v>
      </c>
    </row>
    <row r="5729" spans="1:15">
      <c r="A5729" s="3">
        <f t="shared" si="121"/>
        <v>5728</v>
      </c>
      <c r="B5729" s="65" t="s">
        <v>8326</v>
      </c>
      <c r="C5729" s="1">
        <v>9740921805</v>
      </c>
      <c r="E5729" s="17" t="s">
        <v>5560</v>
      </c>
      <c r="F5729" s="65" t="s">
        <v>275</v>
      </c>
      <c r="G5729" s="3" t="s">
        <v>7030</v>
      </c>
      <c r="H5729" s="2" t="s">
        <v>6158</v>
      </c>
      <c r="I5729" s="3" t="s">
        <v>42</v>
      </c>
      <c r="J5729" s="31">
        <v>46035</v>
      </c>
      <c r="K5729" s="31"/>
      <c r="L5729" s="31"/>
      <c r="M5729" s="31"/>
      <c r="N5729" s="31"/>
      <c r="O5729" s="3" t="s">
        <v>1004</v>
      </c>
    </row>
    <row r="5730" spans="1:15">
      <c r="A5730" s="3">
        <f t="shared" si="121"/>
        <v>5729</v>
      </c>
      <c r="B5730" s="65" t="s">
        <v>8327</v>
      </c>
      <c r="C5730" s="1">
        <v>7989831699</v>
      </c>
      <c r="E5730" s="17" t="s">
        <v>7805</v>
      </c>
      <c r="F5730" s="65" t="s">
        <v>294</v>
      </c>
      <c r="G5730" s="3" t="s">
        <v>16</v>
      </c>
      <c r="H5730" s="2" t="s">
        <v>6158</v>
      </c>
      <c r="I5730" s="3" t="s">
        <v>42</v>
      </c>
      <c r="J5730" s="31">
        <v>46035</v>
      </c>
      <c r="K5730" s="31">
        <v>46069</v>
      </c>
      <c r="L5730" s="31">
        <v>46073</v>
      </c>
      <c r="M5730" s="31">
        <v>46088</v>
      </c>
      <c r="N5730" s="31">
        <v>46091</v>
      </c>
      <c r="O5730" s="3" t="s">
        <v>297</v>
      </c>
    </row>
    <row r="5731" spans="1:15">
      <c r="A5731" s="3">
        <f t="shared" si="121"/>
        <v>5730</v>
      </c>
      <c r="B5731" s="65" t="s">
        <v>8328</v>
      </c>
      <c r="C5731" s="1">
        <v>9493946339</v>
      </c>
      <c r="E5731" s="17" t="s">
        <v>7685</v>
      </c>
      <c r="F5731" s="65" t="s">
        <v>8329</v>
      </c>
      <c r="G5731" s="3" t="s">
        <v>416</v>
      </c>
      <c r="H5731" s="2" t="s">
        <v>5774</v>
      </c>
      <c r="I5731" s="3" t="s">
        <v>42</v>
      </c>
      <c r="J5731" s="31">
        <v>46038</v>
      </c>
      <c r="K5731" s="31">
        <v>46041</v>
      </c>
      <c r="L5731" s="31"/>
      <c r="M5731" s="31"/>
      <c r="N5731" s="31"/>
      <c r="O5731" s="3" t="s">
        <v>297</v>
      </c>
    </row>
    <row r="5732" spans="1:15">
      <c r="A5732" s="3">
        <f t="shared" si="121"/>
        <v>5731</v>
      </c>
      <c r="B5732" s="65" t="s">
        <v>8330</v>
      </c>
      <c r="C5732" s="1">
        <v>8919727195</v>
      </c>
      <c r="E5732" s="17" t="s">
        <v>5966</v>
      </c>
      <c r="F5732" s="65" t="s">
        <v>8331</v>
      </c>
      <c r="G5732" s="3" t="s">
        <v>416</v>
      </c>
      <c r="H5732" s="2" t="s">
        <v>5774</v>
      </c>
      <c r="I5732" s="3" t="s">
        <v>42</v>
      </c>
      <c r="J5732" s="31">
        <v>46038</v>
      </c>
      <c r="K5732" s="31">
        <v>46041</v>
      </c>
      <c r="L5732" s="31"/>
      <c r="M5732" s="31"/>
      <c r="N5732" s="31"/>
      <c r="O5732" s="3" t="s">
        <v>297</v>
      </c>
    </row>
    <row r="5733" spans="1:15">
      <c r="A5733" s="3">
        <f t="shared" si="121"/>
        <v>5732</v>
      </c>
      <c r="B5733" s="65" t="s">
        <v>8332</v>
      </c>
      <c r="C5733" s="1">
        <v>7676300394</v>
      </c>
      <c r="E5733" s="17" t="s">
        <v>5560</v>
      </c>
      <c r="F5733" s="65" t="s">
        <v>1666</v>
      </c>
      <c r="G5733" s="3" t="s">
        <v>416</v>
      </c>
      <c r="H5733" s="2" t="s">
        <v>5774</v>
      </c>
      <c r="I5733" s="3" t="s">
        <v>42</v>
      </c>
      <c r="J5733" s="31">
        <v>46038</v>
      </c>
      <c r="K5733" s="31">
        <v>46041</v>
      </c>
      <c r="L5733" s="31"/>
      <c r="M5733" s="31"/>
      <c r="N5733" s="31"/>
      <c r="O5733" s="3" t="s">
        <v>297</v>
      </c>
    </row>
    <row r="5734" spans="1:15">
      <c r="A5734" s="3">
        <f t="shared" si="121"/>
        <v>5733</v>
      </c>
      <c r="B5734" s="65" t="s">
        <v>8333</v>
      </c>
      <c r="C5734" s="1">
        <v>9493511073</v>
      </c>
      <c r="E5734" s="17" t="s">
        <v>6537</v>
      </c>
      <c r="F5734" s="65" t="s">
        <v>1312</v>
      </c>
      <c r="G5734" s="3" t="s">
        <v>764</v>
      </c>
      <c r="H5734" s="2" t="s">
        <v>5774</v>
      </c>
      <c r="I5734" s="3" t="s">
        <v>42</v>
      </c>
      <c r="J5734" s="31">
        <v>46038</v>
      </c>
      <c r="K5734" s="31">
        <v>46041</v>
      </c>
      <c r="L5734" s="31"/>
      <c r="M5734" s="31"/>
      <c r="N5734" s="31"/>
      <c r="O5734" s="3" t="s">
        <v>425</v>
      </c>
    </row>
    <row r="5735" spans="1:15">
      <c r="A5735" s="3">
        <f t="shared" si="121"/>
        <v>5734</v>
      </c>
      <c r="B5735" s="65" t="s">
        <v>8334</v>
      </c>
      <c r="C5735" s="1">
        <v>7731998625</v>
      </c>
      <c r="E5735" s="17" t="s">
        <v>6537</v>
      </c>
      <c r="F5735" s="65" t="s">
        <v>1312</v>
      </c>
      <c r="G5735" s="2" t="s">
        <v>416</v>
      </c>
      <c r="H5735" s="2" t="s">
        <v>5774</v>
      </c>
      <c r="I5735" s="3" t="s">
        <v>42</v>
      </c>
      <c r="J5735" s="31">
        <v>46038</v>
      </c>
      <c r="K5735" s="31">
        <v>46041</v>
      </c>
      <c r="L5735" s="31"/>
      <c r="M5735" s="31"/>
      <c r="N5735" s="31"/>
      <c r="O5735" s="3" t="s">
        <v>297</v>
      </c>
    </row>
    <row r="5736" spans="1:15">
      <c r="A5736" s="3">
        <f t="shared" si="121"/>
        <v>5735</v>
      </c>
      <c r="B5736" s="65" t="s">
        <v>8335</v>
      </c>
      <c r="C5736" s="1">
        <v>9963937878</v>
      </c>
      <c r="E5736" s="17" t="s">
        <v>6537</v>
      </c>
      <c r="F5736" s="65" t="s">
        <v>329</v>
      </c>
      <c r="G5736" s="3" t="s">
        <v>416</v>
      </c>
      <c r="H5736" s="2" t="s">
        <v>5774</v>
      </c>
      <c r="I5736" s="3" t="s">
        <v>42</v>
      </c>
      <c r="J5736" s="31">
        <v>46038</v>
      </c>
      <c r="K5736" s="31">
        <v>46041</v>
      </c>
      <c r="L5736" s="31"/>
      <c r="M5736" s="31"/>
      <c r="N5736" s="31"/>
      <c r="O5736" s="3" t="s">
        <v>297</v>
      </c>
    </row>
    <row r="5737" spans="1:15">
      <c r="A5737" s="3">
        <f t="shared" si="121"/>
        <v>5736</v>
      </c>
      <c r="B5737" s="65" t="s">
        <v>8336</v>
      </c>
      <c r="C5737" s="1">
        <v>9985583372</v>
      </c>
      <c r="E5737" s="17" t="s">
        <v>5560</v>
      </c>
      <c r="F5737" s="65" t="s">
        <v>1666</v>
      </c>
      <c r="G5737" s="3" t="s">
        <v>1175</v>
      </c>
      <c r="H5737" s="2" t="s">
        <v>8337</v>
      </c>
      <c r="I5737" s="3" t="s">
        <v>42</v>
      </c>
      <c r="J5737" s="31">
        <v>46038</v>
      </c>
      <c r="K5737" s="31"/>
      <c r="L5737" s="31"/>
      <c r="M5737" s="31"/>
      <c r="N5737" s="31"/>
      <c r="O5737" s="3" t="s">
        <v>1004</v>
      </c>
    </row>
    <row r="5738" spans="1:15">
      <c r="A5738" s="3">
        <f t="shared" si="121"/>
        <v>5737</v>
      </c>
      <c r="B5738" s="65" t="s">
        <v>8338</v>
      </c>
      <c r="C5738" s="1">
        <v>9500982855</v>
      </c>
      <c r="E5738" s="17" t="s">
        <v>6537</v>
      </c>
      <c r="F5738" s="65" t="s">
        <v>1312</v>
      </c>
      <c r="G5738" s="3" t="s">
        <v>15</v>
      </c>
      <c r="H5738" s="2" t="s">
        <v>5774</v>
      </c>
      <c r="I5738" s="3" t="s">
        <v>42</v>
      </c>
      <c r="J5738" s="31">
        <v>46038</v>
      </c>
      <c r="K5738" s="31">
        <v>46045</v>
      </c>
      <c r="L5738" s="31">
        <v>46045</v>
      </c>
      <c r="M5738" s="31">
        <v>46096</v>
      </c>
      <c r="N5738" s="31"/>
      <c r="O5738" s="3" t="s">
        <v>297</v>
      </c>
    </row>
    <row r="5739" spans="1:15">
      <c r="A5739" s="3">
        <f t="shared" si="121"/>
        <v>5738</v>
      </c>
      <c r="B5739" s="65" t="s">
        <v>8339</v>
      </c>
      <c r="C5739" s="1">
        <v>9985093316</v>
      </c>
      <c r="E5739" s="17" t="s">
        <v>8244</v>
      </c>
      <c r="F5739" s="65" t="s">
        <v>8340</v>
      </c>
      <c r="G5739" s="3" t="s">
        <v>764</v>
      </c>
      <c r="H5739" s="2" t="s">
        <v>3240</v>
      </c>
      <c r="I5739" s="3" t="s">
        <v>42</v>
      </c>
      <c r="J5739" s="31">
        <v>46038</v>
      </c>
      <c r="K5739" s="31">
        <v>46045</v>
      </c>
      <c r="L5739" s="31"/>
      <c r="M5739" s="31"/>
      <c r="N5739" s="31"/>
      <c r="O5739" s="3" t="s">
        <v>425</v>
      </c>
    </row>
    <row r="5740" spans="1:15">
      <c r="A5740" s="3">
        <f t="shared" si="121"/>
        <v>5739</v>
      </c>
      <c r="B5740" s="65" t="s">
        <v>8341</v>
      </c>
      <c r="C5740" s="1">
        <v>9963246259</v>
      </c>
      <c r="E5740" s="17" t="s">
        <v>8244</v>
      </c>
      <c r="F5740" s="65" t="s">
        <v>8342</v>
      </c>
      <c r="G5740" s="3" t="s">
        <v>764</v>
      </c>
      <c r="H5740" s="2" t="s">
        <v>3240</v>
      </c>
      <c r="I5740" s="3" t="s">
        <v>42</v>
      </c>
      <c r="J5740" s="31">
        <v>46038</v>
      </c>
      <c r="K5740" s="31">
        <v>46045</v>
      </c>
      <c r="L5740" s="31"/>
      <c r="M5740" s="31"/>
      <c r="N5740" s="31"/>
      <c r="O5740" s="3" t="s">
        <v>425</v>
      </c>
    </row>
    <row r="5741" spans="1:15">
      <c r="A5741" s="3">
        <f t="shared" si="121"/>
        <v>5740</v>
      </c>
      <c r="B5741" s="65" t="s">
        <v>7501</v>
      </c>
      <c r="C5741" s="1">
        <v>6281584580</v>
      </c>
      <c r="E5741" s="17" t="s">
        <v>8244</v>
      </c>
      <c r="F5741" s="65" t="s">
        <v>8340</v>
      </c>
      <c r="G5741" s="3" t="s">
        <v>295</v>
      </c>
      <c r="H5741" s="2" t="s">
        <v>3240</v>
      </c>
      <c r="I5741" s="3" t="s">
        <v>42</v>
      </c>
      <c r="J5741" s="31">
        <v>46038</v>
      </c>
      <c r="K5741" s="31">
        <v>46045</v>
      </c>
      <c r="L5741" s="31">
        <v>46045</v>
      </c>
      <c r="M5741" s="31">
        <v>46083</v>
      </c>
      <c r="N5741" s="31"/>
      <c r="O5741" s="3" t="s">
        <v>297</v>
      </c>
    </row>
    <row r="5742" spans="1:15">
      <c r="A5742" s="3">
        <f t="shared" si="121"/>
        <v>5741</v>
      </c>
      <c r="B5742" s="65" t="s">
        <v>8343</v>
      </c>
      <c r="C5742" s="1">
        <v>8500302335</v>
      </c>
      <c r="E5742" s="17" t="s">
        <v>8244</v>
      </c>
      <c r="F5742" s="65" t="s">
        <v>1312</v>
      </c>
      <c r="G5742" s="3" t="s">
        <v>764</v>
      </c>
      <c r="H5742" s="2" t="s">
        <v>3240</v>
      </c>
      <c r="I5742" s="3" t="s">
        <v>42</v>
      </c>
      <c r="J5742" s="31">
        <v>46038</v>
      </c>
      <c r="K5742" s="31">
        <v>46045</v>
      </c>
      <c r="L5742" s="31"/>
      <c r="M5742" s="31"/>
      <c r="N5742" s="31"/>
      <c r="O5742" s="3" t="s">
        <v>425</v>
      </c>
    </row>
    <row r="5743" spans="1:15">
      <c r="A5743" s="3">
        <f t="shared" si="121"/>
        <v>5742</v>
      </c>
      <c r="B5743" s="65" t="s">
        <v>8344</v>
      </c>
      <c r="C5743" s="1">
        <v>6303869582</v>
      </c>
      <c r="E5743" s="17" t="s">
        <v>8244</v>
      </c>
      <c r="F5743" s="65" t="s">
        <v>8345</v>
      </c>
      <c r="G5743" s="3" t="s">
        <v>764</v>
      </c>
      <c r="H5743" s="2" t="s">
        <v>3240</v>
      </c>
      <c r="I5743" s="3" t="s">
        <v>42</v>
      </c>
      <c r="J5743" s="31">
        <v>46038</v>
      </c>
      <c r="K5743" s="31">
        <v>46045</v>
      </c>
      <c r="L5743" s="31"/>
      <c r="M5743" s="31"/>
      <c r="N5743" s="31"/>
      <c r="O5743" s="3" t="s">
        <v>425</v>
      </c>
    </row>
    <row r="5744" spans="1:15">
      <c r="A5744" s="3">
        <f t="shared" si="121"/>
        <v>5743</v>
      </c>
      <c r="B5744" s="65" t="s">
        <v>8346</v>
      </c>
      <c r="C5744" s="1">
        <v>9057360298</v>
      </c>
      <c r="E5744" s="17" t="s">
        <v>8244</v>
      </c>
      <c r="F5744" s="65" t="s">
        <v>1312</v>
      </c>
      <c r="G5744" s="3" t="s">
        <v>764</v>
      </c>
      <c r="H5744" s="2" t="s">
        <v>3240</v>
      </c>
      <c r="I5744" s="3" t="s">
        <v>42</v>
      </c>
      <c r="J5744" s="31">
        <v>46038</v>
      </c>
      <c r="K5744" s="31">
        <v>46045</v>
      </c>
      <c r="L5744" s="31"/>
      <c r="M5744" s="31"/>
      <c r="N5744" s="31"/>
      <c r="O5744" s="3" t="s">
        <v>425</v>
      </c>
    </row>
    <row r="5745" spans="1:15">
      <c r="A5745" s="3">
        <f t="shared" si="121"/>
        <v>5744</v>
      </c>
      <c r="B5745" s="65" t="s">
        <v>1627</v>
      </c>
      <c r="C5745" s="1">
        <v>9494637011</v>
      </c>
      <c r="E5745" s="17" t="s">
        <v>8244</v>
      </c>
      <c r="F5745" s="65" t="s">
        <v>3160</v>
      </c>
      <c r="G5745" s="3" t="s">
        <v>764</v>
      </c>
      <c r="H5745" s="2" t="s">
        <v>3240</v>
      </c>
      <c r="I5745" s="3" t="s">
        <v>42</v>
      </c>
      <c r="J5745" s="31">
        <v>46038</v>
      </c>
      <c r="K5745" s="31">
        <v>46045</v>
      </c>
      <c r="L5745" s="31"/>
      <c r="M5745" s="31"/>
      <c r="N5745" s="31"/>
      <c r="O5745" s="3" t="s">
        <v>425</v>
      </c>
    </row>
    <row r="5746" spans="1:15">
      <c r="A5746" s="3">
        <f t="shared" si="121"/>
        <v>5745</v>
      </c>
      <c r="B5746" s="65" t="s">
        <v>8347</v>
      </c>
      <c r="C5746" s="1">
        <v>8886502501</v>
      </c>
      <c r="E5746" s="17" t="s">
        <v>8244</v>
      </c>
      <c r="F5746" s="65" t="s">
        <v>3160</v>
      </c>
      <c r="G5746" s="3" t="s">
        <v>764</v>
      </c>
      <c r="H5746" s="2" t="s">
        <v>3240</v>
      </c>
      <c r="I5746" s="3" t="s">
        <v>42</v>
      </c>
      <c r="J5746" s="31">
        <v>46038</v>
      </c>
      <c r="K5746" s="31">
        <v>46045</v>
      </c>
      <c r="L5746" s="31"/>
      <c r="M5746" s="31"/>
      <c r="N5746" s="31"/>
      <c r="O5746" s="3" t="s">
        <v>425</v>
      </c>
    </row>
    <row r="5747" spans="1:15">
      <c r="A5747" s="3">
        <f t="shared" si="121"/>
        <v>5746</v>
      </c>
      <c r="B5747" s="65" t="s">
        <v>8348</v>
      </c>
      <c r="C5747" s="1">
        <v>8512926755</v>
      </c>
      <c r="E5747" s="17" t="s">
        <v>6537</v>
      </c>
      <c r="F5747" s="65" t="s">
        <v>8349</v>
      </c>
      <c r="G5747" s="3" t="s">
        <v>295</v>
      </c>
      <c r="H5747" s="2" t="s">
        <v>6158</v>
      </c>
      <c r="I5747" s="3" t="s">
        <v>42</v>
      </c>
      <c r="J5747" s="31">
        <v>46038</v>
      </c>
      <c r="K5747" s="31">
        <v>46043</v>
      </c>
      <c r="L5747" s="31">
        <v>46045</v>
      </c>
      <c r="M5747" s="31">
        <v>46069</v>
      </c>
      <c r="N5747" s="31"/>
      <c r="O5747" s="3" t="s">
        <v>297</v>
      </c>
    </row>
    <row r="5748" spans="1:15">
      <c r="A5748" s="3">
        <f t="shared" si="121"/>
        <v>5747</v>
      </c>
      <c r="B5748" s="65" t="s">
        <v>8350</v>
      </c>
      <c r="C5748" s="1">
        <v>9133467036</v>
      </c>
      <c r="E5748" s="17" t="s">
        <v>7366</v>
      </c>
      <c r="F5748" s="65" t="s">
        <v>8351</v>
      </c>
      <c r="G5748" s="3" t="s">
        <v>16</v>
      </c>
      <c r="H5748" s="2" t="s">
        <v>6158</v>
      </c>
      <c r="I5748" s="3" t="s">
        <v>42</v>
      </c>
      <c r="J5748" s="31">
        <v>46038</v>
      </c>
      <c r="K5748" s="31">
        <v>46043</v>
      </c>
      <c r="L5748" s="31">
        <v>46045</v>
      </c>
      <c r="M5748" s="31">
        <v>46091</v>
      </c>
      <c r="N5748" s="31">
        <v>46091</v>
      </c>
      <c r="O5748" s="3" t="s">
        <v>297</v>
      </c>
    </row>
    <row r="5749" spans="1:15">
      <c r="A5749" s="3">
        <f>ROW()-1</f>
        <v>5748</v>
      </c>
      <c r="B5749" s="65" t="s">
        <v>8352</v>
      </c>
      <c r="C5749" s="1">
        <v>8754221476</v>
      </c>
      <c r="E5749" s="17" t="s">
        <v>5966</v>
      </c>
      <c r="F5749" s="65" t="s">
        <v>8353</v>
      </c>
      <c r="G5749" s="3" t="s">
        <v>15</v>
      </c>
      <c r="H5749" s="2" t="s">
        <v>6158</v>
      </c>
      <c r="I5749" s="3" t="s">
        <v>42</v>
      </c>
      <c r="J5749" s="31">
        <v>46038</v>
      </c>
      <c r="K5749" s="31">
        <v>46043</v>
      </c>
      <c r="L5749" s="31">
        <v>46045</v>
      </c>
      <c r="M5749" s="31">
        <v>46112</v>
      </c>
      <c r="N5749" s="31"/>
      <c r="O5749" s="3" t="s">
        <v>297</v>
      </c>
    </row>
    <row r="5750" spans="1:15">
      <c r="A5750" s="3">
        <f>ROW()-1</f>
        <v>5749</v>
      </c>
      <c r="B5750" s="65" t="s">
        <v>8354</v>
      </c>
      <c r="C5750" s="1">
        <v>7671863083</v>
      </c>
      <c r="E5750" s="17" t="s">
        <v>8355</v>
      </c>
      <c r="F5750" s="65" t="s">
        <v>8356</v>
      </c>
      <c r="G5750" s="3" t="s">
        <v>16</v>
      </c>
      <c r="H5750" s="2" t="s">
        <v>6158</v>
      </c>
      <c r="I5750" s="3" t="s">
        <v>42</v>
      </c>
      <c r="J5750" s="31">
        <v>46038</v>
      </c>
      <c r="K5750" s="31">
        <v>46041</v>
      </c>
      <c r="L5750" s="31">
        <v>46041</v>
      </c>
      <c r="M5750" s="31">
        <v>46073</v>
      </c>
      <c r="N5750" s="31">
        <v>46069</v>
      </c>
      <c r="O5750" s="3" t="s">
        <v>297</v>
      </c>
    </row>
    <row r="5751" spans="1:15">
      <c r="A5751" s="3">
        <f t="shared" ref="A5751:A5765" si="122">ROW()-1</f>
        <v>5750</v>
      </c>
      <c r="B5751" s="65" t="s">
        <v>8357</v>
      </c>
      <c r="C5751" s="1">
        <v>8008238231</v>
      </c>
      <c r="E5751" s="17" t="s">
        <v>5915</v>
      </c>
      <c r="F5751" s="65" t="s">
        <v>2442</v>
      </c>
      <c r="G5751" s="3" t="s">
        <v>16</v>
      </c>
      <c r="H5751" s="2" t="s">
        <v>5774</v>
      </c>
      <c r="I5751" s="3" t="s">
        <v>42</v>
      </c>
      <c r="J5751" s="31">
        <v>46041</v>
      </c>
      <c r="K5751" s="31">
        <v>46042</v>
      </c>
      <c r="L5751" s="31">
        <v>46045</v>
      </c>
      <c r="M5751" s="31">
        <v>46082</v>
      </c>
      <c r="N5751" s="31">
        <v>46091</v>
      </c>
      <c r="O5751" s="3" t="s">
        <v>297</v>
      </c>
    </row>
    <row r="5752" spans="1:15">
      <c r="A5752" s="3">
        <f t="shared" si="122"/>
        <v>5751</v>
      </c>
      <c r="B5752" s="65" t="s">
        <v>8358</v>
      </c>
      <c r="C5752" s="1">
        <v>9550945443</v>
      </c>
      <c r="E5752" s="17" t="s">
        <v>5966</v>
      </c>
      <c r="F5752" s="65" t="s">
        <v>8359</v>
      </c>
      <c r="G5752" s="3" t="s">
        <v>16</v>
      </c>
      <c r="H5752" s="2" t="s">
        <v>5774</v>
      </c>
      <c r="I5752" s="3" t="s">
        <v>42</v>
      </c>
      <c r="J5752" s="31">
        <v>46041</v>
      </c>
      <c r="K5752" s="31">
        <v>46042</v>
      </c>
      <c r="L5752" s="31">
        <v>46045</v>
      </c>
      <c r="M5752" s="31">
        <v>46063</v>
      </c>
      <c r="N5752" s="31">
        <v>46064</v>
      </c>
      <c r="O5752" s="3" t="s">
        <v>297</v>
      </c>
    </row>
    <row r="5753" spans="1:15">
      <c r="A5753" s="3">
        <f t="shared" si="122"/>
        <v>5752</v>
      </c>
      <c r="B5753" s="65" t="s">
        <v>8360</v>
      </c>
      <c r="C5753" s="1">
        <v>8572965901</v>
      </c>
      <c r="E5753" s="17" t="s">
        <v>8361</v>
      </c>
      <c r="F5753" s="65" t="s">
        <v>2697</v>
      </c>
      <c r="G5753" s="3" t="s">
        <v>764</v>
      </c>
      <c r="H5753" s="2" t="s">
        <v>5774</v>
      </c>
      <c r="I5753" s="3" t="s">
        <v>42</v>
      </c>
      <c r="J5753" s="31">
        <v>46041</v>
      </c>
      <c r="K5753" s="31">
        <v>46042</v>
      </c>
      <c r="L5753" s="31"/>
      <c r="M5753" s="31"/>
      <c r="N5753" s="31"/>
      <c r="O5753" s="3" t="s">
        <v>425</v>
      </c>
    </row>
    <row r="5754" spans="1:15">
      <c r="A5754" s="3">
        <f t="shared" si="122"/>
        <v>5753</v>
      </c>
      <c r="B5754" s="65" t="s">
        <v>8362</v>
      </c>
      <c r="C5754" s="1">
        <v>9773843150</v>
      </c>
      <c r="E5754" s="17" t="s">
        <v>5966</v>
      </c>
      <c r="F5754" s="65" t="s">
        <v>8363</v>
      </c>
      <c r="G5754" s="3" t="s">
        <v>764</v>
      </c>
      <c r="H5754" s="2" t="s">
        <v>5774</v>
      </c>
      <c r="I5754" s="3" t="s">
        <v>42</v>
      </c>
      <c r="J5754" s="31">
        <v>46041</v>
      </c>
      <c r="K5754" s="31">
        <v>46042</v>
      </c>
      <c r="L5754" s="31"/>
      <c r="M5754" s="31"/>
      <c r="N5754" s="31"/>
      <c r="O5754" s="3" t="s">
        <v>425</v>
      </c>
    </row>
    <row r="5755" spans="1:15">
      <c r="A5755" s="3">
        <f t="shared" si="122"/>
        <v>5754</v>
      </c>
      <c r="B5755" s="65" t="s">
        <v>8364</v>
      </c>
      <c r="C5755" s="1">
        <v>7382328218</v>
      </c>
      <c r="E5755" s="17" t="s">
        <v>8361</v>
      </c>
      <c r="F5755" s="65" t="s">
        <v>2697</v>
      </c>
      <c r="G5755" s="3" t="s">
        <v>7030</v>
      </c>
      <c r="H5755" s="1" t="s">
        <v>3240</v>
      </c>
      <c r="I5755" s="3" t="s">
        <v>42</v>
      </c>
      <c r="J5755" s="31">
        <v>46041</v>
      </c>
      <c r="K5755" s="31"/>
      <c r="L5755" s="31"/>
      <c r="M5755" s="31"/>
      <c r="N5755" s="31"/>
      <c r="O5755" s="3" t="s">
        <v>1004</v>
      </c>
    </row>
    <row r="5756" spans="1:15">
      <c r="A5756" s="3">
        <f t="shared" si="122"/>
        <v>5755</v>
      </c>
      <c r="B5756" s="65" t="s">
        <v>8365</v>
      </c>
      <c r="C5756" s="1">
        <v>9676243970</v>
      </c>
      <c r="E5756" s="17" t="s">
        <v>5966</v>
      </c>
      <c r="F5756" s="65" t="s">
        <v>2417</v>
      </c>
      <c r="G5756" s="3" t="s">
        <v>16</v>
      </c>
      <c r="H5756" s="2" t="s">
        <v>5774</v>
      </c>
      <c r="I5756" s="3" t="s">
        <v>42</v>
      </c>
      <c r="J5756" s="31">
        <v>46041</v>
      </c>
      <c r="K5756" s="31">
        <v>46042</v>
      </c>
      <c r="L5756" s="31">
        <v>46045</v>
      </c>
      <c r="M5756" s="31">
        <v>46055</v>
      </c>
      <c r="N5756" s="31">
        <v>46055</v>
      </c>
      <c r="O5756" s="3" t="s">
        <v>297</v>
      </c>
    </row>
    <row r="5757" spans="1:15">
      <c r="A5757" s="3">
        <f t="shared" si="122"/>
        <v>5756</v>
      </c>
      <c r="B5757" s="65" t="s">
        <v>8366</v>
      </c>
      <c r="C5757" s="1">
        <v>8247805357</v>
      </c>
      <c r="E5757" s="17" t="s">
        <v>6537</v>
      </c>
      <c r="F5757" s="65" t="s">
        <v>319</v>
      </c>
      <c r="G5757" s="3" t="s">
        <v>14</v>
      </c>
      <c r="H5757" s="2" t="s">
        <v>5774</v>
      </c>
      <c r="I5757" s="3" t="s">
        <v>42</v>
      </c>
      <c r="J5757" s="31">
        <v>46041</v>
      </c>
      <c r="K5757" s="31">
        <v>46108</v>
      </c>
      <c r="L5757" s="31"/>
      <c r="M5757" s="31"/>
      <c r="N5757" s="31"/>
      <c r="O5757" s="3" t="s">
        <v>297</v>
      </c>
    </row>
    <row r="5758" spans="1:15">
      <c r="A5758" s="3">
        <f t="shared" si="122"/>
        <v>5757</v>
      </c>
      <c r="B5758" s="65" t="s">
        <v>8367</v>
      </c>
      <c r="C5758" s="1">
        <v>8103037094</v>
      </c>
      <c r="E5758" s="17" t="s">
        <v>6537</v>
      </c>
      <c r="F5758" s="65" t="s">
        <v>7983</v>
      </c>
      <c r="G5758" s="3" t="s">
        <v>764</v>
      </c>
      <c r="H5758" s="2" t="s">
        <v>5774</v>
      </c>
      <c r="I5758" s="3" t="s">
        <v>42</v>
      </c>
      <c r="J5758" s="31">
        <v>46041</v>
      </c>
      <c r="K5758" s="31">
        <v>46042</v>
      </c>
      <c r="L5758" s="31"/>
      <c r="M5758" s="31"/>
      <c r="N5758" s="31"/>
      <c r="O5758" s="3" t="s">
        <v>425</v>
      </c>
    </row>
    <row r="5759" spans="1:15">
      <c r="A5759" s="3">
        <f t="shared" si="122"/>
        <v>5758</v>
      </c>
      <c r="B5759" s="65" t="s">
        <v>8368</v>
      </c>
      <c r="C5759" s="1">
        <v>9250648493</v>
      </c>
      <c r="E5759" s="17" t="s">
        <v>7923</v>
      </c>
      <c r="F5759" s="65" t="s">
        <v>303</v>
      </c>
      <c r="G5759" s="3" t="s">
        <v>16</v>
      </c>
      <c r="H5759" s="2" t="s">
        <v>3240</v>
      </c>
      <c r="I5759" s="3" t="s">
        <v>42</v>
      </c>
      <c r="J5759" s="31">
        <v>46041</v>
      </c>
      <c r="K5759" s="31">
        <v>46045</v>
      </c>
      <c r="L5759" s="31">
        <v>46045</v>
      </c>
      <c r="M5759" s="31">
        <v>46063</v>
      </c>
      <c r="N5759" s="31">
        <v>46063</v>
      </c>
      <c r="O5759" s="3" t="s">
        <v>297</v>
      </c>
    </row>
    <row r="5760" spans="1:15">
      <c r="A5760" s="3">
        <f t="shared" si="122"/>
        <v>5759</v>
      </c>
      <c r="B5760" s="65" t="s">
        <v>8369</v>
      </c>
      <c r="C5760" s="1">
        <v>6396865886</v>
      </c>
      <c r="E5760" s="17" t="s">
        <v>7923</v>
      </c>
      <c r="F5760" s="65" t="s">
        <v>303</v>
      </c>
      <c r="G5760" s="3" t="s">
        <v>295</v>
      </c>
      <c r="H5760" s="2" t="s">
        <v>3240</v>
      </c>
      <c r="I5760" s="3" t="s">
        <v>42</v>
      </c>
      <c r="J5760" s="31">
        <v>46041</v>
      </c>
      <c r="K5760" s="31">
        <v>46045</v>
      </c>
      <c r="L5760" s="31">
        <v>46045</v>
      </c>
      <c r="M5760" s="31">
        <v>46063</v>
      </c>
      <c r="N5760" s="31"/>
      <c r="O5760" s="3" t="s">
        <v>297</v>
      </c>
    </row>
    <row r="5761" spans="1:15">
      <c r="A5761" s="3">
        <f t="shared" si="122"/>
        <v>5760</v>
      </c>
      <c r="B5761" s="65" t="s">
        <v>523</v>
      </c>
      <c r="C5761" s="1">
        <v>9306032552</v>
      </c>
      <c r="E5761" s="17" t="s">
        <v>7923</v>
      </c>
      <c r="F5761" s="65" t="s">
        <v>8370</v>
      </c>
      <c r="G5761" s="3" t="s">
        <v>16</v>
      </c>
      <c r="H5761" s="2" t="s">
        <v>3240</v>
      </c>
      <c r="I5761" s="3" t="s">
        <v>42</v>
      </c>
      <c r="J5761" s="31">
        <v>46041</v>
      </c>
      <c r="K5761" s="31">
        <v>46045</v>
      </c>
      <c r="L5761" s="31">
        <v>46045</v>
      </c>
      <c r="M5761" s="31">
        <v>46069</v>
      </c>
      <c r="N5761" s="31">
        <v>46069</v>
      </c>
      <c r="O5761" s="3" t="s">
        <v>297</v>
      </c>
    </row>
    <row r="5762" spans="1:15">
      <c r="A5762" s="3">
        <f t="shared" si="122"/>
        <v>5761</v>
      </c>
      <c r="B5762" s="65" t="s">
        <v>8371</v>
      </c>
      <c r="C5762" s="1">
        <v>8384864462</v>
      </c>
      <c r="E5762" s="17" t="s">
        <v>7923</v>
      </c>
      <c r="F5762" s="65" t="s">
        <v>8372</v>
      </c>
      <c r="G5762" s="3" t="s">
        <v>295</v>
      </c>
      <c r="H5762" s="2" t="s">
        <v>3240</v>
      </c>
      <c r="I5762" s="3" t="s">
        <v>42</v>
      </c>
      <c r="J5762" s="31">
        <v>46041</v>
      </c>
      <c r="K5762" s="31">
        <v>46045</v>
      </c>
      <c r="L5762" s="31">
        <v>46045</v>
      </c>
      <c r="M5762" s="31">
        <v>46063</v>
      </c>
      <c r="N5762" s="31"/>
      <c r="O5762" s="3" t="s">
        <v>297</v>
      </c>
    </row>
    <row r="5763" spans="1:15">
      <c r="A5763" s="3">
        <f t="shared" si="122"/>
        <v>5762</v>
      </c>
      <c r="B5763" s="65" t="s">
        <v>8373</v>
      </c>
      <c r="C5763" s="1">
        <v>7753058308</v>
      </c>
      <c r="E5763" s="17" t="s">
        <v>7923</v>
      </c>
      <c r="F5763" s="65" t="s">
        <v>8374</v>
      </c>
      <c r="G5763" s="3" t="s">
        <v>18</v>
      </c>
      <c r="H5763" s="2" t="s">
        <v>3240</v>
      </c>
      <c r="I5763" s="3" t="s">
        <v>42</v>
      </c>
      <c r="J5763" s="31">
        <v>46041</v>
      </c>
      <c r="K5763" s="31"/>
      <c r="L5763" s="31"/>
      <c r="M5763" s="31"/>
      <c r="N5763" s="31"/>
      <c r="O5763" s="3" t="s">
        <v>1004</v>
      </c>
    </row>
    <row r="5764" spans="1:15">
      <c r="A5764" s="3">
        <f t="shared" si="122"/>
        <v>5763</v>
      </c>
      <c r="B5764" s="65" t="s">
        <v>8375</v>
      </c>
      <c r="C5764" s="1">
        <v>8840423108</v>
      </c>
      <c r="E5764" s="17" t="s">
        <v>7923</v>
      </c>
      <c r="F5764" s="65" t="s">
        <v>8376</v>
      </c>
      <c r="G5764" s="3" t="s">
        <v>18</v>
      </c>
      <c r="H5764" s="2" t="s">
        <v>3240</v>
      </c>
      <c r="I5764" s="3" t="s">
        <v>42</v>
      </c>
      <c r="J5764" s="31">
        <v>46041</v>
      </c>
      <c r="K5764" s="31"/>
      <c r="L5764" s="31"/>
      <c r="M5764" s="31"/>
      <c r="N5764" s="31"/>
      <c r="O5764" s="3" t="s">
        <v>1004</v>
      </c>
    </row>
    <row r="5765" spans="1:15">
      <c r="A5765" s="3">
        <f t="shared" si="122"/>
        <v>5764</v>
      </c>
      <c r="B5765" s="65" t="s">
        <v>8377</v>
      </c>
      <c r="C5765" s="1">
        <v>9100557800</v>
      </c>
      <c r="E5765" s="17" t="s">
        <v>8378</v>
      </c>
      <c r="F5765" s="65" t="s">
        <v>8379</v>
      </c>
      <c r="G5765" s="3" t="s">
        <v>18</v>
      </c>
      <c r="H5765" s="2" t="s">
        <v>3240</v>
      </c>
      <c r="I5765" s="3" t="s">
        <v>42</v>
      </c>
      <c r="J5765" s="31">
        <v>46041</v>
      </c>
      <c r="K5765" s="31"/>
      <c r="L5765" s="31"/>
      <c r="M5765" s="31"/>
      <c r="N5765" s="31"/>
      <c r="O5765" s="3" t="s">
        <v>1004</v>
      </c>
    </row>
    <row r="5766" spans="1:15">
      <c r="A5766" s="3">
        <f t="shared" ref="A5766:A5776" si="123">ROW()-1</f>
        <v>5765</v>
      </c>
      <c r="B5766" s="65" t="s">
        <v>8380</v>
      </c>
      <c r="C5766" s="1">
        <v>9533690224</v>
      </c>
      <c r="E5766" s="17" t="s">
        <v>7741</v>
      </c>
      <c r="F5766" s="65"/>
      <c r="G5766" s="3" t="s">
        <v>16</v>
      </c>
      <c r="H5766" s="2" t="s">
        <v>4145</v>
      </c>
      <c r="I5766" s="3" t="s">
        <v>42</v>
      </c>
      <c r="J5766" s="31">
        <v>46041</v>
      </c>
      <c r="K5766" s="31">
        <v>46041</v>
      </c>
      <c r="L5766" s="31">
        <v>46041</v>
      </c>
      <c r="M5766" s="31">
        <v>46069</v>
      </c>
      <c r="N5766" s="31">
        <v>46069</v>
      </c>
      <c r="O5766" s="3" t="s">
        <v>297</v>
      </c>
    </row>
    <row r="5767" spans="1:15">
      <c r="A5767" s="3">
        <f t="shared" si="123"/>
        <v>5766</v>
      </c>
      <c r="B5767" s="65" t="s">
        <v>8381</v>
      </c>
      <c r="C5767" s="1">
        <v>8790672302</v>
      </c>
      <c r="E5767" s="17" t="s">
        <v>5915</v>
      </c>
      <c r="F5767" s="65"/>
      <c r="G5767" s="3" t="s">
        <v>16</v>
      </c>
      <c r="H5767" s="2" t="s">
        <v>5774</v>
      </c>
      <c r="I5767" s="3" t="s">
        <v>42</v>
      </c>
      <c r="J5767" s="31">
        <v>46041</v>
      </c>
      <c r="K5767" s="31">
        <v>46041</v>
      </c>
      <c r="L5767" s="31">
        <v>46041</v>
      </c>
      <c r="M5767" s="31">
        <v>46058</v>
      </c>
      <c r="N5767" s="31">
        <v>46057</v>
      </c>
      <c r="O5767" s="3" t="s">
        <v>297</v>
      </c>
    </row>
    <row r="5768" spans="1:15">
      <c r="A5768" s="3">
        <f t="shared" si="123"/>
        <v>5767</v>
      </c>
      <c r="B5768" s="65" t="s">
        <v>8382</v>
      </c>
      <c r="C5768" s="1">
        <v>9963998776</v>
      </c>
      <c r="E5768" s="17" t="s">
        <v>8383</v>
      </c>
      <c r="F5768" s="65"/>
      <c r="G5768" s="3" t="s">
        <v>16</v>
      </c>
      <c r="H5768" s="2" t="s">
        <v>4145</v>
      </c>
      <c r="I5768" s="3" t="s">
        <v>42</v>
      </c>
      <c r="J5768" s="31">
        <v>46041</v>
      </c>
      <c r="K5768" s="31">
        <v>46041</v>
      </c>
      <c r="L5768" s="31">
        <v>46041</v>
      </c>
      <c r="M5768" s="31">
        <v>46043</v>
      </c>
      <c r="N5768" s="31">
        <v>46042</v>
      </c>
      <c r="O5768" s="3" t="s">
        <v>297</v>
      </c>
    </row>
    <row r="5769" spans="1:15">
      <c r="A5769" s="3">
        <f t="shared" si="123"/>
        <v>5768</v>
      </c>
      <c r="B5769" s="65" t="s">
        <v>8384</v>
      </c>
      <c r="C5769" s="1">
        <v>9869690762</v>
      </c>
      <c r="E5769" s="17" t="s">
        <v>148</v>
      </c>
      <c r="F5769" s="65"/>
      <c r="G5769" s="3" t="s">
        <v>16</v>
      </c>
      <c r="H5769" s="2" t="s">
        <v>42</v>
      </c>
      <c r="I5769" s="3" t="s">
        <v>42</v>
      </c>
      <c r="J5769" s="31">
        <v>46041</v>
      </c>
      <c r="K5769" s="31">
        <v>46041</v>
      </c>
      <c r="L5769" s="31">
        <v>46041</v>
      </c>
      <c r="M5769" s="31">
        <v>46055</v>
      </c>
      <c r="N5769" s="31">
        <v>46055</v>
      </c>
      <c r="O5769" s="3" t="s">
        <v>297</v>
      </c>
    </row>
    <row r="5770" spans="1:15">
      <c r="A5770" s="3">
        <f t="shared" si="123"/>
        <v>5769</v>
      </c>
      <c r="B5770" s="65" t="s">
        <v>8385</v>
      </c>
      <c r="C5770" s="1">
        <v>8919835755</v>
      </c>
      <c r="D5770" s="1">
        <v>9010912268</v>
      </c>
      <c r="E5770" s="17" t="s">
        <v>8386</v>
      </c>
      <c r="F5770" s="65" t="s">
        <v>1992</v>
      </c>
      <c r="G5770" s="3" t="s">
        <v>16</v>
      </c>
      <c r="H5770" s="2" t="s">
        <v>590</v>
      </c>
      <c r="I5770" s="3" t="s">
        <v>88</v>
      </c>
      <c r="J5770" s="31">
        <v>46041</v>
      </c>
      <c r="K5770" s="31">
        <v>46041</v>
      </c>
      <c r="L5770" s="31">
        <v>46041</v>
      </c>
      <c r="M5770" s="31">
        <v>46082</v>
      </c>
      <c r="N5770" s="31">
        <v>46083</v>
      </c>
      <c r="O5770" s="3" t="s">
        <v>297</v>
      </c>
    </row>
    <row r="5771" spans="1:15">
      <c r="A5771" s="3">
        <f t="shared" si="123"/>
        <v>5770</v>
      </c>
      <c r="B5771" s="65" t="s">
        <v>8387</v>
      </c>
      <c r="C5771" s="1">
        <v>8374866493</v>
      </c>
      <c r="E5771" s="17" t="s">
        <v>7783</v>
      </c>
      <c r="F5771" s="65" t="s">
        <v>8388</v>
      </c>
      <c r="G5771" s="3" t="s">
        <v>16</v>
      </c>
      <c r="H5771" s="2" t="s">
        <v>5566</v>
      </c>
      <c r="I5771" s="3" t="s">
        <v>88</v>
      </c>
      <c r="J5771" s="31">
        <v>46041</v>
      </c>
      <c r="K5771" s="31">
        <v>46041</v>
      </c>
      <c r="L5771" s="31">
        <v>46041</v>
      </c>
      <c r="M5771" s="31">
        <v>46072</v>
      </c>
      <c r="N5771" s="31">
        <v>46072</v>
      </c>
      <c r="O5771" s="3" t="s">
        <v>297</v>
      </c>
    </row>
    <row r="5772" spans="1:15">
      <c r="A5772" s="3">
        <f t="shared" si="123"/>
        <v>5771</v>
      </c>
      <c r="B5772" s="65" t="s">
        <v>8389</v>
      </c>
      <c r="C5772" s="1">
        <v>9439465744</v>
      </c>
      <c r="D5772" s="1">
        <v>7004938072</v>
      </c>
      <c r="E5772" s="17" t="s">
        <v>6562</v>
      </c>
      <c r="F5772" s="4" t="s">
        <v>8390</v>
      </c>
      <c r="G5772" s="3" t="s">
        <v>16</v>
      </c>
      <c r="H5772" s="3" t="s">
        <v>5774</v>
      </c>
      <c r="I5772" s="3" t="s">
        <v>42</v>
      </c>
      <c r="J5772" s="31">
        <v>46052</v>
      </c>
      <c r="K5772" s="31">
        <v>46052</v>
      </c>
      <c r="L5772" s="31">
        <v>46062</v>
      </c>
      <c r="M5772" s="31">
        <v>46104</v>
      </c>
      <c r="N5772" s="31">
        <v>46104</v>
      </c>
      <c r="O5772" s="3" t="s">
        <v>297</v>
      </c>
    </row>
    <row r="5773" spans="1:15">
      <c r="A5773" s="3">
        <f t="shared" si="123"/>
        <v>5772</v>
      </c>
      <c r="B5773" s="65" t="s">
        <v>8391</v>
      </c>
      <c r="C5773" s="1">
        <v>9381317617</v>
      </c>
      <c r="E5773" s="17" t="s">
        <v>5557</v>
      </c>
      <c r="F5773" s="4" t="s">
        <v>8392</v>
      </c>
      <c r="G5773" s="3" t="s">
        <v>1175</v>
      </c>
      <c r="H5773" s="2" t="s">
        <v>8337</v>
      </c>
      <c r="I5773" s="3" t="s">
        <v>42</v>
      </c>
      <c r="J5773" s="31">
        <v>46042</v>
      </c>
      <c r="K5773" s="31"/>
      <c r="L5773" s="31"/>
      <c r="M5773" s="31"/>
      <c r="N5773" s="31"/>
      <c r="O5773" s="3" t="s">
        <v>1004</v>
      </c>
    </row>
    <row r="5774" spans="1:15">
      <c r="A5774" s="3">
        <f t="shared" si="123"/>
        <v>5773</v>
      </c>
      <c r="B5774" s="65" t="s">
        <v>8393</v>
      </c>
      <c r="C5774" s="1">
        <v>8180998063</v>
      </c>
      <c r="D5774" s="1">
        <v>9502579851</v>
      </c>
      <c r="E5774" s="17" t="s">
        <v>5557</v>
      </c>
      <c r="F5774" s="4" t="s">
        <v>1663</v>
      </c>
      <c r="G5774" s="3" t="s">
        <v>424</v>
      </c>
      <c r="H5774" s="3" t="s">
        <v>5774</v>
      </c>
      <c r="I5774" s="3" t="s">
        <v>42</v>
      </c>
      <c r="J5774" s="31">
        <v>46052</v>
      </c>
      <c r="K5774" s="31">
        <v>46052</v>
      </c>
      <c r="L5774" s="31"/>
      <c r="M5774" s="31"/>
      <c r="N5774" s="31"/>
      <c r="O5774" s="3" t="s">
        <v>425</v>
      </c>
    </row>
    <row r="5775" spans="1:15">
      <c r="A5775" s="3">
        <f t="shared" si="123"/>
        <v>5774</v>
      </c>
      <c r="B5775" s="65" t="s">
        <v>671</v>
      </c>
      <c r="C5775" s="1">
        <v>8328375757</v>
      </c>
      <c r="E5775" s="17" t="s">
        <v>4609</v>
      </c>
      <c r="F5775" s="4" t="s">
        <v>4564</v>
      </c>
      <c r="G5775" s="3" t="s">
        <v>1175</v>
      </c>
      <c r="H5775" s="2" t="s">
        <v>8337</v>
      </c>
      <c r="I5775" s="3" t="s">
        <v>42</v>
      </c>
      <c r="J5775" s="31">
        <v>46042</v>
      </c>
      <c r="K5775" s="31"/>
      <c r="L5775" s="31"/>
      <c r="M5775" s="31"/>
      <c r="N5775" s="31"/>
      <c r="O5775" s="3" t="s">
        <v>1004</v>
      </c>
    </row>
    <row r="5776" spans="1:15">
      <c r="A5776" s="3">
        <f t="shared" si="123"/>
        <v>5775</v>
      </c>
      <c r="B5776" s="65" t="s">
        <v>8394</v>
      </c>
      <c r="C5776" s="1">
        <v>7680012170</v>
      </c>
      <c r="D5776" s="1">
        <v>9395589100</v>
      </c>
      <c r="E5776" s="17" t="s">
        <v>8355</v>
      </c>
      <c r="F5776" s="4" t="s">
        <v>2199</v>
      </c>
      <c r="G5776" s="3" t="s">
        <v>1175</v>
      </c>
      <c r="H5776" s="2" t="s">
        <v>8395</v>
      </c>
      <c r="I5776" s="3" t="s">
        <v>42</v>
      </c>
      <c r="J5776" s="31">
        <v>46042</v>
      </c>
      <c r="K5776" s="31"/>
      <c r="L5776" s="31"/>
      <c r="M5776" s="31"/>
      <c r="N5776" s="31"/>
      <c r="O5776" s="3" t="s">
        <v>1004</v>
      </c>
    </row>
    <row r="5777" spans="1:15">
      <c r="A5777" s="3">
        <f t="shared" ref="A5777:A5787" si="124">ROW()-1</f>
        <v>5776</v>
      </c>
      <c r="B5777" s="65" t="s">
        <v>8396</v>
      </c>
      <c r="C5777" s="1">
        <v>9441971790</v>
      </c>
      <c r="E5777" s="17" t="s">
        <v>5966</v>
      </c>
      <c r="F5777" s="4" t="s">
        <v>748</v>
      </c>
      <c r="G5777" s="3" t="s">
        <v>15</v>
      </c>
      <c r="H5777" s="2" t="s">
        <v>5774</v>
      </c>
      <c r="I5777" s="3" t="s">
        <v>42</v>
      </c>
      <c r="J5777" s="31">
        <v>46042</v>
      </c>
      <c r="K5777" s="31">
        <v>46043</v>
      </c>
      <c r="L5777" s="31">
        <v>46045</v>
      </c>
      <c r="M5777" s="31">
        <v>46113</v>
      </c>
      <c r="N5777" s="31"/>
      <c r="O5777" s="3" t="s">
        <v>297</v>
      </c>
    </row>
    <row r="5778" spans="1:15">
      <c r="A5778" s="3">
        <f t="shared" si="124"/>
        <v>5777</v>
      </c>
      <c r="B5778" s="65" t="s">
        <v>8397</v>
      </c>
      <c r="C5778" s="1">
        <v>9296228809</v>
      </c>
      <c r="D5778" s="1">
        <v>9309937766</v>
      </c>
      <c r="E5778" s="17" t="s">
        <v>5966</v>
      </c>
      <c r="F5778" s="4" t="s">
        <v>308</v>
      </c>
      <c r="G5778" s="3" t="s">
        <v>16</v>
      </c>
      <c r="H5778" s="2" t="s">
        <v>5774</v>
      </c>
      <c r="I5778" s="3" t="s">
        <v>42</v>
      </c>
      <c r="J5778" s="31">
        <v>46042</v>
      </c>
      <c r="K5778" s="31">
        <v>46043</v>
      </c>
      <c r="L5778" s="31">
        <v>46052</v>
      </c>
      <c r="M5778" s="31">
        <v>46076</v>
      </c>
      <c r="N5778" s="31">
        <v>46076</v>
      </c>
      <c r="O5778" s="3" t="s">
        <v>297</v>
      </c>
    </row>
    <row r="5779" spans="1:15">
      <c r="A5779" s="3">
        <f t="shared" si="124"/>
        <v>5778</v>
      </c>
      <c r="B5779" s="65" t="s">
        <v>8398</v>
      </c>
      <c r="C5779" s="1">
        <v>7297952042</v>
      </c>
      <c r="E5779" s="17" t="s">
        <v>5966</v>
      </c>
      <c r="F5779" s="4" t="s">
        <v>308</v>
      </c>
      <c r="G5779" s="3" t="s">
        <v>16</v>
      </c>
      <c r="H5779" s="2" t="s">
        <v>5774</v>
      </c>
      <c r="I5779" s="3" t="s">
        <v>42</v>
      </c>
      <c r="J5779" s="31">
        <v>46042</v>
      </c>
      <c r="K5779" s="31">
        <v>46043</v>
      </c>
      <c r="L5779" s="31">
        <v>46045</v>
      </c>
      <c r="M5779" s="31">
        <v>46055</v>
      </c>
      <c r="N5779" s="31">
        <v>46055</v>
      </c>
      <c r="O5779" s="3" t="s">
        <v>297</v>
      </c>
    </row>
    <row r="5780" spans="1:15">
      <c r="A5780" s="3">
        <f t="shared" si="124"/>
        <v>5779</v>
      </c>
      <c r="B5780" s="65" t="s">
        <v>8399</v>
      </c>
      <c r="C5780" s="1">
        <v>7095707058</v>
      </c>
      <c r="E5780" s="17" t="s">
        <v>5966</v>
      </c>
      <c r="F5780" s="4" t="s">
        <v>308</v>
      </c>
      <c r="G5780" s="3" t="s">
        <v>764</v>
      </c>
      <c r="H5780" s="2" t="s">
        <v>5774</v>
      </c>
      <c r="I5780" s="3" t="s">
        <v>42</v>
      </c>
      <c r="J5780" s="31">
        <v>46042</v>
      </c>
      <c r="K5780" s="31">
        <v>46043</v>
      </c>
      <c r="L5780" s="31"/>
      <c r="M5780" s="31"/>
      <c r="N5780" s="31"/>
      <c r="O5780" s="3" t="s">
        <v>425</v>
      </c>
    </row>
    <row r="5781" spans="1:15">
      <c r="A5781" s="3">
        <f t="shared" si="124"/>
        <v>5780</v>
      </c>
      <c r="B5781" s="65" t="s">
        <v>8400</v>
      </c>
      <c r="C5781" s="1">
        <v>8978122868</v>
      </c>
      <c r="E5781" s="17" t="s">
        <v>6537</v>
      </c>
      <c r="F5781" s="4" t="s">
        <v>329</v>
      </c>
      <c r="G5781" s="3" t="s">
        <v>16</v>
      </c>
      <c r="H5781" s="2" t="s">
        <v>5774</v>
      </c>
      <c r="I5781" s="3" t="s">
        <v>42</v>
      </c>
      <c r="J5781" s="31">
        <v>46042</v>
      </c>
      <c r="K5781" s="31">
        <v>46043</v>
      </c>
      <c r="L5781" s="31">
        <v>46045</v>
      </c>
      <c r="M5781" s="31">
        <v>46069</v>
      </c>
      <c r="N5781" s="31">
        <v>46069</v>
      </c>
      <c r="O5781" s="3" t="s">
        <v>297</v>
      </c>
    </row>
    <row r="5782" spans="1:15">
      <c r="A5782" s="3">
        <f t="shared" si="124"/>
        <v>5781</v>
      </c>
      <c r="B5782" s="65" t="s">
        <v>6941</v>
      </c>
      <c r="C5782" s="1">
        <v>7878082255</v>
      </c>
      <c r="E5782" s="17" t="s">
        <v>6537</v>
      </c>
      <c r="F5782" s="4" t="s">
        <v>748</v>
      </c>
      <c r="G5782" s="3" t="s">
        <v>16</v>
      </c>
      <c r="H5782" s="2" t="s">
        <v>5774</v>
      </c>
      <c r="I5782" s="3" t="s">
        <v>42</v>
      </c>
      <c r="J5782" s="31">
        <v>46042</v>
      </c>
      <c r="K5782" s="31">
        <v>46043</v>
      </c>
      <c r="L5782" s="31">
        <v>46045</v>
      </c>
      <c r="M5782" s="31">
        <v>46063</v>
      </c>
      <c r="N5782" s="31">
        <v>46065</v>
      </c>
      <c r="O5782" s="3" t="s">
        <v>297</v>
      </c>
    </row>
    <row r="5783" spans="1:15">
      <c r="A5783" s="3">
        <f t="shared" si="124"/>
        <v>5782</v>
      </c>
      <c r="B5783" s="65" t="s">
        <v>8401</v>
      </c>
      <c r="C5783" s="1">
        <v>9821801883</v>
      </c>
      <c r="E5783" s="17" t="s">
        <v>8402</v>
      </c>
      <c r="F5783" s="4" t="s">
        <v>2006</v>
      </c>
      <c r="G5783" s="3" t="s">
        <v>416</v>
      </c>
      <c r="H5783" s="2" t="s">
        <v>162</v>
      </c>
      <c r="I5783" s="3" t="s">
        <v>94</v>
      </c>
      <c r="J5783" s="31">
        <v>46042</v>
      </c>
      <c r="K5783" s="31">
        <v>46045</v>
      </c>
      <c r="L5783" s="31"/>
      <c r="M5783" s="31"/>
      <c r="N5783" s="31"/>
      <c r="O5783" s="3" t="s">
        <v>297</v>
      </c>
    </row>
    <row r="5784" spans="1:15">
      <c r="A5784" s="3">
        <f t="shared" si="124"/>
        <v>5783</v>
      </c>
      <c r="B5784" s="65" t="s">
        <v>3403</v>
      </c>
      <c r="C5784" s="1">
        <v>8878610376</v>
      </c>
      <c r="E5784" s="17" t="s">
        <v>8403</v>
      </c>
      <c r="F5784" s="4" t="s">
        <v>2006</v>
      </c>
      <c r="G5784" s="3" t="s">
        <v>15</v>
      </c>
      <c r="H5784" s="2" t="s">
        <v>162</v>
      </c>
      <c r="I5784" s="3" t="s">
        <v>94</v>
      </c>
      <c r="J5784" s="31">
        <v>46042</v>
      </c>
      <c r="K5784" s="31">
        <v>46045</v>
      </c>
      <c r="L5784" s="31">
        <v>46045</v>
      </c>
      <c r="M5784" s="31">
        <v>46097</v>
      </c>
      <c r="N5784" s="31"/>
      <c r="O5784" s="3" t="s">
        <v>297</v>
      </c>
    </row>
    <row r="5785" spans="1:15">
      <c r="A5785" s="3">
        <f t="shared" si="124"/>
        <v>5784</v>
      </c>
      <c r="B5785" s="65" t="s">
        <v>8404</v>
      </c>
      <c r="C5785" s="1">
        <v>8447948198</v>
      </c>
      <c r="E5785" s="17" t="s">
        <v>8403</v>
      </c>
      <c r="F5785" s="4" t="s">
        <v>6928</v>
      </c>
      <c r="G5785" s="3" t="s">
        <v>16</v>
      </c>
      <c r="H5785" s="2" t="s">
        <v>162</v>
      </c>
      <c r="I5785" s="3" t="s">
        <v>94</v>
      </c>
      <c r="J5785" s="31">
        <v>46042</v>
      </c>
      <c r="K5785" s="31">
        <v>46045</v>
      </c>
      <c r="L5785" s="31">
        <v>46046</v>
      </c>
      <c r="M5785" s="31">
        <v>46080</v>
      </c>
      <c r="N5785" s="31">
        <v>46092</v>
      </c>
      <c r="O5785" s="3" t="s">
        <v>297</v>
      </c>
    </row>
    <row r="5786" spans="1:15">
      <c r="A5786" s="3">
        <f t="shared" si="124"/>
        <v>5785</v>
      </c>
      <c r="B5786" s="65" t="s">
        <v>1871</v>
      </c>
      <c r="C5786" s="1">
        <v>9570384105</v>
      </c>
      <c r="E5786" s="17" t="s">
        <v>8405</v>
      </c>
      <c r="F5786" s="4" t="s">
        <v>8406</v>
      </c>
      <c r="G5786" s="3" t="s">
        <v>295</v>
      </c>
      <c r="H5786" s="2" t="s">
        <v>162</v>
      </c>
      <c r="I5786" s="3" t="s">
        <v>94</v>
      </c>
      <c r="J5786" s="31">
        <v>46042</v>
      </c>
      <c r="K5786" s="31">
        <v>46045</v>
      </c>
      <c r="L5786" s="31">
        <v>46045</v>
      </c>
      <c r="M5786" s="31">
        <v>46076</v>
      </c>
      <c r="N5786" s="31"/>
      <c r="O5786" s="3" t="s">
        <v>297</v>
      </c>
    </row>
    <row r="5787" spans="1:15">
      <c r="A5787" s="3">
        <f t="shared" si="124"/>
        <v>5786</v>
      </c>
      <c r="B5787" s="65" t="s">
        <v>8407</v>
      </c>
      <c r="C5787" s="1">
        <v>9653276520</v>
      </c>
      <c r="E5787" s="17" t="s">
        <v>8408</v>
      </c>
      <c r="F5787" s="4" t="s">
        <v>329</v>
      </c>
      <c r="G5787" s="3" t="s">
        <v>15</v>
      </c>
      <c r="H5787" s="2" t="s">
        <v>162</v>
      </c>
      <c r="I5787" s="3" t="s">
        <v>94</v>
      </c>
      <c r="J5787" s="31">
        <v>46042</v>
      </c>
      <c r="K5787" s="31">
        <v>46045</v>
      </c>
      <c r="L5787" s="31">
        <v>46052</v>
      </c>
      <c r="M5787" s="31">
        <v>46101</v>
      </c>
      <c r="N5787" s="31"/>
      <c r="O5787" s="3" t="s">
        <v>297</v>
      </c>
    </row>
    <row r="5788" spans="1:15">
      <c r="A5788" s="3">
        <f>ROW()-1</f>
        <v>5787</v>
      </c>
      <c r="B5788" s="65" t="s">
        <v>8409</v>
      </c>
      <c r="C5788" s="1">
        <v>8096933764</v>
      </c>
      <c r="E5788" s="17" t="s">
        <v>8410</v>
      </c>
      <c r="F5788" s="4" t="s">
        <v>748</v>
      </c>
      <c r="G5788" s="3" t="s">
        <v>764</v>
      </c>
      <c r="H5788" s="2" t="s">
        <v>5774</v>
      </c>
      <c r="I5788" s="3" t="s">
        <v>42</v>
      </c>
      <c r="J5788" s="31">
        <v>46042</v>
      </c>
      <c r="K5788" s="31">
        <v>46043</v>
      </c>
      <c r="L5788" s="31"/>
      <c r="M5788" s="31"/>
      <c r="N5788" s="31"/>
      <c r="O5788" s="3" t="s">
        <v>425</v>
      </c>
    </row>
    <row r="5789" spans="1:15">
      <c r="A5789" s="3">
        <f>ROW()-1</f>
        <v>5788</v>
      </c>
      <c r="B5789" s="65" t="s">
        <v>8411</v>
      </c>
      <c r="C5789" s="1">
        <v>9618527229</v>
      </c>
      <c r="E5789" s="17" t="s">
        <v>8410</v>
      </c>
      <c r="F5789" s="4" t="s">
        <v>1312</v>
      </c>
      <c r="G5789" s="3" t="s">
        <v>295</v>
      </c>
      <c r="H5789" s="2" t="s">
        <v>5774</v>
      </c>
      <c r="I5789" s="3" t="s">
        <v>42</v>
      </c>
      <c r="J5789" s="31">
        <v>46042</v>
      </c>
      <c r="K5789" s="31">
        <v>46043</v>
      </c>
      <c r="L5789" s="31">
        <v>46045</v>
      </c>
      <c r="M5789" s="31">
        <v>46086</v>
      </c>
      <c r="N5789" s="31"/>
      <c r="O5789" s="2" t="s">
        <v>297</v>
      </c>
    </row>
    <row r="5790" spans="1:15">
      <c r="A5790" s="3">
        <f>ROW()-1</f>
        <v>5789</v>
      </c>
      <c r="B5790" s="65" t="s">
        <v>8412</v>
      </c>
      <c r="C5790" s="1">
        <v>8179363470</v>
      </c>
      <c r="D5790" s="1">
        <v>6301180241</v>
      </c>
      <c r="E5790" s="17" t="s">
        <v>8413</v>
      </c>
      <c r="F5790" s="4" t="s">
        <v>308</v>
      </c>
      <c r="G5790" s="3" t="s">
        <v>15</v>
      </c>
      <c r="H5790" s="2" t="s">
        <v>5774</v>
      </c>
      <c r="I5790" s="3" t="s">
        <v>42</v>
      </c>
      <c r="J5790" s="31">
        <v>46042</v>
      </c>
      <c r="K5790" s="31">
        <v>46043</v>
      </c>
      <c r="L5790" s="31">
        <v>46045</v>
      </c>
      <c r="M5790" s="31">
        <v>46123</v>
      </c>
      <c r="N5790" s="31"/>
      <c r="O5790" s="2" t="s">
        <v>297</v>
      </c>
    </row>
    <row r="5791" spans="1:15">
      <c r="A5791" s="3">
        <f t="shared" ref="A5791:A5799" si="125">ROW()-1</f>
        <v>5790</v>
      </c>
      <c r="B5791" s="65" t="s">
        <v>8414</v>
      </c>
      <c r="C5791" s="1">
        <v>8305276204</v>
      </c>
      <c r="E5791" s="17" t="s">
        <v>6537</v>
      </c>
      <c r="F5791" s="4" t="s">
        <v>329</v>
      </c>
      <c r="G5791" s="3" t="s">
        <v>764</v>
      </c>
      <c r="H5791" s="2" t="s">
        <v>5774</v>
      </c>
      <c r="I5791" s="3" t="s">
        <v>42</v>
      </c>
      <c r="J5791" s="31">
        <v>46043</v>
      </c>
      <c r="K5791" s="31">
        <v>46043</v>
      </c>
      <c r="L5791" s="31"/>
      <c r="M5791" s="31"/>
      <c r="N5791" s="31"/>
      <c r="O5791" s="2" t="s">
        <v>425</v>
      </c>
    </row>
    <row r="5792" spans="1:15">
      <c r="A5792" s="3">
        <f t="shared" si="125"/>
        <v>5791</v>
      </c>
      <c r="B5792" s="65" t="s">
        <v>8415</v>
      </c>
      <c r="C5792" s="1">
        <v>8937805170</v>
      </c>
      <c r="E5792" s="17" t="s">
        <v>6537</v>
      </c>
      <c r="F5792" s="4" t="s">
        <v>748</v>
      </c>
      <c r="G5792" s="3" t="s">
        <v>18</v>
      </c>
      <c r="H5792" s="2" t="s">
        <v>5774</v>
      </c>
      <c r="I5792" s="3" t="s">
        <v>42</v>
      </c>
      <c r="J5792" s="31">
        <v>46043</v>
      </c>
      <c r="K5792" s="31">
        <v>46043</v>
      </c>
      <c r="L5792" s="31"/>
      <c r="M5792" s="31"/>
      <c r="N5792" s="31"/>
      <c r="O5792" s="2" t="s">
        <v>297</v>
      </c>
    </row>
    <row r="5793" spans="1:15">
      <c r="A5793" s="3">
        <f t="shared" si="125"/>
        <v>5792</v>
      </c>
      <c r="B5793" s="65" t="s">
        <v>7743</v>
      </c>
      <c r="C5793" s="1">
        <v>8757068669</v>
      </c>
      <c r="D5793" s="1">
        <v>7079644115</v>
      </c>
      <c r="E5793" s="17" t="s">
        <v>5966</v>
      </c>
      <c r="F5793" s="4" t="s">
        <v>748</v>
      </c>
      <c r="G5793" s="3" t="s">
        <v>16</v>
      </c>
      <c r="H5793" s="2" t="s">
        <v>5774</v>
      </c>
      <c r="I5793" s="3" t="s">
        <v>42</v>
      </c>
      <c r="J5793" s="31">
        <v>46043</v>
      </c>
      <c r="K5793" s="31">
        <v>46043</v>
      </c>
      <c r="L5793" s="31">
        <v>46045</v>
      </c>
      <c r="M5793" s="31">
        <v>46073</v>
      </c>
      <c r="N5793" s="31">
        <v>46072</v>
      </c>
      <c r="O5793" s="2" t="s">
        <v>297</v>
      </c>
    </row>
    <row r="5794" spans="1:15">
      <c r="A5794" s="3">
        <f t="shared" si="125"/>
        <v>5793</v>
      </c>
      <c r="B5794" s="65" t="s">
        <v>8416</v>
      </c>
      <c r="C5794" s="1">
        <v>9553940362</v>
      </c>
      <c r="E5794" s="17" t="s">
        <v>5966</v>
      </c>
      <c r="F5794" s="4" t="s">
        <v>748</v>
      </c>
      <c r="G5794" s="3" t="s">
        <v>15</v>
      </c>
      <c r="H5794" s="2" t="s">
        <v>5774</v>
      </c>
      <c r="I5794" s="3" t="s">
        <v>42</v>
      </c>
      <c r="J5794" s="31">
        <v>46043</v>
      </c>
      <c r="K5794" s="31">
        <v>46043</v>
      </c>
      <c r="L5794" s="31">
        <v>46045</v>
      </c>
      <c r="M5794" s="31">
        <v>46127</v>
      </c>
      <c r="N5794" s="31"/>
      <c r="O5794" s="2" t="s">
        <v>297</v>
      </c>
    </row>
    <row r="5795" spans="1:15">
      <c r="A5795" s="3">
        <f t="shared" si="125"/>
        <v>5794</v>
      </c>
      <c r="B5795" s="65" t="s">
        <v>8417</v>
      </c>
      <c r="C5795" s="1">
        <v>9171970089</v>
      </c>
      <c r="E5795" s="17" t="s">
        <v>6537</v>
      </c>
      <c r="F5795" s="4" t="s">
        <v>329</v>
      </c>
      <c r="G5795" s="3" t="s">
        <v>16</v>
      </c>
      <c r="H5795" s="2" t="s">
        <v>5774</v>
      </c>
      <c r="I5795" s="3" t="s">
        <v>42</v>
      </c>
      <c r="J5795" s="31">
        <v>46043</v>
      </c>
      <c r="K5795" s="31">
        <v>46043</v>
      </c>
      <c r="L5795" s="31">
        <v>46045</v>
      </c>
      <c r="M5795" s="31">
        <v>46055</v>
      </c>
      <c r="N5795" s="31">
        <v>46053</v>
      </c>
      <c r="O5795" s="2" t="s">
        <v>297</v>
      </c>
    </row>
    <row r="5796" spans="1:15">
      <c r="A5796" s="3">
        <f t="shared" si="125"/>
        <v>5795</v>
      </c>
      <c r="B5796" s="65" t="s">
        <v>8418</v>
      </c>
      <c r="C5796" s="1">
        <v>8473818198</v>
      </c>
      <c r="E5796" s="17" t="s">
        <v>8419</v>
      </c>
      <c r="F5796" s="4" t="s">
        <v>8420</v>
      </c>
      <c r="G5796" s="3" t="s">
        <v>764</v>
      </c>
      <c r="H5796" s="2" t="s">
        <v>5774</v>
      </c>
      <c r="I5796" s="3" t="s">
        <v>42</v>
      </c>
      <c r="J5796" s="31">
        <v>46043</v>
      </c>
      <c r="K5796" s="31">
        <v>46045</v>
      </c>
      <c r="L5796" s="31"/>
      <c r="M5796" s="31"/>
      <c r="N5796" s="31"/>
      <c r="O5796" s="2" t="s">
        <v>425</v>
      </c>
    </row>
    <row r="5797" spans="1:15">
      <c r="A5797" s="3">
        <f t="shared" si="125"/>
        <v>5796</v>
      </c>
      <c r="B5797" s="65" t="s">
        <v>8421</v>
      </c>
      <c r="C5797" s="1">
        <v>8978298816</v>
      </c>
      <c r="E5797" s="17" t="s">
        <v>8422</v>
      </c>
      <c r="F5797" s="4"/>
      <c r="G5797" s="3" t="s">
        <v>295</v>
      </c>
      <c r="H5797" s="2" t="s">
        <v>487</v>
      </c>
      <c r="I5797" s="3" t="s">
        <v>88</v>
      </c>
      <c r="J5797" s="31">
        <v>46040</v>
      </c>
      <c r="K5797" s="31">
        <v>46041</v>
      </c>
      <c r="L5797" s="31">
        <v>46041</v>
      </c>
      <c r="M5797" s="31">
        <v>46072</v>
      </c>
      <c r="N5797" s="31"/>
      <c r="O5797" s="2" t="s">
        <v>297</v>
      </c>
    </row>
    <row r="5798" spans="1:15">
      <c r="A5798" s="3">
        <f t="shared" si="125"/>
        <v>5797</v>
      </c>
      <c r="B5798" s="65" t="s">
        <v>8423</v>
      </c>
      <c r="C5798" s="1">
        <v>9123327426</v>
      </c>
      <c r="D5798" s="1">
        <v>8100171101</v>
      </c>
      <c r="E5798" s="17" t="s">
        <v>5557</v>
      </c>
      <c r="F5798" s="4" t="s">
        <v>8424</v>
      </c>
      <c r="G5798" s="3" t="s">
        <v>424</v>
      </c>
      <c r="H5798" s="2" t="s">
        <v>5774</v>
      </c>
      <c r="I5798" s="3" t="s">
        <v>42</v>
      </c>
      <c r="J5798" s="31">
        <v>46043</v>
      </c>
      <c r="K5798" s="31">
        <v>46045</v>
      </c>
      <c r="L5798" s="31"/>
      <c r="M5798" s="31"/>
      <c r="N5798" s="31"/>
      <c r="O5798" s="2" t="s">
        <v>425</v>
      </c>
    </row>
    <row r="5799" spans="1:15">
      <c r="A5799" s="3">
        <f t="shared" si="125"/>
        <v>5798</v>
      </c>
      <c r="B5799" s="65" t="s">
        <v>8425</v>
      </c>
      <c r="C5799" s="1">
        <v>8940088085</v>
      </c>
      <c r="E5799" s="17" t="s">
        <v>5560</v>
      </c>
      <c r="F5799" s="4" t="s">
        <v>8426</v>
      </c>
      <c r="G5799" s="3" t="s">
        <v>416</v>
      </c>
      <c r="H5799" s="2" t="s">
        <v>5774</v>
      </c>
      <c r="I5799" s="3" t="s">
        <v>42</v>
      </c>
      <c r="J5799" s="31">
        <v>46043</v>
      </c>
      <c r="K5799" s="31">
        <v>46045</v>
      </c>
      <c r="L5799" s="31"/>
      <c r="M5799" s="31"/>
      <c r="N5799" s="31"/>
      <c r="O5799" s="2" t="s">
        <v>297</v>
      </c>
    </row>
    <row r="5800" spans="1:15">
      <c r="A5800" s="3">
        <f>ROW()-1</f>
        <v>5799</v>
      </c>
      <c r="B5800" s="65" t="s">
        <v>8427</v>
      </c>
      <c r="C5800" s="1">
        <v>9457763968</v>
      </c>
      <c r="E5800" s="17" t="s">
        <v>8403</v>
      </c>
      <c r="F5800" s="4" t="s">
        <v>8428</v>
      </c>
      <c r="G5800" s="3" t="s">
        <v>424</v>
      </c>
      <c r="H5800" s="2" t="s">
        <v>162</v>
      </c>
      <c r="I5800" s="3" t="s">
        <v>94</v>
      </c>
      <c r="J5800" s="31">
        <v>46043</v>
      </c>
      <c r="K5800" s="31">
        <v>46045</v>
      </c>
      <c r="L5800" s="31"/>
      <c r="M5800" s="31"/>
      <c r="N5800" s="31"/>
      <c r="O5800" s="2" t="s">
        <v>749</v>
      </c>
    </row>
    <row r="5801" spans="1:15">
      <c r="A5801" s="3">
        <f>ROW()-1</f>
        <v>5800</v>
      </c>
      <c r="B5801" s="65" t="s">
        <v>8429</v>
      </c>
      <c r="C5801" s="1">
        <v>9955703794</v>
      </c>
      <c r="D5801" s="1">
        <v>8340581768</v>
      </c>
      <c r="E5801" s="17" t="s">
        <v>8430</v>
      </c>
      <c r="F5801" s="4" t="s">
        <v>8431</v>
      </c>
      <c r="G5801" s="3" t="s">
        <v>15</v>
      </c>
      <c r="H5801" s="2" t="s">
        <v>162</v>
      </c>
      <c r="I5801" s="3" t="s">
        <v>94</v>
      </c>
      <c r="J5801" s="31">
        <v>46043</v>
      </c>
      <c r="K5801" s="31">
        <v>46045</v>
      </c>
      <c r="L5801" s="31">
        <v>46080</v>
      </c>
      <c r="M5801" s="31">
        <v>46100</v>
      </c>
      <c r="N5801" s="31"/>
      <c r="O5801" s="2" t="s">
        <v>297</v>
      </c>
    </row>
    <row r="5802" spans="1:15">
      <c r="A5802" s="3">
        <f>ROW()-1</f>
        <v>5801</v>
      </c>
      <c r="B5802" s="65" t="s">
        <v>3212</v>
      </c>
      <c r="C5802" s="1">
        <v>8763680003</v>
      </c>
      <c r="E5802" s="17" t="s">
        <v>8240</v>
      </c>
      <c r="F5802" s="4" t="s">
        <v>1981</v>
      </c>
      <c r="G5802" s="3" t="s">
        <v>424</v>
      </c>
      <c r="H5802" s="2" t="s">
        <v>162</v>
      </c>
      <c r="I5802" s="3" t="s">
        <v>94</v>
      </c>
      <c r="J5802" s="31">
        <v>46043</v>
      </c>
      <c r="K5802" s="31">
        <v>46045</v>
      </c>
      <c r="L5802" s="31"/>
      <c r="M5802" s="31"/>
      <c r="N5802" s="31"/>
      <c r="O5802" s="2" t="s">
        <v>425</v>
      </c>
    </row>
    <row r="5803" spans="1:15">
      <c r="A5803" s="3">
        <f>ROW()-1</f>
        <v>5802</v>
      </c>
      <c r="B5803" s="65" t="s">
        <v>8432</v>
      </c>
      <c r="C5803" s="1">
        <v>9618075778</v>
      </c>
      <c r="D5803" s="1">
        <v>9010665778</v>
      </c>
      <c r="E5803" s="17" t="s">
        <v>8433</v>
      </c>
      <c r="F5803" s="4" t="s">
        <v>748</v>
      </c>
      <c r="G5803" s="3" t="s">
        <v>16</v>
      </c>
      <c r="H5803" s="2" t="s">
        <v>5774</v>
      </c>
      <c r="I5803" s="3" t="s">
        <v>42</v>
      </c>
      <c r="J5803" s="31">
        <v>46043</v>
      </c>
      <c r="K5803" s="31">
        <v>46043</v>
      </c>
      <c r="L5803" s="31">
        <v>46045</v>
      </c>
      <c r="M5803" s="31">
        <v>46069</v>
      </c>
      <c r="N5803" s="31">
        <v>46069</v>
      </c>
      <c r="O5803" s="2" t="s">
        <v>297</v>
      </c>
    </row>
    <row r="5804" spans="1:15">
      <c r="A5804" s="3">
        <f>ROW()-1</f>
        <v>5803</v>
      </c>
      <c r="B5804" s="65" t="s">
        <v>8434</v>
      </c>
      <c r="C5804" s="1">
        <v>7032321187</v>
      </c>
      <c r="E5804" s="17" t="s">
        <v>8413</v>
      </c>
      <c r="F5804" s="4" t="s">
        <v>333</v>
      </c>
      <c r="G5804" s="3" t="s">
        <v>764</v>
      </c>
      <c r="H5804" s="2" t="s">
        <v>5774</v>
      </c>
      <c r="I5804" s="3" t="s">
        <v>42</v>
      </c>
      <c r="J5804" s="31">
        <v>46043</v>
      </c>
      <c r="K5804" s="31">
        <v>46045</v>
      </c>
      <c r="L5804" s="31"/>
      <c r="M5804" s="31"/>
      <c r="N5804" s="31"/>
      <c r="O5804" s="2" t="s">
        <v>425</v>
      </c>
    </row>
    <row r="5805" spans="1:15">
      <c r="A5805" s="3">
        <f t="shared" ref="A5805:A5822" si="126">ROW()-1</f>
        <v>5804</v>
      </c>
      <c r="B5805" s="65" t="s">
        <v>8435</v>
      </c>
      <c r="C5805" s="1">
        <v>7674815441</v>
      </c>
      <c r="E5805" s="17" t="s">
        <v>6537</v>
      </c>
      <c r="F5805" s="4" t="s">
        <v>308</v>
      </c>
      <c r="G5805" s="3" t="s">
        <v>16</v>
      </c>
      <c r="H5805" s="2" t="s">
        <v>5774</v>
      </c>
      <c r="I5805" s="3" t="s">
        <v>42</v>
      </c>
      <c r="J5805" s="31">
        <v>46043</v>
      </c>
      <c r="K5805" s="31">
        <v>46045</v>
      </c>
      <c r="L5805" s="31">
        <v>46045</v>
      </c>
      <c r="M5805" s="31">
        <v>46063</v>
      </c>
      <c r="N5805" s="31">
        <v>46066</v>
      </c>
      <c r="O5805" s="2" t="s">
        <v>297</v>
      </c>
    </row>
    <row r="5806" spans="1:15">
      <c r="A5806" s="3">
        <f t="shared" si="126"/>
        <v>5805</v>
      </c>
      <c r="B5806" s="65" t="s">
        <v>8436</v>
      </c>
      <c r="C5806" s="1">
        <v>8755468024</v>
      </c>
      <c r="E5806" s="17" t="s">
        <v>6537</v>
      </c>
      <c r="F5806" s="4" t="s">
        <v>308</v>
      </c>
      <c r="G5806" s="3" t="s">
        <v>295</v>
      </c>
      <c r="H5806" s="2" t="s">
        <v>5774</v>
      </c>
      <c r="I5806" s="3" t="s">
        <v>42</v>
      </c>
      <c r="J5806" s="31">
        <v>46043</v>
      </c>
      <c r="K5806" s="31">
        <v>46045</v>
      </c>
      <c r="L5806" s="31">
        <v>46045</v>
      </c>
      <c r="M5806" s="31">
        <v>46063</v>
      </c>
      <c r="N5806" s="31"/>
      <c r="O5806" s="2" t="s">
        <v>297</v>
      </c>
    </row>
    <row r="5807" spans="1:15">
      <c r="A5807" s="3">
        <f t="shared" si="126"/>
        <v>5806</v>
      </c>
      <c r="B5807" s="65" t="s">
        <v>8437</v>
      </c>
      <c r="C5807" s="1">
        <v>9182503802</v>
      </c>
      <c r="E5807" s="17" t="s">
        <v>5966</v>
      </c>
      <c r="F5807" s="4" t="s">
        <v>748</v>
      </c>
      <c r="G5807" s="3" t="s">
        <v>16</v>
      </c>
      <c r="H5807" s="2" t="s">
        <v>5774</v>
      </c>
      <c r="I5807" s="3" t="s">
        <v>42</v>
      </c>
      <c r="J5807" s="31">
        <v>46043</v>
      </c>
      <c r="K5807" s="31">
        <v>46045</v>
      </c>
      <c r="L5807" s="31">
        <v>46052</v>
      </c>
      <c r="M5807" s="31">
        <v>46076</v>
      </c>
      <c r="N5807" s="31">
        <v>46076</v>
      </c>
      <c r="O5807" s="2" t="s">
        <v>297</v>
      </c>
    </row>
    <row r="5808" spans="1:15">
      <c r="A5808" s="3">
        <f t="shared" si="126"/>
        <v>5807</v>
      </c>
      <c r="B5808" s="65" t="s">
        <v>8438</v>
      </c>
      <c r="C5808" s="1">
        <v>6300620548</v>
      </c>
      <c r="E5808" s="17" t="s">
        <v>6537</v>
      </c>
      <c r="F5808" s="4" t="s">
        <v>329</v>
      </c>
      <c r="G5808" s="3" t="s">
        <v>764</v>
      </c>
      <c r="H5808" s="1" t="s">
        <v>6158</v>
      </c>
      <c r="I5808" s="3" t="s">
        <v>42</v>
      </c>
      <c r="J5808" s="31">
        <v>46043</v>
      </c>
      <c r="K5808" s="31">
        <v>46072</v>
      </c>
      <c r="L5808" s="31"/>
      <c r="M5808" s="31"/>
      <c r="N5808" s="31"/>
      <c r="O5808" s="2" t="s">
        <v>425</v>
      </c>
    </row>
    <row r="5809" spans="1:15">
      <c r="A5809" s="3">
        <f t="shared" si="126"/>
        <v>5808</v>
      </c>
      <c r="B5809" s="65" t="s">
        <v>8439</v>
      </c>
      <c r="C5809" s="1">
        <v>8919836182</v>
      </c>
      <c r="E5809" s="17" t="s">
        <v>8440</v>
      </c>
      <c r="F5809" s="4" t="s">
        <v>3160</v>
      </c>
      <c r="G5809" s="3" t="s">
        <v>764</v>
      </c>
      <c r="H5809" s="2" t="s">
        <v>785</v>
      </c>
      <c r="I5809" s="3" t="s">
        <v>42</v>
      </c>
      <c r="J5809" s="31">
        <v>46043</v>
      </c>
      <c r="K5809" s="31">
        <v>46045</v>
      </c>
      <c r="L5809" s="31"/>
      <c r="M5809" s="31"/>
      <c r="N5809" s="31"/>
      <c r="O5809" s="2" t="s">
        <v>425</v>
      </c>
    </row>
    <row r="5810" spans="1:15">
      <c r="A5810" s="3">
        <f t="shared" si="126"/>
        <v>5809</v>
      </c>
      <c r="B5810" s="65" t="s">
        <v>8441</v>
      </c>
      <c r="C5810" s="1">
        <v>9666881662</v>
      </c>
      <c r="E5810" s="17" t="s">
        <v>8442</v>
      </c>
      <c r="F5810" s="4" t="s">
        <v>1312</v>
      </c>
      <c r="G5810" s="3" t="s">
        <v>764</v>
      </c>
      <c r="H5810" s="2" t="s">
        <v>785</v>
      </c>
      <c r="I5810" s="3" t="s">
        <v>42</v>
      </c>
      <c r="J5810" s="31">
        <v>46043</v>
      </c>
      <c r="K5810" s="31">
        <v>46045</v>
      </c>
      <c r="L5810" s="31"/>
      <c r="M5810" s="31"/>
      <c r="N5810" s="31"/>
      <c r="O5810" s="2" t="s">
        <v>425</v>
      </c>
    </row>
    <row r="5811" spans="1:15">
      <c r="A5811" s="3">
        <f t="shared" si="126"/>
        <v>5810</v>
      </c>
      <c r="B5811" s="65" t="s">
        <v>8443</v>
      </c>
      <c r="C5811" s="1">
        <v>6261984161</v>
      </c>
      <c r="E5811" s="17" t="s">
        <v>6537</v>
      </c>
      <c r="F5811" s="4" t="s">
        <v>333</v>
      </c>
      <c r="G5811" s="3" t="s">
        <v>16</v>
      </c>
      <c r="H5811" s="2" t="s">
        <v>5774</v>
      </c>
      <c r="I5811" s="3" t="s">
        <v>42</v>
      </c>
      <c r="J5811" s="31">
        <v>46043</v>
      </c>
      <c r="K5811" s="31">
        <v>46052</v>
      </c>
      <c r="L5811" s="31">
        <v>46055</v>
      </c>
      <c r="M5811" s="31">
        <v>46073</v>
      </c>
      <c r="N5811" s="31">
        <v>46073</v>
      </c>
      <c r="O5811" s="2" t="s">
        <v>297</v>
      </c>
    </row>
    <row r="5812" spans="1:15">
      <c r="A5812" s="3">
        <f t="shared" si="126"/>
        <v>5811</v>
      </c>
      <c r="B5812" s="65" t="s">
        <v>8444</v>
      </c>
      <c r="C5812" s="1">
        <v>9424649056</v>
      </c>
      <c r="E5812" s="17" t="s">
        <v>8413</v>
      </c>
      <c r="F5812" s="4" t="s">
        <v>333</v>
      </c>
      <c r="G5812" s="3" t="s">
        <v>15</v>
      </c>
      <c r="H5812" s="2" t="s">
        <v>5774</v>
      </c>
      <c r="I5812" s="3" t="s">
        <v>42</v>
      </c>
      <c r="J5812" s="31">
        <v>46043</v>
      </c>
      <c r="K5812" s="31">
        <v>46045</v>
      </c>
      <c r="L5812" s="31">
        <v>46052</v>
      </c>
      <c r="M5812" s="31">
        <v>46111</v>
      </c>
      <c r="N5812" s="31"/>
      <c r="O5812" s="2" t="s">
        <v>297</v>
      </c>
    </row>
    <row r="5813" spans="1:15">
      <c r="A5813" s="3">
        <f t="shared" si="126"/>
        <v>5812</v>
      </c>
      <c r="B5813" s="65" t="s">
        <v>8445</v>
      </c>
      <c r="C5813" s="1">
        <v>9848816183</v>
      </c>
      <c r="E5813" s="17" t="s">
        <v>8433</v>
      </c>
      <c r="F5813" s="4" t="s">
        <v>8446</v>
      </c>
      <c r="G5813" s="3" t="s">
        <v>764</v>
      </c>
      <c r="H5813" s="2" t="s">
        <v>5774</v>
      </c>
      <c r="I5813" s="3" t="s">
        <v>42</v>
      </c>
      <c r="J5813" s="31">
        <v>46043</v>
      </c>
      <c r="K5813" s="31">
        <v>46045</v>
      </c>
      <c r="L5813" s="31"/>
      <c r="M5813" s="31"/>
      <c r="N5813" s="31"/>
      <c r="O5813" s="2" t="s">
        <v>425</v>
      </c>
    </row>
    <row r="5814" spans="1:15">
      <c r="A5814" s="3">
        <f t="shared" si="126"/>
        <v>5813</v>
      </c>
      <c r="B5814" s="65" t="s">
        <v>8447</v>
      </c>
      <c r="C5814" s="1">
        <v>9090404305</v>
      </c>
      <c r="E5814" s="17" t="s">
        <v>7955</v>
      </c>
      <c r="F5814" s="4" t="s">
        <v>2100</v>
      </c>
      <c r="G5814" s="3" t="s">
        <v>424</v>
      </c>
      <c r="H5814" s="2" t="s">
        <v>162</v>
      </c>
      <c r="I5814" s="3" t="s">
        <v>94</v>
      </c>
      <c r="J5814" s="31">
        <v>46043</v>
      </c>
      <c r="K5814" s="31">
        <v>46045</v>
      </c>
      <c r="L5814" s="31"/>
      <c r="M5814" s="31"/>
      <c r="N5814" s="31"/>
      <c r="O5814" s="2" t="s">
        <v>425</v>
      </c>
    </row>
    <row r="5815" spans="1:15">
      <c r="A5815" s="3">
        <f t="shared" si="126"/>
        <v>5814</v>
      </c>
      <c r="B5815" s="65" t="s">
        <v>8448</v>
      </c>
      <c r="C5815" s="1">
        <v>8357080440</v>
      </c>
      <c r="E5815" s="17" t="s">
        <v>8449</v>
      </c>
      <c r="F5815" s="4" t="s">
        <v>8450</v>
      </c>
      <c r="G5815" s="3" t="s">
        <v>16</v>
      </c>
      <c r="H5815" s="2" t="s">
        <v>162</v>
      </c>
      <c r="I5815" s="3" t="s">
        <v>94</v>
      </c>
      <c r="J5815" s="31">
        <v>46043</v>
      </c>
      <c r="K5815" s="31">
        <v>46045</v>
      </c>
      <c r="L5815" s="31">
        <v>46052</v>
      </c>
      <c r="M5815" s="31">
        <v>46078</v>
      </c>
      <c r="N5815" s="31">
        <v>46076</v>
      </c>
      <c r="O5815" s="2" t="s">
        <v>297</v>
      </c>
    </row>
    <row r="5816" spans="1:15">
      <c r="A5816" s="3">
        <f t="shared" si="126"/>
        <v>5815</v>
      </c>
      <c r="B5816" s="65" t="s">
        <v>8451</v>
      </c>
      <c r="C5816" s="1">
        <v>9789085438</v>
      </c>
      <c r="E5816" s="17" t="s">
        <v>8452</v>
      </c>
      <c r="F5816" s="4" t="s">
        <v>2006</v>
      </c>
      <c r="G5816" s="3" t="s">
        <v>424</v>
      </c>
      <c r="H5816" s="2" t="s">
        <v>162</v>
      </c>
      <c r="I5816" s="3" t="s">
        <v>94</v>
      </c>
      <c r="J5816" s="31">
        <v>46043</v>
      </c>
      <c r="K5816" s="31">
        <v>46045</v>
      </c>
      <c r="L5816" s="31"/>
      <c r="M5816" s="31"/>
      <c r="N5816" s="31"/>
      <c r="O5816" s="2" t="s">
        <v>425</v>
      </c>
    </row>
    <row r="5817" spans="1:15">
      <c r="A5817" s="3">
        <f t="shared" si="126"/>
        <v>5816</v>
      </c>
      <c r="B5817" s="65" t="s">
        <v>8453</v>
      </c>
      <c r="C5817" s="1">
        <v>7387886220</v>
      </c>
      <c r="E5817" s="17" t="s">
        <v>8408</v>
      </c>
      <c r="F5817" s="4" t="s">
        <v>8454</v>
      </c>
      <c r="G5817" s="3" t="s">
        <v>16</v>
      </c>
      <c r="H5817" s="2" t="s">
        <v>162</v>
      </c>
      <c r="I5817" s="3" t="s">
        <v>94</v>
      </c>
      <c r="J5817" s="31">
        <v>46043</v>
      </c>
      <c r="K5817" s="31">
        <v>46045</v>
      </c>
      <c r="L5817" s="31">
        <v>46045</v>
      </c>
      <c r="M5817" s="31">
        <v>46063</v>
      </c>
      <c r="N5817" s="31">
        <v>46061</v>
      </c>
      <c r="O5817" s="2" t="s">
        <v>297</v>
      </c>
    </row>
    <row r="5818" spans="1:15">
      <c r="A5818" s="3">
        <f t="shared" si="126"/>
        <v>5817</v>
      </c>
      <c r="B5818" s="65" t="s">
        <v>8455</v>
      </c>
      <c r="C5818" s="1">
        <v>7978728503</v>
      </c>
      <c r="E5818" s="17" t="s">
        <v>8402</v>
      </c>
      <c r="F5818" s="4" t="s">
        <v>1981</v>
      </c>
      <c r="G5818" s="3" t="s">
        <v>424</v>
      </c>
      <c r="H5818" s="2" t="s">
        <v>162</v>
      </c>
      <c r="I5818" s="3" t="s">
        <v>94</v>
      </c>
      <c r="J5818" s="31">
        <v>46043</v>
      </c>
      <c r="K5818" s="31">
        <v>46045</v>
      </c>
      <c r="L5818" s="31"/>
      <c r="M5818" s="31"/>
      <c r="N5818" s="31"/>
      <c r="O5818" s="2" t="s">
        <v>425</v>
      </c>
    </row>
    <row r="5819" spans="1:15">
      <c r="A5819" s="3">
        <f t="shared" si="126"/>
        <v>5818</v>
      </c>
      <c r="B5819" s="65" t="s">
        <v>8456</v>
      </c>
      <c r="C5819" s="1">
        <v>9935093725</v>
      </c>
      <c r="E5819" s="17" t="s">
        <v>8310</v>
      </c>
      <c r="F5819" s="4" t="s">
        <v>7561</v>
      </c>
      <c r="G5819" s="3" t="s">
        <v>16</v>
      </c>
      <c r="H5819" s="2" t="s">
        <v>630</v>
      </c>
      <c r="I5819" s="3" t="s">
        <v>94</v>
      </c>
      <c r="J5819" s="31">
        <v>46043</v>
      </c>
      <c r="K5819" s="31">
        <v>46051</v>
      </c>
      <c r="L5819" s="31">
        <v>46052</v>
      </c>
      <c r="M5819" s="31">
        <v>46069</v>
      </c>
      <c r="N5819" s="31">
        <v>46070</v>
      </c>
      <c r="O5819" s="2" t="s">
        <v>297</v>
      </c>
    </row>
    <row r="5820" spans="1:15">
      <c r="A5820" s="3">
        <f t="shared" si="126"/>
        <v>5819</v>
      </c>
      <c r="B5820" s="65" t="s">
        <v>8457</v>
      </c>
      <c r="C5820" s="1">
        <v>7000821794</v>
      </c>
      <c r="E5820" s="17" t="s">
        <v>3326</v>
      </c>
      <c r="F5820" s="4" t="s">
        <v>7561</v>
      </c>
      <c r="G5820" s="3" t="s">
        <v>15</v>
      </c>
      <c r="H5820" s="2" t="s">
        <v>630</v>
      </c>
      <c r="I5820" s="3" t="s">
        <v>94</v>
      </c>
      <c r="J5820" s="31">
        <v>46043</v>
      </c>
      <c r="K5820" s="31">
        <v>46063</v>
      </c>
      <c r="L5820" s="31">
        <v>46112</v>
      </c>
      <c r="M5820" s="31">
        <v>46126</v>
      </c>
      <c r="N5820" s="31"/>
      <c r="O5820" s="2" t="s">
        <v>297</v>
      </c>
    </row>
    <row r="5821" spans="1:15">
      <c r="A5821" s="3">
        <f t="shared" si="126"/>
        <v>5820</v>
      </c>
      <c r="B5821" s="65" t="s">
        <v>8458</v>
      </c>
      <c r="C5821" s="1">
        <v>9174183681</v>
      </c>
      <c r="E5821" s="17" t="s">
        <v>7970</v>
      </c>
      <c r="F5821" s="4" t="s">
        <v>443</v>
      </c>
      <c r="G5821" s="3" t="s">
        <v>424</v>
      </c>
      <c r="H5821" s="2" t="s">
        <v>296</v>
      </c>
      <c r="I5821" s="3" t="s">
        <v>94</v>
      </c>
      <c r="J5821" s="31">
        <v>46043</v>
      </c>
      <c r="K5821" s="31">
        <v>46052</v>
      </c>
      <c r="L5821" s="31"/>
      <c r="M5821" s="31"/>
      <c r="N5821" s="31"/>
      <c r="O5821" s="2" t="s">
        <v>425</v>
      </c>
    </row>
    <row r="5822" spans="1:15">
      <c r="A5822" s="3">
        <f t="shared" si="126"/>
        <v>5821</v>
      </c>
      <c r="B5822" s="65" t="s">
        <v>8459</v>
      </c>
      <c r="C5822" s="1">
        <v>9805678252</v>
      </c>
      <c r="E5822" s="17" t="s">
        <v>6526</v>
      </c>
      <c r="F5822" s="4" t="s">
        <v>443</v>
      </c>
      <c r="G5822" s="3" t="s">
        <v>424</v>
      </c>
      <c r="H5822" s="2" t="s">
        <v>296</v>
      </c>
      <c r="I5822" s="3" t="s">
        <v>94</v>
      </c>
      <c r="J5822" s="31">
        <v>46043</v>
      </c>
      <c r="K5822" s="31">
        <v>46050</v>
      </c>
      <c r="L5822" s="31"/>
      <c r="M5822" s="31"/>
      <c r="N5822" s="31"/>
      <c r="O5822" s="2" t="s">
        <v>425</v>
      </c>
    </row>
    <row r="5823" spans="1:15">
      <c r="A5823" s="3">
        <f t="shared" ref="A5823:A5844" si="127">ROW()-1</f>
        <v>5822</v>
      </c>
      <c r="B5823" s="65" t="s">
        <v>8460</v>
      </c>
      <c r="C5823" s="1">
        <v>9652627195</v>
      </c>
      <c r="E5823" s="17" t="s">
        <v>8433</v>
      </c>
      <c r="F5823" s="4" t="s">
        <v>308</v>
      </c>
      <c r="G5823" s="3" t="s">
        <v>16</v>
      </c>
      <c r="H5823" s="2" t="s">
        <v>5774</v>
      </c>
      <c r="I5823" s="3" t="s">
        <v>42</v>
      </c>
      <c r="J5823" s="31">
        <v>46044</v>
      </c>
      <c r="K5823" s="31">
        <v>46045</v>
      </c>
      <c r="L5823" s="31">
        <v>46052</v>
      </c>
      <c r="M5823" s="31">
        <v>46069</v>
      </c>
      <c r="N5823" s="31">
        <v>46072</v>
      </c>
      <c r="O5823" s="2" t="s">
        <v>297</v>
      </c>
    </row>
    <row r="5824" spans="1:15">
      <c r="A5824" s="3">
        <f t="shared" si="127"/>
        <v>5823</v>
      </c>
      <c r="B5824" s="65" t="s">
        <v>8461</v>
      </c>
      <c r="C5824" s="1">
        <v>6302157005</v>
      </c>
      <c r="E5824" s="17" t="s">
        <v>8433</v>
      </c>
      <c r="F5824" s="4" t="s">
        <v>419</v>
      </c>
      <c r="G5824" s="3" t="s">
        <v>16</v>
      </c>
      <c r="H5824" s="2" t="s">
        <v>5774</v>
      </c>
      <c r="I5824" s="3" t="s">
        <v>42</v>
      </c>
      <c r="J5824" s="31">
        <v>46044</v>
      </c>
      <c r="K5824" s="31">
        <v>46045</v>
      </c>
      <c r="L5824" s="31">
        <v>46052</v>
      </c>
      <c r="M5824" s="31">
        <v>46068</v>
      </c>
      <c r="N5824" s="31">
        <v>46073</v>
      </c>
      <c r="O5824" s="2" t="s">
        <v>297</v>
      </c>
    </row>
    <row r="5825" spans="1:15">
      <c r="A5825" s="3">
        <f t="shared" si="127"/>
        <v>5824</v>
      </c>
      <c r="B5825" s="65" t="s">
        <v>8462</v>
      </c>
      <c r="C5825" s="1">
        <v>9052021021</v>
      </c>
      <c r="E5825" s="17" t="s">
        <v>8440</v>
      </c>
      <c r="F5825" s="4" t="s">
        <v>2255</v>
      </c>
      <c r="G5825" s="3" t="s">
        <v>764</v>
      </c>
      <c r="H5825" s="2" t="s">
        <v>785</v>
      </c>
      <c r="I5825" s="3" t="s">
        <v>42</v>
      </c>
      <c r="J5825" s="31">
        <v>46044</v>
      </c>
      <c r="K5825" s="31">
        <v>46045</v>
      </c>
      <c r="L5825" s="31"/>
      <c r="M5825" s="31"/>
      <c r="N5825" s="31"/>
      <c r="O5825" s="2" t="s">
        <v>425</v>
      </c>
    </row>
    <row r="5826" spans="1:15">
      <c r="A5826" s="3">
        <f t="shared" si="127"/>
        <v>5825</v>
      </c>
      <c r="B5826" s="65" t="s">
        <v>8463</v>
      </c>
      <c r="C5826" s="1">
        <v>9491700605</v>
      </c>
      <c r="E5826" s="17" t="s">
        <v>8440</v>
      </c>
      <c r="F5826" s="4" t="s">
        <v>8464</v>
      </c>
      <c r="G5826" s="3" t="s">
        <v>764</v>
      </c>
      <c r="H5826" s="2" t="s">
        <v>785</v>
      </c>
      <c r="I5826" s="3" t="s">
        <v>42</v>
      </c>
      <c r="J5826" s="31">
        <v>46044</v>
      </c>
      <c r="K5826" s="31">
        <v>46045</v>
      </c>
      <c r="L5826" s="31"/>
      <c r="M5826" s="31"/>
      <c r="N5826" s="31"/>
      <c r="O5826" s="2" t="s">
        <v>425</v>
      </c>
    </row>
    <row r="5827" spans="1:15">
      <c r="A5827" s="3">
        <f t="shared" si="127"/>
        <v>5826</v>
      </c>
      <c r="B5827" s="65" t="s">
        <v>8465</v>
      </c>
      <c r="C5827" s="1">
        <v>9391466350</v>
      </c>
      <c r="E5827" s="17" t="s">
        <v>8466</v>
      </c>
      <c r="F5827" s="4" t="s">
        <v>8227</v>
      </c>
      <c r="G5827" s="3" t="s">
        <v>764</v>
      </c>
      <c r="H5827" s="2" t="s">
        <v>785</v>
      </c>
      <c r="I5827" s="3" t="s">
        <v>42</v>
      </c>
      <c r="J5827" s="31">
        <v>46044</v>
      </c>
      <c r="K5827" s="31">
        <v>46045</v>
      </c>
      <c r="L5827" s="31"/>
      <c r="M5827" s="31"/>
      <c r="N5827" s="31"/>
      <c r="O5827" s="2" t="s">
        <v>425</v>
      </c>
    </row>
    <row r="5828" spans="1:15">
      <c r="A5828" s="3">
        <f t="shared" si="127"/>
        <v>5827</v>
      </c>
      <c r="B5828" s="65" t="s">
        <v>8467</v>
      </c>
      <c r="C5828" s="1">
        <v>9052064255</v>
      </c>
      <c r="E5828" s="17" t="s">
        <v>8468</v>
      </c>
      <c r="F5828" s="4"/>
      <c r="G5828" s="3" t="s">
        <v>7030</v>
      </c>
      <c r="H5828" s="2" t="s">
        <v>999</v>
      </c>
      <c r="I5828" s="3" t="s">
        <v>88</v>
      </c>
      <c r="J5828" s="31">
        <v>46044</v>
      </c>
      <c r="K5828" s="31"/>
      <c r="L5828" s="31"/>
      <c r="M5828" s="31"/>
      <c r="N5828" s="31"/>
      <c r="O5828" s="2" t="s">
        <v>1004</v>
      </c>
    </row>
    <row r="5829" spans="1:15">
      <c r="A5829" s="3">
        <f t="shared" si="127"/>
        <v>5828</v>
      </c>
      <c r="B5829" s="65" t="s">
        <v>8469</v>
      </c>
      <c r="C5829" s="1">
        <v>9550615565</v>
      </c>
      <c r="E5829" s="17" t="s">
        <v>8470</v>
      </c>
      <c r="F5829" s="4"/>
      <c r="G5829" s="3" t="s">
        <v>7030</v>
      </c>
      <c r="H5829" s="2" t="s">
        <v>999</v>
      </c>
      <c r="I5829" s="3" t="s">
        <v>88</v>
      </c>
      <c r="J5829" s="31">
        <v>46044</v>
      </c>
      <c r="K5829" s="31"/>
      <c r="L5829" s="31"/>
      <c r="M5829" s="31"/>
      <c r="N5829" s="31"/>
      <c r="O5829" s="2" t="s">
        <v>1004</v>
      </c>
    </row>
    <row r="5830" spans="1:15">
      <c r="A5830" s="3">
        <f t="shared" si="127"/>
        <v>5829</v>
      </c>
      <c r="B5830" s="65" t="s">
        <v>8190</v>
      </c>
      <c r="C5830" s="1">
        <v>9618521094</v>
      </c>
      <c r="E5830" s="17" t="s">
        <v>8471</v>
      </c>
      <c r="F5830" s="4"/>
      <c r="G5830" s="3" t="s">
        <v>16</v>
      </c>
      <c r="H5830" s="2" t="s">
        <v>999</v>
      </c>
      <c r="I5830" s="3" t="s">
        <v>88</v>
      </c>
      <c r="J5830" s="31">
        <v>46044</v>
      </c>
      <c r="K5830" s="31">
        <v>46049</v>
      </c>
      <c r="L5830" s="31">
        <v>46046</v>
      </c>
      <c r="M5830" s="31">
        <v>46083</v>
      </c>
      <c r="N5830" s="31">
        <v>46083</v>
      </c>
      <c r="O5830" s="2" t="s">
        <v>297</v>
      </c>
    </row>
    <row r="5831" spans="1:15">
      <c r="A5831" s="3">
        <f t="shared" si="127"/>
        <v>5830</v>
      </c>
      <c r="B5831" s="65" t="s">
        <v>8472</v>
      </c>
      <c r="C5831" s="1">
        <v>9965818927</v>
      </c>
      <c r="E5831" s="17" t="s">
        <v>8468</v>
      </c>
      <c r="F5831" s="4"/>
      <c r="G5831" s="3" t="s">
        <v>424</v>
      </c>
      <c r="H5831" s="2" t="s">
        <v>999</v>
      </c>
      <c r="I5831" s="3" t="s">
        <v>88</v>
      </c>
      <c r="J5831" s="31">
        <v>46044</v>
      </c>
      <c r="K5831" s="31">
        <v>46062</v>
      </c>
      <c r="L5831" s="31"/>
      <c r="M5831" s="31"/>
      <c r="N5831" s="31"/>
      <c r="O5831" s="3" t="s">
        <v>425</v>
      </c>
    </row>
    <row r="5832" spans="1:15">
      <c r="A5832" s="3">
        <f t="shared" si="127"/>
        <v>5831</v>
      </c>
      <c r="B5832" s="65" t="s">
        <v>8473</v>
      </c>
      <c r="C5832" s="1">
        <v>7667562902</v>
      </c>
      <c r="D5832" s="1">
        <v>9771654501</v>
      </c>
      <c r="E5832" s="17" t="s">
        <v>6537</v>
      </c>
      <c r="F5832" s="4" t="s">
        <v>329</v>
      </c>
      <c r="G5832" s="3" t="s">
        <v>764</v>
      </c>
      <c r="H5832" s="2" t="s">
        <v>5774</v>
      </c>
      <c r="I5832" s="3" t="s">
        <v>42</v>
      </c>
      <c r="J5832" s="31">
        <v>46044</v>
      </c>
      <c r="K5832" s="31">
        <v>46045</v>
      </c>
      <c r="L5832" s="31"/>
      <c r="M5832" s="31"/>
      <c r="N5832" s="31"/>
      <c r="O5832" s="2" t="s">
        <v>425</v>
      </c>
    </row>
    <row r="5833" spans="1:15">
      <c r="A5833" s="3">
        <f t="shared" si="127"/>
        <v>5832</v>
      </c>
      <c r="B5833" s="65" t="s">
        <v>8474</v>
      </c>
      <c r="C5833" s="1">
        <v>8121458650</v>
      </c>
      <c r="E5833" s="17" t="s">
        <v>5966</v>
      </c>
      <c r="F5833" s="4" t="s">
        <v>748</v>
      </c>
      <c r="G5833" s="3" t="s">
        <v>416</v>
      </c>
      <c r="H5833" s="2" t="s">
        <v>5774</v>
      </c>
      <c r="I5833" s="3" t="s">
        <v>42</v>
      </c>
      <c r="J5833" s="31">
        <v>46044</v>
      </c>
      <c r="K5833" s="31">
        <v>46045</v>
      </c>
      <c r="L5833" s="31"/>
      <c r="M5833" s="31"/>
      <c r="N5833" s="31"/>
      <c r="O5833" s="2" t="s">
        <v>297</v>
      </c>
    </row>
    <row r="5834" spans="1:15">
      <c r="A5834" s="3">
        <f t="shared" si="127"/>
        <v>5833</v>
      </c>
      <c r="B5834" s="65" t="s">
        <v>8475</v>
      </c>
      <c r="C5834" s="1">
        <v>7588739966</v>
      </c>
      <c r="E5834" s="17" t="s">
        <v>5966</v>
      </c>
      <c r="F5834" s="4" t="s">
        <v>569</v>
      </c>
      <c r="G5834" s="3" t="s">
        <v>764</v>
      </c>
      <c r="H5834" s="2" t="s">
        <v>5774</v>
      </c>
      <c r="I5834" s="3" t="s">
        <v>42</v>
      </c>
      <c r="J5834" s="31">
        <v>46044</v>
      </c>
      <c r="K5834" s="31">
        <v>46045</v>
      </c>
      <c r="L5834" s="31"/>
      <c r="M5834" s="31"/>
      <c r="N5834" s="31"/>
      <c r="O5834" s="2" t="s">
        <v>425</v>
      </c>
    </row>
    <row r="5835" spans="1:15">
      <c r="A5835" s="3">
        <f t="shared" si="127"/>
        <v>5834</v>
      </c>
      <c r="B5835" s="65" t="s">
        <v>8476</v>
      </c>
      <c r="C5835" s="1">
        <v>9705191933</v>
      </c>
      <c r="E5835" s="17" t="s">
        <v>5966</v>
      </c>
      <c r="F5835" s="4" t="s">
        <v>308</v>
      </c>
      <c r="G5835" s="3" t="s">
        <v>16</v>
      </c>
      <c r="H5835" s="2" t="s">
        <v>5774</v>
      </c>
      <c r="I5835" s="3" t="s">
        <v>42</v>
      </c>
      <c r="J5835" s="31">
        <v>46044</v>
      </c>
      <c r="K5835" s="31">
        <v>46045</v>
      </c>
      <c r="L5835" s="31">
        <v>46087</v>
      </c>
      <c r="M5835" s="31">
        <v>46107</v>
      </c>
      <c r="N5835" s="31">
        <v>46107</v>
      </c>
      <c r="O5835" s="2" t="s">
        <v>297</v>
      </c>
    </row>
    <row r="5836" spans="1:15">
      <c r="A5836" s="3">
        <f t="shared" si="127"/>
        <v>5835</v>
      </c>
      <c r="B5836" s="65" t="s">
        <v>8477</v>
      </c>
      <c r="C5836" s="1">
        <v>9182771333</v>
      </c>
      <c r="E5836" s="17" t="s">
        <v>6181</v>
      </c>
      <c r="F5836" s="4" t="s">
        <v>8478</v>
      </c>
      <c r="G5836" s="3" t="s">
        <v>16</v>
      </c>
      <c r="H5836" s="2" t="s">
        <v>5774</v>
      </c>
      <c r="I5836" s="3" t="s">
        <v>42</v>
      </c>
      <c r="J5836" s="31">
        <v>46044</v>
      </c>
      <c r="K5836" s="31">
        <v>46045</v>
      </c>
      <c r="L5836" s="31">
        <v>46066</v>
      </c>
      <c r="M5836" s="31">
        <v>46077</v>
      </c>
      <c r="N5836" s="31">
        <v>46082</v>
      </c>
      <c r="O5836" s="2" t="s">
        <v>297</v>
      </c>
    </row>
    <row r="5837" spans="1:15">
      <c r="A5837" s="3">
        <f t="shared" si="127"/>
        <v>5836</v>
      </c>
      <c r="B5837" s="65" t="s">
        <v>8479</v>
      </c>
      <c r="C5837" s="1">
        <v>9014129420</v>
      </c>
      <c r="E5837" s="17" t="s">
        <v>7741</v>
      </c>
      <c r="F5837" s="4" t="s">
        <v>8480</v>
      </c>
      <c r="G5837" s="3" t="s">
        <v>764</v>
      </c>
      <c r="H5837" s="2" t="s">
        <v>5774</v>
      </c>
      <c r="I5837" s="3" t="s">
        <v>94</v>
      </c>
      <c r="J5837" s="31">
        <v>46044</v>
      </c>
      <c r="K5837" s="31">
        <v>46045</v>
      </c>
      <c r="L5837" s="31"/>
      <c r="M5837" s="31"/>
      <c r="N5837" s="31"/>
      <c r="O5837" s="2" t="s">
        <v>425</v>
      </c>
    </row>
    <row r="5838" spans="1:15">
      <c r="A5838" s="3">
        <f t="shared" si="127"/>
        <v>5837</v>
      </c>
      <c r="B5838" s="65" t="s">
        <v>8481</v>
      </c>
      <c r="C5838" s="1">
        <v>7903765077</v>
      </c>
      <c r="E5838" s="17" t="s">
        <v>7741</v>
      </c>
      <c r="F5838" s="4" t="s">
        <v>8480</v>
      </c>
      <c r="G5838" s="3" t="s">
        <v>15</v>
      </c>
      <c r="H5838" s="2" t="s">
        <v>5774</v>
      </c>
      <c r="I5838" s="3" t="s">
        <v>94</v>
      </c>
      <c r="J5838" s="31">
        <v>46044</v>
      </c>
      <c r="K5838" s="31">
        <v>46045</v>
      </c>
      <c r="L5838" s="31">
        <v>46073</v>
      </c>
      <c r="M5838" s="31">
        <v>46097</v>
      </c>
      <c r="N5838" s="31"/>
      <c r="O5838" s="2" t="s">
        <v>297</v>
      </c>
    </row>
    <row r="5839" spans="1:15">
      <c r="A5839" s="3">
        <f t="shared" si="127"/>
        <v>5838</v>
      </c>
      <c r="B5839" s="65" t="s">
        <v>8482</v>
      </c>
      <c r="C5839" s="1">
        <v>8074391473</v>
      </c>
      <c r="E5839" s="17" t="s">
        <v>7114</v>
      </c>
      <c r="F5839" s="4" t="s">
        <v>1893</v>
      </c>
      <c r="G5839" s="3" t="s">
        <v>15</v>
      </c>
      <c r="H5839" s="2" t="s">
        <v>5774</v>
      </c>
      <c r="I5839" s="3" t="s">
        <v>42</v>
      </c>
      <c r="J5839" s="31">
        <v>46044</v>
      </c>
      <c r="K5839" s="31">
        <v>46045</v>
      </c>
      <c r="L5839" s="31">
        <v>46065</v>
      </c>
      <c r="M5839" s="31">
        <v>46113</v>
      </c>
      <c r="N5839" s="31"/>
      <c r="O5839" s="2" t="s">
        <v>297</v>
      </c>
    </row>
    <row r="5840" spans="1:15">
      <c r="A5840" s="3">
        <f t="shared" si="127"/>
        <v>5839</v>
      </c>
      <c r="B5840" s="65" t="s">
        <v>1875</v>
      </c>
      <c r="C5840" s="1">
        <v>6201698426</v>
      </c>
      <c r="E5840" s="17" t="s">
        <v>7114</v>
      </c>
      <c r="F5840" s="4" t="s">
        <v>8483</v>
      </c>
      <c r="G5840" s="3" t="s">
        <v>764</v>
      </c>
      <c r="H5840" s="2" t="s">
        <v>5774</v>
      </c>
      <c r="I5840" s="3" t="s">
        <v>94</v>
      </c>
      <c r="J5840" s="31">
        <v>46044</v>
      </c>
      <c r="K5840" s="31">
        <v>46045</v>
      </c>
      <c r="L5840" s="31"/>
      <c r="M5840" s="31"/>
      <c r="N5840" s="31"/>
      <c r="O5840" s="2" t="s">
        <v>425</v>
      </c>
    </row>
    <row r="5841" spans="1:15">
      <c r="A5841" s="3">
        <f t="shared" si="127"/>
        <v>5840</v>
      </c>
      <c r="B5841" s="65" t="s">
        <v>8484</v>
      </c>
      <c r="C5841" s="1">
        <v>9182223755</v>
      </c>
      <c r="E5841" s="17" t="s">
        <v>3954</v>
      </c>
      <c r="F5841" s="4" t="s">
        <v>4291</v>
      </c>
      <c r="G5841" s="3" t="s">
        <v>15</v>
      </c>
      <c r="H5841" s="2" t="s">
        <v>5774</v>
      </c>
      <c r="I5841" s="3" t="s">
        <v>42</v>
      </c>
      <c r="J5841" s="31">
        <v>46044</v>
      </c>
      <c r="K5841" s="31">
        <v>46045</v>
      </c>
      <c r="L5841" s="31">
        <v>46065</v>
      </c>
      <c r="M5841" s="31">
        <v>46113</v>
      </c>
      <c r="N5841" s="31"/>
      <c r="O5841" s="2" t="s">
        <v>297</v>
      </c>
    </row>
    <row r="5842" spans="1:15">
      <c r="A5842" s="3">
        <f t="shared" si="127"/>
        <v>5841</v>
      </c>
      <c r="B5842" s="65" t="s">
        <v>8485</v>
      </c>
      <c r="C5842" s="1">
        <v>9382873331</v>
      </c>
      <c r="E5842" s="17" t="s">
        <v>8486</v>
      </c>
      <c r="F5842" s="4" t="s">
        <v>294</v>
      </c>
      <c r="G5842" s="3" t="s">
        <v>16</v>
      </c>
      <c r="H5842" s="2" t="s">
        <v>487</v>
      </c>
      <c r="I5842" s="3" t="s">
        <v>88</v>
      </c>
      <c r="J5842" s="31">
        <v>46044</v>
      </c>
      <c r="K5842" s="31">
        <v>46046</v>
      </c>
      <c r="L5842" s="31">
        <v>46055</v>
      </c>
      <c r="M5842" s="31">
        <v>46083</v>
      </c>
      <c r="N5842" s="31">
        <v>46065</v>
      </c>
      <c r="O5842" s="3" t="s">
        <v>297</v>
      </c>
    </row>
    <row r="5843" spans="1:15">
      <c r="A5843" s="3">
        <f t="shared" si="127"/>
        <v>5842</v>
      </c>
      <c r="B5843" s="65" t="s">
        <v>8487</v>
      </c>
      <c r="C5843" s="1">
        <v>9903798915</v>
      </c>
      <c r="D5843" s="1">
        <v>7596833264</v>
      </c>
      <c r="E5843" s="17" t="s">
        <v>8486</v>
      </c>
      <c r="F5843" s="4" t="s">
        <v>294</v>
      </c>
      <c r="G5843" s="3" t="s">
        <v>416</v>
      </c>
      <c r="H5843" s="2" t="s">
        <v>487</v>
      </c>
      <c r="I5843" s="3" t="s">
        <v>88</v>
      </c>
      <c r="J5843" s="31">
        <v>46044</v>
      </c>
      <c r="K5843" s="31">
        <v>46048</v>
      </c>
      <c r="L5843" s="31"/>
      <c r="M5843" s="31"/>
      <c r="N5843" s="31"/>
      <c r="O5843" s="3" t="s">
        <v>297</v>
      </c>
    </row>
    <row r="5844" spans="1:15">
      <c r="A5844" s="3">
        <f t="shared" si="127"/>
        <v>5843</v>
      </c>
      <c r="B5844" s="65" t="s">
        <v>8488</v>
      </c>
      <c r="C5844" s="1">
        <v>8707372035</v>
      </c>
      <c r="E5844" s="17" t="s">
        <v>8489</v>
      </c>
      <c r="F5844" s="4" t="s">
        <v>8490</v>
      </c>
      <c r="G5844" s="3" t="s">
        <v>16</v>
      </c>
      <c r="H5844" s="2" t="s">
        <v>487</v>
      </c>
      <c r="I5844" s="3" t="s">
        <v>88</v>
      </c>
      <c r="J5844" s="31">
        <v>46044</v>
      </c>
      <c r="K5844" s="31">
        <v>46050</v>
      </c>
      <c r="L5844" s="31">
        <v>46046</v>
      </c>
      <c r="M5844" s="31">
        <v>46095</v>
      </c>
      <c r="N5844" s="31">
        <v>46095</v>
      </c>
      <c r="O5844" s="2" t="s">
        <v>297</v>
      </c>
    </row>
    <row r="5845" spans="1:15">
      <c r="A5845" s="3">
        <f t="shared" ref="A5845:A5847" si="128">ROW()-1</f>
        <v>5844</v>
      </c>
      <c r="B5845" s="65" t="s">
        <v>8491</v>
      </c>
      <c r="C5845" s="1">
        <v>8180066320</v>
      </c>
      <c r="E5845" s="17" t="s">
        <v>7685</v>
      </c>
      <c r="F5845" s="4" t="s">
        <v>8492</v>
      </c>
      <c r="G5845" s="3" t="s">
        <v>16</v>
      </c>
      <c r="H5845" s="2" t="s">
        <v>8337</v>
      </c>
      <c r="I5845" s="3" t="s">
        <v>42</v>
      </c>
      <c r="J5845" s="31">
        <v>46045</v>
      </c>
      <c r="K5845" s="31">
        <v>46066</v>
      </c>
      <c r="L5845" s="31">
        <v>46066</v>
      </c>
      <c r="M5845" s="31">
        <v>46104</v>
      </c>
      <c r="N5845" s="31">
        <v>46106</v>
      </c>
      <c r="O5845" s="2" t="s">
        <v>297</v>
      </c>
    </row>
    <row r="5846" spans="1:15">
      <c r="A5846" s="3">
        <f t="shared" si="128"/>
        <v>5845</v>
      </c>
      <c r="B5846" s="65" t="s">
        <v>8493</v>
      </c>
      <c r="C5846" s="1">
        <v>8053070960</v>
      </c>
      <c r="E5846" s="17" t="s">
        <v>5560</v>
      </c>
      <c r="F5846" s="4" t="s">
        <v>1666</v>
      </c>
      <c r="G5846" s="3" t="s">
        <v>1175</v>
      </c>
      <c r="H5846" s="2" t="s">
        <v>8337</v>
      </c>
      <c r="I5846" s="3" t="s">
        <v>42</v>
      </c>
      <c r="J5846" s="31">
        <v>46045</v>
      </c>
      <c r="K5846" s="31"/>
      <c r="L5846" s="31"/>
      <c r="M5846" s="31"/>
      <c r="N5846" s="31"/>
      <c r="O5846" s="2" t="s">
        <v>1004</v>
      </c>
    </row>
    <row r="5847" spans="1:15">
      <c r="A5847" s="3">
        <f t="shared" si="128"/>
        <v>5846</v>
      </c>
      <c r="B5847" s="65" t="s">
        <v>8494</v>
      </c>
      <c r="C5847" s="1">
        <v>8500565791</v>
      </c>
      <c r="E5847" s="17" t="s">
        <v>5557</v>
      </c>
      <c r="F5847" s="4" t="s">
        <v>8495</v>
      </c>
      <c r="G5847" s="3" t="s">
        <v>1175</v>
      </c>
      <c r="H5847" s="2" t="s">
        <v>8337</v>
      </c>
      <c r="I5847" s="3" t="s">
        <v>42</v>
      </c>
      <c r="J5847" s="31">
        <v>46045</v>
      </c>
      <c r="K5847" s="31"/>
      <c r="L5847" s="31"/>
      <c r="M5847" s="31"/>
      <c r="N5847" s="31"/>
      <c r="O5847" s="2" t="s">
        <v>1004</v>
      </c>
    </row>
    <row r="5848" spans="1:15">
      <c r="A5848" s="3">
        <f t="shared" ref="A5848:A5861" si="129">ROW()-1</f>
        <v>5847</v>
      </c>
      <c r="B5848" s="65" t="s">
        <v>4349</v>
      </c>
      <c r="C5848" s="1">
        <v>9244550114</v>
      </c>
      <c r="D5848" s="1">
        <v>8225889752</v>
      </c>
      <c r="E5848" s="17" t="s">
        <v>7741</v>
      </c>
      <c r="F5848" s="4" t="s">
        <v>8480</v>
      </c>
      <c r="G5848" s="3" t="s">
        <v>295</v>
      </c>
      <c r="H5848" s="2" t="s">
        <v>5774</v>
      </c>
      <c r="I5848" s="3" t="s">
        <v>42</v>
      </c>
      <c r="J5848" s="31">
        <v>46045</v>
      </c>
      <c r="K5848" s="31">
        <v>46050</v>
      </c>
      <c r="L5848" s="31">
        <v>46055</v>
      </c>
      <c r="M5848" s="31">
        <v>46089</v>
      </c>
      <c r="N5848" s="31"/>
      <c r="O5848" s="2" t="s">
        <v>297</v>
      </c>
    </row>
    <row r="5849" spans="1:15">
      <c r="A5849" s="3">
        <f t="shared" si="129"/>
        <v>5848</v>
      </c>
      <c r="B5849" s="65" t="s">
        <v>8496</v>
      </c>
      <c r="C5849" s="1">
        <v>9573852890</v>
      </c>
      <c r="D5849" s="1">
        <v>9121285144</v>
      </c>
      <c r="E5849" s="17" t="s">
        <v>7741</v>
      </c>
      <c r="F5849" s="4" t="s">
        <v>8497</v>
      </c>
      <c r="G5849" s="3" t="s">
        <v>15</v>
      </c>
      <c r="H5849" s="3" t="s">
        <v>4145</v>
      </c>
      <c r="I5849" s="3" t="s">
        <v>42</v>
      </c>
      <c r="J5849" s="31">
        <v>46045</v>
      </c>
      <c r="K5849" s="31">
        <v>46051</v>
      </c>
      <c r="L5849" s="31">
        <v>46065</v>
      </c>
      <c r="M5849" s="31">
        <v>46113</v>
      </c>
      <c r="N5849" s="31"/>
      <c r="O5849" s="2" t="s">
        <v>297</v>
      </c>
    </row>
    <row r="5850" spans="1:15">
      <c r="A5850" s="3">
        <f t="shared" si="129"/>
        <v>5849</v>
      </c>
      <c r="B5850" s="65" t="s">
        <v>8498</v>
      </c>
      <c r="C5850" s="1">
        <v>6309668078</v>
      </c>
      <c r="E5850" s="17" t="s">
        <v>8499</v>
      </c>
      <c r="F5850" s="4" t="s">
        <v>8500</v>
      </c>
      <c r="G5850" s="3" t="s">
        <v>16</v>
      </c>
      <c r="H5850" s="2" t="s">
        <v>88</v>
      </c>
      <c r="I5850" s="3" t="s">
        <v>88</v>
      </c>
      <c r="J5850" s="31">
        <v>46045</v>
      </c>
      <c r="K5850" s="31">
        <v>46045</v>
      </c>
      <c r="L5850" s="31">
        <v>46046</v>
      </c>
      <c r="M5850" s="31">
        <v>46083</v>
      </c>
      <c r="N5850" s="31">
        <v>46083</v>
      </c>
      <c r="O5850" s="2" t="s">
        <v>297</v>
      </c>
    </row>
    <row r="5851" spans="1:15">
      <c r="A5851" s="3">
        <f t="shared" si="129"/>
        <v>5850</v>
      </c>
      <c r="B5851" s="65" t="s">
        <v>8501</v>
      </c>
      <c r="C5851" s="1">
        <v>9912462180</v>
      </c>
      <c r="E5851" s="17" t="s">
        <v>6537</v>
      </c>
      <c r="F5851" s="4" t="s">
        <v>419</v>
      </c>
      <c r="G5851" s="3" t="s">
        <v>416</v>
      </c>
      <c r="H5851" s="1" t="s">
        <v>6158</v>
      </c>
      <c r="I5851" s="3" t="s">
        <v>42</v>
      </c>
      <c r="J5851" s="31">
        <v>46045</v>
      </c>
      <c r="K5851" s="31">
        <v>46072</v>
      </c>
      <c r="L5851" s="31"/>
      <c r="M5851" s="31"/>
      <c r="N5851" s="31"/>
      <c r="O5851" s="2" t="s">
        <v>297</v>
      </c>
    </row>
    <row r="5852" spans="1:15">
      <c r="A5852" s="3">
        <f t="shared" si="129"/>
        <v>5851</v>
      </c>
      <c r="B5852" s="65" t="s">
        <v>8502</v>
      </c>
      <c r="C5852" s="1">
        <v>6281278218</v>
      </c>
      <c r="D5852" s="1">
        <v>8179454557</v>
      </c>
      <c r="E5852" s="17" t="s">
        <v>6537</v>
      </c>
      <c r="F5852" s="4" t="s">
        <v>419</v>
      </c>
      <c r="G5852" s="3" t="s">
        <v>764</v>
      </c>
      <c r="H5852" s="1" t="s">
        <v>6158</v>
      </c>
      <c r="I5852" s="3" t="s">
        <v>42</v>
      </c>
      <c r="J5852" s="31">
        <v>46045</v>
      </c>
      <c r="K5852" s="31">
        <v>46072</v>
      </c>
      <c r="L5852" s="31"/>
      <c r="M5852" s="31"/>
      <c r="N5852" s="31"/>
      <c r="O5852" s="2" t="s">
        <v>425</v>
      </c>
    </row>
    <row r="5853" spans="1:15">
      <c r="A5853" s="3">
        <f t="shared" si="129"/>
        <v>5852</v>
      </c>
      <c r="B5853" s="65" t="s">
        <v>8503</v>
      </c>
      <c r="C5853" s="1">
        <v>8374510596</v>
      </c>
      <c r="E5853" s="17" t="s">
        <v>6537</v>
      </c>
      <c r="F5853" s="4" t="s">
        <v>748</v>
      </c>
      <c r="G5853" s="3" t="s">
        <v>16</v>
      </c>
      <c r="H5853" s="1" t="s">
        <v>6158</v>
      </c>
      <c r="I5853" s="3" t="s">
        <v>42</v>
      </c>
      <c r="J5853" s="31">
        <v>46045</v>
      </c>
      <c r="K5853" s="31">
        <v>46072</v>
      </c>
      <c r="L5853" s="31">
        <v>46073</v>
      </c>
      <c r="M5853" s="31">
        <v>46088</v>
      </c>
      <c r="N5853" s="31">
        <v>46086</v>
      </c>
      <c r="O5853" s="2" t="s">
        <v>297</v>
      </c>
    </row>
    <row r="5854" spans="1:15">
      <c r="A5854" s="3">
        <f t="shared" si="129"/>
        <v>5853</v>
      </c>
      <c r="B5854" s="65" t="s">
        <v>8504</v>
      </c>
      <c r="C5854" s="1">
        <v>9676508743</v>
      </c>
      <c r="E5854" s="17" t="s">
        <v>8213</v>
      </c>
      <c r="F5854" s="4" t="s">
        <v>294</v>
      </c>
      <c r="G5854" s="3" t="s">
        <v>416</v>
      </c>
      <c r="H5854" s="2" t="s">
        <v>5774</v>
      </c>
      <c r="I5854" s="3" t="s">
        <v>42</v>
      </c>
      <c r="J5854" s="31">
        <v>46045</v>
      </c>
      <c r="K5854" s="31">
        <v>46050</v>
      </c>
      <c r="L5854" s="31"/>
      <c r="M5854" s="31"/>
      <c r="N5854" s="31"/>
      <c r="O5854" s="3" t="s">
        <v>297</v>
      </c>
    </row>
    <row r="5855" spans="1:15">
      <c r="A5855" s="3">
        <f t="shared" si="129"/>
        <v>5854</v>
      </c>
      <c r="B5855" s="65" t="s">
        <v>8505</v>
      </c>
      <c r="C5855" s="1">
        <v>9346803492</v>
      </c>
      <c r="E5855" s="17" t="s">
        <v>8213</v>
      </c>
      <c r="F5855" s="4" t="s">
        <v>294</v>
      </c>
      <c r="G5855" s="3" t="s">
        <v>416</v>
      </c>
      <c r="H5855" s="2" t="s">
        <v>5774</v>
      </c>
      <c r="I5855" s="3" t="s">
        <v>42</v>
      </c>
      <c r="J5855" s="31">
        <v>46045</v>
      </c>
      <c r="K5855" s="31">
        <v>46050</v>
      </c>
      <c r="L5855" s="31"/>
      <c r="M5855" s="31"/>
      <c r="N5855" s="31"/>
      <c r="O5855" s="3" t="s">
        <v>297</v>
      </c>
    </row>
    <row r="5856" spans="1:15">
      <c r="A5856" s="3">
        <f t="shared" si="129"/>
        <v>5855</v>
      </c>
      <c r="B5856" s="65" t="s">
        <v>8506</v>
      </c>
      <c r="C5856" s="1">
        <v>8688186078</v>
      </c>
      <c r="E5856" s="17" t="s">
        <v>8213</v>
      </c>
      <c r="F5856" s="4" t="s">
        <v>294</v>
      </c>
      <c r="G5856" s="3" t="s">
        <v>15</v>
      </c>
      <c r="H5856" s="2" t="s">
        <v>5774</v>
      </c>
      <c r="I5856" s="3" t="s">
        <v>42</v>
      </c>
      <c r="J5856" s="31">
        <v>46045</v>
      </c>
      <c r="K5856" s="31">
        <v>46050</v>
      </c>
      <c r="L5856" s="31">
        <v>46052</v>
      </c>
      <c r="M5856" s="31">
        <v>46111</v>
      </c>
      <c r="N5856" s="31"/>
      <c r="O5856" s="3" t="s">
        <v>297</v>
      </c>
    </row>
    <row r="5857" spans="1:15">
      <c r="A5857" s="3">
        <f t="shared" si="129"/>
        <v>5856</v>
      </c>
      <c r="B5857" s="65" t="s">
        <v>8507</v>
      </c>
      <c r="C5857" s="1">
        <v>7729896009</v>
      </c>
      <c r="E5857" s="17" t="s">
        <v>8508</v>
      </c>
      <c r="F5857" s="4" t="s">
        <v>2199</v>
      </c>
      <c r="G5857" s="3" t="s">
        <v>16</v>
      </c>
      <c r="H5857" s="2" t="s">
        <v>785</v>
      </c>
      <c r="I5857" s="3" t="s">
        <v>42</v>
      </c>
      <c r="J5857" s="31">
        <v>46045</v>
      </c>
      <c r="K5857" s="31">
        <v>46045</v>
      </c>
      <c r="L5857" s="31">
        <v>46045</v>
      </c>
      <c r="M5857" s="31">
        <v>46090</v>
      </c>
      <c r="N5857" s="31">
        <v>46090</v>
      </c>
      <c r="O5857" s="2" t="s">
        <v>297</v>
      </c>
    </row>
    <row r="5858" spans="1:15">
      <c r="A5858" s="3">
        <f t="shared" si="129"/>
        <v>5857</v>
      </c>
      <c r="B5858" s="65" t="s">
        <v>8509</v>
      </c>
      <c r="C5858" s="1">
        <v>8897692612</v>
      </c>
      <c r="E5858" s="17" t="s">
        <v>7366</v>
      </c>
      <c r="F5858" s="4" t="s">
        <v>308</v>
      </c>
      <c r="G5858" s="3" t="s">
        <v>16</v>
      </c>
      <c r="H5858" s="2" t="s">
        <v>785</v>
      </c>
      <c r="I5858" s="3" t="s">
        <v>42</v>
      </c>
      <c r="J5858" s="31">
        <v>46045</v>
      </c>
      <c r="K5858" s="31">
        <v>46045</v>
      </c>
      <c r="L5858" s="31">
        <v>46052</v>
      </c>
      <c r="M5858" s="31">
        <v>46078</v>
      </c>
      <c r="N5858" s="31">
        <v>46078</v>
      </c>
      <c r="O5858" s="2" t="s">
        <v>297</v>
      </c>
    </row>
    <row r="5859" spans="1:15">
      <c r="A5859" s="3">
        <f t="shared" si="129"/>
        <v>5858</v>
      </c>
      <c r="B5859" s="65" t="s">
        <v>8510</v>
      </c>
      <c r="C5859" s="1">
        <v>8179804584</v>
      </c>
      <c r="E5859" s="17" t="s">
        <v>8413</v>
      </c>
      <c r="F5859" s="4" t="s">
        <v>333</v>
      </c>
      <c r="G5859" s="3" t="s">
        <v>16</v>
      </c>
      <c r="H5859" s="2" t="s">
        <v>5774</v>
      </c>
      <c r="I5859" s="3" t="s">
        <v>42</v>
      </c>
      <c r="J5859" s="31">
        <v>46045</v>
      </c>
      <c r="K5859" s="31">
        <v>46045</v>
      </c>
      <c r="L5859" s="31">
        <v>46052</v>
      </c>
      <c r="M5859" s="31">
        <v>46058</v>
      </c>
      <c r="N5859" s="31">
        <v>46057</v>
      </c>
      <c r="O5859" s="2" t="s">
        <v>297</v>
      </c>
    </row>
    <row r="5860" spans="1:15">
      <c r="A5860" s="3">
        <f t="shared" si="129"/>
        <v>5859</v>
      </c>
      <c r="B5860" s="65" t="s">
        <v>8511</v>
      </c>
      <c r="C5860" s="1">
        <v>9149763723</v>
      </c>
      <c r="E5860" s="17" t="s">
        <v>8433</v>
      </c>
      <c r="F5860" s="4" t="s">
        <v>308</v>
      </c>
      <c r="G5860" s="3" t="s">
        <v>16</v>
      </c>
      <c r="H5860" s="2" t="s">
        <v>5774</v>
      </c>
      <c r="I5860" s="3" t="s">
        <v>42</v>
      </c>
      <c r="J5860" s="31">
        <v>46045</v>
      </c>
      <c r="K5860" s="31">
        <v>46045</v>
      </c>
      <c r="L5860" s="31">
        <v>46052</v>
      </c>
      <c r="M5860" s="31">
        <v>46073</v>
      </c>
      <c r="N5860" s="31">
        <v>46073</v>
      </c>
      <c r="O5860" s="2" t="s">
        <v>297</v>
      </c>
    </row>
    <row r="5861" spans="1:15">
      <c r="A5861" s="3">
        <f t="shared" si="129"/>
        <v>5860</v>
      </c>
      <c r="B5861" s="65" t="s">
        <v>5898</v>
      </c>
      <c r="C5861" s="1">
        <v>9782786846</v>
      </c>
      <c r="E5861" s="17" t="s">
        <v>8413</v>
      </c>
      <c r="F5861" s="4" t="s">
        <v>308</v>
      </c>
      <c r="G5861" s="3" t="s">
        <v>764</v>
      </c>
      <c r="H5861" s="2" t="s">
        <v>5774</v>
      </c>
      <c r="I5861" s="3" t="s">
        <v>42</v>
      </c>
      <c r="J5861" s="31">
        <v>46045</v>
      </c>
      <c r="K5861" s="31">
        <v>46045</v>
      </c>
      <c r="L5861" s="31"/>
      <c r="M5861" s="31"/>
      <c r="N5861" s="31"/>
      <c r="O5861" s="2" t="s">
        <v>425</v>
      </c>
    </row>
    <row r="5862" spans="1:15">
      <c r="A5862" s="3">
        <f t="shared" ref="A5862:A5875" si="130">ROW()-1</f>
        <v>5861</v>
      </c>
      <c r="B5862" s="65" t="s">
        <v>8512</v>
      </c>
      <c r="C5862" s="1">
        <v>9668188818</v>
      </c>
      <c r="D5862" s="1">
        <v>6301988368</v>
      </c>
      <c r="E5862" s="17" t="s">
        <v>8405</v>
      </c>
      <c r="F5862" s="4" t="s">
        <v>3696</v>
      </c>
      <c r="G5862" s="3" t="s">
        <v>424</v>
      </c>
      <c r="H5862" s="2" t="s">
        <v>162</v>
      </c>
      <c r="I5862" s="3" t="s">
        <v>94</v>
      </c>
      <c r="J5862" s="31">
        <v>46045</v>
      </c>
      <c r="K5862" s="31">
        <v>46045</v>
      </c>
      <c r="L5862" s="31"/>
      <c r="M5862" s="31"/>
      <c r="N5862" s="31"/>
      <c r="O5862" s="2" t="s">
        <v>425</v>
      </c>
    </row>
    <row r="5863" spans="1:15">
      <c r="A5863" s="3">
        <f t="shared" si="130"/>
        <v>5862</v>
      </c>
      <c r="B5863" s="65" t="s">
        <v>8513</v>
      </c>
      <c r="C5863" s="1">
        <v>8885198664</v>
      </c>
      <c r="E5863" s="17" t="s">
        <v>8221</v>
      </c>
      <c r="F5863" s="4" t="s">
        <v>2006</v>
      </c>
      <c r="G5863" s="3" t="s">
        <v>424</v>
      </c>
      <c r="H5863" s="2" t="s">
        <v>162</v>
      </c>
      <c r="I5863" s="3" t="s">
        <v>94</v>
      </c>
      <c r="J5863" s="31">
        <v>46045</v>
      </c>
      <c r="K5863" s="31">
        <v>46045</v>
      </c>
      <c r="L5863" s="31"/>
      <c r="M5863" s="31"/>
      <c r="N5863" s="31"/>
      <c r="O5863" s="2" t="s">
        <v>425</v>
      </c>
    </row>
    <row r="5864" spans="1:15">
      <c r="A5864" s="3">
        <f t="shared" si="130"/>
        <v>5863</v>
      </c>
      <c r="B5864" s="65" t="s">
        <v>8514</v>
      </c>
      <c r="C5864" s="1">
        <v>6354420699</v>
      </c>
      <c r="E5864" s="17" t="s">
        <v>8449</v>
      </c>
      <c r="F5864" s="4" t="s">
        <v>8515</v>
      </c>
      <c r="G5864" s="3" t="s">
        <v>15</v>
      </c>
      <c r="H5864" s="2" t="s">
        <v>162</v>
      </c>
      <c r="I5864" s="3" t="s">
        <v>94</v>
      </c>
      <c r="J5864" s="31">
        <v>46045</v>
      </c>
      <c r="K5864" s="31">
        <v>46045</v>
      </c>
      <c r="L5864" s="31">
        <v>46052</v>
      </c>
      <c r="M5864" s="31">
        <v>46073</v>
      </c>
      <c r="N5864" s="31"/>
      <c r="O5864" s="2" t="s">
        <v>297</v>
      </c>
    </row>
    <row r="5865" spans="1:15">
      <c r="A5865" s="3">
        <f t="shared" si="130"/>
        <v>5864</v>
      </c>
      <c r="B5865" s="65" t="s">
        <v>8516</v>
      </c>
      <c r="C5865" s="1">
        <v>7989112950</v>
      </c>
      <c r="D5865" s="1">
        <v>8296455091</v>
      </c>
      <c r="E5865" s="17" t="s">
        <v>8221</v>
      </c>
      <c r="F5865" s="4" t="s">
        <v>1981</v>
      </c>
      <c r="G5865" s="3" t="s">
        <v>416</v>
      </c>
      <c r="H5865" s="2" t="s">
        <v>162</v>
      </c>
      <c r="I5865" s="3" t="s">
        <v>94</v>
      </c>
      <c r="J5865" s="31">
        <v>46045</v>
      </c>
      <c r="K5865" s="31">
        <v>46045</v>
      </c>
      <c r="L5865" s="31"/>
      <c r="M5865" s="31"/>
      <c r="N5865" s="31"/>
      <c r="O5865" s="2" t="s">
        <v>297</v>
      </c>
    </row>
    <row r="5866" spans="1:15">
      <c r="A5866" s="3">
        <f t="shared" si="130"/>
        <v>5865</v>
      </c>
      <c r="B5866" s="65" t="s">
        <v>8517</v>
      </c>
      <c r="C5866" s="1">
        <v>9381195161</v>
      </c>
      <c r="E5866" s="17" t="s">
        <v>8405</v>
      </c>
      <c r="F5866" s="4" t="s">
        <v>8518</v>
      </c>
      <c r="G5866" s="3" t="s">
        <v>16</v>
      </c>
      <c r="H5866" s="2" t="s">
        <v>162</v>
      </c>
      <c r="I5866" s="3" t="s">
        <v>94</v>
      </c>
      <c r="J5866" s="31">
        <v>46045</v>
      </c>
      <c r="K5866" s="31">
        <v>46045</v>
      </c>
      <c r="L5866" s="31">
        <v>46052</v>
      </c>
      <c r="M5866" s="31">
        <v>46063</v>
      </c>
      <c r="N5866" s="31">
        <v>46063</v>
      </c>
      <c r="O5866" s="2" t="s">
        <v>297</v>
      </c>
    </row>
    <row r="5867" spans="1:15">
      <c r="A5867" s="3">
        <f t="shared" si="130"/>
        <v>5866</v>
      </c>
      <c r="B5867" s="65" t="s">
        <v>8519</v>
      </c>
      <c r="C5867" s="1">
        <v>9381034823</v>
      </c>
      <c r="E5867" s="17" t="s">
        <v>8403</v>
      </c>
      <c r="F5867" s="4" t="s">
        <v>8520</v>
      </c>
      <c r="G5867" s="3" t="s">
        <v>424</v>
      </c>
      <c r="H5867" s="2" t="s">
        <v>162</v>
      </c>
      <c r="I5867" s="3" t="s">
        <v>94</v>
      </c>
      <c r="J5867" s="31">
        <v>46045</v>
      </c>
      <c r="K5867" s="31">
        <v>46045</v>
      </c>
      <c r="L5867" s="31"/>
      <c r="M5867" s="31"/>
      <c r="N5867" s="31"/>
      <c r="O5867" s="2" t="s">
        <v>425</v>
      </c>
    </row>
    <row r="5868" spans="1:15">
      <c r="A5868" s="3">
        <f t="shared" si="130"/>
        <v>5867</v>
      </c>
      <c r="B5868" s="65" t="s">
        <v>3355</v>
      </c>
      <c r="C5868" s="1">
        <v>9155938921</v>
      </c>
      <c r="E5868" s="17" t="s">
        <v>7751</v>
      </c>
      <c r="F5868" s="4" t="s">
        <v>8314</v>
      </c>
      <c r="G5868" s="3" t="s">
        <v>295</v>
      </c>
      <c r="H5868" s="2" t="s">
        <v>296</v>
      </c>
      <c r="I5868" s="3" t="s">
        <v>94</v>
      </c>
      <c r="J5868" s="31">
        <v>46045</v>
      </c>
      <c r="K5868" s="31">
        <v>46050</v>
      </c>
      <c r="L5868" s="31">
        <v>46052</v>
      </c>
      <c r="M5868" s="31">
        <v>46069</v>
      </c>
      <c r="N5868" s="31"/>
      <c r="O5868" s="2" t="s">
        <v>297</v>
      </c>
    </row>
    <row r="5869" spans="1:15">
      <c r="A5869" s="3">
        <f t="shared" si="130"/>
        <v>5868</v>
      </c>
      <c r="B5869" s="65" t="s">
        <v>8521</v>
      </c>
      <c r="C5869" s="1">
        <v>7248250990</v>
      </c>
      <c r="E5869" s="17" t="s">
        <v>7751</v>
      </c>
      <c r="F5869" s="4" t="s">
        <v>8314</v>
      </c>
      <c r="G5869" s="3" t="s">
        <v>764</v>
      </c>
      <c r="H5869" s="2" t="s">
        <v>296</v>
      </c>
      <c r="I5869" s="3" t="s">
        <v>94</v>
      </c>
      <c r="J5869" s="31">
        <v>46045</v>
      </c>
      <c r="K5869" s="31">
        <v>46050</v>
      </c>
      <c r="L5869" s="31"/>
      <c r="M5869" s="31"/>
      <c r="N5869" s="31"/>
      <c r="O5869" s="2" t="s">
        <v>425</v>
      </c>
    </row>
    <row r="5870" spans="1:15">
      <c r="A5870" s="3">
        <f t="shared" si="130"/>
        <v>5869</v>
      </c>
      <c r="B5870" s="65" t="s">
        <v>8522</v>
      </c>
      <c r="C5870" s="1">
        <v>9588090373</v>
      </c>
      <c r="E5870" s="17" t="s">
        <v>7970</v>
      </c>
      <c r="F5870" s="4" t="s">
        <v>7138</v>
      </c>
      <c r="G5870" s="3" t="s">
        <v>15</v>
      </c>
      <c r="H5870" s="2" t="s">
        <v>296</v>
      </c>
      <c r="I5870" s="3" t="s">
        <v>94</v>
      </c>
      <c r="J5870" s="31">
        <v>46045</v>
      </c>
      <c r="K5870" s="31">
        <v>46052</v>
      </c>
      <c r="L5870" s="31">
        <v>46059</v>
      </c>
      <c r="M5870" s="31">
        <v>46111</v>
      </c>
      <c r="N5870" s="31"/>
      <c r="O5870" s="2" t="s">
        <v>297</v>
      </c>
    </row>
    <row r="5871" spans="1:15">
      <c r="A5871" s="3">
        <f t="shared" si="130"/>
        <v>5870</v>
      </c>
      <c r="B5871" s="65" t="s">
        <v>2434</v>
      </c>
      <c r="C5871" s="1">
        <v>6387839378</v>
      </c>
      <c r="E5871" s="17" t="s">
        <v>7970</v>
      </c>
      <c r="F5871" s="4" t="s">
        <v>443</v>
      </c>
      <c r="G5871" s="3" t="s">
        <v>424</v>
      </c>
      <c r="H5871" s="2" t="s">
        <v>296</v>
      </c>
      <c r="I5871" s="3" t="s">
        <v>94</v>
      </c>
      <c r="J5871" s="31">
        <v>46045</v>
      </c>
      <c r="K5871" s="31">
        <v>46052</v>
      </c>
      <c r="L5871" s="31"/>
      <c r="M5871" s="31"/>
      <c r="N5871" s="31"/>
      <c r="O5871" s="2" t="s">
        <v>425</v>
      </c>
    </row>
    <row r="5872" spans="1:15">
      <c r="A5872" s="3">
        <f t="shared" si="130"/>
        <v>5871</v>
      </c>
      <c r="B5872" s="65" t="s">
        <v>8523</v>
      </c>
      <c r="C5872" s="1">
        <v>7607554940</v>
      </c>
      <c r="E5872" s="17" t="s">
        <v>6526</v>
      </c>
      <c r="F5872" s="4" t="s">
        <v>443</v>
      </c>
      <c r="G5872" s="3" t="s">
        <v>424</v>
      </c>
      <c r="H5872" s="2" t="s">
        <v>296</v>
      </c>
      <c r="I5872" s="3" t="s">
        <v>94</v>
      </c>
      <c r="J5872" s="31">
        <v>46045</v>
      </c>
      <c r="K5872" s="31">
        <v>46061</v>
      </c>
      <c r="L5872" s="31"/>
      <c r="M5872" s="31"/>
      <c r="N5872" s="31"/>
      <c r="O5872" s="3" t="s">
        <v>425</v>
      </c>
    </row>
    <row r="5873" spans="1:15">
      <c r="A5873" s="3">
        <f t="shared" si="130"/>
        <v>5872</v>
      </c>
      <c r="B5873" s="65" t="s">
        <v>8524</v>
      </c>
      <c r="C5873" s="1">
        <v>7978456490</v>
      </c>
      <c r="D5873" s="1">
        <v>9491005050</v>
      </c>
      <c r="E5873" s="17" t="s">
        <v>8419</v>
      </c>
      <c r="F5873" s="4" t="s">
        <v>1473</v>
      </c>
      <c r="G5873" s="3" t="s">
        <v>424</v>
      </c>
      <c r="H5873" s="3" t="s">
        <v>5774</v>
      </c>
      <c r="I5873" s="3" t="s">
        <v>42</v>
      </c>
      <c r="J5873" s="31">
        <v>46052</v>
      </c>
      <c r="K5873" s="31">
        <v>46052</v>
      </c>
      <c r="L5873" s="31"/>
      <c r="M5873" s="31"/>
      <c r="N5873" s="31"/>
      <c r="O5873" s="3" t="s">
        <v>425</v>
      </c>
    </row>
    <row r="5874" spans="1:15">
      <c r="A5874" s="3">
        <f t="shared" si="130"/>
        <v>5873</v>
      </c>
      <c r="B5874" s="65" t="s">
        <v>8525</v>
      </c>
      <c r="C5874" s="1">
        <v>7701847647</v>
      </c>
      <c r="E5874" s="17" t="s">
        <v>4449</v>
      </c>
      <c r="F5874" s="4" t="s">
        <v>8526</v>
      </c>
      <c r="G5874" s="3" t="s">
        <v>7030</v>
      </c>
      <c r="H5874" s="1" t="s">
        <v>8395</v>
      </c>
      <c r="I5874" s="3" t="s">
        <v>42</v>
      </c>
      <c r="J5874" s="31">
        <v>46045</v>
      </c>
      <c r="K5874" s="31"/>
      <c r="L5874" s="31"/>
      <c r="M5874" s="31"/>
      <c r="N5874" s="31"/>
      <c r="O5874" s="2" t="s">
        <v>1004</v>
      </c>
    </row>
    <row r="5875" spans="1:15">
      <c r="A5875" s="3">
        <f t="shared" si="130"/>
        <v>5874</v>
      </c>
      <c r="B5875" s="65" t="s">
        <v>2992</v>
      </c>
      <c r="C5875" s="1">
        <v>9161618318</v>
      </c>
      <c r="D5875" s="1">
        <v>7085238520</v>
      </c>
      <c r="E5875" s="17" t="s">
        <v>8405</v>
      </c>
      <c r="F5875" s="4" t="s">
        <v>490</v>
      </c>
      <c r="G5875" s="3" t="s">
        <v>15</v>
      </c>
      <c r="H5875" s="2" t="s">
        <v>162</v>
      </c>
      <c r="I5875" s="3" t="s">
        <v>94</v>
      </c>
      <c r="J5875" s="31">
        <v>46045</v>
      </c>
      <c r="K5875" s="31">
        <v>46045</v>
      </c>
      <c r="L5875" s="31">
        <v>46045</v>
      </c>
      <c r="M5875" s="31">
        <v>46076</v>
      </c>
      <c r="N5875" s="31"/>
      <c r="O5875" s="2" t="s">
        <v>297</v>
      </c>
    </row>
    <row r="5876" spans="1:15">
      <c r="A5876" s="3">
        <f t="shared" ref="A5876:A5883" si="131">ROW()-1</f>
        <v>5875</v>
      </c>
      <c r="B5876" s="65" t="s">
        <v>8527</v>
      </c>
      <c r="C5876" s="1">
        <v>9963370374</v>
      </c>
      <c r="E5876" s="17" t="s">
        <v>8413</v>
      </c>
      <c r="F5876" s="4" t="s">
        <v>333</v>
      </c>
      <c r="G5876" s="3" t="s">
        <v>764</v>
      </c>
      <c r="H5876" s="2" t="s">
        <v>5774</v>
      </c>
      <c r="I5876" s="3" t="s">
        <v>42</v>
      </c>
      <c r="J5876" s="31">
        <v>46045</v>
      </c>
      <c r="K5876" s="31">
        <v>46049</v>
      </c>
      <c r="L5876" s="31"/>
      <c r="M5876" s="31"/>
      <c r="N5876" s="31"/>
      <c r="O5876" s="2" t="s">
        <v>425</v>
      </c>
    </row>
    <row r="5877" spans="1:15">
      <c r="A5877" s="3">
        <f t="shared" si="131"/>
        <v>5876</v>
      </c>
      <c r="B5877" s="65" t="s">
        <v>8528</v>
      </c>
      <c r="C5877" s="1">
        <v>6281910869</v>
      </c>
      <c r="E5877" s="17" t="s">
        <v>8433</v>
      </c>
      <c r="F5877" s="4" t="s">
        <v>419</v>
      </c>
      <c r="G5877" s="3" t="s">
        <v>764</v>
      </c>
      <c r="H5877" s="2" t="s">
        <v>5774</v>
      </c>
      <c r="I5877" s="3" t="s">
        <v>42</v>
      </c>
      <c r="J5877" s="31">
        <v>46045</v>
      </c>
      <c r="K5877" s="31">
        <v>46049</v>
      </c>
      <c r="L5877" s="31"/>
      <c r="M5877" s="31"/>
      <c r="N5877" s="31"/>
      <c r="O5877" s="2" t="s">
        <v>425</v>
      </c>
    </row>
    <row r="5878" spans="1:15">
      <c r="A5878" s="3">
        <f t="shared" si="131"/>
        <v>5877</v>
      </c>
      <c r="B5878" s="65" t="s">
        <v>8529</v>
      </c>
      <c r="C5878" s="1">
        <v>9133491089</v>
      </c>
      <c r="E5878" s="17" t="s">
        <v>8530</v>
      </c>
      <c r="F5878" s="4" t="s">
        <v>8531</v>
      </c>
      <c r="G5878" s="3" t="s">
        <v>295</v>
      </c>
      <c r="H5878" s="2" t="s">
        <v>88</v>
      </c>
      <c r="I5878" s="3" t="s">
        <v>88</v>
      </c>
      <c r="J5878" s="31">
        <v>46045</v>
      </c>
      <c r="K5878" s="31">
        <v>46045</v>
      </c>
      <c r="L5878" s="31">
        <v>46046</v>
      </c>
      <c r="M5878" s="31">
        <v>46106</v>
      </c>
      <c r="N5878" s="31"/>
      <c r="O5878" s="3" t="s">
        <v>297</v>
      </c>
    </row>
    <row r="5879" spans="1:15">
      <c r="A5879" s="3">
        <f t="shared" si="131"/>
        <v>5878</v>
      </c>
      <c r="B5879" s="65" t="s">
        <v>8532</v>
      </c>
      <c r="C5879" s="1">
        <v>9118160070</v>
      </c>
      <c r="E5879" s="17" t="s">
        <v>8413</v>
      </c>
      <c r="F5879" s="4" t="s">
        <v>451</v>
      </c>
      <c r="G5879" s="3" t="s">
        <v>424</v>
      </c>
      <c r="H5879" s="2" t="s">
        <v>5774</v>
      </c>
      <c r="I5879" s="3" t="s">
        <v>42</v>
      </c>
      <c r="J5879" s="31">
        <v>46045</v>
      </c>
      <c r="K5879" s="31">
        <v>46049</v>
      </c>
      <c r="L5879" s="31"/>
      <c r="M5879" s="31"/>
      <c r="N5879" s="31"/>
      <c r="O5879" s="2" t="s">
        <v>749</v>
      </c>
    </row>
    <row r="5880" spans="1:15">
      <c r="A5880" s="3">
        <f t="shared" si="131"/>
        <v>5879</v>
      </c>
      <c r="B5880" s="65" t="s">
        <v>8533</v>
      </c>
      <c r="C5880" s="1">
        <v>6395647984</v>
      </c>
      <c r="E5880" s="17" t="s">
        <v>8433</v>
      </c>
      <c r="F5880" s="4" t="s">
        <v>319</v>
      </c>
      <c r="G5880" s="3" t="s">
        <v>416</v>
      </c>
      <c r="H5880" s="2" t="s">
        <v>5774</v>
      </c>
      <c r="I5880" s="3" t="s">
        <v>42</v>
      </c>
      <c r="J5880" s="31">
        <v>46045</v>
      </c>
      <c r="K5880" s="31">
        <v>46049</v>
      </c>
      <c r="L5880" s="31"/>
      <c r="M5880" s="31"/>
      <c r="N5880" s="31"/>
      <c r="O5880" s="2" t="s">
        <v>297</v>
      </c>
    </row>
    <row r="5881" spans="1:15">
      <c r="A5881" s="3">
        <f t="shared" si="131"/>
        <v>5880</v>
      </c>
      <c r="B5881" s="65" t="s">
        <v>8534</v>
      </c>
      <c r="C5881" s="1">
        <v>9704420616</v>
      </c>
      <c r="E5881" s="17" t="s">
        <v>6537</v>
      </c>
      <c r="F5881" s="4" t="s">
        <v>308</v>
      </c>
      <c r="G5881" s="3" t="s">
        <v>764</v>
      </c>
      <c r="H5881" s="2" t="s">
        <v>5774</v>
      </c>
      <c r="I5881" s="3" t="s">
        <v>42</v>
      </c>
      <c r="J5881" s="31">
        <v>46045</v>
      </c>
      <c r="K5881" s="31">
        <v>46050</v>
      </c>
      <c r="L5881" s="31"/>
      <c r="M5881" s="31"/>
      <c r="N5881" s="31"/>
      <c r="O5881" s="2" t="s">
        <v>425</v>
      </c>
    </row>
    <row r="5882" spans="1:15">
      <c r="A5882" s="3">
        <f t="shared" si="131"/>
        <v>5881</v>
      </c>
      <c r="B5882" s="65" t="s">
        <v>8535</v>
      </c>
      <c r="C5882" s="1">
        <v>6309504924</v>
      </c>
      <c r="E5882" s="17" t="s">
        <v>6537</v>
      </c>
      <c r="F5882" s="4" t="s">
        <v>308</v>
      </c>
      <c r="G5882" s="3" t="s">
        <v>16</v>
      </c>
      <c r="H5882" s="2" t="s">
        <v>5774</v>
      </c>
      <c r="I5882" s="3" t="s">
        <v>42</v>
      </c>
      <c r="J5882" s="31">
        <v>46045</v>
      </c>
      <c r="K5882" s="31">
        <v>46050</v>
      </c>
      <c r="L5882" s="31">
        <v>46052</v>
      </c>
      <c r="M5882" s="31">
        <v>46069</v>
      </c>
      <c r="N5882" s="31">
        <v>46069</v>
      </c>
      <c r="O5882" s="2" t="s">
        <v>297</v>
      </c>
    </row>
    <row r="5883" spans="1:15">
      <c r="A5883" s="3">
        <f t="shared" si="131"/>
        <v>5882</v>
      </c>
      <c r="B5883" s="65" t="s">
        <v>8536</v>
      </c>
      <c r="C5883" s="1">
        <v>7993431841</v>
      </c>
      <c r="E5883" s="17" t="s">
        <v>8433</v>
      </c>
      <c r="F5883" s="4" t="s">
        <v>308</v>
      </c>
      <c r="G5883" s="3" t="s">
        <v>764</v>
      </c>
      <c r="H5883" s="2" t="s">
        <v>5774</v>
      </c>
      <c r="I5883" s="3" t="s">
        <v>42</v>
      </c>
      <c r="J5883" s="31">
        <v>46045</v>
      </c>
      <c r="K5883" s="31">
        <v>46049</v>
      </c>
      <c r="L5883" s="31"/>
      <c r="M5883" s="31"/>
      <c r="N5883" s="31"/>
      <c r="O5883" s="2" t="s">
        <v>425</v>
      </c>
    </row>
    <row r="5884" spans="1:15">
      <c r="A5884" s="3">
        <f t="shared" ref="A5884:A5909" si="132">ROW()-1</f>
        <v>5883</v>
      </c>
      <c r="B5884" s="65" t="s">
        <v>8537</v>
      </c>
      <c r="C5884" s="1">
        <v>9392409051</v>
      </c>
      <c r="E5884" s="17" t="s">
        <v>6537</v>
      </c>
      <c r="F5884" s="4" t="s">
        <v>8538</v>
      </c>
      <c r="G5884" s="3" t="s">
        <v>16</v>
      </c>
      <c r="H5884" s="2" t="s">
        <v>5774</v>
      </c>
      <c r="I5884" s="3" t="s">
        <v>42</v>
      </c>
      <c r="J5884" s="31">
        <v>46045</v>
      </c>
      <c r="K5884" s="31">
        <v>46050</v>
      </c>
      <c r="L5884" s="31">
        <v>46052</v>
      </c>
      <c r="M5884" s="31">
        <v>46062</v>
      </c>
      <c r="N5884" s="31">
        <v>46063</v>
      </c>
      <c r="O5884" s="2" t="s">
        <v>297</v>
      </c>
    </row>
    <row r="5885" spans="1:15">
      <c r="A5885" s="3">
        <f t="shared" si="132"/>
        <v>5884</v>
      </c>
      <c r="B5885" s="65" t="s">
        <v>8539</v>
      </c>
      <c r="C5885" s="1">
        <v>7981718951</v>
      </c>
      <c r="E5885" s="17" t="s">
        <v>6537</v>
      </c>
      <c r="F5885" s="4" t="s">
        <v>308</v>
      </c>
      <c r="G5885" s="3" t="s">
        <v>15</v>
      </c>
      <c r="H5885" s="2" t="s">
        <v>5774</v>
      </c>
      <c r="I5885" s="3" t="s">
        <v>42</v>
      </c>
      <c r="J5885" s="31">
        <v>46045</v>
      </c>
      <c r="K5885" s="31">
        <v>46050</v>
      </c>
      <c r="L5885" s="31">
        <v>46052</v>
      </c>
      <c r="M5885" s="31">
        <v>46113</v>
      </c>
      <c r="N5885" s="31"/>
      <c r="O5885" s="2" t="s">
        <v>297</v>
      </c>
    </row>
    <row r="5886" spans="1:15">
      <c r="A5886" s="3">
        <f t="shared" si="132"/>
        <v>5885</v>
      </c>
      <c r="B5886" s="65" t="s">
        <v>3120</v>
      </c>
      <c r="C5886" s="1">
        <v>9533334052</v>
      </c>
      <c r="E5886" s="17" t="s">
        <v>8413</v>
      </c>
      <c r="F5886" s="4" t="s">
        <v>333</v>
      </c>
      <c r="G5886" s="3" t="s">
        <v>16</v>
      </c>
      <c r="H5886" s="2" t="s">
        <v>5774</v>
      </c>
      <c r="I5886" s="3" t="s">
        <v>42</v>
      </c>
      <c r="J5886" s="31">
        <v>46045</v>
      </c>
      <c r="K5886" s="31">
        <v>46049</v>
      </c>
      <c r="L5886" s="31">
        <v>46052</v>
      </c>
      <c r="M5886" s="31">
        <v>46069</v>
      </c>
      <c r="N5886" s="31">
        <v>46067</v>
      </c>
      <c r="O5886" s="2" t="s">
        <v>297</v>
      </c>
    </row>
    <row r="5887" spans="1:15">
      <c r="A5887" s="3">
        <f t="shared" si="132"/>
        <v>5886</v>
      </c>
      <c r="B5887" s="65" t="s">
        <v>8540</v>
      </c>
      <c r="C5887" s="1">
        <v>9848837110</v>
      </c>
      <c r="E5887" s="17" t="s">
        <v>3659</v>
      </c>
      <c r="F5887" s="4" t="s">
        <v>333</v>
      </c>
      <c r="G5887" s="3" t="s">
        <v>16</v>
      </c>
      <c r="H5887" s="1" t="s">
        <v>6158</v>
      </c>
      <c r="I5887" s="3" t="s">
        <v>42</v>
      </c>
      <c r="J5887" s="31">
        <v>46045</v>
      </c>
      <c r="K5887" s="31">
        <v>46087</v>
      </c>
      <c r="L5887" s="31">
        <v>46087</v>
      </c>
      <c r="M5887" s="31">
        <v>46107</v>
      </c>
      <c r="N5887" s="31">
        <v>46107</v>
      </c>
      <c r="O5887" s="2" t="s">
        <v>297</v>
      </c>
    </row>
    <row r="5888" spans="1:15">
      <c r="A5888" s="3">
        <f t="shared" si="132"/>
        <v>5887</v>
      </c>
      <c r="B5888" s="65" t="s">
        <v>8541</v>
      </c>
      <c r="C5888" s="1">
        <v>9907974239</v>
      </c>
      <c r="E5888" s="17" t="s">
        <v>8193</v>
      </c>
      <c r="F5888" s="4"/>
      <c r="G5888" s="3" t="s">
        <v>16</v>
      </c>
      <c r="H5888" s="2" t="s">
        <v>815</v>
      </c>
      <c r="I5888" s="3" t="s">
        <v>42</v>
      </c>
      <c r="J5888" s="31">
        <v>46043</v>
      </c>
      <c r="K5888" s="31">
        <v>46044</v>
      </c>
      <c r="L5888" s="31">
        <v>46045</v>
      </c>
      <c r="M5888" s="31">
        <v>46052</v>
      </c>
      <c r="N5888" s="31">
        <v>46049</v>
      </c>
      <c r="O5888" s="2" t="s">
        <v>297</v>
      </c>
    </row>
    <row r="5889" spans="1:15">
      <c r="A5889" s="3">
        <f t="shared" si="132"/>
        <v>5888</v>
      </c>
      <c r="B5889" s="65" t="s">
        <v>8542</v>
      </c>
      <c r="C5889" s="1">
        <v>9030926307</v>
      </c>
      <c r="E5889" s="17" t="s">
        <v>8543</v>
      </c>
      <c r="F5889" s="4"/>
      <c r="G5889" s="3" t="s">
        <v>295</v>
      </c>
      <c r="H5889" s="2" t="s">
        <v>815</v>
      </c>
      <c r="I5889" s="3" t="s">
        <v>42</v>
      </c>
      <c r="J5889" s="31">
        <v>46043</v>
      </c>
      <c r="K5889" s="31">
        <v>46044</v>
      </c>
      <c r="L5889" s="31">
        <v>46045</v>
      </c>
      <c r="M5889" s="31">
        <v>46058</v>
      </c>
      <c r="N5889" s="31"/>
      <c r="O5889" s="2" t="s">
        <v>297</v>
      </c>
    </row>
    <row r="5890" spans="1:15">
      <c r="A5890" s="3">
        <f t="shared" si="132"/>
        <v>5889</v>
      </c>
      <c r="B5890" s="65" t="s">
        <v>8544</v>
      </c>
      <c r="C5890" s="1">
        <v>6301893577</v>
      </c>
      <c r="E5890" s="17" t="s">
        <v>8193</v>
      </c>
      <c r="F5890" s="4"/>
      <c r="G5890" s="3" t="s">
        <v>16</v>
      </c>
      <c r="H5890" s="2" t="s">
        <v>815</v>
      </c>
      <c r="I5890" s="3" t="s">
        <v>42</v>
      </c>
      <c r="J5890" s="31">
        <v>46043</v>
      </c>
      <c r="K5890" s="31">
        <v>46044</v>
      </c>
      <c r="L5890" s="31">
        <v>46045</v>
      </c>
      <c r="M5890" s="31">
        <v>46052</v>
      </c>
      <c r="N5890" s="31">
        <v>46052</v>
      </c>
      <c r="O5890" s="2" t="s">
        <v>297</v>
      </c>
    </row>
    <row r="5891" spans="1:15">
      <c r="A5891" s="3">
        <f t="shared" si="132"/>
        <v>5890</v>
      </c>
      <c r="B5891" s="65" t="s">
        <v>8545</v>
      </c>
      <c r="C5891" s="1">
        <v>8260071159</v>
      </c>
      <c r="E5891" s="17" t="s">
        <v>8193</v>
      </c>
      <c r="F5891" s="4"/>
      <c r="G5891" s="3" t="s">
        <v>16</v>
      </c>
      <c r="H5891" s="2" t="s">
        <v>815</v>
      </c>
      <c r="I5891" s="3" t="s">
        <v>42</v>
      </c>
      <c r="J5891" s="31">
        <v>46043</v>
      </c>
      <c r="K5891" s="31">
        <v>46044</v>
      </c>
      <c r="L5891" s="31">
        <v>46045</v>
      </c>
      <c r="M5891" s="31">
        <v>46052</v>
      </c>
      <c r="N5891" s="31">
        <v>46051</v>
      </c>
      <c r="O5891" s="2" t="s">
        <v>297</v>
      </c>
    </row>
    <row r="5892" spans="1:15">
      <c r="A5892" s="3">
        <f t="shared" si="132"/>
        <v>5891</v>
      </c>
      <c r="B5892" s="65" t="s">
        <v>8546</v>
      </c>
      <c r="C5892" s="1">
        <v>9708523070</v>
      </c>
      <c r="E5892" s="17" t="s">
        <v>7923</v>
      </c>
      <c r="F5892" s="4"/>
      <c r="G5892" s="3" t="s">
        <v>16</v>
      </c>
      <c r="H5892" s="2" t="s">
        <v>5774</v>
      </c>
      <c r="I5892" s="3" t="s">
        <v>42</v>
      </c>
      <c r="J5892" s="31">
        <v>46043</v>
      </c>
      <c r="K5892" s="31">
        <v>46044</v>
      </c>
      <c r="L5892" s="31">
        <v>46045</v>
      </c>
      <c r="M5892" s="31">
        <v>46050</v>
      </c>
      <c r="N5892" s="31">
        <v>46054</v>
      </c>
      <c r="O5892" s="2" t="s">
        <v>297</v>
      </c>
    </row>
    <row r="5893" spans="1:15">
      <c r="A5893" s="3">
        <f t="shared" si="132"/>
        <v>5892</v>
      </c>
      <c r="B5893" s="65" t="s">
        <v>8547</v>
      </c>
      <c r="C5893" s="1">
        <v>9347543789</v>
      </c>
      <c r="E5893" s="17" t="s">
        <v>8193</v>
      </c>
      <c r="F5893" s="4"/>
      <c r="G5893" s="3" t="s">
        <v>18</v>
      </c>
      <c r="H5893" s="2" t="s">
        <v>815</v>
      </c>
      <c r="I5893" s="3" t="s">
        <v>42</v>
      </c>
      <c r="J5893" s="31">
        <v>46043</v>
      </c>
      <c r="K5893" s="31">
        <v>46044</v>
      </c>
      <c r="L5893" s="31">
        <v>46045</v>
      </c>
      <c r="M5893" s="31">
        <v>46097</v>
      </c>
      <c r="N5893" s="31"/>
      <c r="O5893" s="2" t="s">
        <v>297</v>
      </c>
    </row>
    <row r="5894" spans="1:15">
      <c r="A5894" s="3">
        <f t="shared" si="132"/>
        <v>5893</v>
      </c>
      <c r="B5894" s="65" t="s">
        <v>8548</v>
      </c>
      <c r="C5894" s="1">
        <v>9704770149</v>
      </c>
      <c r="E5894" s="17" t="s">
        <v>8361</v>
      </c>
      <c r="F5894" s="4"/>
      <c r="G5894" s="3" t="s">
        <v>16</v>
      </c>
      <c r="H5894" s="2" t="s">
        <v>1436</v>
      </c>
      <c r="I5894" s="3" t="s">
        <v>42</v>
      </c>
      <c r="J5894" s="31">
        <v>46043</v>
      </c>
      <c r="K5894" s="31">
        <v>46044</v>
      </c>
      <c r="L5894" s="31">
        <v>46045</v>
      </c>
      <c r="M5894" s="31">
        <v>46049</v>
      </c>
      <c r="N5894" s="31">
        <v>46054</v>
      </c>
      <c r="O5894" s="2" t="s">
        <v>297</v>
      </c>
    </row>
    <row r="5895" spans="1:15">
      <c r="A5895" s="3">
        <f t="shared" si="132"/>
        <v>5894</v>
      </c>
      <c r="B5895" s="65" t="s">
        <v>8549</v>
      </c>
      <c r="C5895" s="1">
        <v>8790245545</v>
      </c>
      <c r="E5895" s="17" t="s">
        <v>7366</v>
      </c>
      <c r="F5895" s="4"/>
      <c r="G5895" s="3" t="s">
        <v>16</v>
      </c>
      <c r="H5895" s="2" t="s">
        <v>6353</v>
      </c>
      <c r="I5895" s="3" t="s">
        <v>42</v>
      </c>
      <c r="J5895" s="31">
        <v>46043</v>
      </c>
      <c r="K5895" s="31">
        <v>46044</v>
      </c>
      <c r="L5895" s="31">
        <v>46045</v>
      </c>
      <c r="M5895" s="31">
        <v>46083</v>
      </c>
      <c r="N5895" s="31">
        <v>46086</v>
      </c>
      <c r="O5895" s="2" t="s">
        <v>297</v>
      </c>
    </row>
    <row r="5896" spans="1:15">
      <c r="A5896" s="3">
        <f t="shared" si="132"/>
        <v>5895</v>
      </c>
      <c r="B5896" s="65" t="s">
        <v>8550</v>
      </c>
      <c r="C5896" s="1">
        <v>9133069394</v>
      </c>
      <c r="E5896" s="17" t="s">
        <v>7020</v>
      </c>
      <c r="F5896" s="4"/>
      <c r="G5896" s="3" t="s">
        <v>16</v>
      </c>
      <c r="H5896" s="2" t="s">
        <v>815</v>
      </c>
      <c r="I5896" s="3" t="s">
        <v>42</v>
      </c>
      <c r="J5896" s="31">
        <v>46043</v>
      </c>
      <c r="K5896" s="31">
        <v>46044</v>
      </c>
      <c r="L5896" s="31">
        <v>46045</v>
      </c>
      <c r="M5896" s="31">
        <v>46055</v>
      </c>
      <c r="N5896" s="31">
        <v>46055</v>
      </c>
      <c r="O5896" s="2" t="s">
        <v>297</v>
      </c>
    </row>
    <row r="5897" spans="1:15">
      <c r="A5897" s="3">
        <f t="shared" si="132"/>
        <v>5896</v>
      </c>
      <c r="B5897" s="65" t="s">
        <v>8551</v>
      </c>
      <c r="C5897" s="1">
        <v>8926077830</v>
      </c>
      <c r="E5897" s="17" t="s">
        <v>7020</v>
      </c>
      <c r="F5897" s="4"/>
      <c r="G5897" s="3" t="s">
        <v>16</v>
      </c>
      <c r="H5897" s="2" t="s">
        <v>815</v>
      </c>
      <c r="I5897" s="3" t="s">
        <v>42</v>
      </c>
      <c r="J5897" s="31">
        <v>46043</v>
      </c>
      <c r="K5897" s="31">
        <v>46044</v>
      </c>
      <c r="L5897" s="31">
        <v>46045</v>
      </c>
      <c r="M5897" s="31">
        <v>46066</v>
      </c>
      <c r="N5897" s="31">
        <v>46059</v>
      </c>
      <c r="O5897" s="2" t="s">
        <v>297</v>
      </c>
    </row>
    <row r="5898" spans="1:15">
      <c r="A5898" s="3">
        <f t="shared" si="132"/>
        <v>5897</v>
      </c>
      <c r="B5898" s="65" t="s">
        <v>8552</v>
      </c>
      <c r="C5898" s="1">
        <v>8447978198</v>
      </c>
      <c r="E5898" s="17" t="s">
        <v>8553</v>
      </c>
      <c r="F5898" s="4"/>
      <c r="G5898" s="3" t="s">
        <v>16</v>
      </c>
      <c r="H5898" s="2" t="s">
        <v>3461</v>
      </c>
      <c r="I5898" s="3" t="s">
        <v>42</v>
      </c>
      <c r="J5898" s="31">
        <v>46043</v>
      </c>
      <c r="K5898" s="31">
        <v>46044</v>
      </c>
      <c r="L5898" s="31">
        <v>46045</v>
      </c>
      <c r="M5898" s="31">
        <v>46091</v>
      </c>
      <c r="N5898" s="31">
        <v>46091</v>
      </c>
      <c r="O5898" s="2" t="s">
        <v>297</v>
      </c>
    </row>
    <row r="5899" spans="1:15">
      <c r="A5899" s="3">
        <f t="shared" si="132"/>
        <v>5898</v>
      </c>
      <c r="B5899" s="65" t="s">
        <v>8554</v>
      </c>
      <c r="C5899" s="1">
        <v>7793902530</v>
      </c>
      <c r="E5899" s="17" t="s">
        <v>6537</v>
      </c>
      <c r="F5899" s="4" t="s">
        <v>8314</v>
      </c>
      <c r="G5899" s="3" t="s">
        <v>16</v>
      </c>
      <c r="H5899" s="2" t="s">
        <v>5774</v>
      </c>
      <c r="I5899" s="3" t="s">
        <v>42</v>
      </c>
      <c r="J5899" s="31">
        <v>46045</v>
      </c>
      <c r="K5899" s="31">
        <v>46050</v>
      </c>
      <c r="L5899" s="31">
        <v>46052</v>
      </c>
      <c r="M5899" s="31">
        <v>46062</v>
      </c>
      <c r="N5899" s="31">
        <v>46062</v>
      </c>
      <c r="O5899" s="2" t="s">
        <v>297</v>
      </c>
    </row>
    <row r="5900" spans="1:15">
      <c r="A5900" s="3">
        <f t="shared" si="132"/>
        <v>5899</v>
      </c>
      <c r="B5900" s="65" t="s">
        <v>8555</v>
      </c>
      <c r="C5900" s="1">
        <v>9877786510</v>
      </c>
      <c r="E5900" s="17" t="s">
        <v>8162</v>
      </c>
      <c r="F5900" s="4" t="s">
        <v>8556</v>
      </c>
      <c r="G5900" s="3" t="s">
        <v>424</v>
      </c>
      <c r="H5900" s="2" t="s">
        <v>162</v>
      </c>
      <c r="I5900" s="3" t="s">
        <v>88</v>
      </c>
      <c r="J5900" s="31">
        <v>46045</v>
      </c>
      <c r="K5900" s="31">
        <v>46048</v>
      </c>
      <c r="L5900" s="31"/>
      <c r="M5900" s="31"/>
      <c r="N5900" s="31"/>
      <c r="O5900" s="2" t="s">
        <v>425</v>
      </c>
    </row>
    <row r="5901" spans="1:15">
      <c r="A5901" s="3">
        <f t="shared" si="132"/>
        <v>5900</v>
      </c>
      <c r="B5901" s="65" t="s">
        <v>8557</v>
      </c>
      <c r="C5901" s="1">
        <v>9507099590</v>
      </c>
      <c r="E5901" s="17" t="s">
        <v>8162</v>
      </c>
      <c r="F5901" s="4" t="s">
        <v>8556</v>
      </c>
      <c r="G5901" s="3" t="s">
        <v>424</v>
      </c>
      <c r="H5901" s="2" t="s">
        <v>162</v>
      </c>
      <c r="I5901" s="3" t="s">
        <v>88</v>
      </c>
      <c r="J5901" s="31">
        <v>46045</v>
      </c>
      <c r="K5901" s="31">
        <v>46048</v>
      </c>
      <c r="L5901" s="31"/>
      <c r="M5901" s="31"/>
      <c r="N5901" s="31"/>
      <c r="O5901" s="2" t="s">
        <v>425</v>
      </c>
    </row>
    <row r="5902" spans="1:15">
      <c r="A5902" s="3">
        <f t="shared" si="132"/>
        <v>5901</v>
      </c>
      <c r="B5902" s="65" t="s">
        <v>8558</v>
      </c>
      <c r="C5902" s="1">
        <v>7250556775</v>
      </c>
      <c r="E5902" s="17" t="s">
        <v>8162</v>
      </c>
      <c r="F5902" s="4" t="s">
        <v>8556</v>
      </c>
      <c r="G5902" s="3" t="s">
        <v>295</v>
      </c>
      <c r="H5902" s="2" t="s">
        <v>162</v>
      </c>
      <c r="I5902" s="3" t="s">
        <v>88</v>
      </c>
      <c r="J5902" s="31">
        <v>46045</v>
      </c>
      <c r="K5902" s="31">
        <v>46048</v>
      </c>
      <c r="L5902" s="31">
        <v>46073</v>
      </c>
      <c r="M5902" s="31">
        <v>46113</v>
      </c>
      <c r="N5902" s="31"/>
      <c r="O5902" s="2" t="s">
        <v>297</v>
      </c>
    </row>
    <row r="5903" spans="1:15">
      <c r="A5903" s="3">
        <f t="shared" si="132"/>
        <v>5902</v>
      </c>
      <c r="B5903" s="65" t="s">
        <v>8559</v>
      </c>
      <c r="C5903" s="1">
        <v>9990646663</v>
      </c>
      <c r="E5903" s="17" t="s">
        <v>8162</v>
      </c>
      <c r="F5903" s="4" t="s">
        <v>481</v>
      </c>
      <c r="G5903" s="3" t="s">
        <v>295</v>
      </c>
      <c r="H5903" s="2" t="s">
        <v>162</v>
      </c>
      <c r="I5903" s="3" t="s">
        <v>88</v>
      </c>
      <c r="J5903" s="31">
        <v>46045</v>
      </c>
      <c r="K5903" s="31">
        <v>46049</v>
      </c>
      <c r="L5903" s="31">
        <v>46052</v>
      </c>
      <c r="M5903" s="31">
        <v>46081</v>
      </c>
      <c r="N5903" s="31"/>
      <c r="O5903" s="2" t="s">
        <v>297</v>
      </c>
    </row>
    <row r="5904" spans="1:15">
      <c r="A5904" s="3">
        <f t="shared" si="132"/>
        <v>5903</v>
      </c>
      <c r="B5904" s="65" t="s">
        <v>8560</v>
      </c>
      <c r="C5904" s="1">
        <v>8658907736</v>
      </c>
      <c r="E5904" s="17" t="s">
        <v>7741</v>
      </c>
      <c r="F5904" s="4" t="s">
        <v>2002</v>
      </c>
      <c r="G5904" s="3" t="s">
        <v>424</v>
      </c>
      <c r="H5904" s="3" t="s">
        <v>4145</v>
      </c>
      <c r="I5904" s="3" t="s">
        <v>42</v>
      </c>
      <c r="J5904" s="31">
        <v>46048</v>
      </c>
      <c r="K5904" s="31">
        <v>46051</v>
      </c>
      <c r="L5904" s="31"/>
      <c r="M5904" s="31"/>
      <c r="N5904" s="31"/>
      <c r="O5904" s="2" t="s">
        <v>425</v>
      </c>
    </row>
    <row r="5905" spans="1:15">
      <c r="A5905" s="3">
        <f t="shared" si="132"/>
        <v>5904</v>
      </c>
      <c r="B5905" s="65" t="s">
        <v>8561</v>
      </c>
      <c r="C5905" s="1">
        <v>9494082628</v>
      </c>
      <c r="E5905" s="17" t="s">
        <v>7114</v>
      </c>
      <c r="F5905" s="4" t="s">
        <v>8562</v>
      </c>
      <c r="G5905" s="3" t="s">
        <v>424</v>
      </c>
      <c r="H5905" s="2" t="s">
        <v>5774</v>
      </c>
      <c r="I5905" s="3" t="s">
        <v>42</v>
      </c>
      <c r="J5905" s="31">
        <v>46048</v>
      </c>
      <c r="K5905" s="31">
        <v>46050</v>
      </c>
      <c r="L5905" s="31"/>
      <c r="M5905" s="31"/>
      <c r="N5905" s="31"/>
      <c r="O5905" s="3" t="s">
        <v>425</v>
      </c>
    </row>
    <row r="5906" spans="1:15">
      <c r="A5906" s="3">
        <f t="shared" si="132"/>
        <v>5905</v>
      </c>
      <c r="B5906" s="65" t="s">
        <v>8563</v>
      </c>
      <c r="C5906" s="1">
        <v>9581485039</v>
      </c>
      <c r="E5906" s="17" t="s">
        <v>7114</v>
      </c>
      <c r="F5906" s="4" t="s">
        <v>8564</v>
      </c>
      <c r="G5906" s="3" t="s">
        <v>16</v>
      </c>
      <c r="H5906" s="2" t="s">
        <v>5774</v>
      </c>
      <c r="I5906" s="3" t="s">
        <v>42</v>
      </c>
      <c r="J5906" s="31">
        <v>46048</v>
      </c>
      <c r="K5906" s="31">
        <v>46048</v>
      </c>
      <c r="L5906" s="31">
        <v>46052</v>
      </c>
      <c r="M5906" s="31">
        <v>46063</v>
      </c>
      <c r="N5906" s="31">
        <v>46057</v>
      </c>
      <c r="O5906" s="2" t="s">
        <v>297</v>
      </c>
    </row>
    <row r="5907" spans="1:15">
      <c r="A5907" s="3">
        <f t="shared" si="132"/>
        <v>5906</v>
      </c>
      <c r="B5907" s="65" t="s">
        <v>8565</v>
      </c>
      <c r="C5907" s="1">
        <v>8101336750</v>
      </c>
      <c r="E5907" s="17" t="s">
        <v>7114</v>
      </c>
      <c r="F5907" s="4" t="s">
        <v>8566</v>
      </c>
      <c r="G5907" s="3" t="s">
        <v>16</v>
      </c>
      <c r="H5907" s="2" t="s">
        <v>5774</v>
      </c>
      <c r="I5907" s="3" t="s">
        <v>42</v>
      </c>
      <c r="J5907" s="31">
        <v>46049</v>
      </c>
      <c r="K5907" s="31">
        <v>46050</v>
      </c>
      <c r="L5907" s="31">
        <v>46059</v>
      </c>
      <c r="M5907" s="31">
        <v>46076</v>
      </c>
      <c r="N5907" s="31">
        <v>46076</v>
      </c>
      <c r="O5907" s="2" t="s">
        <v>297</v>
      </c>
    </row>
    <row r="5908" spans="1:15">
      <c r="A5908" s="3">
        <f t="shared" si="132"/>
        <v>5907</v>
      </c>
      <c r="B5908" s="65" t="s">
        <v>8567</v>
      </c>
      <c r="C5908" s="1">
        <v>8404079774</v>
      </c>
      <c r="E5908" s="17" t="s">
        <v>7114</v>
      </c>
      <c r="F5908" s="4" t="s">
        <v>8568</v>
      </c>
      <c r="G5908" s="2" t="s">
        <v>416</v>
      </c>
      <c r="H5908" s="2" t="s">
        <v>5774</v>
      </c>
      <c r="I5908" s="3" t="s">
        <v>42</v>
      </c>
      <c r="J5908" s="31">
        <v>46049</v>
      </c>
      <c r="K5908" s="31">
        <v>46050</v>
      </c>
      <c r="L5908" s="31"/>
      <c r="M5908" s="31"/>
      <c r="N5908" s="31"/>
      <c r="O5908" s="2" t="s">
        <v>297</v>
      </c>
    </row>
    <row r="5909" spans="1:15">
      <c r="A5909" s="3">
        <f t="shared" si="132"/>
        <v>5908</v>
      </c>
      <c r="B5909" s="65" t="s">
        <v>8569</v>
      </c>
      <c r="C5909" s="1">
        <v>9948836284</v>
      </c>
      <c r="D5909" s="1">
        <v>7893446284</v>
      </c>
      <c r="E5909" s="17" t="s">
        <v>7741</v>
      </c>
      <c r="F5909" s="4" t="s">
        <v>8570</v>
      </c>
      <c r="G5909" s="3" t="s">
        <v>424</v>
      </c>
      <c r="H5909" s="2" t="s">
        <v>5774</v>
      </c>
      <c r="I5909" s="3" t="s">
        <v>42</v>
      </c>
      <c r="J5909" s="31">
        <v>46049</v>
      </c>
      <c r="K5909" s="31">
        <v>46050</v>
      </c>
      <c r="L5909" s="31"/>
      <c r="M5909" s="31"/>
      <c r="N5909" s="31"/>
      <c r="O5909" s="3" t="s">
        <v>425</v>
      </c>
    </row>
    <row r="5910" spans="1:15">
      <c r="A5910" s="3">
        <f t="shared" ref="A5910:A5917" si="133">ROW()-1</f>
        <v>5909</v>
      </c>
      <c r="B5910" s="65" t="s">
        <v>8571</v>
      </c>
      <c r="C5910" s="1">
        <v>8374303227</v>
      </c>
      <c r="E5910" s="17" t="s">
        <v>8413</v>
      </c>
      <c r="F5910" s="4" t="s">
        <v>3160</v>
      </c>
      <c r="G5910" s="3" t="s">
        <v>16</v>
      </c>
      <c r="H5910" s="1" t="s">
        <v>6158</v>
      </c>
      <c r="I5910" s="3" t="s">
        <v>42</v>
      </c>
      <c r="J5910" s="31">
        <v>46049</v>
      </c>
      <c r="K5910" s="31">
        <v>46052</v>
      </c>
      <c r="L5910" s="31">
        <v>46052</v>
      </c>
      <c r="M5910" s="31">
        <v>46083</v>
      </c>
      <c r="N5910" s="31">
        <v>46083</v>
      </c>
      <c r="O5910" s="2" t="s">
        <v>297</v>
      </c>
    </row>
    <row r="5911" spans="1:15">
      <c r="A5911" s="3">
        <f t="shared" si="133"/>
        <v>5910</v>
      </c>
      <c r="B5911" s="65" t="s">
        <v>2202</v>
      </c>
      <c r="C5911" s="1">
        <v>9003453500</v>
      </c>
      <c r="D5911" s="1">
        <v>6374845430</v>
      </c>
      <c r="E5911" s="17" t="s">
        <v>8413</v>
      </c>
      <c r="F5911" s="4" t="s">
        <v>8572</v>
      </c>
      <c r="G5911" s="3" t="s">
        <v>16</v>
      </c>
      <c r="H5911" s="1" t="s">
        <v>6158</v>
      </c>
      <c r="I5911" s="3" t="s">
        <v>42</v>
      </c>
      <c r="J5911" s="31">
        <v>46049</v>
      </c>
      <c r="K5911" s="31">
        <v>46045</v>
      </c>
      <c r="L5911" s="31">
        <v>46052</v>
      </c>
      <c r="M5911" s="31">
        <v>46073</v>
      </c>
      <c r="N5911" s="31">
        <v>46069</v>
      </c>
      <c r="O5911" s="2" t="s">
        <v>297</v>
      </c>
    </row>
    <row r="5912" spans="1:15">
      <c r="A5912" s="3">
        <f t="shared" si="133"/>
        <v>5911</v>
      </c>
      <c r="B5912" s="65" t="s">
        <v>8573</v>
      </c>
      <c r="C5912" s="1">
        <v>9640722839</v>
      </c>
      <c r="E5912" s="17" t="s">
        <v>8413</v>
      </c>
      <c r="F5912" s="4" t="s">
        <v>7167</v>
      </c>
      <c r="G5912" s="3" t="s">
        <v>764</v>
      </c>
      <c r="H5912" s="1" t="s">
        <v>6158</v>
      </c>
      <c r="I5912" s="3" t="s">
        <v>42</v>
      </c>
      <c r="J5912" s="31">
        <v>46049</v>
      </c>
      <c r="K5912" s="31">
        <v>46063</v>
      </c>
      <c r="L5912" s="31"/>
      <c r="M5912" s="31"/>
      <c r="N5912" s="31"/>
      <c r="O5912" s="2" t="s">
        <v>425</v>
      </c>
    </row>
    <row r="5913" spans="1:15">
      <c r="A5913" s="3">
        <f t="shared" si="133"/>
        <v>5912</v>
      </c>
      <c r="B5913" s="65" t="s">
        <v>7139</v>
      </c>
      <c r="C5913" s="1">
        <v>9666992166</v>
      </c>
      <c r="E5913" s="17" t="s">
        <v>7741</v>
      </c>
      <c r="F5913" s="4" t="s">
        <v>8574</v>
      </c>
      <c r="G5913" s="3" t="s">
        <v>16</v>
      </c>
      <c r="H5913" s="3" t="s">
        <v>4145</v>
      </c>
      <c r="I5913" s="3" t="s">
        <v>42</v>
      </c>
      <c r="J5913" s="31">
        <v>46049</v>
      </c>
      <c r="K5913" s="31">
        <v>46051</v>
      </c>
      <c r="L5913" s="31">
        <v>46052</v>
      </c>
      <c r="M5913" s="31">
        <v>46069</v>
      </c>
      <c r="N5913" s="31">
        <v>46058</v>
      </c>
      <c r="O5913" s="2" t="s">
        <v>297</v>
      </c>
    </row>
    <row r="5914" spans="1:15">
      <c r="A5914" s="3">
        <f t="shared" si="133"/>
        <v>5913</v>
      </c>
      <c r="B5914" s="65" t="s">
        <v>8575</v>
      </c>
      <c r="C5914" s="1">
        <v>9000429669</v>
      </c>
      <c r="E5914" s="17" t="s">
        <v>6292</v>
      </c>
      <c r="F5914" s="4" t="s">
        <v>8314</v>
      </c>
      <c r="G5914" s="3" t="s">
        <v>424</v>
      </c>
      <c r="H5914" s="2" t="s">
        <v>5774</v>
      </c>
      <c r="I5914" s="3" t="s">
        <v>42</v>
      </c>
      <c r="J5914" s="31">
        <v>46049</v>
      </c>
      <c r="K5914" s="31">
        <v>46050</v>
      </c>
      <c r="L5914" s="31"/>
      <c r="M5914" s="31"/>
      <c r="N5914" s="31"/>
      <c r="O5914" s="3" t="s">
        <v>425</v>
      </c>
    </row>
    <row r="5915" spans="1:15">
      <c r="A5915" s="3">
        <f t="shared" si="133"/>
        <v>5914</v>
      </c>
      <c r="B5915" s="65" t="s">
        <v>8576</v>
      </c>
      <c r="C5915" s="1">
        <v>7075869731</v>
      </c>
      <c r="E5915" s="17" t="s">
        <v>8361</v>
      </c>
      <c r="F5915" s="4"/>
      <c r="G5915" s="3" t="s">
        <v>18</v>
      </c>
      <c r="H5915" s="1" t="s">
        <v>3240</v>
      </c>
      <c r="I5915" s="3" t="s">
        <v>42</v>
      </c>
      <c r="J5915" s="31">
        <v>46049</v>
      </c>
      <c r="K5915" s="31">
        <v>46051</v>
      </c>
      <c r="L5915" s="31"/>
      <c r="M5915" s="31"/>
      <c r="N5915" s="31"/>
      <c r="O5915" s="2" t="s">
        <v>297</v>
      </c>
    </row>
    <row r="5916" spans="1:15">
      <c r="A5916" s="3">
        <f t="shared" si="133"/>
        <v>5915</v>
      </c>
      <c r="B5916" s="65" t="s">
        <v>8577</v>
      </c>
      <c r="C5916" s="1">
        <v>9390174402</v>
      </c>
      <c r="E5916" s="17" t="s">
        <v>8361</v>
      </c>
      <c r="F5916" s="4"/>
      <c r="G5916" s="3" t="s">
        <v>18</v>
      </c>
      <c r="H5916" s="1" t="s">
        <v>3240</v>
      </c>
      <c r="I5916" s="3" t="s">
        <v>42</v>
      </c>
      <c r="J5916" s="31">
        <v>46049</v>
      </c>
      <c r="K5916" s="31">
        <v>46051</v>
      </c>
      <c r="L5916" s="31"/>
      <c r="M5916" s="31"/>
      <c r="N5916" s="31"/>
      <c r="O5916" s="2" t="s">
        <v>297</v>
      </c>
    </row>
    <row r="5917" spans="1:15">
      <c r="A5917" s="3">
        <f t="shared" si="133"/>
        <v>5916</v>
      </c>
      <c r="B5917" s="65" t="s">
        <v>8578</v>
      </c>
      <c r="C5917" s="1">
        <v>9182093382</v>
      </c>
      <c r="E5917" s="17" t="s">
        <v>8361</v>
      </c>
      <c r="F5917" s="4"/>
      <c r="G5917" s="3" t="s">
        <v>16</v>
      </c>
      <c r="H5917" s="1" t="s">
        <v>3240</v>
      </c>
      <c r="I5917" s="3" t="s">
        <v>42</v>
      </c>
      <c r="J5917" s="31">
        <v>46049</v>
      </c>
      <c r="K5917" s="31">
        <v>46051</v>
      </c>
      <c r="L5917" s="31">
        <v>46052</v>
      </c>
      <c r="M5917" s="31">
        <v>46058</v>
      </c>
      <c r="N5917" s="31">
        <v>46057</v>
      </c>
      <c r="O5917" s="2" t="s">
        <v>297</v>
      </c>
    </row>
    <row r="5918" spans="1:15">
      <c r="A5918" s="3">
        <f t="shared" ref="A5918:A5945" si="134">ROW()-1</f>
        <v>5917</v>
      </c>
      <c r="B5918" s="65" t="s">
        <v>8579</v>
      </c>
      <c r="C5918" s="1">
        <v>6396726212</v>
      </c>
      <c r="E5918" s="17" t="s">
        <v>6537</v>
      </c>
      <c r="F5918" s="4" t="s">
        <v>748</v>
      </c>
      <c r="G5918" s="3" t="s">
        <v>16</v>
      </c>
      <c r="H5918" s="2" t="s">
        <v>5774</v>
      </c>
      <c r="I5918" s="3" t="s">
        <v>42</v>
      </c>
      <c r="J5918" s="31">
        <v>46050</v>
      </c>
      <c r="K5918" s="31">
        <v>46050</v>
      </c>
      <c r="L5918" s="31">
        <v>46052</v>
      </c>
      <c r="M5918" s="31">
        <v>46062</v>
      </c>
      <c r="N5918" s="31">
        <v>46062</v>
      </c>
      <c r="O5918" s="2" t="s">
        <v>297</v>
      </c>
    </row>
    <row r="5919" spans="1:15">
      <c r="A5919" s="3">
        <f t="shared" si="134"/>
        <v>5918</v>
      </c>
      <c r="B5919" s="65" t="s">
        <v>8580</v>
      </c>
      <c r="C5919" s="1">
        <v>9728907803</v>
      </c>
      <c r="E5919" s="17" t="s">
        <v>7968</v>
      </c>
      <c r="F5919" s="4" t="s">
        <v>638</v>
      </c>
      <c r="G5919" s="3" t="s">
        <v>1175</v>
      </c>
      <c r="H5919" s="2" t="s">
        <v>630</v>
      </c>
      <c r="I5919" s="3" t="s">
        <v>94</v>
      </c>
      <c r="J5919" s="31">
        <v>46050</v>
      </c>
      <c r="K5919" s="31"/>
      <c r="L5919" s="31"/>
      <c r="M5919" s="31"/>
      <c r="N5919" s="31"/>
      <c r="O5919" s="2" t="s">
        <v>1004</v>
      </c>
    </row>
    <row r="5920" spans="1:15">
      <c r="A5920" s="3">
        <f t="shared" si="134"/>
        <v>5919</v>
      </c>
      <c r="B5920" s="65" t="s">
        <v>8581</v>
      </c>
      <c r="C5920" s="1">
        <v>9517404484</v>
      </c>
      <c r="E5920" s="17" t="s">
        <v>7968</v>
      </c>
      <c r="F5920" s="4" t="s">
        <v>638</v>
      </c>
      <c r="G5920" s="3" t="s">
        <v>1175</v>
      </c>
      <c r="H5920" s="2" t="s">
        <v>630</v>
      </c>
      <c r="I5920" s="3" t="s">
        <v>94</v>
      </c>
      <c r="J5920" s="31">
        <v>46050</v>
      </c>
      <c r="K5920" s="31"/>
      <c r="L5920" s="31"/>
      <c r="M5920" s="31"/>
      <c r="N5920" s="31"/>
      <c r="O5920" s="2" t="s">
        <v>1004</v>
      </c>
    </row>
    <row r="5921" spans="1:15">
      <c r="A5921" s="3">
        <f t="shared" si="134"/>
        <v>5920</v>
      </c>
      <c r="B5921" s="65" t="s">
        <v>8582</v>
      </c>
      <c r="C5921" s="1">
        <v>8580423052</v>
      </c>
      <c r="E5921" s="17" t="s">
        <v>7968</v>
      </c>
      <c r="F5921" s="4" t="s">
        <v>638</v>
      </c>
      <c r="G5921" s="3" t="s">
        <v>1175</v>
      </c>
      <c r="H5921" s="2" t="s">
        <v>630</v>
      </c>
      <c r="I5921" s="3" t="s">
        <v>94</v>
      </c>
      <c r="J5921" s="31">
        <v>46050</v>
      </c>
      <c r="K5921" s="31"/>
      <c r="L5921" s="31"/>
      <c r="M5921" s="31"/>
      <c r="N5921" s="31"/>
      <c r="O5921" s="2" t="s">
        <v>1004</v>
      </c>
    </row>
    <row r="5922" spans="1:15">
      <c r="A5922" s="3">
        <f t="shared" si="134"/>
        <v>5921</v>
      </c>
      <c r="B5922" s="65" t="s">
        <v>765</v>
      </c>
      <c r="C5922" s="1">
        <v>7739591318</v>
      </c>
      <c r="E5922" s="17" t="s">
        <v>6752</v>
      </c>
      <c r="F5922" s="4" t="s">
        <v>8583</v>
      </c>
      <c r="G5922" s="3" t="s">
        <v>7030</v>
      </c>
      <c r="H5922" s="2" t="s">
        <v>8395</v>
      </c>
      <c r="I5922" s="3" t="s">
        <v>42</v>
      </c>
      <c r="J5922" s="31">
        <v>46050</v>
      </c>
      <c r="K5922" s="31"/>
      <c r="L5922" s="31"/>
      <c r="M5922" s="31"/>
      <c r="N5922" s="31"/>
      <c r="O5922" s="2" t="s">
        <v>1004</v>
      </c>
    </row>
    <row r="5923" spans="1:15">
      <c r="A5923" s="3">
        <f t="shared" si="134"/>
        <v>5922</v>
      </c>
      <c r="B5923" s="65" t="s">
        <v>8584</v>
      </c>
      <c r="C5923" s="1">
        <v>9704667311</v>
      </c>
      <c r="E5923" s="17" t="s">
        <v>7762</v>
      </c>
      <c r="F5923" s="4" t="s">
        <v>8585</v>
      </c>
      <c r="G5923" s="3" t="s">
        <v>7030</v>
      </c>
      <c r="H5923" s="2" t="s">
        <v>8395</v>
      </c>
      <c r="I5923" s="3" t="s">
        <v>42</v>
      </c>
      <c r="J5923" s="31">
        <v>46050</v>
      </c>
      <c r="K5923" s="31"/>
      <c r="L5923" s="31"/>
      <c r="M5923" s="31"/>
      <c r="N5923" s="31"/>
      <c r="O5923" s="2" t="s">
        <v>1004</v>
      </c>
    </row>
    <row r="5924" spans="1:15">
      <c r="A5924" s="3">
        <f t="shared" si="134"/>
        <v>5923</v>
      </c>
      <c r="B5924" s="65" t="s">
        <v>8586</v>
      </c>
      <c r="C5924" s="1">
        <v>7788872052</v>
      </c>
      <c r="E5924" s="17" t="s">
        <v>7762</v>
      </c>
      <c r="F5924" s="4" t="s">
        <v>3380</v>
      </c>
      <c r="G5924" s="3" t="s">
        <v>7030</v>
      </c>
      <c r="H5924" s="2" t="s">
        <v>8395</v>
      </c>
      <c r="I5924" s="3" t="s">
        <v>42</v>
      </c>
      <c r="J5924" s="31">
        <v>46050</v>
      </c>
      <c r="K5924" s="31"/>
      <c r="L5924" s="31"/>
      <c r="M5924" s="31"/>
      <c r="N5924" s="31"/>
      <c r="O5924" s="2" t="s">
        <v>1004</v>
      </c>
    </row>
    <row r="5925" spans="1:15">
      <c r="A5925" s="3">
        <f t="shared" si="134"/>
        <v>5924</v>
      </c>
      <c r="B5925" s="65" t="s">
        <v>8587</v>
      </c>
      <c r="C5925" s="1">
        <v>9381269686</v>
      </c>
      <c r="E5925" s="17" t="s">
        <v>8588</v>
      </c>
      <c r="F5925" s="4" t="s">
        <v>278</v>
      </c>
      <c r="G5925" s="3" t="s">
        <v>7030</v>
      </c>
      <c r="H5925" s="2" t="s">
        <v>999</v>
      </c>
      <c r="I5925" s="3" t="s">
        <v>88</v>
      </c>
      <c r="J5925" s="31">
        <v>46050</v>
      </c>
      <c r="K5925" s="31"/>
      <c r="L5925" s="31"/>
      <c r="M5925" s="31"/>
      <c r="N5925" s="31"/>
      <c r="O5925" s="2" t="s">
        <v>1004</v>
      </c>
    </row>
    <row r="5926" spans="1:15">
      <c r="A5926" s="3">
        <f t="shared" si="134"/>
        <v>5925</v>
      </c>
      <c r="B5926" s="65" t="s">
        <v>8589</v>
      </c>
      <c r="C5926" s="1">
        <v>9700529521</v>
      </c>
      <c r="E5926" s="17" t="s">
        <v>8590</v>
      </c>
      <c r="F5926" s="4" t="s">
        <v>8591</v>
      </c>
      <c r="G5926" s="3" t="s">
        <v>15</v>
      </c>
      <c r="H5926" s="2" t="s">
        <v>999</v>
      </c>
      <c r="I5926" s="3" t="s">
        <v>88</v>
      </c>
      <c r="J5926" s="31">
        <v>46050</v>
      </c>
      <c r="K5926" s="31">
        <v>46070</v>
      </c>
      <c r="L5926" s="31">
        <v>46073</v>
      </c>
      <c r="M5926" s="31">
        <v>46117</v>
      </c>
      <c r="N5926" s="31"/>
      <c r="O5926" s="2" t="s">
        <v>297</v>
      </c>
    </row>
    <row r="5927" spans="1:15">
      <c r="A5927" s="3">
        <f t="shared" si="134"/>
        <v>5926</v>
      </c>
      <c r="B5927" s="65" t="s">
        <v>8592</v>
      </c>
      <c r="C5927" s="1">
        <v>6281875254</v>
      </c>
      <c r="E5927" s="17" t="s">
        <v>8468</v>
      </c>
      <c r="F5927" s="4" t="s">
        <v>388</v>
      </c>
      <c r="G5927" s="3" t="s">
        <v>295</v>
      </c>
      <c r="H5927" s="2" t="s">
        <v>999</v>
      </c>
      <c r="I5927" s="3" t="s">
        <v>88</v>
      </c>
      <c r="J5927" s="31">
        <v>46050</v>
      </c>
      <c r="K5927" s="31">
        <v>46051</v>
      </c>
      <c r="L5927" s="31">
        <v>46052</v>
      </c>
      <c r="M5927" s="31">
        <v>46081</v>
      </c>
      <c r="N5927" s="31"/>
      <c r="O5927" s="2" t="s">
        <v>297</v>
      </c>
    </row>
    <row r="5928" spans="1:15">
      <c r="A5928" s="3">
        <f t="shared" si="134"/>
        <v>5927</v>
      </c>
      <c r="B5928" s="65" t="s">
        <v>8593</v>
      </c>
      <c r="C5928" s="1">
        <v>7510054443</v>
      </c>
      <c r="E5928" s="17" t="s">
        <v>8468</v>
      </c>
      <c r="F5928" s="4" t="s">
        <v>8594</v>
      </c>
      <c r="G5928" s="3" t="s">
        <v>15</v>
      </c>
      <c r="H5928" s="2" t="s">
        <v>999</v>
      </c>
      <c r="I5928" s="3" t="s">
        <v>88</v>
      </c>
      <c r="J5928" s="31">
        <v>46050</v>
      </c>
      <c r="K5928" s="31">
        <v>46051</v>
      </c>
      <c r="L5928" s="31">
        <v>46052</v>
      </c>
      <c r="M5928" s="31">
        <v>46117</v>
      </c>
      <c r="N5928" s="31"/>
      <c r="O5928" s="2" t="s">
        <v>297</v>
      </c>
    </row>
    <row r="5929" spans="1:15">
      <c r="A5929" s="3">
        <f t="shared" si="134"/>
        <v>5928</v>
      </c>
      <c r="B5929" s="65" t="s">
        <v>8595</v>
      </c>
      <c r="C5929" s="1">
        <v>9247287260</v>
      </c>
      <c r="E5929" s="17" t="s">
        <v>8468</v>
      </c>
      <c r="F5929" s="4" t="s">
        <v>268</v>
      </c>
      <c r="G5929" s="3" t="s">
        <v>16</v>
      </c>
      <c r="H5929" s="2" t="s">
        <v>999</v>
      </c>
      <c r="I5929" s="3" t="s">
        <v>88</v>
      </c>
      <c r="J5929" s="31">
        <v>46050</v>
      </c>
      <c r="K5929" s="31">
        <v>46051</v>
      </c>
      <c r="L5929" s="31">
        <v>46052</v>
      </c>
      <c r="M5929" s="31">
        <v>46094</v>
      </c>
      <c r="N5929" s="31">
        <v>46094</v>
      </c>
      <c r="O5929" s="2" t="s">
        <v>297</v>
      </c>
    </row>
    <row r="5930" spans="1:15">
      <c r="A5930" s="3">
        <f t="shared" si="134"/>
        <v>5929</v>
      </c>
      <c r="B5930" s="65" t="s">
        <v>8596</v>
      </c>
      <c r="C5930" s="1">
        <v>9348687376</v>
      </c>
      <c r="E5930" s="17" t="s">
        <v>8470</v>
      </c>
      <c r="F5930" s="4" t="s">
        <v>8597</v>
      </c>
      <c r="G5930" s="3" t="s">
        <v>424</v>
      </c>
      <c r="H5930" s="2" t="s">
        <v>999</v>
      </c>
      <c r="I5930" s="3" t="s">
        <v>88</v>
      </c>
      <c r="J5930" s="31">
        <v>46050</v>
      </c>
      <c r="K5930" s="31">
        <v>46062</v>
      </c>
      <c r="L5930" s="31"/>
      <c r="M5930" s="31"/>
      <c r="N5930" s="31"/>
      <c r="O5930" s="3" t="s">
        <v>425</v>
      </c>
    </row>
    <row r="5931" spans="1:15">
      <c r="A5931" s="3">
        <f t="shared" si="134"/>
        <v>5930</v>
      </c>
      <c r="B5931" s="65" t="s">
        <v>8598</v>
      </c>
      <c r="C5931" s="1">
        <v>6387172394</v>
      </c>
      <c r="E5931" s="17" t="s">
        <v>5540</v>
      </c>
      <c r="F5931" s="4" t="s">
        <v>8599</v>
      </c>
      <c r="G5931" s="3" t="s">
        <v>295</v>
      </c>
      <c r="H5931" s="2" t="s">
        <v>815</v>
      </c>
      <c r="I5931" s="3" t="s">
        <v>42</v>
      </c>
      <c r="J5931" s="31">
        <v>46050</v>
      </c>
      <c r="K5931" s="31">
        <v>46050</v>
      </c>
      <c r="L5931" s="31">
        <v>46052</v>
      </c>
      <c r="M5931" s="31">
        <v>46083</v>
      </c>
      <c r="N5931" s="31"/>
      <c r="O5931" s="2" t="s">
        <v>297</v>
      </c>
    </row>
    <row r="5932" spans="1:15">
      <c r="A5932" s="3">
        <f t="shared" si="134"/>
        <v>5931</v>
      </c>
      <c r="B5932" s="65" t="s">
        <v>8600</v>
      </c>
      <c r="C5932" s="1">
        <v>8578835687</v>
      </c>
      <c r="E5932" s="17" t="s">
        <v>5540</v>
      </c>
      <c r="F5932" s="4" t="s">
        <v>8599</v>
      </c>
      <c r="G5932" s="3" t="s">
        <v>295</v>
      </c>
      <c r="H5932" s="2" t="s">
        <v>815</v>
      </c>
      <c r="I5932" s="3" t="s">
        <v>42</v>
      </c>
      <c r="J5932" s="31">
        <v>46050</v>
      </c>
      <c r="K5932" s="31">
        <v>46050</v>
      </c>
      <c r="L5932" s="31">
        <v>46052</v>
      </c>
      <c r="M5932" s="31">
        <v>46063</v>
      </c>
      <c r="N5932" s="31"/>
      <c r="O5932" s="2" t="s">
        <v>297</v>
      </c>
    </row>
    <row r="5933" spans="1:15">
      <c r="A5933" s="3">
        <f t="shared" si="134"/>
        <v>5932</v>
      </c>
      <c r="B5933" s="65" t="s">
        <v>8601</v>
      </c>
      <c r="C5933" s="1">
        <v>6302975128</v>
      </c>
      <c r="E5933" s="17" t="s">
        <v>8602</v>
      </c>
      <c r="F5933" s="4" t="s">
        <v>7205</v>
      </c>
      <c r="G5933" s="3" t="s">
        <v>416</v>
      </c>
      <c r="H5933" s="2" t="s">
        <v>815</v>
      </c>
      <c r="I5933" s="3" t="s">
        <v>42</v>
      </c>
      <c r="J5933" s="31">
        <v>46050</v>
      </c>
      <c r="K5933" s="31">
        <v>46050</v>
      </c>
      <c r="L5933" s="31"/>
      <c r="M5933" s="31"/>
      <c r="N5933" s="31"/>
      <c r="O5933" s="2" t="s">
        <v>297</v>
      </c>
    </row>
    <row r="5934" spans="1:15">
      <c r="A5934" s="3">
        <f t="shared" si="134"/>
        <v>5933</v>
      </c>
      <c r="B5934" s="65" t="s">
        <v>8603</v>
      </c>
      <c r="C5934" s="1">
        <v>7893797219</v>
      </c>
      <c r="E5934" s="17" t="s">
        <v>8602</v>
      </c>
      <c r="F5934" s="4" t="s">
        <v>7205</v>
      </c>
      <c r="G5934" s="3" t="s">
        <v>16</v>
      </c>
      <c r="H5934" s="2" t="s">
        <v>815</v>
      </c>
      <c r="I5934" s="3" t="s">
        <v>42</v>
      </c>
      <c r="J5934" s="31">
        <v>46050</v>
      </c>
      <c r="K5934" s="31">
        <v>46050</v>
      </c>
      <c r="L5934" s="31">
        <v>46052</v>
      </c>
      <c r="M5934" s="31">
        <v>46076</v>
      </c>
      <c r="N5934" s="31">
        <v>46076</v>
      </c>
      <c r="O5934" s="2" t="s">
        <v>297</v>
      </c>
    </row>
    <row r="5935" spans="1:15">
      <c r="A5935" s="3">
        <f t="shared" si="134"/>
        <v>5934</v>
      </c>
      <c r="B5935" s="65" t="s">
        <v>8604</v>
      </c>
      <c r="C5935" s="1">
        <v>8601792625</v>
      </c>
      <c r="E5935" s="17" t="s">
        <v>8602</v>
      </c>
      <c r="F5935" s="4" t="s">
        <v>7205</v>
      </c>
      <c r="G5935" s="3" t="s">
        <v>295</v>
      </c>
      <c r="H5935" s="2" t="s">
        <v>815</v>
      </c>
      <c r="I5935" s="3" t="s">
        <v>42</v>
      </c>
      <c r="J5935" s="31">
        <v>46050</v>
      </c>
      <c r="K5935" s="31">
        <v>46050</v>
      </c>
      <c r="L5935" s="31">
        <v>46052</v>
      </c>
      <c r="M5935" s="31">
        <v>46076</v>
      </c>
      <c r="N5935" s="31"/>
      <c r="O5935" s="2" t="s">
        <v>297</v>
      </c>
    </row>
    <row r="5936" spans="1:15">
      <c r="A5936" s="3">
        <f t="shared" si="134"/>
        <v>5935</v>
      </c>
      <c r="B5936" s="65" t="s">
        <v>8605</v>
      </c>
      <c r="C5936" s="1">
        <v>6303778164</v>
      </c>
      <c r="E5936" s="17" t="s">
        <v>8602</v>
      </c>
      <c r="F5936" s="4" t="s">
        <v>7205</v>
      </c>
      <c r="G5936" s="3" t="s">
        <v>295</v>
      </c>
      <c r="H5936" s="2" t="s">
        <v>815</v>
      </c>
      <c r="I5936" s="3" t="s">
        <v>42</v>
      </c>
      <c r="J5936" s="31">
        <v>46050</v>
      </c>
      <c r="K5936" s="31">
        <v>46050</v>
      </c>
      <c r="L5936" s="31">
        <v>46052</v>
      </c>
      <c r="M5936" s="31">
        <v>46069</v>
      </c>
      <c r="N5936" s="31"/>
      <c r="O5936" s="2" t="s">
        <v>297</v>
      </c>
    </row>
    <row r="5937" spans="1:15">
      <c r="A5937" s="3">
        <f t="shared" si="134"/>
        <v>5936</v>
      </c>
      <c r="B5937" s="65" t="s">
        <v>8606</v>
      </c>
      <c r="C5937" s="1">
        <v>9963893211</v>
      </c>
      <c r="E5937" s="17" t="s">
        <v>8602</v>
      </c>
      <c r="F5937" s="4" t="s">
        <v>7205</v>
      </c>
      <c r="G5937" s="3" t="s">
        <v>16</v>
      </c>
      <c r="H5937" s="2" t="s">
        <v>815</v>
      </c>
      <c r="I5937" s="3" t="s">
        <v>42</v>
      </c>
      <c r="J5937" s="31">
        <v>46050</v>
      </c>
      <c r="K5937" s="31">
        <v>46050</v>
      </c>
      <c r="L5937" s="31">
        <v>46052</v>
      </c>
      <c r="M5937" s="31">
        <v>46069</v>
      </c>
      <c r="N5937" s="31">
        <v>46067</v>
      </c>
      <c r="O5937" s="2" t="s">
        <v>297</v>
      </c>
    </row>
    <row r="5938" spans="1:15">
      <c r="A5938" s="3">
        <f t="shared" si="134"/>
        <v>5937</v>
      </c>
      <c r="B5938" s="65" t="s">
        <v>8607</v>
      </c>
      <c r="C5938" s="1">
        <v>7437906798</v>
      </c>
      <c r="E5938" s="17" t="s">
        <v>5540</v>
      </c>
      <c r="F5938" s="4" t="s">
        <v>7205</v>
      </c>
      <c r="G5938" s="3" t="s">
        <v>15</v>
      </c>
      <c r="H5938" s="2" t="s">
        <v>815</v>
      </c>
      <c r="I5938" s="3" t="s">
        <v>42</v>
      </c>
      <c r="J5938" s="31">
        <v>46050</v>
      </c>
      <c r="K5938" s="31">
        <v>46050</v>
      </c>
      <c r="L5938" s="31">
        <v>46052</v>
      </c>
      <c r="M5938" s="31">
        <v>46113</v>
      </c>
      <c r="N5938" s="31"/>
      <c r="O5938" s="2" t="s">
        <v>297</v>
      </c>
    </row>
    <row r="5939" spans="1:15">
      <c r="A5939" s="3">
        <f t="shared" si="134"/>
        <v>5938</v>
      </c>
      <c r="B5939" s="65" t="s">
        <v>8608</v>
      </c>
      <c r="C5939" s="1">
        <v>8309135591</v>
      </c>
      <c r="E5939" s="17" t="s">
        <v>8602</v>
      </c>
      <c r="F5939" s="4" t="s">
        <v>8609</v>
      </c>
      <c r="G5939" s="2" t="s">
        <v>16</v>
      </c>
      <c r="H5939" s="2" t="s">
        <v>815</v>
      </c>
      <c r="I5939" s="3" t="s">
        <v>42</v>
      </c>
      <c r="J5939" s="31">
        <v>46050</v>
      </c>
      <c r="K5939" s="31">
        <v>46050</v>
      </c>
      <c r="L5939" s="31">
        <v>46052</v>
      </c>
      <c r="M5939" s="31">
        <v>46081</v>
      </c>
      <c r="N5939" s="31">
        <v>46083</v>
      </c>
      <c r="O5939" s="2" t="s">
        <v>297</v>
      </c>
    </row>
    <row r="5940" spans="1:15">
      <c r="A5940" s="3">
        <f t="shared" si="134"/>
        <v>5939</v>
      </c>
      <c r="B5940" s="65" t="s">
        <v>8610</v>
      </c>
      <c r="C5940" s="1">
        <v>8757735263</v>
      </c>
      <c r="E5940" s="17" t="s">
        <v>8193</v>
      </c>
      <c r="F5940" s="4" t="s">
        <v>8611</v>
      </c>
      <c r="G5940" s="3" t="s">
        <v>16</v>
      </c>
      <c r="H5940" s="2" t="s">
        <v>815</v>
      </c>
      <c r="I5940" s="3" t="s">
        <v>42</v>
      </c>
      <c r="J5940" s="31">
        <v>46050</v>
      </c>
      <c r="K5940" s="31">
        <v>46050</v>
      </c>
      <c r="L5940" s="31">
        <v>46052</v>
      </c>
      <c r="M5940" s="31">
        <v>46064</v>
      </c>
      <c r="N5940" s="31">
        <v>46064</v>
      </c>
      <c r="O5940" s="2" t="s">
        <v>297</v>
      </c>
    </row>
    <row r="5941" spans="1:15">
      <c r="A5941" s="3">
        <f t="shared" si="134"/>
        <v>5940</v>
      </c>
      <c r="B5941" s="65" t="s">
        <v>8612</v>
      </c>
      <c r="C5941" s="1">
        <v>9771659975</v>
      </c>
      <c r="E5941" s="17" t="s">
        <v>6537</v>
      </c>
      <c r="F5941" s="4" t="s">
        <v>8446</v>
      </c>
      <c r="G5941" s="3" t="s">
        <v>295</v>
      </c>
      <c r="H5941" s="1" t="s">
        <v>6158</v>
      </c>
      <c r="I5941" s="3" t="s">
        <v>42</v>
      </c>
      <c r="J5941" s="31">
        <v>46050</v>
      </c>
      <c r="K5941" s="31">
        <v>46052</v>
      </c>
      <c r="L5941" s="31">
        <v>46052</v>
      </c>
      <c r="M5941" s="31">
        <v>46097</v>
      </c>
      <c r="N5941" s="31"/>
      <c r="O5941" s="2" t="s">
        <v>297</v>
      </c>
    </row>
    <row r="5942" spans="1:15">
      <c r="A5942" s="3">
        <f t="shared" si="134"/>
        <v>5941</v>
      </c>
      <c r="B5942" s="65" t="s">
        <v>8613</v>
      </c>
      <c r="C5942" s="1">
        <v>9556447655</v>
      </c>
      <c r="E5942" s="17" t="s">
        <v>6537</v>
      </c>
      <c r="F5942" s="4" t="s">
        <v>329</v>
      </c>
      <c r="G5942" s="3" t="s">
        <v>764</v>
      </c>
      <c r="H5942" s="1" t="s">
        <v>6158</v>
      </c>
      <c r="I5942" s="3" t="s">
        <v>42</v>
      </c>
      <c r="J5942" s="31">
        <v>46050</v>
      </c>
      <c r="K5942" s="31">
        <v>46052</v>
      </c>
      <c r="L5942" s="31"/>
      <c r="M5942" s="31"/>
      <c r="N5942" s="31"/>
      <c r="O5942" s="2" t="s">
        <v>425</v>
      </c>
    </row>
    <row r="5943" spans="1:15">
      <c r="A5943" s="3">
        <f t="shared" si="134"/>
        <v>5942</v>
      </c>
      <c r="B5943" s="65" t="s">
        <v>8614</v>
      </c>
      <c r="C5943" s="1">
        <v>8919396817</v>
      </c>
      <c r="E5943" s="17" t="s">
        <v>8408</v>
      </c>
      <c r="F5943" s="4" t="s">
        <v>339</v>
      </c>
      <c r="G5943" s="2" t="s">
        <v>424</v>
      </c>
      <c r="H5943" s="2" t="s">
        <v>162</v>
      </c>
      <c r="I5943" s="3" t="s">
        <v>94</v>
      </c>
      <c r="J5943" s="31">
        <v>46051</v>
      </c>
      <c r="K5943" s="31">
        <v>46077</v>
      </c>
      <c r="L5943" s="31"/>
      <c r="M5943" s="31"/>
      <c r="N5943" s="31"/>
      <c r="O5943" s="2" t="s">
        <v>425</v>
      </c>
    </row>
    <row r="5944" spans="1:15">
      <c r="A5944" s="3">
        <f t="shared" si="134"/>
        <v>5943</v>
      </c>
      <c r="B5944" s="65" t="s">
        <v>8615</v>
      </c>
      <c r="C5944" s="1">
        <v>9955770044</v>
      </c>
      <c r="E5944" s="17" t="s">
        <v>8408</v>
      </c>
      <c r="F5944" s="4" t="s">
        <v>397</v>
      </c>
      <c r="G5944" s="2" t="s">
        <v>424</v>
      </c>
      <c r="H5944" s="2" t="s">
        <v>162</v>
      </c>
      <c r="I5944" s="3" t="s">
        <v>94</v>
      </c>
      <c r="J5944" s="31">
        <v>46051</v>
      </c>
      <c r="K5944" s="31">
        <v>46077</v>
      </c>
      <c r="L5944" s="31"/>
      <c r="M5944" s="31"/>
      <c r="N5944" s="31"/>
      <c r="O5944" s="2" t="s">
        <v>425</v>
      </c>
    </row>
    <row r="5945" spans="1:15">
      <c r="A5945" s="3">
        <f t="shared" si="134"/>
        <v>5944</v>
      </c>
      <c r="B5945" s="65" t="s">
        <v>8616</v>
      </c>
      <c r="C5945" s="1">
        <v>9701492753</v>
      </c>
      <c r="E5945" s="17" t="s">
        <v>2326</v>
      </c>
      <c r="F5945" s="4" t="s">
        <v>403</v>
      </c>
      <c r="G5945" s="3" t="s">
        <v>16</v>
      </c>
      <c r="H5945" s="2" t="s">
        <v>815</v>
      </c>
      <c r="I5945" s="3" t="s">
        <v>88</v>
      </c>
      <c r="J5945" s="31">
        <v>46051</v>
      </c>
      <c r="K5945" s="31">
        <v>46051</v>
      </c>
      <c r="L5945" s="31">
        <v>46052</v>
      </c>
      <c r="M5945" s="31">
        <v>46081</v>
      </c>
      <c r="N5945" s="31">
        <v>46083</v>
      </c>
      <c r="O5945" s="2" t="s">
        <v>297</v>
      </c>
    </row>
    <row r="5946" spans="1:15">
      <c r="A5946" s="3">
        <f t="shared" ref="A5946:A5960" si="135">ROW()-1</f>
        <v>5945</v>
      </c>
      <c r="B5946" s="65" t="s">
        <v>8617</v>
      </c>
      <c r="C5946" s="1">
        <v>7675046895</v>
      </c>
      <c r="E5946" s="17" t="s">
        <v>2326</v>
      </c>
      <c r="F5946" s="4" t="s">
        <v>8618</v>
      </c>
      <c r="G5946" s="3" t="s">
        <v>764</v>
      </c>
      <c r="H5946" s="2" t="s">
        <v>815</v>
      </c>
      <c r="I5946" s="3" t="s">
        <v>88</v>
      </c>
      <c r="J5946" s="31">
        <v>46051</v>
      </c>
      <c r="K5946" s="31">
        <v>46051</v>
      </c>
      <c r="L5946" s="31"/>
      <c r="M5946" s="31"/>
      <c r="N5946" s="31"/>
      <c r="O5946" s="2" t="s">
        <v>425</v>
      </c>
    </row>
    <row r="5947" spans="1:15">
      <c r="A5947" s="3">
        <f t="shared" si="135"/>
        <v>5946</v>
      </c>
      <c r="B5947" s="65" t="s">
        <v>8619</v>
      </c>
      <c r="C5947" s="1">
        <v>9565986537</v>
      </c>
      <c r="E5947" s="17" t="s">
        <v>7274</v>
      </c>
      <c r="F5947" s="4" t="s">
        <v>403</v>
      </c>
      <c r="G5947" s="3" t="s">
        <v>764</v>
      </c>
      <c r="H5947" s="2" t="s">
        <v>815</v>
      </c>
      <c r="I5947" s="3" t="s">
        <v>88</v>
      </c>
      <c r="J5947" s="31">
        <v>46051</v>
      </c>
      <c r="K5947" s="31">
        <v>46051</v>
      </c>
      <c r="L5947" s="31"/>
      <c r="M5947" s="31"/>
      <c r="N5947" s="31"/>
      <c r="O5947" s="2" t="s">
        <v>425</v>
      </c>
    </row>
    <row r="5948" spans="1:15">
      <c r="A5948" s="3">
        <f t="shared" si="135"/>
        <v>5947</v>
      </c>
      <c r="B5948" s="65" t="s">
        <v>8620</v>
      </c>
      <c r="C5948" s="1">
        <v>8077316459</v>
      </c>
      <c r="D5948" s="1">
        <v>7505693267</v>
      </c>
      <c r="E5948" s="17" t="s">
        <v>2326</v>
      </c>
      <c r="F5948" s="4" t="s">
        <v>403</v>
      </c>
      <c r="G5948" s="3" t="s">
        <v>764</v>
      </c>
      <c r="H5948" s="2" t="s">
        <v>815</v>
      </c>
      <c r="I5948" s="3" t="s">
        <v>88</v>
      </c>
      <c r="J5948" s="31">
        <v>46051</v>
      </c>
      <c r="K5948" s="31">
        <v>46051</v>
      </c>
      <c r="L5948" s="31"/>
      <c r="M5948" s="31"/>
      <c r="N5948" s="31"/>
      <c r="O5948" s="2" t="s">
        <v>425</v>
      </c>
    </row>
    <row r="5949" spans="1:15">
      <c r="A5949" s="3">
        <f t="shared" si="135"/>
        <v>5948</v>
      </c>
      <c r="B5949" s="65" t="s">
        <v>8621</v>
      </c>
      <c r="C5949" s="1">
        <v>7995465240</v>
      </c>
      <c r="E5949" s="17" t="s">
        <v>7274</v>
      </c>
      <c r="F5949" s="4" t="s">
        <v>821</v>
      </c>
      <c r="G5949" s="3" t="s">
        <v>16</v>
      </c>
      <c r="H5949" s="2" t="s">
        <v>815</v>
      </c>
      <c r="I5949" s="3" t="s">
        <v>88</v>
      </c>
      <c r="J5949" s="31">
        <v>46051</v>
      </c>
      <c r="K5949" s="31">
        <v>46051</v>
      </c>
      <c r="L5949" s="31">
        <v>46052</v>
      </c>
      <c r="M5949" s="31">
        <v>46081</v>
      </c>
      <c r="N5949" s="31">
        <v>46083</v>
      </c>
      <c r="O5949" s="2" t="s">
        <v>297</v>
      </c>
    </row>
    <row r="5950" spans="1:15">
      <c r="A5950" s="3">
        <f t="shared" si="135"/>
        <v>5949</v>
      </c>
      <c r="B5950" s="65" t="s">
        <v>8622</v>
      </c>
      <c r="C5950" s="1">
        <v>7989577326</v>
      </c>
      <c r="E5950" s="17" t="s">
        <v>8588</v>
      </c>
      <c r="F5950" s="4" t="s">
        <v>412</v>
      </c>
      <c r="G5950" s="3" t="s">
        <v>16</v>
      </c>
      <c r="H5950" s="2" t="s">
        <v>999</v>
      </c>
      <c r="I5950" s="3" t="s">
        <v>88</v>
      </c>
      <c r="J5950" s="31">
        <v>46051</v>
      </c>
      <c r="K5950" s="31">
        <v>46072</v>
      </c>
      <c r="L5950" s="31">
        <v>46073</v>
      </c>
      <c r="M5950" s="31">
        <v>46113</v>
      </c>
      <c r="N5950" s="31">
        <v>46113</v>
      </c>
      <c r="O5950" s="3" t="s">
        <v>297</v>
      </c>
    </row>
    <row r="5951" spans="1:15">
      <c r="A5951" s="3">
        <f t="shared" si="135"/>
        <v>5950</v>
      </c>
      <c r="B5951" s="65" t="s">
        <v>8623</v>
      </c>
      <c r="C5951" s="1">
        <v>7661908776</v>
      </c>
      <c r="E5951" s="17" t="s">
        <v>8588</v>
      </c>
      <c r="F5951" s="4" t="s">
        <v>1312</v>
      </c>
      <c r="G5951" s="3" t="s">
        <v>7030</v>
      </c>
      <c r="H5951" s="2" t="s">
        <v>999</v>
      </c>
      <c r="I5951" s="3" t="s">
        <v>88</v>
      </c>
      <c r="J5951" s="31">
        <v>46051</v>
      </c>
      <c r="K5951" s="31"/>
      <c r="L5951" s="31"/>
      <c r="M5951" s="31"/>
      <c r="N5951" s="31"/>
      <c r="O5951" s="2" t="s">
        <v>1004</v>
      </c>
    </row>
    <row r="5952" spans="1:15">
      <c r="A5952" s="3">
        <f t="shared" si="135"/>
        <v>5951</v>
      </c>
      <c r="B5952" s="65" t="s">
        <v>8624</v>
      </c>
      <c r="C5952" s="1">
        <v>8309460923</v>
      </c>
      <c r="E5952" s="17" t="s">
        <v>8590</v>
      </c>
      <c r="F5952" s="4" t="s">
        <v>6517</v>
      </c>
      <c r="G5952" s="3" t="s">
        <v>15</v>
      </c>
      <c r="H5952" s="2" t="s">
        <v>999</v>
      </c>
      <c r="I5952" s="3" t="s">
        <v>88</v>
      </c>
      <c r="J5952" s="31">
        <v>46051</v>
      </c>
      <c r="K5952" s="31">
        <v>46096</v>
      </c>
      <c r="L5952" s="31">
        <v>46101</v>
      </c>
      <c r="M5952" s="31">
        <v>46132</v>
      </c>
      <c r="N5952" s="31"/>
      <c r="O5952" s="2" t="s">
        <v>297</v>
      </c>
    </row>
    <row r="5953" spans="1:15">
      <c r="A5953" s="3">
        <f t="shared" si="135"/>
        <v>5952</v>
      </c>
      <c r="B5953" s="65" t="s">
        <v>8625</v>
      </c>
      <c r="C5953" s="1">
        <v>9154937879</v>
      </c>
      <c r="E5953" s="17" t="s">
        <v>8626</v>
      </c>
      <c r="F5953" s="4" t="s">
        <v>339</v>
      </c>
      <c r="G5953" s="3" t="s">
        <v>16</v>
      </c>
      <c r="H5953" s="2" t="s">
        <v>162</v>
      </c>
      <c r="I5953" s="3" t="s">
        <v>88</v>
      </c>
      <c r="J5953" s="31">
        <v>46051</v>
      </c>
      <c r="K5953" s="31">
        <v>46052</v>
      </c>
      <c r="L5953" s="31">
        <v>46052</v>
      </c>
      <c r="M5953" s="31">
        <v>46081</v>
      </c>
      <c r="N5953" s="31">
        <v>46086</v>
      </c>
      <c r="O5953" s="2" t="s">
        <v>297</v>
      </c>
    </row>
    <row r="5954" spans="1:15">
      <c r="A5954" s="3">
        <f t="shared" si="135"/>
        <v>5953</v>
      </c>
      <c r="B5954" s="65" t="s">
        <v>8627</v>
      </c>
      <c r="C5954" s="1">
        <v>8328164030</v>
      </c>
      <c r="D5954" s="1">
        <v>8688200000</v>
      </c>
      <c r="E5954" s="17" t="s">
        <v>8626</v>
      </c>
      <c r="F5954" s="4" t="s">
        <v>339</v>
      </c>
      <c r="G5954" s="3" t="s">
        <v>424</v>
      </c>
      <c r="H5954" s="2" t="s">
        <v>162</v>
      </c>
      <c r="I5954" s="3" t="s">
        <v>88</v>
      </c>
      <c r="J5954" s="31">
        <v>46051</v>
      </c>
      <c r="K5954" s="31">
        <v>46052</v>
      </c>
      <c r="L5954" s="31"/>
      <c r="M5954" s="31"/>
      <c r="N5954" s="31"/>
      <c r="O5954" s="2" t="s">
        <v>425</v>
      </c>
    </row>
    <row r="5955" spans="1:15">
      <c r="A5955" s="3">
        <f t="shared" si="135"/>
        <v>5954</v>
      </c>
      <c r="B5955" s="65" t="s">
        <v>8628</v>
      </c>
      <c r="C5955" s="1">
        <v>7842595541</v>
      </c>
      <c r="D5955" s="1">
        <v>9030700000</v>
      </c>
      <c r="E5955" s="17" t="s">
        <v>8626</v>
      </c>
      <c r="F5955" s="4" t="s">
        <v>339</v>
      </c>
      <c r="G5955" s="3" t="s">
        <v>424</v>
      </c>
      <c r="H5955" s="2" t="s">
        <v>162</v>
      </c>
      <c r="I5955" s="3" t="s">
        <v>88</v>
      </c>
      <c r="J5955" s="31">
        <v>46051</v>
      </c>
      <c r="K5955" s="31">
        <v>46052</v>
      </c>
      <c r="L5955" s="31"/>
      <c r="M5955" s="31"/>
      <c r="N5955" s="31"/>
      <c r="O5955" s="2" t="s">
        <v>425</v>
      </c>
    </row>
    <row r="5956" spans="1:15">
      <c r="A5956" s="3">
        <f t="shared" si="135"/>
        <v>5955</v>
      </c>
      <c r="B5956" s="65" t="s">
        <v>8629</v>
      </c>
      <c r="C5956" s="1">
        <v>8341297164</v>
      </c>
      <c r="E5956" s="17" t="s">
        <v>6537</v>
      </c>
      <c r="F5956" s="4" t="s">
        <v>329</v>
      </c>
      <c r="G5956" s="3" t="s">
        <v>764</v>
      </c>
      <c r="H5956" s="2" t="s">
        <v>6158</v>
      </c>
      <c r="I5956" s="3" t="s">
        <v>42</v>
      </c>
      <c r="J5956" s="31">
        <v>46051</v>
      </c>
      <c r="K5956" s="31">
        <v>46052</v>
      </c>
      <c r="L5956" s="31"/>
      <c r="M5956" s="31"/>
      <c r="N5956" s="31"/>
      <c r="O5956" s="2" t="s">
        <v>425</v>
      </c>
    </row>
    <row r="5957" spans="1:15">
      <c r="A5957" s="3">
        <f t="shared" si="135"/>
        <v>5956</v>
      </c>
      <c r="B5957" s="65" t="s">
        <v>8630</v>
      </c>
      <c r="C5957" s="1">
        <v>9670734501</v>
      </c>
      <c r="E5957" s="17" t="s">
        <v>6537</v>
      </c>
      <c r="F5957" s="4" t="s">
        <v>329</v>
      </c>
      <c r="G5957" s="3" t="s">
        <v>764</v>
      </c>
      <c r="H5957" s="2" t="s">
        <v>6158</v>
      </c>
      <c r="I5957" s="3" t="s">
        <v>42</v>
      </c>
      <c r="J5957" s="31">
        <v>46051</v>
      </c>
      <c r="K5957" s="31">
        <v>46052</v>
      </c>
      <c r="L5957" s="31"/>
      <c r="M5957" s="31"/>
      <c r="N5957" s="31"/>
      <c r="O5957" s="2" t="s">
        <v>425</v>
      </c>
    </row>
    <row r="5958" spans="1:15">
      <c r="A5958" s="3">
        <f t="shared" si="135"/>
        <v>5957</v>
      </c>
      <c r="B5958" s="65" t="s">
        <v>8631</v>
      </c>
      <c r="C5958" s="1">
        <v>8008253676</v>
      </c>
      <c r="E5958" s="17" t="s">
        <v>6537</v>
      </c>
      <c r="F5958" s="4" t="s">
        <v>329</v>
      </c>
      <c r="G5958" s="3" t="s">
        <v>16</v>
      </c>
      <c r="H5958" s="2" t="s">
        <v>6158</v>
      </c>
      <c r="I5958" s="3" t="s">
        <v>42</v>
      </c>
      <c r="J5958" s="31">
        <v>46051</v>
      </c>
      <c r="K5958" s="31">
        <v>46052</v>
      </c>
      <c r="L5958" s="31">
        <v>46052</v>
      </c>
      <c r="M5958" s="31">
        <v>46062</v>
      </c>
      <c r="N5958" s="31">
        <v>46060</v>
      </c>
      <c r="O5958" s="2" t="s">
        <v>297</v>
      </c>
    </row>
    <row r="5959" spans="1:15">
      <c r="A5959" s="3">
        <f t="shared" si="135"/>
        <v>5958</v>
      </c>
      <c r="B5959" s="65" t="s">
        <v>8632</v>
      </c>
      <c r="C5959" s="1">
        <v>9491780670</v>
      </c>
      <c r="E5959" s="17" t="s">
        <v>6752</v>
      </c>
      <c r="F5959" s="4" t="s">
        <v>461</v>
      </c>
      <c r="G5959" s="3" t="s">
        <v>7030</v>
      </c>
      <c r="H5959" s="2" t="s">
        <v>8395</v>
      </c>
      <c r="I5959" s="3" t="s">
        <v>42</v>
      </c>
      <c r="J5959" s="31">
        <v>46051</v>
      </c>
      <c r="K5959" s="31"/>
      <c r="L5959" s="31"/>
      <c r="M5959" s="31"/>
      <c r="N5959" s="31"/>
      <c r="O5959" s="2" t="s">
        <v>1004</v>
      </c>
    </row>
    <row r="5960" spans="1:15">
      <c r="A5960" s="3">
        <f t="shared" si="135"/>
        <v>5959</v>
      </c>
      <c r="B5960" s="65" t="s">
        <v>8633</v>
      </c>
      <c r="C5960" s="1">
        <v>7382129226</v>
      </c>
      <c r="E5960" s="17" t="s">
        <v>7741</v>
      </c>
      <c r="F5960" s="4" t="s">
        <v>8634</v>
      </c>
      <c r="G5960" s="3" t="s">
        <v>16</v>
      </c>
      <c r="H5960" s="2" t="s">
        <v>4145</v>
      </c>
      <c r="I5960" s="3" t="s">
        <v>42</v>
      </c>
      <c r="J5960" s="31">
        <v>46051</v>
      </c>
      <c r="K5960" s="31">
        <v>46058</v>
      </c>
      <c r="L5960" s="31">
        <v>46065</v>
      </c>
      <c r="M5960" s="31">
        <v>46089</v>
      </c>
      <c r="N5960" s="31">
        <v>46090</v>
      </c>
      <c r="O5960" s="2" t="s">
        <v>297</v>
      </c>
    </row>
    <row r="5961" spans="1:15">
      <c r="A5961" s="3">
        <f>ROW()-1</f>
        <v>5960</v>
      </c>
      <c r="B5961" s="65" t="s">
        <v>8635</v>
      </c>
      <c r="C5961" s="1">
        <v>7075205177</v>
      </c>
      <c r="E5961" s="17" t="s">
        <v>6292</v>
      </c>
      <c r="F5961" s="4" t="s">
        <v>279</v>
      </c>
      <c r="G5961" s="2" t="s">
        <v>416</v>
      </c>
      <c r="H5961" s="2" t="s">
        <v>4145</v>
      </c>
      <c r="I5961" s="3" t="s">
        <v>42</v>
      </c>
      <c r="J5961" s="31">
        <v>46051</v>
      </c>
      <c r="K5961" s="31">
        <v>46058</v>
      </c>
      <c r="L5961" s="31"/>
      <c r="M5961" s="31"/>
      <c r="N5961" s="31"/>
      <c r="O5961" s="2" t="s">
        <v>297</v>
      </c>
    </row>
    <row r="5962" spans="1:15">
      <c r="A5962" s="3">
        <f>ROW()-1</f>
        <v>5961</v>
      </c>
      <c r="B5962" s="65" t="s">
        <v>8636</v>
      </c>
      <c r="C5962" s="1">
        <v>9006704869</v>
      </c>
      <c r="E5962" s="17" t="s">
        <v>7114</v>
      </c>
      <c r="F5962" s="4" t="s">
        <v>8637</v>
      </c>
      <c r="G5962" s="3" t="s">
        <v>18</v>
      </c>
      <c r="H5962" s="2" t="s">
        <v>4145</v>
      </c>
      <c r="I5962" s="3" t="s">
        <v>42</v>
      </c>
      <c r="J5962" s="31">
        <v>46051</v>
      </c>
      <c r="K5962" s="31">
        <v>46063</v>
      </c>
      <c r="L5962" s="31"/>
      <c r="M5962" s="31"/>
      <c r="N5962" s="31"/>
      <c r="O5962" s="2" t="s">
        <v>297</v>
      </c>
    </row>
    <row r="5963" spans="1:15">
      <c r="A5963" s="3">
        <f t="shared" ref="A5963:A5979" si="136">ROW()-1</f>
        <v>5962</v>
      </c>
      <c r="B5963" s="65" t="s">
        <v>8638</v>
      </c>
      <c r="C5963" s="1">
        <v>9618386030</v>
      </c>
      <c r="D5963" s="1">
        <v>7893917578</v>
      </c>
      <c r="E5963" s="17" t="s">
        <v>8639</v>
      </c>
      <c r="F5963" s="4" t="s">
        <v>3481</v>
      </c>
      <c r="G5963" s="3" t="s">
        <v>16</v>
      </c>
      <c r="H5963" s="2" t="s">
        <v>102</v>
      </c>
      <c r="I5963" s="3" t="s">
        <v>42</v>
      </c>
      <c r="J5963" s="31">
        <v>46051</v>
      </c>
      <c r="K5963" s="31">
        <v>46052</v>
      </c>
      <c r="L5963" s="31">
        <v>46055</v>
      </c>
      <c r="M5963" s="31">
        <v>46083</v>
      </c>
      <c r="N5963" s="31">
        <v>46086</v>
      </c>
      <c r="O5963" s="2" t="s">
        <v>297</v>
      </c>
    </row>
    <row r="5964" spans="1:15">
      <c r="A5964" s="3">
        <f t="shared" si="136"/>
        <v>5963</v>
      </c>
      <c r="B5964" s="65" t="s">
        <v>8640</v>
      </c>
      <c r="C5964" s="1">
        <v>8083808308</v>
      </c>
      <c r="E5964" s="17" t="s">
        <v>8641</v>
      </c>
      <c r="F5964" s="4" t="s">
        <v>8642</v>
      </c>
      <c r="G5964" s="3" t="s">
        <v>16</v>
      </c>
      <c r="H5964" s="2" t="s">
        <v>102</v>
      </c>
      <c r="I5964" s="3" t="s">
        <v>42</v>
      </c>
      <c r="J5964" s="31">
        <v>46051</v>
      </c>
      <c r="K5964" s="31">
        <v>46052</v>
      </c>
      <c r="L5964" s="31">
        <v>46055</v>
      </c>
      <c r="M5964" s="31">
        <v>46090</v>
      </c>
      <c r="N5964" s="31">
        <v>46090</v>
      </c>
      <c r="O5964" s="2" t="s">
        <v>297</v>
      </c>
    </row>
    <row r="5965" spans="1:15">
      <c r="A5965" s="3">
        <f t="shared" si="136"/>
        <v>5964</v>
      </c>
      <c r="B5965" s="65" t="s">
        <v>8643</v>
      </c>
      <c r="C5965" s="1">
        <v>9502439637</v>
      </c>
      <c r="E5965" s="17" t="s">
        <v>8644</v>
      </c>
      <c r="F5965" s="4" t="s">
        <v>8645</v>
      </c>
      <c r="G5965" s="2" t="s">
        <v>416</v>
      </c>
      <c r="H5965" s="2" t="s">
        <v>102</v>
      </c>
      <c r="I5965" s="3" t="s">
        <v>42</v>
      </c>
      <c r="J5965" s="31">
        <v>46051</v>
      </c>
      <c r="K5965" s="31">
        <v>46052</v>
      </c>
      <c r="L5965" s="31"/>
      <c r="M5965" s="31"/>
      <c r="N5965" s="31"/>
      <c r="O5965" s="2" t="s">
        <v>297</v>
      </c>
    </row>
    <row r="5966" spans="1:15">
      <c r="A5966" s="3">
        <f t="shared" si="136"/>
        <v>5965</v>
      </c>
      <c r="B5966" s="65" t="s">
        <v>8646</v>
      </c>
      <c r="C5966" s="1">
        <v>9347015151</v>
      </c>
      <c r="E5966" s="17" t="s">
        <v>8644</v>
      </c>
      <c r="F5966" s="4" t="s">
        <v>8645</v>
      </c>
      <c r="G5966" s="3" t="s">
        <v>15</v>
      </c>
      <c r="H5966" s="2" t="s">
        <v>102</v>
      </c>
      <c r="I5966" s="3" t="s">
        <v>42</v>
      </c>
      <c r="J5966" s="31">
        <v>46051</v>
      </c>
      <c r="K5966" s="31">
        <v>46052</v>
      </c>
      <c r="L5966" s="31">
        <v>46059</v>
      </c>
      <c r="M5966" s="31">
        <v>46106</v>
      </c>
      <c r="N5966" s="31"/>
      <c r="O5966" s="2" t="s">
        <v>297</v>
      </c>
    </row>
    <row r="5967" spans="1:15">
      <c r="A5967" s="3">
        <f t="shared" si="136"/>
        <v>5966</v>
      </c>
      <c r="B5967" s="65" t="s">
        <v>8647</v>
      </c>
      <c r="C5967" s="1">
        <v>7997020211</v>
      </c>
      <c r="E5967" s="17" t="s">
        <v>8644</v>
      </c>
      <c r="F5967" s="4" t="s">
        <v>1920</v>
      </c>
      <c r="G5967" s="3" t="s">
        <v>16</v>
      </c>
      <c r="H5967" s="2" t="s">
        <v>102</v>
      </c>
      <c r="I5967" s="3" t="s">
        <v>42</v>
      </c>
      <c r="J5967" s="31">
        <v>46051</v>
      </c>
      <c r="K5967" s="31">
        <v>46052</v>
      </c>
      <c r="L5967" s="31">
        <v>46062</v>
      </c>
      <c r="M5967" s="31">
        <v>46077</v>
      </c>
      <c r="N5967" s="31">
        <v>46081</v>
      </c>
      <c r="O5967" s="2" t="s">
        <v>297</v>
      </c>
    </row>
    <row r="5968" spans="1:15">
      <c r="A5968" s="3">
        <f t="shared" si="136"/>
        <v>5967</v>
      </c>
      <c r="B5968" s="65" t="s">
        <v>8648</v>
      </c>
      <c r="C5968" s="1">
        <v>9695002334</v>
      </c>
      <c r="D5968" s="1">
        <v>9335930799</v>
      </c>
      <c r="E5968" s="17" t="s">
        <v>8644</v>
      </c>
      <c r="F5968" s="4" t="s">
        <v>8649</v>
      </c>
      <c r="G5968" s="3" t="s">
        <v>416</v>
      </c>
      <c r="H5968" s="2" t="s">
        <v>102</v>
      </c>
      <c r="I5968" s="3" t="s">
        <v>42</v>
      </c>
      <c r="J5968" s="31">
        <v>46051</v>
      </c>
      <c r="K5968" s="31">
        <v>46052</v>
      </c>
      <c r="L5968" s="31"/>
      <c r="M5968" s="31"/>
      <c r="N5968" s="31"/>
      <c r="O5968" s="2" t="s">
        <v>297</v>
      </c>
    </row>
    <row r="5969" spans="1:15">
      <c r="A5969" s="3">
        <f t="shared" si="136"/>
        <v>5968</v>
      </c>
      <c r="B5969" s="65" t="s">
        <v>8650</v>
      </c>
      <c r="C5969" s="1">
        <v>8881724301</v>
      </c>
      <c r="E5969" s="17" t="s">
        <v>8644</v>
      </c>
      <c r="F5969" s="4" t="s">
        <v>8649</v>
      </c>
      <c r="G5969" s="2" t="s">
        <v>416</v>
      </c>
      <c r="H5969" s="2" t="s">
        <v>102</v>
      </c>
      <c r="I5969" s="3" t="s">
        <v>42</v>
      </c>
      <c r="J5969" s="31">
        <v>46051</v>
      </c>
      <c r="K5969" s="31">
        <v>46052</v>
      </c>
      <c r="L5969" s="31"/>
      <c r="M5969" s="31"/>
      <c r="N5969" s="31"/>
      <c r="O5969" s="2" t="s">
        <v>297</v>
      </c>
    </row>
    <row r="5970" spans="1:15">
      <c r="A5970" s="3">
        <f t="shared" si="136"/>
        <v>5969</v>
      </c>
      <c r="B5970" s="65" t="s">
        <v>8651</v>
      </c>
      <c r="C5970" s="1">
        <v>6380480327</v>
      </c>
      <c r="E5970" s="17" t="s">
        <v>8641</v>
      </c>
      <c r="F5970" s="4" t="s">
        <v>308</v>
      </c>
      <c r="G5970" s="3" t="s">
        <v>764</v>
      </c>
      <c r="H5970" s="2" t="s">
        <v>102</v>
      </c>
      <c r="I5970" s="3" t="s">
        <v>42</v>
      </c>
      <c r="J5970" s="31">
        <v>46052</v>
      </c>
      <c r="K5970" s="31">
        <v>46052</v>
      </c>
      <c r="L5970" s="31"/>
      <c r="M5970" s="31"/>
      <c r="N5970" s="31"/>
      <c r="O5970" s="2" t="s">
        <v>425</v>
      </c>
    </row>
    <row r="5971" spans="1:15">
      <c r="A5971" s="3">
        <f t="shared" si="136"/>
        <v>5970</v>
      </c>
      <c r="B5971" s="65" t="s">
        <v>8652</v>
      </c>
      <c r="C5971" s="1">
        <v>9849522254</v>
      </c>
      <c r="E5971" s="17" t="s">
        <v>8641</v>
      </c>
      <c r="F5971" s="4" t="s">
        <v>308</v>
      </c>
      <c r="G5971" s="3" t="s">
        <v>16</v>
      </c>
      <c r="H5971" s="2" t="s">
        <v>102</v>
      </c>
      <c r="I5971" s="3" t="s">
        <v>42</v>
      </c>
      <c r="J5971" s="31">
        <v>46052</v>
      </c>
      <c r="K5971" s="31">
        <v>46057</v>
      </c>
      <c r="L5971" s="31">
        <v>46060</v>
      </c>
      <c r="M5971" s="31">
        <v>46104</v>
      </c>
      <c r="N5971" s="31">
        <v>46104</v>
      </c>
      <c r="O5971" s="2" t="s">
        <v>297</v>
      </c>
    </row>
    <row r="5972" spans="1:15">
      <c r="A5972" s="3">
        <f t="shared" si="136"/>
        <v>5971</v>
      </c>
      <c r="B5972" s="65" t="s">
        <v>8653</v>
      </c>
      <c r="C5972" s="1">
        <v>9675336007</v>
      </c>
      <c r="E5972" s="17" t="s">
        <v>7923</v>
      </c>
      <c r="F5972" s="4" t="s">
        <v>612</v>
      </c>
      <c r="G5972" s="2" t="s">
        <v>416</v>
      </c>
      <c r="H5972" s="2" t="s">
        <v>3240</v>
      </c>
      <c r="I5972" s="3" t="s">
        <v>42</v>
      </c>
      <c r="J5972" s="31">
        <v>46052</v>
      </c>
      <c r="K5972" s="31">
        <v>46055</v>
      </c>
      <c r="L5972" s="31"/>
      <c r="M5972" s="31"/>
      <c r="N5972" s="31"/>
      <c r="O5972" s="2" t="s">
        <v>297</v>
      </c>
    </row>
    <row r="5973" spans="1:15">
      <c r="A5973" s="3">
        <f t="shared" si="136"/>
        <v>5972</v>
      </c>
      <c r="B5973" s="65" t="s">
        <v>8654</v>
      </c>
      <c r="C5973" s="1">
        <v>9455311918</v>
      </c>
      <c r="D5973" s="1">
        <v>9208536814</v>
      </c>
      <c r="E5973" s="17" t="s">
        <v>7923</v>
      </c>
      <c r="F5973" s="4" t="s">
        <v>7869</v>
      </c>
      <c r="G5973" s="3" t="s">
        <v>295</v>
      </c>
      <c r="H5973" s="2" t="s">
        <v>3240</v>
      </c>
      <c r="I5973" s="3" t="s">
        <v>42</v>
      </c>
      <c r="J5973" s="31">
        <v>46052</v>
      </c>
      <c r="K5973" s="31">
        <v>46055</v>
      </c>
      <c r="L5973" s="31">
        <v>46073</v>
      </c>
      <c r="M5973" s="31">
        <v>46088</v>
      </c>
      <c r="N5973" s="31"/>
      <c r="O5973" s="2" t="s">
        <v>297</v>
      </c>
    </row>
    <row r="5974" spans="1:15">
      <c r="A5974" s="3">
        <f t="shared" si="136"/>
        <v>5973</v>
      </c>
      <c r="B5974" s="65" t="s">
        <v>8655</v>
      </c>
      <c r="C5974" s="1">
        <v>7660051006</v>
      </c>
      <c r="E5974" s="17" t="s">
        <v>6537</v>
      </c>
      <c r="F5974" s="4" t="s">
        <v>8656</v>
      </c>
      <c r="G5974" s="3" t="s">
        <v>295</v>
      </c>
      <c r="H5974" s="2" t="s">
        <v>3240</v>
      </c>
      <c r="I5974" s="3" t="s">
        <v>42</v>
      </c>
      <c r="J5974" s="31">
        <v>46052</v>
      </c>
      <c r="K5974" s="31">
        <v>46055</v>
      </c>
      <c r="L5974" s="31">
        <v>46059</v>
      </c>
      <c r="M5974" s="31">
        <v>46078</v>
      </c>
      <c r="N5974" s="31"/>
      <c r="O5974" s="2" t="s">
        <v>297</v>
      </c>
    </row>
    <row r="5975" spans="1:15">
      <c r="A5975" s="3">
        <f t="shared" si="136"/>
        <v>5974</v>
      </c>
      <c r="B5975" s="65" t="s">
        <v>8657</v>
      </c>
      <c r="C5975" s="1">
        <v>6205082022</v>
      </c>
      <c r="D5975" s="1">
        <v>7995044138</v>
      </c>
      <c r="E5975" s="17" t="s">
        <v>8440</v>
      </c>
      <c r="F5975" s="4" t="s">
        <v>8658</v>
      </c>
      <c r="G5975" s="3" t="s">
        <v>1175</v>
      </c>
      <c r="H5975" s="2" t="s">
        <v>785</v>
      </c>
      <c r="I5975" s="3" t="s">
        <v>42</v>
      </c>
      <c r="J5975" s="31">
        <v>46052</v>
      </c>
      <c r="K5975" s="31"/>
      <c r="L5975" s="31"/>
      <c r="M5975" s="31"/>
      <c r="N5975" s="31"/>
      <c r="O5975" s="2" t="s">
        <v>1004</v>
      </c>
    </row>
    <row r="5976" spans="1:15">
      <c r="A5976" s="3">
        <f t="shared" si="136"/>
        <v>5975</v>
      </c>
      <c r="B5976" s="65" t="s">
        <v>8659</v>
      </c>
      <c r="C5976" s="1">
        <v>9908393600</v>
      </c>
      <c r="D5976" s="1">
        <v>7207605749</v>
      </c>
      <c r="E5976" s="17" t="s">
        <v>5454</v>
      </c>
      <c r="F5976" s="4" t="s">
        <v>8660</v>
      </c>
      <c r="G5976" s="3" t="s">
        <v>416</v>
      </c>
      <c r="H5976" s="2" t="s">
        <v>999</v>
      </c>
      <c r="I5976" s="3" t="s">
        <v>42</v>
      </c>
      <c r="J5976" s="31">
        <v>46052</v>
      </c>
      <c r="K5976" s="31">
        <v>46052</v>
      </c>
      <c r="L5976" s="31"/>
      <c r="M5976" s="31"/>
      <c r="N5976" s="31"/>
      <c r="O5976" s="2" t="s">
        <v>297</v>
      </c>
    </row>
    <row r="5977" spans="1:15">
      <c r="A5977" s="3">
        <f t="shared" si="136"/>
        <v>5976</v>
      </c>
      <c r="B5977" s="65" t="s">
        <v>8661</v>
      </c>
      <c r="C5977" s="1">
        <v>7893365780</v>
      </c>
      <c r="E5977" s="17" t="s">
        <v>6752</v>
      </c>
      <c r="F5977" s="4" t="s">
        <v>8662</v>
      </c>
      <c r="G5977" s="3" t="s">
        <v>16</v>
      </c>
      <c r="H5977" s="2" t="s">
        <v>8395</v>
      </c>
      <c r="I5977" s="3" t="s">
        <v>42</v>
      </c>
      <c r="J5977" s="31">
        <v>46052</v>
      </c>
      <c r="K5977" s="31">
        <v>46055</v>
      </c>
      <c r="L5977" s="31">
        <v>46055</v>
      </c>
      <c r="M5977" s="31">
        <v>46097</v>
      </c>
      <c r="N5977" s="31">
        <v>46097</v>
      </c>
      <c r="O5977" s="2" t="s">
        <v>297</v>
      </c>
    </row>
    <row r="5978" spans="1:15">
      <c r="A5978" s="3">
        <f t="shared" si="136"/>
        <v>5977</v>
      </c>
      <c r="B5978" s="65" t="s">
        <v>8663</v>
      </c>
      <c r="C5978" s="1">
        <v>9963858212</v>
      </c>
      <c r="D5978" s="1">
        <v>8367350880</v>
      </c>
      <c r="E5978" s="17" t="s">
        <v>4558</v>
      </c>
      <c r="F5978" s="4" t="s">
        <v>8664</v>
      </c>
      <c r="G5978" s="3" t="s">
        <v>416</v>
      </c>
      <c r="H5978" s="2" t="s">
        <v>6158</v>
      </c>
      <c r="I5978" s="3" t="s">
        <v>42</v>
      </c>
      <c r="J5978" s="31">
        <v>46052</v>
      </c>
      <c r="K5978" s="31">
        <v>46060</v>
      </c>
      <c r="L5978" s="31"/>
      <c r="M5978" s="31"/>
      <c r="N5978" s="31"/>
      <c r="O5978" s="2" t="s">
        <v>297</v>
      </c>
    </row>
    <row r="5979" spans="1:15">
      <c r="A5979" s="3">
        <f t="shared" si="136"/>
        <v>5978</v>
      </c>
      <c r="B5979" s="65" t="s">
        <v>8665</v>
      </c>
      <c r="C5979" s="1">
        <v>7981255961</v>
      </c>
      <c r="E5979" s="17" t="s">
        <v>8666</v>
      </c>
      <c r="F5979" s="4"/>
      <c r="G5979" s="3" t="s">
        <v>295</v>
      </c>
      <c r="H5979" s="2" t="s">
        <v>162</v>
      </c>
      <c r="I5979" s="3" t="s">
        <v>94</v>
      </c>
      <c r="J5979" s="31">
        <v>46052</v>
      </c>
      <c r="K5979" s="31">
        <v>46056</v>
      </c>
      <c r="L5979" s="31">
        <v>46059</v>
      </c>
      <c r="M5979" s="31">
        <v>46074</v>
      </c>
      <c r="N5979" s="31"/>
      <c r="O5979" s="2" t="s">
        <v>297</v>
      </c>
    </row>
    <row r="5980" spans="1:15">
      <c r="A5980" s="3">
        <f t="shared" ref="A5980:A5987" si="137">ROW()-1</f>
        <v>5979</v>
      </c>
      <c r="B5980" s="65" t="s">
        <v>8667</v>
      </c>
      <c r="C5980" s="1">
        <v>9177280061</v>
      </c>
      <c r="E5980" s="17" t="s">
        <v>8666</v>
      </c>
      <c r="F5980" s="4"/>
      <c r="G5980" s="3" t="s">
        <v>295</v>
      </c>
      <c r="H5980" s="2" t="s">
        <v>162</v>
      </c>
      <c r="I5980" s="3" t="s">
        <v>94</v>
      </c>
      <c r="J5980" s="31">
        <v>46052</v>
      </c>
      <c r="K5980" s="31">
        <v>46056</v>
      </c>
      <c r="L5980" s="31">
        <v>46059</v>
      </c>
      <c r="M5980" s="31">
        <v>46074</v>
      </c>
      <c r="N5980" s="31"/>
      <c r="O5980" s="2" t="s">
        <v>297</v>
      </c>
    </row>
    <row r="5981" spans="1:15">
      <c r="A5981" s="3">
        <f t="shared" si="137"/>
        <v>5980</v>
      </c>
      <c r="B5981" s="65" t="s">
        <v>8668</v>
      </c>
      <c r="C5981" s="1">
        <v>9704019331</v>
      </c>
      <c r="E5981" s="17" t="s">
        <v>8666</v>
      </c>
      <c r="F5981" s="4"/>
      <c r="G5981" s="3" t="s">
        <v>416</v>
      </c>
      <c r="H5981" s="2" t="s">
        <v>162</v>
      </c>
      <c r="I5981" s="3" t="s">
        <v>94</v>
      </c>
      <c r="J5981" s="31">
        <v>46052</v>
      </c>
      <c r="K5981" s="31">
        <v>46057</v>
      </c>
      <c r="L5981" s="31"/>
      <c r="M5981" s="31"/>
      <c r="N5981" s="31"/>
      <c r="O5981" s="2" t="s">
        <v>297</v>
      </c>
    </row>
    <row r="5982" spans="1:15">
      <c r="A5982" s="3">
        <f t="shared" si="137"/>
        <v>5981</v>
      </c>
      <c r="B5982" s="65" t="s">
        <v>8669</v>
      </c>
      <c r="C5982" s="1">
        <v>7075404024</v>
      </c>
      <c r="E5982" s="17" t="s">
        <v>8670</v>
      </c>
      <c r="F5982" s="4"/>
      <c r="G5982" s="3" t="s">
        <v>295</v>
      </c>
      <c r="H5982" s="2" t="s">
        <v>815</v>
      </c>
      <c r="I5982" s="3" t="s">
        <v>42</v>
      </c>
      <c r="J5982" s="31">
        <v>46047</v>
      </c>
      <c r="K5982" s="31">
        <v>46049</v>
      </c>
      <c r="L5982" s="31">
        <v>46052</v>
      </c>
      <c r="M5982" s="31">
        <v>46069</v>
      </c>
      <c r="N5982" s="31"/>
      <c r="O5982" s="2" t="s">
        <v>297</v>
      </c>
    </row>
    <row r="5983" spans="1:15">
      <c r="A5983" s="3">
        <f t="shared" si="137"/>
        <v>5982</v>
      </c>
      <c r="B5983" s="65" t="s">
        <v>8671</v>
      </c>
      <c r="C5983" s="1">
        <v>8521700846</v>
      </c>
      <c r="E5983" s="17" t="s">
        <v>8193</v>
      </c>
      <c r="F5983" s="4"/>
      <c r="G5983" s="3" t="s">
        <v>16</v>
      </c>
      <c r="H5983" s="2" t="s">
        <v>815</v>
      </c>
      <c r="I5983" s="3" t="s">
        <v>42</v>
      </c>
      <c r="J5983" s="31">
        <v>46047</v>
      </c>
      <c r="K5983" s="31">
        <v>46049</v>
      </c>
      <c r="L5983" s="31">
        <v>46052</v>
      </c>
      <c r="M5983" s="31">
        <v>46052</v>
      </c>
      <c r="N5983" s="31">
        <v>46055</v>
      </c>
      <c r="O5983" s="2" t="s">
        <v>297</v>
      </c>
    </row>
    <row r="5984" spans="1:15">
      <c r="A5984" s="3">
        <f t="shared" si="137"/>
        <v>5983</v>
      </c>
      <c r="B5984" s="65" t="s">
        <v>8672</v>
      </c>
      <c r="C5984" s="1">
        <v>6370565828</v>
      </c>
      <c r="E5984" s="17" t="s">
        <v>8673</v>
      </c>
      <c r="F5984" s="4"/>
      <c r="G5984" s="3" t="s">
        <v>16</v>
      </c>
      <c r="H5984" s="2" t="s">
        <v>8674</v>
      </c>
      <c r="I5984" s="3" t="s">
        <v>42</v>
      </c>
      <c r="J5984" s="31">
        <v>46047</v>
      </c>
      <c r="K5984" s="31">
        <v>46049</v>
      </c>
      <c r="L5984" s="31">
        <v>46052</v>
      </c>
      <c r="M5984" s="31">
        <v>46063</v>
      </c>
      <c r="N5984" s="31">
        <v>46063</v>
      </c>
      <c r="O5984" s="2" t="s">
        <v>297</v>
      </c>
    </row>
    <row r="5985" spans="1:15">
      <c r="A5985" s="3">
        <f t="shared" si="137"/>
        <v>5984</v>
      </c>
      <c r="B5985" s="65" t="s">
        <v>8675</v>
      </c>
      <c r="C5985" s="1">
        <v>8792747061</v>
      </c>
      <c r="E5985" s="17" t="s">
        <v>8673</v>
      </c>
      <c r="F5985" s="4"/>
      <c r="G5985" s="3" t="s">
        <v>16</v>
      </c>
      <c r="H5985" s="2" t="s">
        <v>8674</v>
      </c>
      <c r="I5985" s="3" t="s">
        <v>42</v>
      </c>
      <c r="J5985" s="31">
        <v>46047</v>
      </c>
      <c r="K5985" s="31">
        <v>46049</v>
      </c>
      <c r="L5985" s="31">
        <v>46052</v>
      </c>
      <c r="M5985" s="31">
        <v>46083</v>
      </c>
      <c r="N5985" s="31">
        <v>46083</v>
      </c>
      <c r="O5985" s="2" t="s">
        <v>297</v>
      </c>
    </row>
    <row r="5986" spans="1:15">
      <c r="A5986" s="3">
        <f t="shared" si="137"/>
        <v>5985</v>
      </c>
      <c r="B5986" s="65" t="s">
        <v>8676</v>
      </c>
      <c r="C5986" s="1">
        <v>7866961020</v>
      </c>
      <c r="E5986" s="17" t="s">
        <v>8440</v>
      </c>
      <c r="F5986" s="4"/>
      <c r="G5986" s="3" t="s">
        <v>16</v>
      </c>
      <c r="H5986" s="2" t="s">
        <v>8674</v>
      </c>
      <c r="I5986" s="3" t="s">
        <v>42</v>
      </c>
      <c r="J5986" s="31">
        <v>46047</v>
      </c>
      <c r="K5986" s="31">
        <v>46049</v>
      </c>
      <c r="L5986" s="31">
        <v>46052</v>
      </c>
      <c r="M5986" s="31">
        <v>46067</v>
      </c>
      <c r="N5986" s="31">
        <v>46067</v>
      </c>
      <c r="O5986" s="2" t="s">
        <v>297</v>
      </c>
    </row>
    <row r="5987" spans="1:15">
      <c r="A5987" s="3">
        <f t="shared" si="137"/>
        <v>5986</v>
      </c>
      <c r="B5987" s="65" t="s">
        <v>8677</v>
      </c>
      <c r="C5987" s="1">
        <v>9885808035</v>
      </c>
      <c r="E5987" s="17" t="s">
        <v>6752</v>
      </c>
      <c r="F5987" s="4" t="s">
        <v>8678</v>
      </c>
      <c r="G5987" s="2" t="s">
        <v>16</v>
      </c>
      <c r="H5987" s="2" t="s">
        <v>8395</v>
      </c>
      <c r="I5987" s="3" t="s">
        <v>42</v>
      </c>
      <c r="J5987" s="31">
        <v>46052</v>
      </c>
      <c r="K5987" s="31">
        <v>46055</v>
      </c>
      <c r="L5987" s="31">
        <v>46055</v>
      </c>
      <c r="M5987" s="31">
        <v>46076</v>
      </c>
      <c r="N5987" s="31">
        <v>46083</v>
      </c>
      <c r="O5987" s="2" t="s">
        <v>297</v>
      </c>
    </row>
    <row r="5988" spans="1:15">
      <c r="A5988" s="3">
        <f t="shared" ref="A5988:A6001" si="138">ROW()-1</f>
        <v>5987</v>
      </c>
      <c r="B5988" s="65" t="s">
        <v>8679</v>
      </c>
      <c r="C5988" s="1">
        <v>9603084376</v>
      </c>
      <c r="E5988" s="17" t="s">
        <v>3954</v>
      </c>
      <c r="F5988" s="4"/>
      <c r="G5988" s="3" t="s">
        <v>295</v>
      </c>
      <c r="H5988" s="2" t="s">
        <v>6158</v>
      </c>
      <c r="I5988" s="3" t="s">
        <v>42</v>
      </c>
      <c r="J5988" s="31">
        <v>46052</v>
      </c>
      <c r="K5988" s="31">
        <v>46063</v>
      </c>
      <c r="L5988" s="31">
        <v>46073</v>
      </c>
      <c r="M5988" s="31">
        <v>46091</v>
      </c>
      <c r="N5988" s="31"/>
      <c r="O5988" s="2" t="s">
        <v>297</v>
      </c>
    </row>
    <row r="5989" spans="1:15">
      <c r="A5989" s="3">
        <f t="shared" si="138"/>
        <v>5988</v>
      </c>
      <c r="B5989" s="65" t="s">
        <v>8680</v>
      </c>
      <c r="C5989" s="1">
        <v>9676714168</v>
      </c>
      <c r="E5989" s="17" t="s">
        <v>6292</v>
      </c>
      <c r="F5989" s="4"/>
      <c r="G5989" s="3" t="s">
        <v>295</v>
      </c>
      <c r="H5989" s="2" t="s">
        <v>6158</v>
      </c>
      <c r="I5989" s="3" t="s">
        <v>42</v>
      </c>
      <c r="J5989" s="31">
        <v>46052</v>
      </c>
      <c r="K5989" s="31">
        <v>46052</v>
      </c>
      <c r="L5989" s="31">
        <v>46055</v>
      </c>
      <c r="M5989" s="31">
        <v>46058</v>
      </c>
      <c r="N5989" s="31"/>
      <c r="O5989" s="2" t="s">
        <v>297</v>
      </c>
    </row>
    <row r="5990" spans="1:15">
      <c r="A5990" s="3">
        <f t="shared" si="138"/>
        <v>5989</v>
      </c>
      <c r="B5990" s="65" t="s">
        <v>8681</v>
      </c>
      <c r="C5990" s="1">
        <v>8978221921</v>
      </c>
      <c r="E5990" s="17" t="s">
        <v>3954</v>
      </c>
      <c r="F5990" s="4"/>
      <c r="G5990" s="3" t="s">
        <v>424</v>
      </c>
      <c r="H5990" s="2" t="s">
        <v>6158</v>
      </c>
      <c r="I5990" s="3" t="s">
        <v>42</v>
      </c>
      <c r="J5990" s="31">
        <v>46052</v>
      </c>
      <c r="K5990" s="31">
        <v>46052</v>
      </c>
      <c r="L5990" s="31"/>
      <c r="M5990" s="31"/>
      <c r="N5990" s="31"/>
      <c r="O5990" s="2" t="s">
        <v>425</v>
      </c>
    </row>
    <row r="5991" spans="1:15">
      <c r="A5991" s="3">
        <f t="shared" si="138"/>
        <v>5990</v>
      </c>
      <c r="B5991" s="65" t="s">
        <v>8682</v>
      </c>
      <c r="C5991" s="1">
        <v>9490831045</v>
      </c>
      <c r="E5991" s="17" t="s">
        <v>6537</v>
      </c>
      <c r="F5991" s="4" t="s">
        <v>419</v>
      </c>
      <c r="G5991" s="3" t="s">
        <v>16</v>
      </c>
      <c r="H5991" s="2" t="s">
        <v>6158</v>
      </c>
      <c r="I5991" s="3" t="s">
        <v>42</v>
      </c>
      <c r="J5991" s="31">
        <v>46052</v>
      </c>
      <c r="K5991" s="31">
        <v>46055</v>
      </c>
      <c r="L5991" s="31">
        <v>46059</v>
      </c>
      <c r="M5991" s="31">
        <v>46080</v>
      </c>
      <c r="N5991" s="31">
        <v>46076</v>
      </c>
      <c r="O5991" s="2" t="s">
        <v>297</v>
      </c>
    </row>
    <row r="5992" spans="1:15">
      <c r="A5992" s="3">
        <f t="shared" si="138"/>
        <v>5991</v>
      </c>
      <c r="B5992" s="65" t="s">
        <v>8683</v>
      </c>
      <c r="C5992" s="1">
        <v>6304356413</v>
      </c>
      <c r="E5992" s="17" t="s">
        <v>6537</v>
      </c>
      <c r="F5992" s="4" t="s">
        <v>419</v>
      </c>
      <c r="G5992" s="3" t="s">
        <v>16</v>
      </c>
      <c r="H5992" s="2" t="s">
        <v>6158</v>
      </c>
      <c r="I5992" s="3" t="s">
        <v>42</v>
      </c>
      <c r="J5992" s="31">
        <v>46052</v>
      </c>
      <c r="K5992" s="31">
        <v>46052</v>
      </c>
      <c r="L5992" s="31">
        <v>46052</v>
      </c>
      <c r="M5992" s="31">
        <v>46076</v>
      </c>
      <c r="N5992" s="31">
        <v>46081</v>
      </c>
      <c r="O5992" s="2" t="s">
        <v>297</v>
      </c>
    </row>
    <row r="5993" spans="1:15">
      <c r="A5993" s="3">
        <f t="shared" si="138"/>
        <v>5992</v>
      </c>
      <c r="B5993" s="65" t="s">
        <v>2625</v>
      </c>
      <c r="C5993" s="1">
        <v>9705040847</v>
      </c>
      <c r="E5993" s="17" t="s">
        <v>6537</v>
      </c>
      <c r="F5993" s="4" t="s">
        <v>748</v>
      </c>
      <c r="G5993" s="2" t="s">
        <v>416</v>
      </c>
      <c r="H5993" s="2" t="s">
        <v>6158</v>
      </c>
      <c r="I5993" s="3" t="s">
        <v>42</v>
      </c>
      <c r="J5993" s="31">
        <v>46052</v>
      </c>
      <c r="K5993" s="31">
        <v>46055</v>
      </c>
      <c r="L5993" s="31"/>
      <c r="M5993" s="31"/>
      <c r="N5993" s="31"/>
      <c r="O5993" s="2" t="s">
        <v>297</v>
      </c>
    </row>
    <row r="5994" spans="1:15">
      <c r="A5994" s="3">
        <f t="shared" si="138"/>
        <v>5993</v>
      </c>
      <c r="B5994" s="65" t="s">
        <v>8684</v>
      </c>
      <c r="C5994" s="1">
        <v>7817005988</v>
      </c>
      <c r="E5994" s="17" t="s">
        <v>6537</v>
      </c>
      <c r="F5994" s="4" t="s">
        <v>1001</v>
      </c>
      <c r="G5994" s="3" t="s">
        <v>295</v>
      </c>
      <c r="H5994" s="2" t="s">
        <v>6158</v>
      </c>
      <c r="I5994" s="3" t="s">
        <v>42</v>
      </c>
      <c r="J5994" s="31">
        <v>46052</v>
      </c>
      <c r="K5994" s="31">
        <v>46055</v>
      </c>
      <c r="L5994" s="31">
        <v>46059</v>
      </c>
      <c r="M5994" s="31">
        <v>46070</v>
      </c>
      <c r="N5994" s="31"/>
      <c r="O5994" s="2" t="s">
        <v>297</v>
      </c>
    </row>
    <row r="5995" spans="1:15">
      <c r="A5995" s="3">
        <f t="shared" si="138"/>
        <v>5994</v>
      </c>
      <c r="B5995" s="65" t="s">
        <v>8685</v>
      </c>
      <c r="C5995" s="1">
        <v>6207129708</v>
      </c>
      <c r="E5995" s="17" t="s">
        <v>8644</v>
      </c>
      <c r="F5995" s="4" t="s">
        <v>8645</v>
      </c>
      <c r="G5995" s="3" t="s">
        <v>416</v>
      </c>
      <c r="H5995" s="2" t="s">
        <v>102</v>
      </c>
      <c r="I5995" s="3" t="s">
        <v>42</v>
      </c>
      <c r="J5995" s="31">
        <v>46052</v>
      </c>
      <c r="K5995" s="31">
        <v>46052</v>
      </c>
      <c r="L5995" s="31"/>
      <c r="M5995" s="31"/>
      <c r="N5995" s="31"/>
      <c r="O5995" s="2" t="s">
        <v>297</v>
      </c>
    </row>
    <row r="5996" spans="1:15">
      <c r="A5996" s="3">
        <f t="shared" si="138"/>
        <v>5995</v>
      </c>
      <c r="B5996" s="65" t="s">
        <v>8686</v>
      </c>
      <c r="C5996" s="1">
        <v>9948822651</v>
      </c>
      <c r="E5996" s="17" t="s">
        <v>8641</v>
      </c>
      <c r="F5996" s="4" t="s">
        <v>308</v>
      </c>
      <c r="G5996" s="3" t="s">
        <v>764</v>
      </c>
      <c r="H5996" s="2" t="s">
        <v>102</v>
      </c>
      <c r="I5996" s="3" t="s">
        <v>42</v>
      </c>
      <c r="J5996" s="31">
        <v>46052</v>
      </c>
      <c r="K5996" s="31">
        <v>46052</v>
      </c>
      <c r="L5996" s="31"/>
      <c r="M5996" s="31"/>
      <c r="N5996" s="31"/>
      <c r="O5996" s="2" t="s">
        <v>425</v>
      </c>
    </row>
    <row r="5997" spans="1:15">
      <c r="A5997" s="3">
        <f t="shared" si="138"/>
        <v>5996</v>
      </c>
      <c r="B5997" s="65" t="s">
        <v>8687</v>
      </c>
      <c r="C5997" s="1">
        <v>7032257479</v>
      </c>
      <c r="E5997" s="17" t="s">
        <v>8641</v>
      </c>
      <c r="F5997" s="4" t="s">
        <v>2357</v>
      </c>
      <c r="G5997" s="3" t="s">
        <v>764</v>
      </c>
      <c r="H5997" s="2" t="s">
        <v>102</v>
      </c>
      <c r="I5997" s="3" t="s">
        <v>42</v>
      </c>
      <c r="J5997" s="31">
        <v>46052</v>
      </c>
      <c r="K5997" s="31">
        <v>46052</v>
      </c>
      <c r="L5997" s="31"/>
      <c r="M5997" s="31"/>
      <c r="N5997" s="31"/>
      <c r="O5997" s="2" t="s">
        <v>425</v>
      </c>
    </row>
    <row r="5998" spans="1:15">
      <c r="A5998" s="3">
        <f t="shared" si="138"/>
        <v>5997</v>
      </c>
      <c r="B5998" s="65" t="s">
        <v>8688</v>
      </c>
      <c r="C5998" s="1">
        <v>8247755112</v>
      </c>
      <c r="E5998" s="17" t="s">
        <v>8644</v>
      </c>
      <c r="F5998" s="4" t="s">
        <v>8689</v>
      </c>
      <c r="G5998" s="3" t="s">
        <v>16</v>
      </c>
      <c r="H5998" s="2" t="s">
        <v>102</v>
      </c>
      <c r="I5998" s="3" t="s">
        <v>42</v>
      </c>
      <c r="J5998" s="31">
        <v>46052</v>
      </c>
      <c r="K5998" s="31">
        <v>46052</v>
      </c>
      <c r="L5998" s="31">
        <v>46052</v>
      </c>
      <c r="M5998" s="31">
        <v>46058</v>
      </c>
      <c r="N5998" s="31">
        <v>46056</v>
      </c>
      <c r="O5998" s="2" t="s">
        <v>297</v>
      </c>
    </row>
    <row r="5999" spans="1:15">
      <c r="A5999" s="3">
        <f t="shared" si="138"/>
        <v>5998</v>
      </c>
      <c r="B5999" s="65" t="s">
        <v>8690</v>
      </c>
      <c r="C5999" s="1">
        <v>8789256672</v>
      </c>
      <c r="E5999" s="17" t="s">
        <v>5557</v>
      </c>
      <c r="F5999" s="4" t="s">
        <v>8691</v>
      </c>
      <c r="G5999" s="3" t="s">
        <v>7030</v>
      </c>
      <c r="H5999" s="2" t="s">
        <v>6158</v>
      </c>
      <c r="I5999" s="3" t="s">
        <v>42</v>
      </c>
      <c r="J5999" s="31">
        <v>46052</v>
      </c>
      <c r="K5999" s="31"/>
      <c r="L5999" s="31"/>
      <c r="M5999" s="31"/>
      <c r="N5999" s="31"/>
      <c r="O5999" s="2" t="s">
        <v>1004</v>
      </c>
    </row>
    <row r="6000" spans="1:15">
      <c r="A6000" s="3">
        <f t="shared" si="138"/>
        <v>5999</v>
      </c>
      <c r="B6000" s="65" t="s">
        <v>8692</v>
      </c>
      <c r="C6000" s="1">
        <v>9121776834</v>
      </c>
      <c r="E6000" s="17" t="s">
        <v>5557</v>
      </c>
      <c r="F6000" s="4" t="s">
        <v>972</v>
      </c>
      <c r="G6000" s="3" t="s">
        <v>7030</v>
      </c>
      <c r="H6000" s="2" t="s">
        <v>6158</v>
      </c>
      <c r="I6000" s="3" t="s">
        <v>42</v>
      </c>
      <c r="J6000" s="31">
        <v>46052</v>
      </c>
      <c r="K6000" s="31"/>
      <c r="L6000" s="31"/>
      <c r="M6000" s="31"/>
      <c r="N6000" s="31"/>
      <c r="O6000" s="2" t="s">
        <v>1004</v>
      </c>
    </row>
    <row r="6001" spans="1:15">
      <c r="A6001" s="3">
        <f t="shared" si="138"/>
        <v>6000</v>
      </c>
      <c r="B6001" s="65" t="s">
        <v>8693</v>
      </c>
      <c r="C6001" s="1">
        <v>7207333338</v>
      </c>
      <c r="E6001" s="17" t="s">
        <v>8250</v>
      </c>
      <c r="F6001" s="4"/>
      <c r="G6001" s="3" t="s">
        <v>16</v>
      </c>
      <c r="H6001" s="2" t="s">
        <v>296</v>
      </c>
      <c r="I6001" s="3" t="s">
        <v>94</v>
      </c>
      <c r="J6001" s="31">
        <v>46047</v>
      </c>
      <c r="K6001" s="31">
        <v>46049</v>
      </c>
      <c r="L6001" s="31">
        <v>46052</v>
      </c>
      <c r="M6001" s="31">
        <v>46060</v>
      </c>
      <c r="N6001" s="31">
        <v>46045</v>
      </c>
      <c r="O6001" s="2" t="s">
        <v>297</v>
      </c>
    </row>
    <row r="6002" spans="1:15">
      <c r="A6002" s="3">
        <f t="shared" ref="A6002:A6061" si="139">ROW()-1</f>
        <v>6001</v>
      </c>
      <c r="B6002" s="65" t="s">
        <v>8694</v>
      </c>
      <c r="C6002" s="1">
        <v>9059902048</v>
      </c>
      <c r="E6002" s="17" t="s">
        <v>8639</v>
      </c>
      <c r="F6002" s="4" t="s">
        <v>8695</v>
      </c>
      <c r="G6002" s="3" t="s">
        <v>764</v>
      </c>
      <c r="H6002" s="2" t="s">
        <v>102</v>
      </c>
      <c r="I6002" s="3" t="s">
        <v>42</v>
      </c>
      <c r="J6002" s="31">
        <v>46052</v>
      </c>
      <c r="K6002" s="31">
        <v>46052</v>
      </c>
      <c r="L6002" s="31"/>
      <c r="M6002" s="31"/>
      <c r="N6002" s="31"/>
      <c r="O6002" s="2" t="s">
        <v>425</v>
      </c>
    </row>
    <row r="6003" spans="1:15">
      <c r="A6003" s="3">
        <f t="shared" si="139"/>
        <v>6002</v>
      </c>
      <c r="B6003" s="65" t="s">
        <v>8696</v>
      </c>
      <c r="C6003" s="1">
        <v>9492271586</v>
      </c>
      <c r="E6003" s="17" t="s">
        <v>8644</v>
      </c>
      <c r="F6003" s="4" t="s">
        <v>1060</v>
      </c>
      <c r="G6003" s="3" t="s">
        <v>15</v>
      </c>
      <c r="H6003" s="2" t="s">
        <v>102</v>
      </c>
      <c r="I6003" s="3" t="s">
        <v>42</v>
      </c>
      <c r="J6003" s="31">
        <v>46052</v>
      </c>
      <c r="K6003" s="31">
        <v>46052</v>
      </c>
      <c r="L6003" s="31">
        <v>46079</v>
      </c>
      <c r="M6003" s="31">
        <v>46107</v>
      </c>
      <c r="N6003" s="31"/>
      <c r="O6003" s="2" t="s">
        <v>297</v>
      </c>
    </row>
    <row r="6004" spans="1:15">
      <c r="A6004" s="3">
        <f t="shared" si="139"/>
        <v>6003</v>
      </c>
      <c r="B6004" s="65" t="s">
        <v>8697</v>
      </c>
      <c r="C6004" s="1">
        <v>8466836105</v>
      </c>
      <c r="E6004" s="17" t="s">
        <v>8644</v>
      </c>
      <c r="F6004" s="4" t="s">
        <v>4997</v>
      </c>
      <c r="G6004" s="3" t="s">
        <v>416</v>
      </c>
      <c r="H6004" s="2" t="s">
        <v>102</v>
      </c>
      <c r="I6004" s="3" t="s">
        <v>42</v>
      </c>
      <c r="J6004" s="31">
        <v>46052</v>
      </c>
      <c r="K6004" s="31">
        <v>46052</v>
      </c>
      <c r="L6004" s="31"/>
      <c r="M6004" s="31"/>
      <c r="N6004" s="31"/>
      <c r="O6004" s="2" t="s">
        <v>297</v>
      </c>
    </row>
    <row r="6005" spans="1:15">
      <c r="A6005" s="3">
        <f t="shared" si="139"/>
        <v>6004</v>
      </c>
      <c r="B6005" s="65" t="s">
        <v>8698</v>
      </c>
      <c r="C6005" s="1">
        <v>8919517889</v>
      </c>
      <c r="E6005" s="17" t="s">
        <v>8644</v>
      </c>
      <c r="F6005" s="4" t="s">
        <v>8699</v>
      </c>
      <c r="G6005" s="3" t="s">
        <v>15</v>
      </c>
      <c r="H6005" s="2" t="s">
        <v>102</v>
      </c>
      <c r="I6005" s="3" t="s">
        <v>42</v>
      </c>
      <c r="J6005" s="31">
        <v>46052</v>
      </c>
      <c r="K6005" s="31">
        <v>46097</v>
      </c>
      <c r="L6005" s="31">
        <v>46101</v>
      </c>
      <c r="M6005" s="31">
        <v>46118</v>
      </c>
      <c r="N6005" s="31"/>
      <c r="O6005" s="2" t="s">
        <v>297</v>
      </c>
    </row>
    <row r="6006" spans="1:15">
      <c r="A6006" s="3">
        <f t="shared" si="139"/>
        <v>6005</v>
      </c>
      <c r="B6006" s="65" t="s">
        <v>8700</v>
      </c>
      <c r="C6006" s="1">
        <v>9618253476</v>
      </c>
      <c r="E6006" s="17" t="s">
        <v>8641</v>
      </c>
      <c r="F6006" s="4" t="s">
        <v>2340</v>
      </c>
      <c r="G6006" s="3" t="s">
        <v>15</v>
      </c>
      <c r="H6006" s="2" t="s">
        <v>102</v>
      </c>
      <c r="I6006" s="3" t="s">
        <v>42</v>
      </c>
      <c r="J6006" s="31">
        <v>46052</v>
      </c>
      <c r="K6006" s="31">
        <v>46052</v>
      </c>
      <c r="L6006" s="31">
        <v>46080</v>
      </c>
      <c r="M6006" s="31">
        <v>46127</v>
      </c>
      <c r="N6006" s="31"/>
      <c r="O6006" s="2" t="s">
        <v>297</v>
      </c>
    </row>
    <row r="6007" spans="1:15">
      <c r="A6007" s="3">
        <f t="shared" si="139"/>
        <v>6006</v>
      </c>
      <c r="B6007" s="65" t="s">
        <v>8701</v>
      </c>
      <c r="C6007" s="1">
        <v>8605561692</v>
      </c>
      <c r="E6007" s="17" t="s">
        <v>8639</v>
      </c>
      <c r="F6007" s="4" t="s">
        <v>3784</v>
      </c>
      <c r="G6007" s="3" t="s">
        <v>416</v>
      </c>
      <c r="H6007" s="2" t="s">
        <v>102</v>
      </c>
      <c r="I6007" s="3" t="s">
        <v>42</v>
      </c>
      <c r="J6007" s="31">
        <v>46052</v>
      </c>
      <c r="K6007" s="31">
        <v>46052</v>
      </c>
      <c r="L6007" s="31"/>
      <c r="M6007" s="31"/>
      <c r="N6007" s="31"/>
      <c r="O6007" s="2" t="s">
        <v>297</v>
      </c>
    </row>
    <row r="6008" spans="1:15">
      <c r="A6008" s="3">
        <f t="shared" si="139"/>
        <v>6007</v>
      </c>
      <c r="B6008" s="65" t="s">
        <v>8702</v>
      </c>
      <c r="C6008" s="1">
        <v>9959245154</v>
      </c>
      <c r="E6008" s="17" t="s">
        <v>8641</v>
      </c>
      <c r="F6008" s="4" t="s">
        <v>2340</v>
      </c>
      <c r="G6008" s="3" t="s">
        <v>16</v>
      </c>
      <c r="H6008" s="2" t="s">
        <v>102</v>
      </c>
      <c r="I6008" s="3" t="s">
        <v>42</v>
      </c>
      <c r="J6008" s="31">
        <v>46052</v>
      </c>
      <c r="K6008" s="31">
        <v>46052</v>
      </c>
      <c r="L6008" s="31">
        <v>46055</v>
      </c>
      <c r="M6008" s="31">
        <v>46062</v>
      </c>
      <c r="N6008" s="31">
        <v>46062</v>
      </c>
      <c r="O6008" s="2" t="s">
        <v>297</v>
      </c>
    </row>
    <row r="6009" spans="1:15">
      <c r="A6009" s="3">
        <f t="shared" si="139"/>
        <v>6008</v>
      </c>
      <c r="B6009" s="65" t="s">
        <v>8703</v>
      </c>
      <c r="C6009" s="1">
        <v>9948734318</v>
      </c>
      <c r="E6009" s="17" t="s">
        <v>8641</v>
      </c>
      <c r="F6009" s="4" t="s">
        <v>8704</v>
      </c>
      <c r="G6009" s="3" t="s">
        <v>416</v>
      </c>
      <c r="H6009" s="2" t="s">
        <v>102</v>
      </c>
      <c r="I6009" s="3" t="s">
        <v>42</v>
      </c>
      <c r="J6009" s="31">
        <v>46052</v>
      </c>
      <c r="K6009" s="31">
        <v>46052</v>
      </c>
      <c r="L6009" s="31"/>
      <c r="M6009" s="31"/>
      <c r="N6009" s="31"/>
      <c r="O6009" s="2" t="s">
        <v>297</v>
      </c>
    </row>
    <row r="6010" spans="1:15">
      <c r="A6010" s="3">
        <f t="shared" si="139"/>
        <v>6009</v>
      </c>
      <c r="B6010" s="65" t="s">
        <v>8705</v>
      </c>
      <c r="C6010" s="1">
        <v>9492078666</v>
      </c>
      <c r="E6010" s="17" t="s">
        <v>8639</v>
      </c>
      <c r="F6010" s="4" t="s">
        <v>8706</v>
      </c>
      <c r="G6010" s="3" t="s">
        <v>15</v>
      </c>
      <c r="H6010" s="2" t="s">
        <v>102</v>
      </c>
      <c r="I6010" s="3" t="s">
        <v>42</v>
      </c>
      <c r="J6010" s="31">
        <v>46052</v>
      </c>
      <c r="K6010" s="31">
        <v>46052</v>
      </c>
      <c r="L6010" s="31">
        <v>46079</v>
      </c>
      <c r="M6010" s="31">
        <v>46113</v>
      </c>
      <c r="N6010" s="31"/>
      <c r="O6010" s="2" t="s">
        <v>297</v>
      </c>
    </row>
    <row r="6011" spans="1:15">
      <c r="A6011" s="3">
        <f t="shared" si="139"/>
        <v>6010</v>
      </c>
      <c r="B6011" s="65" t="s">
        <v>8707</v>
      </c>
      <c r="C6011" s="1">
        <v>8555887295</v>
      </c>
      <c r="E6011" s="17" t="s">
        <v>8644</v>
      </c>
      <c r="F6011" s="4" t="s">
        <v>8689</v>
      </c>
      <c r="G6011" s="3" t="s">
        <v>764</v>
      </c>
      <c r="H6011" s="2" t="s">
        <v>102</v>
      </c>
      <c r="I6011" s="3" t="s">
        <v>42</v>
      </c>
      <c r="J6011" s="31">
        <v>46052</v>
      </c>
      <c r="K6011" s="31">
        <v>46052</v>
      </c>
      <c r="L6011" s="31"/>
      <c r="M6011" s="31"/>
      <c r="N6011" s="31"/>
      <c r="O6011" s="2" t="s">
        <v>425</v>
      </c>
    </row>
    <row r="6012" spans="1:15">
      <c r="A6012" s="3">
        <f t="shared" si="139"/>
        <v>6011</v>
      </c>
      <c r="B6012" s="65" t="s">
        <v>8708</v>
      </c>
      <c r="C6012" s="1">
        <v>9502866014</v>
      </c>
      <c r="E6012" s="17" t="s">
        <v>8641</v>
      </c>
      <c r="F6012" s="4" t="s">
        <v>308</v>
      </c>
      <c r="G6012" s="3" t="s">
        <v>764</v>
      </c>
      <c r="H6012" s="2" t="s">
        <v>102</v>
      </c>
      <c r="I6012" s="3" t="s">
        <v>42</v>
      </c>
      <c r="J6012" s="31">
        <v>46052</v>
      </c>
      <c r="K6012" s="31">
        <v>46052</v>
      </c>
      <c r="L6012" s="31"/>
      <c r="M6012" s="31"/>
      <c r="N6012" s="31"/>
      <c r="O6012" s="2" t="s">
        <v>425</v>
      </c>
    </row>
    <row r="6013" spans="1:15">
      <c r="A6013" s="3">
        <f t="shared" si="139"/>
        <v>6012</v>
      </c>
      <c r="B6013" s="65" t="s">
        <v>8709</v>
      </c>
      <c r="C6013" s="1">
        <v>6302471422</v>
      </c>
      <c r="E6013" s="17" t="s">
        <v>8641</v>
      </c>
      <c r="F6013" s="4" t="s">
        <v>308</v>
      </c>
      <c r="G6013" s="3" t="s">
        <v>16</v>
      </c>
      <c r="H6013" s="2" t="s">
        <v>102</v>
      </c>
      <c r="I6013" s="3" t="s">
        <v>42</v>
      </c>
      <c r="J6013" s="31">
        <v>46052</v>
      </c>
      <c r="K6013" s="31">
        <v>46052</v>
      </c>
      <c r="L6013" s="31">
        <v>46055</v>
      </c>
      <c r="M6013" s="31">
        <v>46086</v>
      </c>
      <c r="N6013" s="31">
        <v>46086</v>
      </c>
      <c r="O6013" s="2" t="s">
        <v>297</v>
      </c>
    </row>
    <row r="6014" spans="1:15">
      <c r="A6014" s="3">
        <f t="shared" si="139"/>
        <v>6013</v>
      </c>
      <c r="B6014" s="65" t="s">
        <v>8710</v>
      </c>
      <c r="C6014" s="1">
        <v>9408604479</v>
      </c>
      <c r="E6014" s="17" t="s">
        <v>8641</v>
      </c>
      <c r="F6014" s="4" t="s">
        <v>308</v>
      </c>
      <c r="G6014" s="3" t="s">
        <v>764</v>
      </c>
      <c r="H6014" s="2" t="s">
        <v>102</v>
      </c>
      <c r="I6014" s="3" t="s">
        <v>42</v>
      </c>
      <c r="J6014" s="31">
        <v>46052</v>
      </c>
      <c r="K6014" s="31">
        <v>46052</v>
      </c>
      <c r="L6014" s="31"/>
      <c r="M6014" s="31"/>
      <c r="N6014" s="31"/>
      <c r="O6014" s="2" t="s">
        <v>425</v>
      </c>
    </row>
    <row r="6015" spans="1:15">
      <c r="A6015" s="3">
        <f t="shared" si="139"/>
        <v>6014</v>
      </c>
      <c r="B6015" s="65" t="s">
        <v>8711</v>
      </c>
      <c r="C6015" s="1">
        <v>7288872854</v>
      </c>
      <c r="E6015" s="17" t="s">
        <v>7114</v>
      </c>
      <c r="F6015" s="4" t="s">
        <v>8712</v>
      </c>
      <c r="G6015" s="3" t="s">
        <v>295</v>
      </c>
      <c r="H6015" s="2" t="s">
        <v>6158</v>
      </c>
      <c r="I6015" s="3" t="s">
        <v>42</v>
      </c>
      <c r="J6015" s="31">
        <v>46052</v>
      </c>
      <c r="K6015" s="31">
        <v>46052</v>
      </c>
      <c r="L6015" s="31">
        <v>46059</v>
      </c>
      <c r="M6015" s="31">
        <v>46086</v>
      </c>
      <c r="N6015" s="31"/>
      <c r="O6015" s="2" t="s">
        <v>297</v>
      </c>
    </row>
    <row r="6016" spans="1:15">
      <c r="A6016" s="3">
        <f t="shared" si="139"/>
        <v>6015</v>
      </c>
      <c r="B6016" s="65" t="s">
        <v>8713</v>
      </c>
      <c r="C6016" s="1">
        <v>9632559889</v>
      </c>
      <c r="D6016" s="1">
        <v>8247300000</v>
      </c>
      <c r="E6016" s="17" t="s">
        <v>6562</v>
      </c>
      <c r="F6016" s="4" t="s">
        <v>8714</v>
      </c>
      <c r="G6016" s="3" t="s">
        <v>424</v>
      </c>
      <c r="H6016" s="2" t="s">
        <v>6158</v>
      </c>
      <c r="I6016" s="3" t="s">
        <v>42</v>
      </c>
      <c r="J6016" s="31">
        <v>46052</v>
      </c>
      <c r="K6016" s="31">
        <v>46057</v>
      </c>
      <c r="L6016" s="31"/>
      <c r="M6016" s="31"/>
      <c r="N6016" s="31"/>
      <c r="O6016" s="2" t="s">
        <v>425</v>
      </c>
    </row>
    <row r="6017" spans="1:15">
      <c r="A6017" s="3">
        <f t="shared" si="139"/>
        <v>6016</v>
      </c>
      <c r="B6017" s="65" t="s">
        <v>8715</v>
      </c>
      <c r="C6017" s="1">
        <v>9492867680</v>
      </c>
      <c r="D6017" s="1">
        <v>9491303666</v>
      </c>
      <c r="E6017" s="17" t="s">
        <v>6562</v>
      </c>
      <c r="F6017" s="4" t="s">
        <v>8714</v>
      </c>
      <c r="G6017" s="3" t="s">
        <v>416</v>
      </c>
      <c r="H6017" s="2" t="s">
        <v>6158</v>
      </c>
      <c r="I6017" s="3" t="s">
        <v>42</v>
      </c>
      <c r="J6017" s="31">
        <v>46052</v>
      </c>
      <c r="K6017" s="31">
        <v>46057</v>
      </c>
      <c r="L6017" s="31"/>
      <c r="M6017" s="31"/>
      <c r="N6017" s="31"/>
      <c r="O6017" s="2" t="s">
        <v>297</v>
      </c>
    </row>
    <row r="6018" spans="1:15">
      <c r="A6018" s="3">
        <f t="shared" si="139"/>
        <v>6017</v>
      </c>
      <c r="B6018" s="65" t="s">
        <v>8716</v>
      </c>
      <c r="C6018" s="1">
        <v>8978851032</v>
      </c>
      <c r="E6018" s="17" t="s">
        <v>8408</v>
      </c>
      <c r="F6018" s="4" t="s">
        <v>308</v>
      </c>
      <c r="G6018" s="3" t="s">
        <v>16</v>
      </c>
      <c r="H6018" s="2" t="s">
        <v>162</v>
      </c>
      <c r="I6018" s="3" t="s">
        <v>94</v>
      </c>
      <c r="J6018" s="31">
        <v>46052</v>
      </c>
      <c r="K6018" s="31">
        <v>46076</v>
      </c>
      <c r="L6018" s="31">
        <v>46079</v>
      </c>
      <c r="M6018" s="31">
        <v>46097</v>
      </c>
      <c r="N6018" s="31">
        <v>46097</v>
      </c>
      <c r="O6018" s="2" t="s">
        <v>297</v>
      </c>
    </row>
    <row r="6019" spans="1:15">
      <c r="A6019" s="3">
        <f t="shared" si="139"/>
        <v>6018</v>
      </c>
      <c r="B6019" s="65" t="s">
        <v>8717</v>
      </c>
      <c r="C6019" s="1">
        <v>8790994644</v>
      </c>
      <c r="E6019" s="17" t="s">
        <v>8408</v>
      </c>
      <c r="F6019" s="4" t="s">
        <v>2130</v>
      </c>
      <c r="G6019" s="3" t="s">
        <v>424</v>
      </c>
      <c r="H6019" s="2" t="s">
        <v>162</v>
      </c>
      <c r="I6019" s="3" t="s">
        <v>94</v>
      </c>
      <c r="J6019" s="31">
        <v>46052</v>
      </c>
      <c r="K6019" s="31">
        <v>46076</v>
      </c>
      <c r="L6019" s="31"/>
      <c r="M6019" s="31"/>
      <c r="N6019" s="31"/>
      <c r="O6019" s="2" t="s">
        <v>425</v>
      </c>
    </row>
    <row r="6020" spans="1:15">
      <c r="A6020" s="3">
        <f t="shared" si="139"/>
        <v>6019</v>
      </c>
      <c r="B6020" s="65" t="s">
        <v>8718</v>
      </c>
      <c r="C6020" s="1">
        <v>9827381363</v>
      </c>
      <c r="E6020" s="17" t="s">
        <v>8719</v>
      </c>
      <c r="F6020" s="4" t="s">
        <v>62</v>
      </c>
      <c r="G6020" s="3" t="s">
        <v>424</v>
      </c>
      <c r="H6020" s="2" t="s">
        <v>162</v>
      </c>
      <c r="I6020" s="3" t="s">
        <v>94</v>
      </c>
      <c r="J6020" s="31">
        <v>46052</v>
      </c>
      <c r="K6020" s="31">
        <v>46076</v>
      </c>
      <c r="L6020" s="31"/>
      <c r="M6020" s="31"/>
      <c r="N6020" s="31"/>
      <c r="O6020" s="2" t="s">
        <v>425</v>
      </c>
    </row>
    <row r="6021" spans="1:15">
      <c r="A6021" s="3">
        <f t="shared" si="139"/>
        <v>6020</v>
      </c>
      <c r="B6021" s="65" t="s">
        <v>8720</v>
      </c>
      <c r="C6021" s="1">
        <v>9993396290</v>
      </c>
      <c r="E6021" s="17" t="s">
        <v>7904</v>
      </c>
      <c r="F6021" s="4" t="s">
        <v>8151</v>
      </c>
      <c r="G6021" s="3" t="s">
        <v>15</v>
      </c>
      <c r="H6021" s="2" t="s">
        <v>368</v>
      </c>
      <c r="I6021" s="3" t="s">
        <v>88</v>
      </c>
      <c r="J6021" s="31">
        <v>46046</v>
      </c>
      <c r="K6021" s="31">
        <v>46046</v>
      </c>
      <c r="L6021" s="31">
        <v>46046</v>
      </c>
      <c r="M6021" s="31">
        <v>46117</v>
      </c>
      <c r="N6021" s="31"/>
      <c r="O6021" s="2" t="s">
        <v>297</v>
      </c>
    </row>
    <row r="6022" spans="1:15">
      <c r="A6022" s="3">
        <f t="shared" si="139"/>
        <v>6021</v>
      </c>
      <c r="B6022" s="65" t="s">
        <v>8439</v>
      </c>
      <c r="C6022" s="1">
        <v>8919836182</v>
      </c>
      <c r="E6022" s="17" t="s">
        <v>6712</v>
      </c>
      <c r="F6022" s="4" t="s">
        <v>2251</v>
      </c>
      <c r="G6022" s="3" t="s">
        <v>295</v>
      </c>
      <c r="H6022" s="2" t="s">
        <v>785</v>
      </c>
      <c r="I6022" s="3" t="s">
        <v>88</v>
      </c>
      <c r="J6022" s="31">
        <v>46052</v>
      </c>
      <c r="K6022" s="31">
        <v>46051</v>
      </c>
      <c r="L6022" s="31">
        <v>46052</v>
      </c>
      <c r="M6022" s="31">
        <v>46081</v>
      </c>
      <c r="N6022" s="31"/>
      <c r="O6022" s="2" t="s">
        <v>297</v>
      </c>
    </row>
    <row r="6023" spans="1:15">
      <c r="A6023" s="3">
        <f t="shared" si="139"/>
        <v>6022</v>
      </c>
      <c r="B6023" s="65" t="s">
        <v>8721</v>
      </c>
      <c r="C6023" s="1">
        <v>9948380526</v>
      </c>
      <c r="E6023" s="17" t="s">
        <v>8722</v>
      </c>
      <c r="F6023" s="4" t="s">
        <v>8723</v>
      </c>
      <c r="G6023" s="3" t="s">
        <v>16</v>
      </c>
      <c r="H6023" s="2" t="s">
        <v>162</v>
      </c>
      <c r="I6023" s="3" t="s">
        <v>88</v>
      </c>
      <c r="J6023" s="31">
        <v>46052</v>
      </c>
      <c r="K6023" s="31">
        <v>46051</v>
      </c>
      <c r="L6023" s="31">
        <v>46052</v>
      </c>
      <c r="M6023" s="31">
        <v>46081</v>
      </c>
      <c r="N6023" s="31">
        <v>46087</v>
      </c>
      <c r="O6023" s="2" t="s">
        <v>297</v>
      </c>
    </row>
    <row r="6024" spans="1:15">
      <c r="A6024" s="3">
        <f t="shared" si="139"/>
        <v>6023</v>
      </c>
      <c r="B6024" s="65" t="s">
        <v>8724</v>
      </c>
      <c r="C6024" s="1">
        <v>7682892566</v>
      </c>
      <c r="E6024" s="17" t="s">
        <v>8725</v>
      </c>
      <c r="F6024" s="4" t="s">
        <v>569</v>
      </c>
      <c r="G6024" s="3" t="s">
        <v>295</v>
      </c>
      <c r="H6024" s="2" t="s">
        <v>999</v>
      </c>
      <c r="I6024" s="3" t="s">
        <v>88</v>
      </c>
      <c r="J6024" s="31">
        <v>46052</v>
      </c>
      <c r="K6024" s="31">
        <v>46051</v>
      </c>
      <c r="L6024" s="31">
        <v>46052</v>
      </c>
      <c r="M6024" s="31">
        <v>46111</v>
      </c>
      <c r="N6024" s="31"/>
      <c r="O6024" s="2" t="s">
        <v>297</v>
      </c>
    </row>
    <row r="6025" spans="1:15">
      <c r="A6025" s="3">
        <f t="shared" si="139"/>
        <v>6024</v>
      </c>
      <c r="B6025" s="65" t="s">
        <v>8726</v>
      </c>
      <c r="C6025" s="1">
        <v>9014543996</v>
      </c>
      <c r="E6025" s="17" t="s">
        <v>4449</v>
      </c>
      <c r="F6025" s="4" t="s">
        <v>8727</v>
      </c>
      <c r="G6025" s="3" t="s">
        <v>16</v>
      </c>
      <c r="H6025" s="2" t="s">
        <v>8395</v>
      </c>
      <c r="I6025" s="3" t="s">
        <v>42</v>
      </c>
      <c r="J6025" s="31">
        <v>46052</v>
      </c>
      <c r="K6025" s="31">
        <v>46055</v>
      </c>
      <c r="L6025" s="31">
        <v>46073</v>
      </c>
      <c r="M6025" s="31">
        <v>46097</v>
      </c>
      <c r="N6025" s="31">
        <v>46097</v>
      </c>
      <c r="O6025" s="2" t="s">
        <v>297</v>
      </c>
    </row>
    <row r="6026" spans="1:15">
      <c r="A6026" s="3">
        <f t="shared" si="139"/>
        <v>6025</v>
      </c>
      <c r="B6026" s="65" t="s">
        <v>8728</v>
      </c>
      <c r="C6026" s="1">
        <v>7266855351</v>
      </c>
      <c r="E6026" s="17" t="s">
        <v>8258</v>
      </c>
      <c r="F6026" s="4"/>
      <c r="G6026" s="3" t="s">
        <v>15</v>
      </c>
      <c r="H6026" s="2" t="s">
        <v>999</v>
      </c>
      <c r="I6026" s="3" t="s">
        <v>88</v>
      </c>
      <c r="J6026" s="31">
        <v>46046</v>
      </c>
      <c r="K6026" s="31">
        <v>46046</v>
      </c>
      <c r="L6026" s="31">
        <v>46046</v>
      </c>
      <c r="M6026" s="31">
        <v>46123</v>
      </c>
      <c r="N6026" s="31"/>
      <c r="O6026" s="2" t="s">
        <v>297</v>
      </c>
    </row>
    <row r="6027" spans="1:15">
      <c r="A6027" s="3">
        <f t="shared" si="139"/>
        <v>6026</v>
      </c>
      <c r="B6027" s="65" t="s">
        <v>8729</v>
      </c>
      <c r="C6027" s="1">
        <v>9494652480</v>
      </c>
      <c r="E6027" s="17" t="s">
        <v>8730</v>
      </c>
      <c r="F6027" s="4"/>
      <c r="G6027" s="3" t="s">
        <v>16</v>
      </c>
      <c r="H6027" s="2" t="s">
        <v>5774</v>
      </c>
      <c r="I6027" s="3" t="s">
        <v>42</v>
      </c>
      <c r="J6027" s="31">
        <v>46046</v>
      </c>
      <c r="K6027" s="31">
        <v>46050</v>
      </c>
      <c r="L6027" s="31">
        <v>46052</v>
      </c>
      <c r="M6027" s="31">
        <v>46076</v>
      </c>
      <c r="N6027" s="31">
        <v>46090</v>
      </c>
      <c r="O6027" s="2" t="s">
        <v>297</v>
      </c>
    </row>
    <row r="6028" spans="1:15">
      <c r="A6028" s="3">
        <f t="shared" si="139"/>
        <v>6027</v>
      </c>
      <c r="B6028" s="65" t="s">
        <v>8731</v>
      </c>
      <c r="C6028" s="1">
        <v>7095089779</v>
      </c>
      <c r="E6028" s="17" t="s">
        <v>8193</v>
      </c>
      <c r="F6028" s="4"/>
      <c r="G6028" s="3" t="s">
        <v>16</v>
      </c>
      <c r="H6028" s="2" t="s">
        <v>815</v>
      </c>
      <c r="I6028" s="3" t="s">
        <v>42</v>
      </c>
      <c r="J6028" s="31">
        <v>46046</v>
      </c>
      <c r="K6028" s="31">
        <v>46050</v>
      </c>
      <c r="L6028" s="31">
        <v>46052</v>
      </c>
      <c r="M6028" s="31">
        <v>46057</v>
      </c>
      <c r="N6028" s="31">
        <v>46051</v>
      </c>
      <c r="O6028" s="2" t="s">
        <v>297</v>
      </c>
    </row>
    <row r="6029" spans="1:15">
      <c r="A6029" s="3">
        <f t="shared" si="139"/>
        <v>6028</v>
      </c>
      <c r="B6029" s="65" t="s">
        <v>8732</v>
      </c>
      <c r="C6029" s="1">
        <v>9959596050</v>
      </c>
      <c r="E6029" s="17" t="s">
        <v>6537</v>
      </c>
      <c r="F6029" s="4"/>
      <c r="G6029" s="3" t="s">
        <v>16</v>
      </c>
      <c r="H6029" s="2" t="s">
        <v>8674</v>
      </c>
      <c r="I6029" s="3" t="s">
        <v>42</v>
      </c>
      <c r="J6029" s="31">
        <v>46046</v>
      </c>
      <c r="K6029" s="31">
        <v>46050</v>
      </c>
      <c r="L6029" s="31">
        <v>46052</v>
      </c>
      <c r="M6029" s="31">
        <v>46083</v>
      </c>
      <c r="N6029" s="31">
        <v>46084</v>
      </c>
      <c r="O6029" s="2" t="s">
        <v>297</v>
      </c>
    </row>
    <row r="6030" spans="1:15">
      <c r="A6030" s="3">
        <f t="shared" si="139"/>
        <v>6029</v>
      </c>
      <c r="B6030" s="65" t="s">
        <v>8733</v>
      </c>
      <c r="C6030" s="1">
        <v>8712120713</v>
      </c>
      <c r="E6030" s="17" t="s">
        <v>8734</v>
      </c>
      <c r="F6030" s="4"/>
      <c r="G6030" s="3" t="s">
        <v>16</v>
      </c>
      <c r="H6030" s="2" t="s">
        <v>8674</v>
      </c>
      <c r="I6030" s="3" t="s">
        <v>42</v>
      </c>
      <c r="J6030" s="31">
        <v>46046</v>
      </c>
      <c r="K6030" s="31">
        <v>46050</v>
      </c>
      <c r="L6030" s="31">
        <v>46052</v>
      </c>
      <c r="M6030" s="31">
        <v>46086</v>
      </c>
      <c r="N6030" s="31">
        <v>46085</v>
      </c>
      <c r="O6030" s="2" t="s">
        <v>297</v>
      </c>
    </row>
    <row r="6031" spans="1:15">
      <c r="A6031" s="3">
        <f t="shared" si="139"/>
        <v>6030</v>
      </c>
      <c r="B6031" s="65" t="s">
        <v>8735</v>
      </c>
      <c r="C6031" s="1">
        <v>8732032311</v>
      </c>
      <c r="D6031" s="1">
        <v>8106831460</v>
      </c>
      <c r="E6031" s="17" t="s">
        <v>6562</v>
      </c>
      <c r="F6031" s="4"/>
      <c r="G6031" s="3" t="s">
        <v>424</v>
      </c>
      <c r="H6031" s="2" t="s">
        <v>6158</v>
      </c>
      <c r="I6031" s="3" t="s">
        <v>42</v>
      </c>
      <c r="J6031" s="31">
        <v>46052</v>
      </c>
      <c r="K6031" s="31">
        <v>46062</v>
      </c>
      <c r="L6031" s="31"/>
      <c r="M6031" s="31"/>
      <c r="N6031" s="31"/>
      <c r="O6031" s="2" t="s">
        <v>425</v>
      </c>
    </row>
    <row r="6032" spans="1:15">
      <c r="A6032" s="3">
        <f t="shared" si="139"/>
        <v>6031</v>
      </c>
      <c r="B6032" s="65" t="s">
        <v>8736</v>
      </c>
      <c r="C6032" s="1">
        <v>9600153420</v>
      </c>
      <c r="E6032" s="17" t="s">
        <v>6562</v>
      </c>
      <c r="F6032" s="4"/>
      <c r="G6032" s="3" t="s">
        <v>7030</v>
      </c>
      <c r="H6032" s="2" t="s">
        <v>6158</v>
      </c>
      <c r="I6032" s="3" t="s">
        <v>42</v>
      </c>
      <c r="J6032" s="31">
        <v>46052</v>
      </c>
      <c r="K6032" s="31"/>
      <c r="L6032" s="31"/>
      <c r="M6032" s="31"/>
      <c r="N6032" s="31"/>
      <c r="O6032" s="2" t="s">
        <v>1004</v>
      </c>
    </row>
    <row r="6033" spans="1:15">
      <c r="A6033" s="3">
        <f t="shared" si="139"/>
        <v>6032</v>
      </c>
      <c r="B6033" s="65" t="s">
        <v>8737</v>
      </c>
      <c r="C6033" s="1">
        <v>9912566653</v>
      </c>
      <c r="E6033" s="17" t="s">
        <v>3344</v>
      </c>
      <c r="F6033" s="4"/>
      <c r="G6033" s="3" t="s">
        <v>416</v>
      </c>
      <c r="H6033" s="2" t="s">
        <v>102</v>
      </c>
      <c r="I6033" s="3" t="s">
        <v>42</v>
      </c>
      <c r="J6033" s="31">
        <v>46052</v>
      </c>
      <c r="K6033" s="31">
        <v>46052</v>
      </c>
      <c r="L6033" s="31"/>
      <c r="M6033" s="31"/>
      <c r="N6033" s="31"/>
      <c r="O6033" s="2" t="s">
        <v>297</v>
      </c>
    </row>
    <row r="6034" spans="1:15">
      <c r="A6034" s="3">
        <f t="shared" si="139"/>
        <v>6033</v>
      </c>
      <c r="B6034" s="65" t="s">
        <v>8738</v>
      </c>
      <c r="C6034" s="1">
        <v>7989707768</v>
      </c>
      <c r="E6034" s="17" t="s">
        <v>8378</v>
      </c>
      <c r="F6034" s="4" t="s">
        <v>303</v>
      </c>
      <c r="G6034" s="3" t="s">
        <v>764</v>
      </c>
      <c r="H6034" s="2" t="s">
        <v>3240</v>
      </c>
      <c r="I6034" s="3" t="s">
        <v>42</v>
      </c>
      <c r="J6034" s="31">
        <v>46052</v>
      </c>
      <c r="K6034" s="31">
        <v>46114</v>
      </c>
      <c r="L6034" s="31"/>
      <c r="M6034" s="31"/>
      <c r="N6034" s="31"/>
      <c r="O6034" s="2" t="s">
        <v>425</v>
      </c>
    </row>
    <row r="6035" spans="1:15">
      <c r="A6035" s="3">
        <f t="shared" si="139"/>
        <v>6034</v>
      </c>
      <c r="B6035" s="65" t="s">
        <v>1212</v>
      </c>
      <c r="C6035" s="1">
        <v>8429290287</v>
      </c>
      <c r="E6035" s="17" t="s">
        <v>8378</v>
      </c>
      <c r="F6035" s="4" t="s">
        <v>303</v>
      </c>
      <c r="G6035" s="3" t="s">
        <v>416</v>
      </c>
      <c r="H6035" s="2" t="s">
        <v>3240</v>
      </c>
      <c r="I6035" s="3" t="s">
        <v>42</v>
      </c>
      <c r="J6035" s="31">
        <v>46052</v>
      </c>
      <c r="K6035" s="31">
        <v>46056</v>
      </c>
      <c r="L6035" s="31"/>
      <c r="M6035" s="31"/>
      <c r="N6035" s="31"/>
      <c r="O6035" s="2" t="s">
        <v>297</v>
      </c>
    </row>
    <row r="6036" spans="1:15">
      <c r="A6036" s="3">
        <f t="shared" si="139"/>
        <v>6035</v>
      </c>
      <c r="B6036" s="65" t="s">
        <v>8739</v>
      </c>
      <c r="C6036" s="1">
        <v>9550719229</v>
      </c>
      <c r="E6036" s="17" t="s">
        <v>8378</v>
      </c>
      <c r="F6036" s="4" t="s">
        <v>303</v>
      </c>
      <c r="G6036" s="3" t="s">
        <v>14</v>
      </c>
      <c r="H6036" s="2" t="s">
        <v>3240</v>
      </c>
      <c r="I6036" s="3" t="s">
        <v>42</v>
      </c>
      <c r="J6036" s="31">
        <v>46052</v>
      </c>
      <c r="K6036" s="31">
        <v>46108</v>
      </c>
      <c r="L6036" s="31"/>
      <c r="M6036" s="31"/>
      <c r="N6036" s="31"/>
      <c r="O6036" s="2" t="s">
        <v>297</v>
      </c>
    </row>
    <row r="6037" spans="1:15">
      <c r="A6037" s="3">
        <f t="shared" si="139"/>
        <v>6036</v>
      </c>
      <c r="B6037" s="65" t="s">
        <v>8740</v>
      </c>
      <c r="C6037" s="1">
        <v>9130959681</v>
      </c>
      <c r="E6037" s="17" t="s">
        <v>8378</v>
      </c>
      <c r="F6037" s="4" t="s">
        <v>303</v>
      </c>
      <c r="G6037" s="3" t="s">
        <v>15</v>
      </c>
      <c r="H6037" s="2" t="s">
        <v>3240</v>
      </c>
      <c r="I6037" s="3" t="s">
        <v>42</v>
      </c>
      <c r="J6037" s="31">
        <v>46052</v>
      </c>
      <c r="K6037" s="31">
        <v>46056</v>
      </c>
      <c r="L6037" s="31">
        <v>46094</v>
      </c>
      <c r="M6037" s="31">
        <v>46125</v>
      </c>
      <c r="N6037" s="31"/>
      <c r="O6037" s="2" t="s">
        <v>297</v>
      </c>
    </row>
    <row r="6038" spans="1:15">
      <c r="A6038" s="3">
        <f t="shared" si="139"/>
        <v>6037</v>
      </c>
      <c r="B6038" s="65" t="s">
        <v>8741</v>
      </c>
      <c r="C6038" s="1">
        <v>7609813200</v>
      </c>
      <c r="E6038" s="17" t="s">
        <v>8378</v>
      </c>
      <c r="F6038" s="4" t="s">
        <v>490</v>
      </c>
      <c r="G6038" s="3" t="s">
        <v>15</v>
      </c>
      <c r="H6038" s="2" t="s">
        <v>3240</v>
      </c>
      <c r="I6038" s="3" t="s">
        <v>42</v>
      </c>
      <c r="J6038" s="31">
        <v>46052</v>
      </c>
      <c r="K6038" s="31">
        <v>46072</v>
      </c>
      <c r="L6038" s="31">
        <v>46073</v>
      </c>
      <c r="M6038" s="31">
        <v>46113</v>
      </c>
      <c r="N6038" s="31"/>
      <c r="O6038" s="2" t="s">
        <v>297</v>
      </c>
    </row>
    <row r="6039" spans="1:15">
      <c r="A6039" s="3">
        <f t="shared" si="139"/>
        <v>6038</v>
      </c>
      <c r="B6039" s="65" t="s">
        <v>8742</v>
      </c>
      <c r="C6039" s="1">
        <v>9430872152</v>
      </c>
      <c r="E6039" s="17" t="s">
        <v>8378</v>
      </c>
      <c r="F6039" s="4" t="s">
        <v>612</v>
      </c>
      <c r="G6039" s="3" t="s">
        <v>416</v>
      </c>
      <c r="H6039" s="2" t="s">
        <v>3240</v>
      </c>
      <c r="I6039" s="3" t="s">
        <v>42</v>
      </c>
      <c r="J6039" s="31">
        <v>46052</v>
      </c>
      <c r="K6039" s="31">
        <v>46056</v>
      </c>
      <c r="L6039" s="31"/>
      <c r="M6039" s="31"/>
      <c r="N6039" s="31"/>
      <c r="O6039" s="2" t="s">
        <v>297</v>
      </c>
    </row>
    <row r="6040" spans="1:15">
      <c r="A6040" s="3">
        <f t="shared" si="139"/>
        <v>6039</v>
      </c>
      <c r="B6040" s="65" t="s">
        <v>8743</v>
      </c>
      <c r="C6040" s="1">
        <v>7043823760</v>
      </c>
      <c r="E6040" s="17" t="s">
        <v>8378</v>
      </c>
      <c r="F6040" s="4" t="s">
        <v>612</v>
      </c>
      <c r="G6040" s="3" t="s">
        <v>416</v>
      </c>
      <c r="H6040" s="2" t="s">
        <v>3240</v>
      </c>
      <c r="I6040" s="3" t="s">
        <v>42</v>
      </c>
      <c r="J6040" s="31">
        <v>46052</v>
      </c>
      <c r="K6040" s="31">
        <v>46079</v>
      </c>
      <c r="L6040" s="31"/>
      <c r="M6040" s="31"/>
      <c r="N6040" s="31"/>
      <c r="O6040" s="2" t="s">
        <v>297</v>
      </c>
    </row>
    <row r="6041" spans="1:15">
      <c r="A6041" s="3">
        <f t="shared" si="139"/>
        <v>6040</v>
      </c>
      <c r="B6041" s="65" t="s">
        <v>8744</v>
      </c>
      <c r="C6041" s="1">
        <v>8318356958</v>
      </c>
      <c r="E6041" s="17" t="s">
        <v>8378</v>
      </c>
      <c r="F6041" s="4" t="s">
        <v>612</v>
      </c>
      <c r="G6041" s="3" t="s">
        <v>14</v>
      </c>
      <c r="H6041" s="2" t="s">
        <v>3240</v>
      </c>
      <c r="I6041" s="3" t="s">
        <v>42</v>
      </c>
      <c r="J6041" s="31">
        <v>46052</v>
      </c>
      <c r="K6041" s="31">
        <v>46112</v>
      </c>
      <c r="L6041" s="31"/>
      <c r="M6041" s="31"/>
      <c r="N6041" s="31"/>
      <c r="O6041" s="2" t="s">
        <v>297</v>
      </c>
    </row>
    <row r="6042" spans="1:15">
      <c r="A6042" s="3">
        <f t="shared" si="139"/>
        <v>6041</v>
      </c>
      <c r="B6042" s="65" t="s">
        <v>363</v>
      </c>
      <c r="C6042" s="1">
        <v>9761877207</v>
      </c>
      <c r="D6042" s="1">
        <v>9027086419</v>
      </c>
      <c r="E6042" s="17" t="s">
        <v>8378</v>
      </c>
      <c r="F6042" s="4" t="s">
        <v>612</v>
      </c>
      <c r="G6042" s="3" t="s">
        <v>16</v>
      </c>
      <c r="H6042" s="2" t="s">
        <v>3240</v>
      </c>
      <c r="I6042" s="3" t="s">
        <v>42</v>
      </c>
      <c r="J6042" s="31">
        <v>46052</v>
      </c>
      <c r="K6042" s="31">
        <v>46056</v>
      </c>
      <c r="L6042" s="31">
        <v>46087</v>
      </c>
      <c r="M6042" s="31">
        <v>46107</v>
      </c>
      <c r="N6042" s="31">
        <v>46107</v>
      </c>
      <c r="O6042" s="2" t="s">
        <v>297</v>
      </c>
    </row>
    <row r="6043" spans="1:15">
      <c r="A6043" s="3">
        <f t="shared" si="139"/>
        <v>6042</v>
      </c>
      <c r="B6043" s="65" t="s">
        <v>8721</v>
      </c>
      <c r="C6043" s="1">
        <v>9951329335</v>
      </c>
      <c r="E6043" s="17" t="s">
        <v>8221</v>
      </c>
      <c r="F6043" s="4" t="s">
        <v>2482</v>
      </c>
      <c r="G6043" s="3" t="s">
        <v>16</v>
      </c>
      <c r="H6043" s="2" t="s">
        <v>162</v>
      </c>
      <c r="I6043" s="3" t="s">
        <v>94</v>
      </c>
      <c r="J6043" s="31">
        <v>46055</v>
      </c>
      <c r="K6043" s="31">
        <v>46055</v>
      </c>
      <c r="L6043" s="31">
        <v>46062</v>
      </c>
      <c r="M6043" s="31">
        <v>46086</v>
      </c>
      <c r="N6043" s="31">
        <v>46085</v>
      </c>
      <c r="O6043" s="2" t="s">
        <v>297</v>
      </c>
    </row>
    <row r="6044" spans="1:15">
      <c r="A6044" s="3">
        <f t="shared" si="139"/>
        <v>6043</v>
      </c>
      <c r="B6044" s="65" t="s">
        <v>8745</v>
      </c>
      <c r="C6044" s="1">
        <v>7816025091</v>
      </c>
      <c r="E6044" s="17" t="s">
        <v>8746</v>
      </c>
      <c r="F6044" s="4" t="s">
        <v>397</v>
      </c>
      <c r="G6044" s="3" t="s">
        <v>16</v>
      </c>
      <c r="H6044" s="2" t="s">
        <v>162</v>
      </c>
      <c r="I6044" s="3" t="s">
        <v>94</v>
      </c>
      <c r="J6044" s="31">
        <v>46055</v>
      </c>
      <c r="K6044" s="31">
        <v>46055</v>
      </c>
      <c r="L6044" s="31">
        <v>46059</v>
      </c>
      <c r="M6044" s="31">
        <v>46088</v>
      </c>
      <c r="N6044" s="31">
        <v>46090</v>
      </c>
      <c r="O6044" s="2" t="s">
        <v>297</v>
      </c>
    </row>
    <row r="6045" spans="1:15">
      <c r="A6045" s="3">
        <f t="shared" si="139"/>
        <v>6044</v>
      </c>
      <c r="B6045" s="65" t="s">
        <v>8747</v>
      </c>
      <c r="C6045" s="1">
        <v>6300659887</v>
      </c>
      <c r="E6045" s="17" t="s">
        <v>8240</v>
      </c>
      <c r="F6045" s="4" t="s">
        <v>8748</v>
      </c>
      <c r="G6045" s="3" t="s">
        <v>424</v>
      </c>
      <c r="H6045" s="2" t="s">
        <v>162</v>
      </c>
      <c r="I6045" s="3" t="s">
        <v>94</v>
      </c>
      <c r="J6045" s="31">
        <v>46055</v>
      </c>
      <c r="K6045" s="31">
        <v>46057</v>
      </c>
      <c r="L6045" s="31"/>
      <c r="M6045" s="31"/>
      <c r="N6045" s="31"/>
      <c r="O6045" s="2" t="s">
        <v>425</v>
      </c>
    </row>
    <row r="6046" spans="1:15">
      <c r="A6046" s="3">
        <f t="shared" si="139"/>
        <v>6045</v>
      </c>
      <c r="B6046" s="65" t="s">
        <v>8749</v>
      </c>
      <c r="C6046" s="1">
        <v>8333033315</v>
      </c>
      <c r="E6046" s="17" t="s">
        <v>164</v>
      </c>
      <c r="F6046" s="4" t="s">
        <v>2251</v>
      </c>
      <c r="G6046" s="3" t="s">
        <v>424</v>
      </c>
      <c r="H6046" s="2" t="s">
        <v>162</v>
      </c>
      <c r="I6046" s="3" t="s">
        <v>94</v>
      </c>
      <c r="J6046" s="31">
        <v>46055</v>
      </c>
      <c r="K6046" s="31">
        <v>46055</v>
      </c>
      <c r="L6046" s="31"/>
      <c r="M6046" s="31"/>
      <c r="N6046" s="31"/>
      <c r="O6046" s="2" t="s">
        <v>425</v>
      </c>
    </row>
    <row r="6047" spans="1:15">
      <c r="A6047" s="3">
        <f t="shared" si="139"/>
        <v>6046</v>
      </c>
      <c r="B6047" s="65" t="s">
        <v>8750</v>
      </c>
      <c r="C6047" s="1">
        <v>9493720545</v>
      </c>
      <c r="E6047" s="17" t="s">
        <v>8751</v>
      </c>
      <c r="F6047" s="4" t="s">
        <v>8431</v>
      </c>
      <c r="G6047" s="3" t="s">
        <v>16</v>
      </c>
      <c r="H6047" s="2" t="s">
        <v>162</v>
      </c>
      <c r="I6047" s="3" t="s">
        <v>94</v>
      </c>
      <c r="J6047" s="31">
        <v>46055</v>
      </c>
      <c r="K6047" s="31">
        <v>46057</v>
      </c>
      <c r="L6047" s="31">
        <v>46073</v>
      </c>
      <c r="M6047" s="31">
        <v>46083</v>
      </c>
      <c r="N6047" s="31">
        <v>46079</v>
      </c>
      <c r="O6047" s="2" t="s">
        <v>297</v>
      </c>
    </row>
    <row r="6048" spans="1:15">
      <c r="A6048" s="3">
        <f t="shared" si="139"/>
        <v>6047</v>
      </c>
      <c r="B6048" s="65" t="s">
        <v>8752</v>
      </c>
      <c r="C6048" s="1">
        <v>9966870502</v>
      </c>
      <c r="E6048" s="17" t="s">
        <v>8240</v>
      </c>
      <c r="F6048" s="4" t="s">
        <v>2482</v>
      </c>
      <c r="G6048" s="3" t="s">
        <v>16</v>
      </c>
      <c r="H6048" s="2" t="s">
        <v>162</v>
      </c>
      <c r="I6048" s="3" t="s">
        <v>94</v>
      </c>
      <c r="J6048" s="31">
        <v>46055</v>
      </c>
      <c r="K6048" s="31">
        <v>46055</v>
      </c>
      <c r="L6048" s="31">
        <v>46059</v>
      </c>
      <c r="M6048" s="31">
        <v>46074</v>
      </c>
      <c r="N6048" s="31">
        <v>46070</v>
      </c>
      <c r="O6048" s="2" t="s">
        <v>297</v>
      </c>
    </row>
    <row r="6049" spans="1:15">
      <c r="A6049" s="3">
        <f t="shared" si="139"/>
        <v>6048</v>
      </c>
      <c r="B6049" s="65" t="s">
        <v>8753</v>
      </c>
      <c r="C6049" s="1">
        <v>9705309503</v>
      </c>
      <c r="E6049" s="17" t="s">
        <v>8402</v>
      </c>
      <c r="F6049" s="4" t="s">
        <v>2482</v>
      </c>
      <c r="G6049" s="3" t="s">
        <v>16</v>
      </c>
      <c r="H6049" s="2" t="s">
        <v>162</v>
      </c>
      <c r="I6049" s="3" t="s">
        <v>94</v>
      </c>
      <c r="J6049" s="31">
        <v>46055</v>
      </c>
      <c r="K6049" s="31">
        <v>46055</v>
      </c>
      <c r="L6049" s="31">
        <v>46059</v>
      </c>
      <c r="M6049" s="31">
        <v>46083</v>
      </c>
      <c r="N6049" s="31">
        <v>46074</v>
      </c>
      <c r="O6049" s="2" t="s">
        <v>297</v>
      </c>
    </row>
    <row r="6050" spans="1:15">
      <c r="A6050" s="3">
        <f t="shared" si="139"/>
        <v>6049</v>
      </c>
      <c r="B6050" s="65" t="s">
        <v>8754</v>
      </c>
      <c r="C6050" s="1">
        <v>8106684987</v>
      </c>
      <c r="D6050" s="1">
        <v>6281430783</v>
      </c>
      <c r="E6050" s="17" t="s">
        <v>6537</v>
      </c>
      <c r="F6050" s="4" t="s">
        <v>8755</v>
      </c>
      <c r="G6050" s="3" t="s">
        <v>16</v>
      </c>
      <c r="H6050" s="2" t="s">
        <v>6158</v>
      </c>
      <c r="I6050" s="3" t="s">
        <v>42</v>
      </c>
      <c r="J6050" s="31">
        <v>46055</v>
      </c>
      <c r="K6050" s="31">
        <v>46058</v>
      </c>
      <c r="L6050" s="31">
        <v>46060</v>
      </c>
      <c r="M6050" s="31">
        <v>46097</v>
      </c>
      <c r="N6050" s="31">
        <v>46097</v>
      </c>
      <c r="O6050" s="2" t="s">
        <v>297</v>
      </c>
    </row>
    <row r="6051" spans="1:15">
      <c r="A6051" s="3">
        <f t="shared" si="139"/>
        <v>6050</v>
      </c>
      <c r="B6051" s="65" t="s">
        <v>8756</v>
      </c>
      <c r="C6051" s="1">
        <v>8930990823</v>
      </c>
      <c r="E6051" s="17" t="s">
        <v>6537</v>
      </c>
      <c r="F6051" s="4" t="s">
        <v>8755</v>
      </c>
      <c r="G6051" s="3" t="s">
        <v>416</v>
      </c>
      <c r="H6051" s="2" t="s">
        <v>6158</v>
      </c>
      <c r="I6051" s="3" t="s">
        <v>42</v>
      </c>
      <c r="J6051" s="31">
        <v>46055</v>
      </c>
      <c r="K6051" s="31">
        <v>46058</v>
      </c>
      <c r="L6051" s="31"/>
      <c r="M6051" s="31"/>
      <c r="N6051" s="31"/>
      <c r="O6051" s="2" t="s">
        <v>297</v>
      </c>
    </row>
    <row r="6052" spans="1:15">
      <c r="A6052" s="3">
        <f t="shared" si="139"/>
        <v>6051</v>
      </c>
      <c r="B6052" s="65" t="s">
        <v>8757</v>
      </c>
      <c r="C6052" s="1">
        <v>6207400460</v>
      </c>
      <c r="E6052" s="17" t="s">
        <v>6537</v>
      </c>
      <c r="F6052" s="4" t="s">
        <v>8758</v>
      </c>
      <c r="G6052" s="3" t="s">
        <v>416</v>
      </c>
      <c r="H6052" s="2" t="s">
        <v>6158</v>
      </c>
      <c r="I6052" s="3" t="s">
        <v>42</v>
      </c>
      <c r="J6052" s="31">
        <v>46055</v>
      </c>
      <c r="K6052" s="31">
        <v>46058</v>
      </c>
      <c r="L6052" s="31"/>
      <c r="M6052" s="31"/>
      <c r="N6052" s="31"/>
      <c r="O6052" s="2" t="s">
        <v>297</v>
      </c>
    </row>
    <row r="6053" spans="1:15">
      <c r="A6053" s="3">
        <f t="shared" si="139"/>
        <v>6052</v>
      </c>
      <c r="B6053" s="65" t="s">
        <v>8759</v>
      </c>
      <c r="C6053" s="1">
        <v>7985858162</v>
      </c>
      <c r="E6053" s="17" t="s">
        <v>6537</v>
      </c>
      <c r="F6053" s="4" t="s">
        <v>8760</v>
      </c>
      <c r="G6053" s="3" t="s">
        <v>16</v>
      </c>
      <c r="H6053" s="2" t="s">
        <v>6158</v>
      </c>
      <c r="I6053" s="3" t="s">
        <v>42</v>
      </c>
      <c r="J6053" s="31">
        <v>46055</v>
      </c>
      <c r="K6053" s="31">
        <v>46058</v>
      </c>
      <c r="L6053" s="31">
        <v>46062</v>
      </c>
      <c r="M6053" s="31">
        <v>46082</v>
      </c>
      <c r="N6053" s="31">
        <v>46072</v>
      </c>
      <c r="O6053" s="2" t="s">
        <v>297</v>
      </c>
    </row>
    <row r="6054" spans="1:15">
      <c r="A6054" s="3">
        <f t="shared" si="139"/>
        <v>6053</v>
      </c>
      <c r="B6054" s="65" t="s">
        <v>8761</v>
      </c>
      <c r="C6054" s="1">
        <v>6207215973</v>
      </c>
      <c r="D6054" s="1">
        <v>8540985236</v>
      </c>
      <c r="E6054" s="17" t="s">
        <v>6537</v>
      </c>
      <c r="F6054" s="4" t="s">
        <v>8760</v>
      </c>
      <c r="G6054" s="3" t="s">
        <v>764</v>
      </c>
      <c r="H6054" s="2" t="s">
        <v>6158</v>
      </c>
      <c r="I6054" s="3" t="s">
        <v>42</v>
      </c>
      <c r="J6054" s="31">
        <v>46055</v>
      </c>
      <c r="K6054" s="31">
        <v>46058</v>
      </c>
      <c r="L6054" s="31"/>
      <c r="M6054" s="31"/>
      <c r="N6054" s="31"/>
      <c r="O6054" s="2" t="s">
        <v>425</v>
      </c>
    </row>
    <row r="6055" spans="1:15">
      <c r="A6055" s="3">
        <f t="shared" si="139"/>
        <v>6054</v>
      </c>
      <c r="B6055" s="65" t="s">
        <v>8762</v>
      </c>
      <c r="C6055" s="1">
        <v>9948943321</v>
      </c>
      <c r="E6055" s="17" t="s">
        <v>6537</v>
      </c>
      <c r="F6055" s="4" t="s">
        <v>308</v>
      </c>
      <c r="G6055" s="2" t="s">
        <v>416</v>
      </c>
      <c r="H6055" s="2" t="s">
        <v>6158</v>
      </c>
      <c r="I6055" s="3" t="s">
        <v>42</v>
      </c>
      <c r="J6055" s="31">
        <v>46055</v>
      </c>
      <c r="K6055" s="31">
        <v>46058</v>
      </c>
      <c r="L6055" s="31"/>
      <c r="M6055" s="31"/>
      <c r="N6055" s="31"/>
      <c r="O6055" s="2" t="s">
        <v>297</v>
      </c>
    </row>
    <row r="6056" spans="1:15">
      <c r="A6056" s="3">
        <f t="shared" si="139"/>
        <v>6055</v>
      </c>
      <c r="B6056" s="65" t="s">
        <v>8763</v>
      </c>
      <c r="C6056" s="1">
        <v>7978305134</v>
      </c>
      <c r="E6056" s="17" t="s">
        <v>6537</v>
      </c>
      <c r="F6056" s="4" t="s">
        <v>308</v>
      </c>
      <c r="G6056" s="3" t="s">
        <v>16</v>
      </c>
      <c r="H6056" s="2" t="s">
        <v>6158</v>
      </c>
      <c r="I6056" s="3" t="s">
        <v>42</v>
      </c>
      <c r="J6056" s="31">
        <v>46055</v>
      </c>
      <c r="K6056" s="31">
        <v>46058</v>
      </c>
      <c r="L6056" s="31">
        <v>46060</v>
      </c>
      <c r="M6056" s="31">
        <v>46097</v>
      </c>
      <c r="N6056" s="31">
        <v>46097</v>
      </c>
      <c r="O6056" s="2" t="s">
        <v>297</v>
      </c>
    </row>
    <row r="6057" spans="1:15">
      <c r="A6057" s="3">
        <f t="shared" si="139"/>
        <v>6056</v>
      </c>
      <c r="B6057" s="65" t="s">
        <v>8764</v>
      </c>
      <c r="C6057" s="1">
        <v>9182707439</v>
      </c>
      <c r="E6057" s="17" t="s">
        <v>8730</v>
      </c>
      <c r="F6057" s="4" t="s">
        <v>8765</v>
      </c>
      <c r="G6057" s="3" t="s">
        <v>1175</v>
      </c>
      <c r="H6057" s="2" t="s">
        <v>6158</v>
      </c>
      <c r="I6057" s="3" t="s">
        <v>42</v>
      </c>
      <c r="J6057" s="31">
        <v>46055</v>
      </c>
      <c r="K6057" s="31"/>
      <c r="L6057" s="31"/>
      <c r="M6057" s="31"/>
      <c r="N6057" s="31"/>
      <c r="O6057" s="2" t="s">
        <v>1004</v>
      </c>
    </row>
    <row r="6058" spans="1:15">
      <c r="A6058" s="3">
        <f t="shared" si="139"/>
        <v>6057</v>
      </c>
      <c r="B6058" s="65" t="s">
        <v>8766</v>
      </c>
      <c r="C6058" s="1">
        <v>9492110001</v>
      </c>
      <c r="E6058" s="17" t="s">
        <v>6755</v>
      </c>
      <c r="F6058" s="4" t="s">
        <v>8767</v>
      </c>
      <c r="G6058" s="3" t="s">
        <v>424</v>
      </c>
      <c r="H6058" s="2" t="s">
        <v>3240</v>
      </c>
      <c r="I6058" s="3" t="s">
        <v>42</v>
      </c>
      <c r="J6058" s="31">
        <v>46055</v>
      </c>
      <c r="K6058" s="31">
        <v>46062</v>
      </c>
      <c r="L6058" s="31"/>
      <c r="M6058" s="31"/>
      <c r="N6058" s="31"/>
      <c r="O6058" s="2" t="s">
        <v>425</v>
      </c>
    </row>
    <row r="6059" spans="1:15">
      <c r="A6059" s="3">
        <f t="shared" si="139"/>
        <v>6058</v>
      </c>
      <c r="B6059" s="65" t="s">
        <v>8768</v>
      </c>
      <c r="C6059" s="1">
        <v>8500930331</v>
      </c>
      <c r="E6059" s="17" t="s">
        <v>8639</v>
      </c>
      <c r="F6059" s="4" t="s">
        <v>8769</v>
      </c>
      <c r="G6059" s="2" t="s">
        <v>416</v>
      </c>
      <c r="H6059" s="2" t="s">
        <v>102</v>
      </c>
      <c r="I6059" s="3" t="s">
        <v>42</v>
      </c>
      <c r="J6059" s="31">
        <v>46055</v>
      </c>
      <c r="K6059" s="31">
        <v>46057</v>
      </c>
      <c r="L6059" s="31"/>
      <c r="M6059" s="31"/>
      <c r="N6059" s="31"/>
      <c r="O6059" s="2" t="s">
        <v>297</v>
      </c>
    </row>
    <row r="6060" spans="1:15">
      <c r="A6060" s="3">
        <f t="shared" si="139"/>
        <v>6059</v>
      </c>
      <c r="B6060" s="65" t="s">
        <v>8770</v>
      </c>
      <c r="C6060" s="1">
        <v>6266574659</v>
      </c>
      <c r="E6060" s="17" t="s">
        <v>8641</v>
      </c>
      <c r="F6060" s="4" t="s">
        <v>8771</v>
      </c>
      <c r="G6060" s="3" t="s">
        <v>764</v>
      </c>
      <c r="H6060" s="2" t="s">
        <v>102</v>
      </c>
      <c r="I6060" s="3" t="s">
        <v>42</v>
      </c>
      <c r="J6060" s="31">
        <v>46055</v>
      </c>
      <c r="K6060" s="31">
        <v>46057</v>
      </c>
      <c r="L6060" s="31"/>
      <c r="M6060" s="31"/>
      <c r="N6060" s="31"/>
      <c r="O6060" s="2" t="s">
        <v>425</v>
      </c>
    </row>
    <row r="6061" spans="1:15">
      <c r="A6061" s="3">
        <f t="shared" si="139"/>
        <v>6060</v>
      </c>
      <c r="B6061" s="65" t="s">
        <v>8772</v>
      </c>
      <c r="C6061" s="1">
        <v>8096112065</v>
      </c>
      <c r="E6061" s="17" t="s">
        <v>8644</v>
      </c>
      <c r="F6061" s="4" t="s">
        <v>8773</v>
      </c>
      <c r="G6061" s="2" t="s">
        <v>295</v>
      </c>
      <c r="H6061" s="2" t="s">
        <v>102</v>
      </c>
      <c r="I6061" s="3" t="s">
        <v>42</v>
      </c>
      <c r="J6061" s="31">
        <v>46055</v>
      </c>
      <c r="K6061" s="31">
        <v>46057</v>
      </c>
      <c r="L6061" s="31">
        <v>46079</v>
      </c>
      <c r="M6061" s="31">
        <v>46097</v>
      </c>
      <c r="N6061" s="31"/>
      <c r="O6061" s="2" t="s">
        <v>297</v>
      </c>
    </row>
    <row r="6062" spans="1:15">
      <c r="A6062" s="3">
        <f t="shared" ref="A6062:A6080" si="140">ROW()-1</f>
        <v>6061</v>
      </c>
      <c r="B6062" s="65" t="s">
        <v>8774</v>
      </c>
      <c r="C6062" s="1">
        <v>9204882825</v>
      </c>
      <c r="E6062" s="17" t="s">
        <v>8440</v>
      </c>
      <c r="F6062" s="4"/>
      <c r="G6062" s="3" t="s">
        <v>16</v>
      </c>
      <c r="H6062" s="2" t="s">
        <v>8674</v>
      </c>
      <c r="I6062" s="3" t="s">
        <v>42</v>
      </c>
      <c r="J6062" s="31">
        <v>46053</v>
      </c>
      <c r="K6062" s="31">
        <v>46054</v>
      </c>
      <c r="L6062" s="31">
        <v>46055</v>
      </c>
      <c r="M6062" s="31">
        <v>46075</v>
      </c>
      <c r="N6062" s="31">
        <v>46069</v>
      </c>
      <c r="O6062" s="2" t="s">
        <v>297</v>
      </c>
    </row>
    <row r="6063" spans="1:15">
      <c r="A6063" s="3">
        <f t="shared" si="140"/>
        <v>6062</v>
      </c>
      <c r="B6063" s="65" t="s">
        <v>8775</v>
      </c>
      <c r="C6063" s="1">
        <v>9493677295</v>
      </c>
      <c r="E6063" s="17" t="s">
        <v>7923</v>
      </c>
      <c r="F6063" s="4"/>
      <c r="G6063" s="3" t="s">
        <v>16</v>
      </c>
      <c r="H6063" s="2" t="s">
        <v>8776</v>
      </c>
      <c r="I6063" s="3" t="s">
        <v>42</v>
      </c>
      <c r="J6063" s="31">
        <v>46053</v>
      </c>
      <c r="K6063" s="31">
        <v>46054</v>
      </c>
      <c r="L6063" s="31">
        <v>46055</v>
      </c>
      <c r="M6063" s="31">
        <v>46058</v>
      </c>
      <c r="N6063" s="31">
        <v>46043</v>
      </c>
      <c r="O6063" s="2" t="s">
        <v>297</v>
      </c>
    </row>
    <row r="6064" spans="1:15">
      <c r="A6064" s="3">
        <f t="shared" si="140"/>
        <v>6063</v>
      </c>
      <c r="B6064" s="65" t="s">
        <v>8777</v>
      </c>
      <c r="C6064" s="1">
        <v>7816094732</v>
      </c>
      <c r="E6064" s="17" t="s">
        <v>8193</v>
      </c>
      <c r="F6064" s="4"/>
      <c r="G6064" s="3" t="s">
        <v>16</v>
      </c>
      <c r="H6064" s="2" t="s">
        <v>815</v>
      </c>
      <c r="I6064" s="3" t="s">
        <v>42</v>
      </c>
      <c r="J6064" s="31">
        <v>46053</v>
      </c>
      <c r="K6064" s="31">
        <v>46054</v>
      </c>
      <c r="L6064" s="31">
        <v>46055</v>
      </c>
      <c r="M6064" s="31">
        <v>46062</v>
      </c>
      <c r="N6064" s="31">
        <v>46054</v>
      </c>
      <c r="O6064" s="2" t="s">
        <v>297</v>
      </c>
    </row>
    <row r="6065" spans="1:15">
      <c r="A6065" s="3">
        <f t="shared" si="140"/>
        <v>6064</v>
      </c>
      <c r="B6065" s="65" t="s">
        <v>8778</v>
      </c>
      <c r="C6065" s="1">
        <v>8790718517</v>
      </c>
      <c r="E6065" s="17" t="s">
        <v>3954</v>
      </c>
      <c r="F6065" s="4" t="s">
        <v>8779</v>
      </c>
      <c r="G6065" s="3" t="s">
        <v>16</v>
      </c>
      <c r="H6065" s="2" t="s">
        <v>6158</v>
      </c>
      <c r="I6065" s="3" t="s">
        <v>42</v>
      </c>
      <c r="J6065" s="31">
        <v>46056</v>
      </c>
      <c r="K6065" s="31">
        <v>46058</v>
      </c>
      <c r="L6065" s="31">
        <v>46065</v>
      </c>
      <c r="M6065" s="31">
        <v>46097</v>
      </c>
      <c r="N6065" s="31">
        <v>46097</v>
      </c>
      <c r="O6065" s="2" t="s">
        <v>297</v>
      </c>
    </row>
    <row r="6066" spans="1:15">
      <c r="A6066" s="3">
        <f t="shared" si="140"/>
        <v>6065</v>
      </c>
      <c r="B6066" s="65" t="s">
        <v>6089</v>
      </c>
      <c r="C6066" s="1">
        <v>8279696500</v>
      </c>
      <c r="D6066" s="1">
        <v>7409403972</v>
      </c>
      <c r="E6066" s="17" t="s">
        <v>7741</v>
      </c>
      <c r="F6066" s="4" t="s">
        <v>8780</v>
      </c>
      <c r="G6066" s="3" t="s">
        <v>16</v>
      </c>
      <c r="H6066" s="2" t="s">
        <v>6158</v>
      </c>
      <c r="I6066" s="3" t="s">
        <v>42</v>
      </c>
      <c r="J6066" s="31">
        <v>46056</v>
      </c>
      <c r="K6066" s="31">
        <v>46058</v>
      </c>
      <c r="L6066" s="31">
        <v>46062</v>
      </c>
      <c r="M6066" s="31">
        <v>46076</v>
      </c>
      <c r="N6066" s="31">
        <v>46076</v>
      </c>
      <c r="O6066" s="2" t="s">
        <v>297</v>
      </c>
    </row>
    <row r="6067" spans="1:15">
      <c r="A6067" s="3">
        <f t="shared" si="140"/>
        <v>6066</v>
      </c>
      <c r="B6067" s="65" t="s">
        <v>8781</v>
      </c>
      <c r="C6067" s="1">
        <v>7075181131</v>
      </c>
      <c r="E6067" s="17" t="s">
        <v>3954</v>
      </c>
      <c r="F6067" s="4" t="s">
        <v>1550</v>
      </c>
      <c r="G6067" s="3" t="s">
        <v>295</v>
      </c>
      <c r="H6067" s="2" t="s">
        <v>6158</v>
      </c>
      <c r="I6067" s="3" t="s">
        <v>42</v>
      </c>
      <c r="J6067" s="31">
        <v>46056</v>
      </c>
      <c r="K6067" s="31">
        <v>46058</v>
      </c>
      <c r="L6067" s="31">
        <v>46062</v>
      </c>
      <c r="M6067" s="31">
        <v>46090</v>
      </c>
      <c r="N6067" s="31"/>
      <c r="O6067" s="2" t="s">
        <v>297</v>
      </c>
    </row>
    <row r="6068" spans="1:15">
      <c r="A6068" s="3">
        <f t="shared" si="140"/>
        <v>6067</v>
      </c>
      <c r="B6068" s="65" t="s">
        <v>8782</v>
      </c>
      <c r="C6068" s="1">
        <v>7993983829</v>
      </c>
      <c r="D6068" s="1">
        <v>8897675606</v>
      </c>
      <c r="E6068" s="17" t="s">
        <v>8641</v>
      </c>
      <c r="F6068" s="4" t="s">
        <v>419</v>
      </c>
      <c r="G6068" s="3" t="s">
        <v>764</v>
      </c>
      <c r="H6068" s="2" t="s">
        <v>102</v>
      </c>
      <c r="I6068" s="3" t="s">
        <v>42</v>
      </c>
      <c r="J6068" s="31">
        <v>46056</v>
      </c>
      <c r="K6068" s="31">
        <v>46058</v>
      </c>
      <c r="L6068" s="31"/>
      <c r="M6068" s="31"/>
      <c r="N6068" s="31"/>
      <c r="O6068" s="2" t="s">
        <v>425</v>
      </c>
    </row>
    <row r="6069" spans="1:15">
      <c r="A6069" s="3">
        <f t="shared" si="140"/>
        <v>6068</v>
      </c>
      <c r="B6069" s="65" t="s">
        <v>8783</v>
      </c>
      <c r="C6069" s="1">
        <v>6301939677</v>
      </c>
      <c r="E6069" s="17" t="s">
        <v>8641</v>
      </c>
      <c r="F6069" s="4" t="s">
        <v>419</v>
      </c>
      <c r="G6069" s="3" t="s">
        <v>16</v>
      </c>
      <c r="H6069" s="2" t="s">
        <v>102</v>
      </c>
      <c r="I6069" s="3" t="s">
        <v>42</v>
      </c>
      <c r="J6069" s="31">
        <v>46056</v>
      </c>
      <c r="K6069" s="31">
        <v>46058</v>
      </c>
      <c r="L6069" s="31">
        <v>46060</v>
      </c>
      <c r="M6069" s="31">
        <v>46080</v>
      </c>
      <c r="N6069" s="31">
        <v>46076</v>
      </c>
      <c r="O6069" s="2" t="s">
        <v>297</v>
      </c>
    </row>
    <row r="6070" spans="1:15">
      <c r="A6070" s="3">
        <f t="shared" si="140"/>
        <v>6069</v>
      </c>
      <c r="B6070" s="65" t="s">
        <v>8784</v>
      </c>
      <c r="C6070" s="1">
        <v>6281166568</v>
      </c>
      <c r="E6070" s="17" t="s">
        <v>8641</v>
      </c>
      <c r="F6070" s="4" t="s">
        <v>308</v>
      </c>
      <c r="G6070" s="3" t="s">
        <v>295</v>
      </c>
      <c r="H6070" s="2" t="s">
        <v>102</v>
      </c>
      <c r="I6070" s="3" t="s">
        <v>42</v>
      </c>
      <c r="J6070" s="31">
        <v>46056</v>
      </c>
      <c r="K6070" s="31">
        <v>46058</v>
      </c>
      <c r="L6070" s="31">
        <v>46066</v>
      </c>
      <c r="M6070" s="31">
        <v>46085</v>
      </c>
      <c r="N6070" s="31"/>
      <c r="O6070" s="2" t="s">
        <v>297</v>
      </c>
    </row>
    <row r="6071" spans="1:15">
      <c r="A6071" s="3">
        <f t="shared" si="140"/>
        <v>6070</v>
      </c>
      <c r="B6071" s="65" t="s">
        <v>8785</v>
      </c>
      <c r="C6071" s="1">
        <v>7013797381</v>
      </c>
      <c r="D6071" s="1">
        <v>6309845376</v>
      </c>
      <c r="E6071" s="17" t="s">
        <v>8639</v>
      </c>
      <c r="F6071" s="4" t="s">
        <v>308</v>
      </c>
      <c r="G6071" s="3" t="s">
        <v>416</v>
      </c>
      <c r="H6071" s="2" t="s">
        <v>102</v>
      </c>
      <c r="I6071" s="3" t="s">
        <v>42</v>
      </c>
      <c r="J6071" s="31">
        <v>46056</v>
      </c>
      <c r="K6071" s="31">
        <v>46058</v>
      </c>
      <c r="L6071" s="31"/>
      <c r="M6071" s="31"/>
      <c r="N6071" s="31"/>
      <c r="O6071" s="2" t="s">
        <v>297</v>
      </c>
    </row>
    <row r="6072" spans="1:15">
      <c r="A6072" s="3">
        <f t="shared" si="140"/>
        <v>6071</v>
      </c>
      <c r="B6072" s="65" t="s">
        <v>8786</v>
      </c>
      <c r="C6072" s="1">
        <v>9010264952</v>
      </c>
      <c r="D6072" s="1">
        <v>9052230100</v>
      </c>
      <c r="E6072" s="17" t="s">
        <v>8641</v>
      </c>
      <c r="F6072" s="4" t="s">
        <v>308</v>
      </c>
      <c r="G6072" s="3" t="s">
        <v>764</v>
      </c>
      <c r="H6072" s="2" t="s">
        <v>102</v>
      </c>
      <c r="I6072" s="3" t="s">
        <v>42</v>
      </c>
      <c r="J6072" s="31">
        <v>46056</v>
      </c>
      <c r="K6072" s="31">
        <v>46058</v>
      </c>
      <c r="L6072" s="31"/>
      <c r="M6072" s="31"/>
      <c r="N6072" s="31"/>
      <c r="O6072" s="2" t="s">
        <v>425</v>
      </c>
    </row>
    <row r="6073" spans="1:15">
      <c r="A6073" s="3">
        <f t="shared" si="140"/>
        <v>6072</v>
      </c>
      <c r="B6073" s="65" t="s">
        <v>8787</v>
      </c>
      <c r="C6073" s="1">
        <v>8464949323</v>
      </c>
      <c r="E6073" s="17" t="s">
        <v>5560</v>
      </c>
      <c r="F6073" s="4" t="s">
        <v>1669</v>
      </c>
      <c r="G6073" s="3" t="s">
        <v>424</v>
      </c>
      <c r="H6073" s="2" t="s">
        <v>5774</v>
      </c>
      <c r="I6073" s="3" t="s">
        <v>42</v>
      </c>
      <c r="J6073" s="31">
        <v>46056</v>
      </c>
      <c r="K6073" s="31">
        <v>46060</v>
      </c>
      <c r="L6073" s="31"/>
      <c r="M6073" s="31"/>
      <c r="N6073" s="31"/>
      <c r="O6073" s="2" t="s">
        <v>425</v>
      </c>
    </row>
    <row r="6074" spans="1:15">
      <c r="A6074" s="3">
        <f t="shared" si="140"/>
        <v>6073</v>
      </c>
      <c r="B6074" s="65" t="s">
        <v>8788</v>
      </c>
      <c r="C6074" s="1">
        <v>9113569176</v>
      </c>
      <c r="E6074" s="17" t="s">
        <v>5560</v>
      </c>
      <c r="F6074" s="4" t="s">
        <v>1199</v>
      </c>
      <c r="G6074" s="3" t="s">
        <v>15</v>
      </c>
      <c r="H6074" s="2" t="s">
        <v>5774</v>
      </c>
      <c r="I6074" s="3" t="s">
        <v>42</v>
      </c>
      <c r="J6074" s="31">
        <v>46056</v>
      </c>
      <c r="K6074" s="31">
        <v>46101</v>
      </c>
      <c r="L6074" s="31">
        <v>46101</v>
      </c>
      <c r="M6074" s="31">
        <v>46122</v>
      </c>
      <c r="N6074" s="31"/>
      <c r="O6074" s="2" t="s">
        <v>297</v>
      </c>
    </row>
    <row r="6075" spans="1:15">
      <c r="A6075" s="3">
        <f t="shared" si="140"/>
        <v>6074</v>
      </c>
      <c r="B6075" s="65" t="s">
        <v>8789</v>
      </c>
      <c r="C6075" s="1">
        <v>9676205509</v>
      </c>
      <c r="E6075" s="17" t="s">
        <v>6537</v>
      </c>
      <c r="F6075" s="4" t="s">
        <v>308</v>
      </c>
      <c r="G6075" s="3" t="s">
        <v>764</v>
      </c>
      <c r="H6075" s="2" t="s">
        <v>6158</v>
      </c>
      <c r="I6075" s="3" t="s">
        <v>42</v>
      </c>
      <c r="J6075" s="31">
        <v>46056</v>
      </c>
      <c r="K6075" s="31">
        <v>46057</v>
      </c>
      <c r="L6075" s="31"/>
      <c r="M6075" s="31"/>
      <c r="N6075" s="31"/>
      <c r="O6075" s="2" t="s">
        <v>425</v>
      </c>
    </row>
    <row r="6076" spans="1:15">
      <c r="A6076" s="3">
        <f t="shared" si="140"/>
        <v>6075</v>
      </c>
      <c r="B6076" s="65" t="s">
        <v>8790</v>
      </c>
      <c r="C6076" s="1">
        <v>8919989825</v>
      </c>
      <c r="E6076" s="17" t="s">
        <v>6537</v>
      </c>
      <c r="F6076" s="4" t="s">
        <v>329</v>
      </c>
      <c r="G6076" s="3" t="s">
        <v>764</v>
      </c>
      <c r="H6076" s="2" t="s">
        <v>6158</v>
      </c>
      <c r="I6076" s="3" t="s">
        <v>42</v>
      </c>
      <c r="J6076" s="31">
        <v>46056</v>
      </c>
      <c r="K6076" s="31">
        <v>46057</v>
      </c>
      <c r="L6076" s="31"/>
      <c r="M6076" s="31"/>
      <c r="N6076" s="31"/>
      <c r="O6076" s="2" t="s">
        <v>425</v>
      </c>
    </row>
    <row r="6077" spans="1:15">
      <c r="A6077" s="3">
        <f t="shared" si="140"/>
        <v>6076</v>
      </c>
      <c r="B6077" s="65" t="s">
        <v>8791</v>
      </c>
      <c r="C6077" s="1">
        <v>7780422358</v>
      </c>
      <c r="E6077" s="17" t="s">
        <v>6537</v>
      </c>
      <c r="F6077" s="4" t="s">
        <v>8792</v>
      </c>
      <c r="G6077" s="3" t="s">
        <v>764</v>
      </c>
      <c r="H6077" s="2" t="s">
        <v>6158</v>
      </c>
      <c r="I6077" s="3" t="s">
        <v>42</v>
      </c>
      <c r="J6077" s="31">
        <v>46056</v>
      </c>
      <c r="K6077" s="31">
        <v>46057</v>
      </c>
      <c r="L6077" s="31"/>
      <c r="M6077" s="31"/>
      <c r="N6077" s="31"/>
      <c r="O6077" s="2" t="s">
        <v>425</v>
      </c>
    </row>
    <row r="6078" spans="1:15">
      <c r="A6078" s="3">
        <f t="shared" si="140"/>
        <v>6077</v>
      </c>
      <c r="B6078" s="65" t="s">
        <v>8793</v>
      </c>
      <c r="C6078" s="1">
        <v>8088019475</v>
      </c>
      <c r="E6078" s="17" t="s">
        <v>6537</v>
      </c>
      <c r="F6078" s="4" t="s">
        <v>8794</v>
      </c>
      <c r="G6078" s="3" t="s">
        <v>416</v>
      </c>
      <c r="H6078" s="2" t="s">
        <v>6158</v>
      </c>
      <c r="I6078" s="3" t="s">
        <v>42</v>
      </c>
      <c r="J6078" s="31">
        <v>46056</v>
      </c>
      <c r="K6078" s="31">
        <v>46058</v>
      </c>
      <c r="L6078" s="31"/>
      <c r="M6078" s="31"/>
      <c r="N6078" s="31"/>
      <c r="O6078" s="2" t="s">
        <v>297</v>
      </c>
    </row>
    <row r="6079" spans="1:15">
      <c r="A6079" s="3">
        <f t="shared" si="140"/>
        <v>6078</v>
      </c>
      <c r="B6079" s="65" t="s">
        <v>8795</v>
      </c>
      <c r="C6079" s="1">
        <v>7650810333</v>
      </c>
      <c r="D6079" s="1">
        <v>8239055369</v>
      </c>
      <c r="E6079" s="17" t="s">
        <v>8796</v>
      </c>
      <c r="F6079" s="4" t="s">
        <v>8797</v>
      </c>
      <c r="G6079" s="3" t="s">
        <v>424</v>
      </c>
      <c r="H6079" s="2" t="s">
        <v>487</v>
      </c>
      <c r="I6079" s="3" t="s">
        <v>88</v>
      </c>
      <c r="J6079" s="31">
        <v>46057</v>
      </c>
      <c r="K6079" s="31">
        <v>46059</v>
      </c>
      <c r="L6079" s="31"/>
      <c r="M6079" s="31"/>
      <c r="N6079" s="31"/>
      <c r="O6079" s="2" t="s">
        <v>425</v>
      </c>
    </row>
    <row r="6080" spans="1:15">
      <c r="A6080" s="3">
        <f t="shared" si="140"/>
        <v>6079</v>
      </c>
      <c r="B6080" s="65" t="s">
        <v>8798</v>
      </c>
      <c r="C6080" s="1">
        <v>8240158793</v>
      </c>
      <c r="E6080" s="17" t="s">
        <v>8796</v>
      </c>
      <c r="F6080" s="4" t="s">
        <v>329</v>
      </c>
      <c r="G6080" s="3" t="s">
        <v>16</v>
      </c>
      <c r="H6080" s="2" t="s">
        <v>487</v>
      </c>
      <c r="I6080" s="3" t="s">
        <v>88</v>
      </c>
      <c r="J6080" s="31">
        <v>46057</v>
      </c>
      <c r="K6080" s="31">
        <v>46058</v>
      </c>
      <c r="L6080" s="31">
        <v>46060</v>
      </c>
      <c r="M6080" s="31">
        <v>46101</v>
      </c>
      <c r="N6080" s="31">
        <v>46098</v>
      </c>
      <c r="O6080" s="2" t="s">
        <v>297</v>
      </c>
    </row>
    <row r="6081" spans="1:15">
      <c r="A6081" s="3">
        <f t="shared" ref="A6081:A6096" si="141">ROW()-1</f>
        <v>6080</v>
      </c>
      <c r="B6081" s="65" t="s">
        <v>4389</v>
      </c>
      <c r="C6081" s="1">
        <v>8864936718</v>
      </c>
      <c r="E6081" s="17" t="s">
        <v>8796</v>
      </c>
      <c r="F6081" s="4" t="s">
        <v>1312</v>
      </c>
      <c r="G6081" s="3" t="s">
        <v>15</v>
      </c>
      <c r="H6081" s="2" t="s">
        <v>487</v>
      </c>
      <c r="I6081" s="3" t="s">
        <v>88</v>
      </c>
      <c r="J6081" s="31">
        <v>46057</v>
      </c>
      <c r="K6081" s="31">
        <v>46058</v>
      </c>
      <c r="L6081" s="31">
        <v>46077</v>
      </c>
      <c r="M6081" s="31">
        <v>46127</v>
      </c>
      <c r="N6081" s="31"/>
      <c r="O6081" s="3" t="s">
        <v>297</v>
      </c>
    </row>
    <row r="6082" spans="1:15">
      <c r="A6082" s="3">
        <f t="shared" si="141"/>
        <v>6081</v>
      </c>
      <c r="B6082" s="65" t="s">
        <v>8799</v>
      </c>
      <c r="C6082" s="1">
        <v>7223968727</v>
      </c>
      <c r="E6082" s="17" t="s">
        <v>8800</v>
      </c>
      <c r="F6082" s="4" t="s">
        <v>863</v>
      </c>
      <c r="G6082" s="3" t="s">
        <v>16</v>
      </c>
      <c r="H6082" s="2" t="s">
        <v>815</v>
      </c>
      <c r="I6082" s="3" t="s">
        <v>42</v>
      </c>
      <c r="J6082" s="31">
        <v>46057</v>
      </c>
      <c r="K6082" s="31">
        <v>46063</v>
      </c>
      <c r="L6082" s="31">
        <v>46066</v>
      </c>
      <c r="M6082" s="31">
        <v>46085</v>
      </c>
      <c r="N6082" s="31">
        <v>46083</v>
      </c>
      <c r="O6082" s="2" t="s">
        <v>297</v>
      </c>
    </row>
    <row r="6083" spans="1:15">
      <c r="A6083" s="3">
        <f t="shared" si="141"/>
        <v>6082</v>
      </c>
      <c r="B6083" s="65" t="s">
        <v>8801</v>
      </c>
      <c r="C6083" s="1">
        <v>7093493344</v>
      </c>
      <c r="E6083" s="17" t="s">
        <v>8800</v>
      </c>
      <c r="F6083" s="4" t="s">
        <v>863</v>
      </c>
      <c r="G6083" s="2" t="s">
        <v>416</v>
      </c>
      <c r="H6083" s="2" t="s">
        <v>815</v>
      </c>
      <c r="I6083" s="3" t="s">
        <v>42</v>
      </c>
      <c r="J6083" s="31">
        <v>46057</v>
      </c>
      <c r="K6083" s="31">
        <v>46057</v>
      </c>
      <c r="L6083" s="31"/>
      <c r="M6083" s="31"/>
      <c r="N6083" s="31"/>
      <c r="O6083" s="2" t="s">
        <v>297</v>
      </c>
    </row>
    <row r="6084" spans="1:15">
      <c r="A6084" s="3">
        <f t="shared" si="141"/>
        <v>6083</v>
      </c>
      <c r="B6084" s="65" t="s">
        <v>8802</v>
      </c>
      <c r="C6084" s="1">
        <v>7675046895</v>
      </c>
      <c r="E6084" s="17" t="s">
        <v>8800</v>
      </c>
      <c r="F6084" s="4" t="s">
        <v>1767</v>
      </c>
      <c r="G6084" s="3" t="s">
        <v>15</v>
      </c>
      <c r="H6084" s="2" t="s">
        <v>815</v>
      </c>
      <c r="I6084" s="3" t="s">
        <v>42</v>
      </c>
      <c r="J6084" s="31">
        <v>46057</v>
      </c>
      <c r="K6084" s="31">
        <v>46057</v>
      </c>
      <c r="L6084" s="31">
        <v>46108</v>
      </c>
      <c r="M6084" s="31">
        <v>46115</v>
      </c>
      <c r="N6084" s="31"/>
      <c r="O6084" s="2" t="s">
        <v>297</v>
      </c>
    </row>
    <row r="6085" spans="1:15">
      <c r="A6085" s="3">
        <f t="shared" si="141"/>
        <v>6084</v>
      </c>
      <c r="B6085" s="65" t="s">
        <v>8803</v>
      </c>
      <c r="C6085" s="1">
        <v>8825275349</v>
      </c>
      <c r="E6085" s="17" t="s">
        <v>8800</v>
      </c>
      <c r="F6085" s="4" t="s">
        <v>1827</v>
      </c>
      <c r="G6085" s="3" t="s">
        <v>416</v>
      </c>
      <c r="H6085" s="2" t="s">
        <v>815</v>
      </c>
      <c r="I6085" s="3" t="s">
        <v>42</v>
      </c>
      <c r="J6085" s="31">
        <v>46057</v>
      </c>
      <c r="K6085" s="31">
        <v>46063</v>
      </c>
      <c r="L6085" s="31"/>
      <c r="M6085" s="31"/>
      <c r="N6085" s="31"/>
      <c r="O6085" s="2" t="s">
        <v>297</v>
      </c>
    </row>
    <row r="6086" spans="1:15">
      <c r="A6086" s="3">
        <f t="shared" si="141"/>
        <v>6085</v>
      </c>
      <c r="B6086" s="65" t="s">
        <v>8804</v>
      </c>
      <c r="C6086" s="1">
        <v>9985588750</v>
      </c>
      <c r="E6086" s="17" t="s">
        <v>8805</v>
      </c>
      <c r="F6086" s="4" t="s">
        <v>8806</v>
      </c>
      <c r="G6086" s="3" t="s">
        <v>416</v>
      </c>
      <c r="H6086" s="2" t="s">
        <v>162</v>
      </c>
      <c r="I6086" s="3" t="s">
        <v>94</v>
      </c>
      <c r="J6086" s="31">
        <v>46057</v>
      </c>
      <c r="K6086" s="31">
        <v>46078</v>
      </c>
      <c r="L6086" s="31"/>
      <c r="M6086" s="31"/>
      <c r="N6086" s="31"/>
      <c r="O6086" s="2" t="s">
        <v>297</v>
      </c>
    </row>
    <row r="6087" spans="1:15">
      <c r="A6087" s="3">
        <f t="shared" si="141"/>
        <v>6086</v>
      </c>
      <c r="B6087" s="65" t="s">
        <v>8807</v>
      </c>
      <c r="C6087" s="1">
        <v>7876147316</v>
      </c>
      <c r="E6087" s="17" t="s">
        <v>8805</v>
      </c>
      <c r="F6087" s="4" t="s">
        <v>8808</v>
      </c>
      <c r="G6087" s="3" t="s">
        <v>764</v>
      </c>
      <c r="H6087" s="2" t="s">
        <v>162</v>
      </c>
      <c r="I6087" s="3" t="s">
        <v>94</v>
      </c>
      <c r="J6087" s="31">
        <v>46057</v>
      </c>
      <c r="K6087" s="31">
        <v>46085</v>
      </c>
      <c r="L6087" s="31"/>
      <c r="M6087" s="31"/>
      <c r="N6087" s="31"/>
      <c r="O6087" s="2" t="s">
        <v>425</v>
      </c>
    </row>
    <row r="6088" spans="1:15">
      <c r="A6088" s="3">
        <f t="shared" si="141"/>
        <v>6087</v>
      </c>
      <c r="B6088" s="65" t="s">
        <v>1775</v>
      </c>
      <c r="C6088" s="1">
        <v>9381819917</v>
      </c>
      <c r="E6088" s="17" t="s">
        <v>8809</v>
      </c>
      <c r="F6088" s="4" t="s">
        <v>1109</v>
      </c>
      <c r="G6088" s="3" t="s">
        <v>424</v>
      </c>
      <c r="H6088" s="2" t="s">
        <v>815</v>
      </c>
      <c r="I6088" s="3" t="s">
        <v>94</v>
      </c>
      <c r="J6088" s="31">
        <v>46057</v>
      </c>
      <c r="K6088" s="31">
        <v>46063</v>
      </c>
      <c r="L6088" s="31"/>
      <c r="M6088" s="31"/>
      <c r="N6088" s="31"/>
      <c r="O6088" s="2" t="s">
        <v>425</v>
      </c>
    </row>
    <row r="6089" spans="1:15">
      <c r="A6089" s="3">
        <f t="shared" si="141"/>
        <v>6088</v>
      </c>
      <c r="B6089" s="65" t="s">
        <v>8810</v>
      </c>
      <c r="C6089" s="1">
        <v>9705885613</v>
      </c>
      <c r="E6089" s="17" t="s">
        <v>8809</v>
      </c>
      <c r="F6089" s="4" t="s">
        <v>4671</v>
      </c>
      <c r="G6089" s="3" t="s">
        <v>295</v>
      </c>
      <c r="H6089" s="2" t="s">
        <v>815</v>
      </c>
      <c r="I6089" s="3" t="s">
        <v>94</v>
      </c>
      <c r="J6089" s="31">
        <v>46057</v>
      </c>
      <c r="K6089" s="31">
        <v>46063</v>
      </c>
      <c r="L6089" s="31">
        <v>46072</v>
      </c>
      <c r="M6089" s="31">
        <v>46104</v>
      </c>
      <c r="N6089" s="31"/>
      <c r="O6089" s="2" t="s">
        <v>297</v>
      </c>
    </row>
    <row r="6090" spans="1:15">
      <c r="A6090" s="3">
        <f t="shared" si="141"/>
        <v>6089</v>
      </c>
      <c r="B6090" s="65" t="s">
        <v>720</v>
      </c>
      <c r="C6090" s="1">
        <v>8341393837</v>
      </c>
      <c r="E6090" s="17" t="s">
        <v>8644</v>
      </c>
      <c r="F6090" s="4" t="s">
        <v>395</v>
      </c>
      <c r="G6090" s="3" t="s">
        <v>16</v>
      </c>
      <c r="H6090" s="2" t="s">
        <v>6158</v>
      </c>
      <c r="I6090" s="3" t="s">
        <v>42</v>
      </c>
      <c r="J6090" s="31">
        <v>46057</v>
      </c>
      <c r="K6090" s="31">
        <v>46063</v>
      </c>
      <c r="L6090" s="31">
        <v>46066</v>
      </c>
      <c r="M6090" s="31">
        <v>46085</v>
      </c>
      <c r="N6090" s="31">
        <v>46086</v>
      </c>
      <c r="O6090" s="2" t="s">
        <v>297</v>
      </c>
    </row>
    <row r="6091" spans="1:15">
      <c r="A6091" s="3">
        <f t="shared" si="141"/>
        <v>6090</v>
      </c>
      <c r="B6091" s="65" t="s">
        <v>8811</v>
      </c>
      <c r="C6091" s="1">
        <v>9912442840</v>
      </c>
      <c r="E6091" s="17" t="s">
        <v>8639</v>
      </c>
      <c r="F6091" s="4" t="s">
        <v>2340</v>
      </c>
      <c r="G6091" s="3" t="s">
        <v>416</v>
      </c>
      <c r="H6091" s="2" t="s">
        <v>6158</v>
      </c>
      <c r="I6091" s="3" t="s">
        <v>42</v>
      </c>
      <c r="J6091" s="31">
        <v>46057</v>
      </c>
      <c r="K6091" s="31">
        <v>46063</v>
      </c>
      <c r="L6091" s="31"/>
      <c r="M6091" s="31"/>
      <c r="N6091" s="31"/>
      <c r="O6091" s="2" t="s">
        <v>297</v>
      </c>
    </row>
    <row r="6092" spans="1:15">
      <c r="A6092" s="3">
        <f t="shared" si="141"/>
        <v>6091</v>
      </c>
      <c r="B6092" s="65" t="s">
        <v>8812</v>
      </c>
      <c r="C6092" s="1">
        <v>9700444505</v>
      </c>
      <c r="E6092" s="17" t="s">
        <v>8641</v>
      </c>
      <c r="F6092" s="4" t="s">
        <v>8813</v>
      </c>
      <c r="G6092" s="3" t="s">
        <v>764</v>
      </c>
      <c r="H6092" s="2" t="s">
        <v>6158</v>
      </c>
      <c r="I6092" s="3" t="s">
        <v>42</v>
      </c>
      <c r="J6092" s="31">
        <v>46057</v>
      </c>
      <c r="K6092" s="31">
        <v>46063</v>
      </c>
      <c r="L6092" s="31"/>
      <c r="M6092" s="31"/>
      <c r="N6092" s="31"/>
      <c r="O6092" s="2" t="s">
        <v>425</v>
      </c>
    </row>
    <row r="6093" spans="1:15">
      <c r="A6093" s="3">
        <f t="shared" si="141"/>
        <v>6092</v>
      </c>
      <c r="B6093" s="65" t="s">
        <v>8814</v>
      </c>
      <c r="C6093" s="1">
        <v>6303305328</v>
      </c>
      <c r="E6093" s="17" t="s">
        <v>8644</v>
      </c>
      <c r="F6093" s="4" t="s">
        <v>8645</v>
      </c>
      <c r="G6093" s="3" t="s">
        <v>424</v>
      </c>
      <c r="H6093" s="2" t="s">
        <v>6158</v>
      </c>
      <c r="I6093" s="3" t="s">
        <v>42</v>
      </c>
      <c r="J6093" s="31">
        <v>46057</v>
      </c>
      <c r="K6093" s="31">
        <v>46063</v>
      </c>
      <c r="L6093" s="31"/>
      <c r="M6093" s="31"/>
      <c r="N6093" s="31"/>
      <c r="O6093" s="2" t="s">
        <v>425</v>
      </c>
    </row>
    <row r="6094" spans="1:15">
      <c r="A6094" s="3">
        <f t="shared" si="141"/>
        <v>6093</v>
      </c>
      <c r="B6094" s="65" t="s">
        <v>8815</v>
      </c>
      <c r="C6094" s="1">
        <v>6305020487</v>
      </c>
      <c r="D6094" s="1">
        <v>7288905158</v>
      </c>
      <c r="E6094" s="17" t="s">
        <v>8639</v>
      </c>
      <c r="F6094" s="4" t="s">
        <v>2340</v>
      </c>
      <c r="G6094" s="3" t="s">
        <v>416</v>
      </c>
      <c r="H6094" s="2" t="s">
        <v>6158</v>
      </c>
      <c r="I6094" s="3" t="s">
        <v>42</v>
      </c>
      <c r="J6094" s="31">
        <v>46057</v>
      </c>
      <c r="K6094" s="31">
        <v>46063</v>
      </c>
      <c r="L6094" s="31"/>
      <c r="M6094" s="31"/>
      <c r="N6094" s="31"/>
      <c r="O6094" s="2" t="s">
        <v>297</v>
      </c>
    </row>
    <row r="6095" spans="1:15">
      <c r="A6095" s="3">
        <f t="shared" si="141"/>
        <v>6094</v>
      </c>
      <c r="B6095" s="65" t="s">
        <v>8816</v>
      </c>
      <c r="C6095" s="1">
        <v>8227078893</v>
      </c>
      <c r="E6095" s="17" t="s">
        <v>8644</v>
      </c>
      <c r="F6095" s="4" t="s">
        <v>8645</v>
      </c>
      <c r="G6095" s="3" t="s">
        <v>416</v>
      </c>
      <c r="H6095" s="2" t="s">
        <v>6158</v>
      </c>
      <c r="I6095" s="3" t="s">
        <v>42</v>
      </c>
      <c r="J6095" s="31">
        <v>46057</v>
      </c>
      <c r="K6095" s="31">
        <v>46063</v>
      </c>
      <c r="L6095" s="31"/>
      <c r="M6095" s="31"/>
      <c r="N6095" s="31"/>
      <c r="O6095" s="2" t="s">
        <v>297</v>
      </c>
    </row>
    <row r="6096" spans="1:15">
      <c r="A6096" s="3">
        <f t="shared" si="141"/>
        <v>6095</v>
      </c>
      <c r="B6096" s="65" t="s">
        <v>8596</v>
      </c>
      <c r="C6096" s="1">
        <v>9348687376</v>
      </c>
      <c r="E6096" s="17" t="s">
        <v>8641</v>
      </c>
      <c r="F6096" s="4" t="s">
        <v>8817</v>
      </c>
      <c r="G6096" s="3" t="s">
        <v>764</v>
      </c>
      <c r="H6096" s="2" t="s">
        <v>6158</v>
      </c>
      <c r="I6096" s="3" t="s">
        <v>42</v>
      </c>
      <c r="J6096" s="31">
        <v>46057</v>
      </c>
      <c r="K6096" s="31">
        <v>46063</v>
      </c>
      <c r="L6096" s="31"/>
      <c r="M6096" s="31"/>
      <c r="N6096" s="31"/>
      <c r="O6096" s="2" t="s">
        <v>425</v>
      </c>
    </row>
    <row r="6097" spans="1:15">
      <c r="A6097" s="3">
        <f t="shared" ref="A6097:A6102" si="142">ROW()-1</f>
        <v>6096</v>
      </c>
      <c r="B6097" s="65" t="s">
        <v>8818</v>
      </c>
      <c r="C6097" s="1">
        <v>6305759663</v>
      </c>
      <c r="E6097" s="17" t="s">
        <v>8819</v>
      </c>
      <c r="F6097" s="4" t="s">
        <v>8314</v>
      </c>
      <c r="G6097" s="3" t="s">
        <v>16</v>
      </c>
      <c r="H6097" s="2" t="s">
        <v>5163</v>
      </c>
      <c r="I6097" s="3" t="s">
        <v>94</v>
      </c>
      <c r="J6097" s="31">
        <v>46057</v>
      </c>
      <c r="K6097" s="31">
        <v>46075</v>
      </c>
      <c r="L6097" s="31">
        <v>46079</v>
      </c>
      <c r="M6097" s="31">
        <v>46098</v>
      </c>
      <c r="N6097" s="31">
        <v>46097</v>
      </c>
      <c r="O6097" s="2" t="s">
        <v>297</v>
      </c>
    </row>
    <row r="6098" spans="1:15">
      <c r="A6098" s="3">
        <f t="shared" si="142"/>
        <v>6097</v>
      </c>
      <c r="B6098" s="65" t="s">
        <v>8820</v>
      </c>
      <c r="C6098" s="1">
        <v>8464898691</v>
      </c>
      <c r="E6098" s="17" t="s">
        <v>8821</v>
      </c>
      <c r="F6098" s="4" t="s">
        <v>8314</v>
      </c>
      <c r="G6098" s="3" t="s">
        <v>18</v>
      </c>
      <c r="H6098" s="2" t="s">
        <v>5163</v>
      </c>
      <c r="I6098" s="3" t="s">
        <v>94</v>
      </c>
      <c r="J6098" s="31">
        <v>46057</v>
      </c>
      <c r="K6098" s="31">
        <v>46070</v>
      </c>
      <c r="L6098" s="31"/>
      <c r="M6098" s="31"/>
      <c r="N6098" s="31"/>
      <c r="O6098" s="2" t="s">
        <v>297</v>
      </c>
    </row>
    <row r="6099" spans="1:15">
      <c r="A6099" s="3">
        <f t="shared" si="142"/>
        <v>6098</v>
      </c>
      <c r="B6099" s="65" t="s">
        <v>8822</v>
      </c>
      <c r="C6099" s="1">
        <v>6281216392</v>
      </c>
      <c r="E6099" s="17" t="s">
        <v>8821</v>
      </c>
      <c r="F6099" s="4" t="s">
        <v>8314</v>
      </c>
      <c r="G6099" s="3" t="s">
        <v>16</v>
      </c>
      <c r="H6099" s="2" t="s">
        <v>5163</v>
      </c>
      <c r="I6099" s="3" t="s">
        <v>94</v>
      </c>
      <c r="J6099" s="31">
        <v>46057</v>
      </c>
      <c r="K6099" s="31">
        <v>46070</v>
      </c>
      <c r="L6099" s="31">
        <v>46072</v>
      </c>
      <c r="M6099" s="31">
        <v>46079</v>
      </c>
      <c r="N6099" s="31">
        <v>46087</v>
      </c>
      <c r="O6099" s="2" t="s">
        <v>297</v>
      </c>
    </row>
    <row r="6100" spans="1:15">
      <c r="A6100" s="3">
        <f t="shared" si="142"/>
        <v>6099</v>
      </c>
      <c r="B6100" s="65" t="s">
        <v>8823</v>
      </c>
      <c r="C6100" s="1">
        <v>9160363309</v>
      </c>
      <c r="E6100" s="17" t="s">
        <v>8819</v>
      </c>
      <c r="F6100" s="4" t="s">
        <v>8314</v>
      </c>
      <c r="G6100" s="3" t="s">
        <v>295</v>
      </c>
      <c r="H6100" s="2" t="s">
        <v>5163</v>
      </c>
      <c r="I6100" s="3" t="s">
        <v>94</v>
      </c>
      <c r="J6100" s="31">
        <v>46057</v>
      </c>
      <c r="K6100" s="31">
        <v>46070</v>
      </c>
      <c r="L6100" s="31">
        <v>46072</v>
      </c>
      <c r="M6100" s="31">
        <v>46079</v>
      </c>
      <c r="N6100" s="31"/>
      <c r="O6100" s="2" t="s">
        <v>297</v>
      </c>
    </row>
    <row r="6101" spans="1:15">
      <c r="A6101" s="3">
        <f t="shared" si="142"/>
        <v>6100</v>
      </c>
      <c r="B6101" s="65" t="s">
        <v>8824</v>
      </c>
      <c r="C6101" s="1">
        <v>9391945489</v>
      </c>
      <c r="E6101" s="17" t="s">
        <v>8819</v>
      </c>
      <c r="F6101" s="4" t="s">
        <v>8314</v>
      </c>
      <c r="G6101" s="3" t="s">
        <v>18</v>
      </c>
      <c r="H6101" s="2" t="s">
        <v>5163</v>
      </c>
      <c r="I6101" s="3" t="s">
        <v>94</v>
      </c>
      <c r="J6101" s="31">
        <v>46057</v>
      </c>
      <c r="K6101" s="31">
        <v>46070</v>
      </c>
      <c r="L6101" s="31"/>
      <c r="M6101" s="31"/>
      <c r="N6101" s="31"/>
      <c r="O6101" s="2" t="s">
        <v>297</v>
      </c>
    </row>
    <row r="6102" spans="1:15">
      <c r="A6102" s="3">
        <f t="shared" si="142"/>
        <v>6101</v>
      </c>
      <c r="B6102" s="65" t="s">
        <v>8825</v>
      </c>
      <c r="C6102" s="1">
        <v>8374378042</v>
      </c>
      <c r="E6102" s="17" t="s">
        <v>8819</v>
      </c>
      <c r="F6102" s="4" t="s">
        <v>8314</v>
      </c>
      <c r="G6102" s="3" t="s">
        <v>295</v>
      </c>
      <c r="H6102" s="2" t="s">
        <v>5163</v>
      </c>
      <c r="I6102" s="3" t="s">
        <v>94</v>
      </c>
      <c r="J6102" s="31">
        <v>46057</v>
      </c>
      <c r="K6102" s="31">
        <v>46070</v>
      </c>
      <c r="L6102" s="31">
        <v>46072</v>
      </c>
      <c r="M6102" s="31">
        <v>46079</v>
      </c>
      <c r="N6102" s="31"/>
      <c r="O6102" s="2" t="s">
        <v>297</v>
      </c>
    </row>
    <row r="6103" spans="1:15">
      <c r="A6103" s="3">
        <f t="shared" ref="A6103:A6118" si="143">ROW()-1</f>
        <v>6102</v>
      </c>
      <c r="B6103" s="65" t="s">
        <v>8826</v>
      </c>
      <c r="C6103" s="1">
        <v>9100536528</v>
      </c>
      <c r="E6103" s="17" t="s">
        <v>6292</v>
      </c>
      <c r="F6103" s="4" t="s">
        <v>5110</v>
      </c>
      <c r="G6103" s="3" t="s">
        <v>16</v>
      </c>
      <c r="H6103" s="2" t="s">
        <v>6158</v>
      </c>
      <c r="I6103" s="3" t="s">
        <v>42</v>
      </c>
      <c r="J6103" s="31">
        <v>46058</v>
      </c>
      <c r="K6103" s="31">
        <v>46063</v>
      </c>
      <c r="L6103" s="31">
        <v>46065</v>
      </c>
      <c r="M6103" s="31">
        <v>46069</v>
      </c>
      <c r="N6103" s="31">
        <v>46067</v>
      </c>
      <c r="O6103" s="2" t="s">
        <v>297</v>
      </c>
    </row>
    <row r="6104" spans="1:15">
      <c r="A6104" s="3">
        <f t="shared" si="143"/>
        <v>6103</v>
      </c>
      <c r="B6104" s="65" t="s">
        <v>8827</v>
      </c>
      <c r="C6104" s="1">
        <v>7997880315</v>
      </c>
      <c r="E6104" s="17" t="s">
        <v>7741</v>
      </c>
      <c r="F6104" s="4" t="s">
        <v>8828</v>
      </c>
      <c r="G6104" s="3" t="s">
        <v>764</v>
      </c>
      <c r="H6104" s="2" t="s">
        <v>6158</v>
      </c>
      <c r="I6104" s="3" t="s">
        <v>42</v>
      </c>
      <c r="J6104" s="31">
        <v>46058</v>
      </c>
      <c r="K6104" s="31">
        <v>46063</v>
      </c>
      <c r="L6104" s="31"/>
      <c r="M6104" s="31"/>
      <c r="N6104" s="31"/>
      <c r="O6104" s="2" t="s">
        <v>425</v>
      </c>
    </row>
    <row r="6105" spans="1:15">
      <c r="A6105" s="3">
        <f t="shared" si="143"/>
        <v>6104</v>
      </c>
      <c r="B6105" s="65" t="s">
        <v>8829</v>
      </c>
      <c r="C6105" s="1">
        <v>8148793226</v>
      </c>
      <c r="E6105" s="17" t="s">
        <v>7741</v>
      </c>
      <c r="F6105" s="4" t="s">
        <v>8830</v>
      </c>
      <c r="G6105" s="3" t="s">
        <v>16</v>
      </c>
      <c r="H6105" s="2" t="s">
        <v>6158</v>
      </c>
      <c r="I6105" s="3" t="s">
        <v>42</v>
      </c>
      <c r="J6105" s="31">
        <v>46058</v>
      </c>
      <c r="K6105" s="31">
        <v>46063</v>
      </c>
      <c r="L6105" s="31">
        <v>46066</v>
      </c>
      <c r="M6105" s="31">
        <v>46091</v>
      </c>
      <c r="N6105" s="31">
        <v>46091</v>
      </c>
      <c r="O6105" s="2" t="s">
        <v>297</v>
      </c>
    </row>
    <row r="6106" spans="1:15">
      <c r="A6106" s="3">
        <f t="shared" si="143"/>
        <v>6105</v>
      </c>
      <c r="B6106" s="65" t="s">
        <v>8831</v>
      </c>
      <c r="C6106" s="1">
        <v>7382407034</v>
      </c>
      <c r="D6106" s="1">
        <v>8686252530</v>
      </c>
      <c r="E6106" s="17" t="s">
        <v>8641</v>
      </c>
      <c r="F6106" s="4" t="s">
        <v>308</v>
      </c>
      <c r="G6106" s="3" t="s">
        <v>764</v>
      </c>
      <c r="H6106" s="2" t="s">
        <v>6158</v>
      </c>
      <c r="I6106" s="3" t="s">
        <v>42</v>
      </c>
      <c r="J6106" s="31">
        <v>46058</v>
      </c>
      <c r="K6106" s="31">
        <v>46063</v>
      </c>
      <c r="L6106" s="31"/>
      <c r="M6106" s="31"/>
      <c r="N6106" s="31"/>
      <c r="O6106" s="2" t="s">
        <v>425</v>
      </c>
    </row>
    <row r="6107" spans="1:15">
      <c r="A6107" s="3">
        <f t="shared" si="143"/>
        <v>6106</v>
      </c>
      <c r="B6107" s="65" t="s">
        <v>8832</v>
      </c>
      <c r="C6107" s="1">
        <v>6304556790</v>
      </c>
      <c r="E6107" s="17" t="s">
        <v>8644</v>
      </c>
      <c r="F6107" s="4" t="s">
        <v>8645</v>
      </c>
      <c r="G6107" s="3" t="s">
        <v>764</v>
      </c>
      <c r="H6107" s="2" t="s">
        <v>6158</v>
      </c>
      <c r="I6107" s="3" t="s">
        <v>42</v>
      </c>
      <c r="J6107" s="31">
        <v>46058</v>
      </c>
      <c r="K6107" s="31">
        <v>46063</v>
      </c>
      <c r="L6107" s="31"/>
      <c r="M6107" s="31"/>
      <c r="N6107" s="31"/>
      <c r="O6107" s="2" t="s">
        <v>425</v>
      </c>
    </row>
    <row r="6108" spans="1:15">
      <c r="A6108" s="3">
        <f t="shared" si="143"/>
        <v>6107</v>
      </c>
      <c r="B6108" s="65" t="s">
        <v>8833</v>
      </c>
      <c r="C6108" s="1">
        <v>6302094167</v>
      </c>
      <c r="D6108" s="1">
        <v>9666848258</v>
      </c>
      <c r="E6108" s="17" t="s">
        <v>8639</v>
      </c>
      <c r="F6108" s="4" t="s">
        <v>2463</v>
      </c>
      <c r="G6108" s="3" t="s">
        <v>764</v>
      </c>
      <c r="H6108" s="2" t="s">
        <v>6158</v>
      </c>
      <c r="I6108" s="3" t="s">
        <v>42</v>
      </c>
      <c r="J6108" s="31">
        <v>46058</v>
      </c>
      <c r="K6108" s="31">
        <v>46063</v>
      </c>
      <c r="L6108" s="31"/>
      <c r="M6108" s="31"/>
      <c r="N6108" s="31"/>
      <c r="O6108" s="2" t="s">
        <v>425</v>
      </c>
    </row>
    <row r="6109" spans="1:15">
      <c r="A6109" s="3">
        <f t="shared" si="143"/>
        <v>6108</v>
      </c>
      <c r="B6109" s="65" t="s">
        <v>8834</v>
      </c>
      <c r="C6109" s="1">
        <v>8750294730</v>
      </c>
      <c r="E6109" s="17" t="s">
        <v>8641</v>
      </c>
      <c r="F6109" s="4" t="s">
        <v>308</v>
      </c>
      <c r="G6109" s="3" t="s">
        <v>764</v>
      </c>
      <c r="H6109" s="2" t="s">
        <v>6158</v>
      </c>
      <c r="I6109" s="3" t="s">
        <v>42</v>
      </c>
      <c r="J6109" s="31">
        <v>46058</v>
      </c>
      <c r="K6109" s="31">
        <v>46063</v>
      </c>
      <c r="L6109" s="31"/>
      <c r="M6109" s="31"/>
      <c r="N6109" s="31"/>
      <c r="O6109" s="2" t="s">
        <v>425</v>
      </c>
    </row>
    <row r="6110" spans="1:15">
      <c r="A6110" s="3">
        <f t="shared" si="143"/>
        <v>6109</v>
      </c>
      <c r="B6110" s="65" t="s">
        <v>1222</v>
      </c>
      <c r="C6110" s="1">
        <v>9630058439</v>
      </c>
      <c r="E6110" s="17" t="s">
        <v>8641</v>
      </c>
      <c r="F6110" s="4" t="s">
        <v>2357</v>
      </c>
      <c r="G6110" s="3" t="s">
        <v>764</v>
      </c>
      <c r="H6110" s="2" t="s">
        <v>6158</v>
      </c>
      <c r="I6110" s="3" t="s">
        <v>42</v>
      </c>
      <c r="J6110" s="31">
        <v>46058</v>
      </c>
      <c r="K6110" s="31">
        <v>46063</v>
      </c>
      <c r="L6110" s="31"/>
      <c r="M6110" s="31"/>
      <c r="N6110" s="31"/>
      <c r="O6110" s="2" t="s">
        <v>425</v>
      </c>
    </row>
    <row r="6111" spans="1:15">
      <c r="A6111" s="3">
        <f t="shared" si="143"/>
        <v>6110</v>
      </c>
      <c r="B6111" s="65" t="s">
        <v>8835</v>
      </c>
      <c r="C6111" s="1">
        <v>9989169148</v>
      </c>
      <c r="E6111" s="17" t="s">
        <v>8641</v>
      </c>
      <c r="F6111" s="4" t="s">
        <v>3370</v>
      </c>
      <c r="G6111" s="3" t="s">
        <v>16</v>
      </c>
      <c r="H6111" s="2" t="s">
        <v>6158</v>
      </c>
      <c r="I6111" s="3" t="s">
        <v>42</v>
      </c>
      <c r="J6111" s="31">
        <v>46058</v>
      </c>
      <c r="K6111" s="31">
        <v>46063</v>
      </c>
      <c r="L6111" s="31">
        <v>46080</v>
      </c>
      <c r="M6111" s="31">
        <v>46108</v>
      </c>
      <c r="N6111" s="31">
        <v>46108</v>
      </c>
      <c r="O6111" s="2" t="s">
        <v>297</v>
      </c>
    </row>
    <row r="6112" spans="1:15">
      <c r="A6112" s="3">
        <f t="shared" si="143"/>
        <v>6111</v>
      </c>
      <c r="B6112" s="65" t="s">
        <v>8836</v>
      </c>
      <c r="C6112" s="1">
        <v>9010439422</v>
      </c>
      <c r="D6112" s="1">
        <v>8500488630</v>
      </c>
      <c r="E6112" s="17" t="s">
        <v>8641</v>
      </c>
      <c r="F6112" s="4" t="s">
        <v>2697</v>
      </c>
      <c r="G6112" s="3" t="s">
        <v>16</v>
      </c>
      <c r="H6112" s="2" t="s">
        <v>6158</v>
      </c>
      <c r="I6112" s="3" t="s">
        <v>42</v>
      </c>
      <c r="J6112" s="31">
        <v>46058</v>
      </c>
      <c r="K6112" s="31">
        <v>46063</v>
      </c>
      <c r="L6112" s="31">
        <v>46073</v>
      </c>
      <c r="M6112" s="31">
        <v>46105</v>
      </c>
      <c r="N6112" s="31">
        <v>46104</v>
      </c>
      <c r="O6112" s="2" t="s">
        <v>297</v>
      </c>
    </row>
    <row r="6113" spans="1:15">
      <c r="A6113" s="3">
        <f t="shared" si="143"/>
        <v>6112</v>
      </c>
      <c r="B6113" s="65" t="s">
        <v>8837</v>
      </c>
      <c r="C6113" s="1">
        <v>9178050620</v>
      </c>
      <c r="E6113" s="17" t="s">
        <v>8644</v>
      </c>
      <c r="F6113" s="4" t="s">
        <v>329</v>
      </c>
      <c r="G6113" s="3" t="s">
        <v>764</v>
      </c>
      <c r="H6113" s="2" t="s">
        <v>6158</v>
      </c>
      <c r="I6113" s="3" t="s">
        <v>42</v>
      </c>
      <c r="J6113" s="31">
        <v>46058</v>
      </c>
      <c r="K6113" s="31">
        <v>46063</v>
      </c>
      <c r="L6113" s="31"/>
      <c r="M6113" s="31"/>
      <c r="N6113" s="31"/>
      <c r="O6113" s="2" t="s">
        <v>425</v>
      </c>
    </row>
    <row r="6114" spans="1:15">
      <c r="A6114" s="3">
        <f t="shared" si="143"/>
        <v>6113</v>
      </c>
      <c r="B6114" s="65" t="s">
        <v>8838</v>
      </c>
      <c r="C6114" s="1">
        <v>8675071707</v>
      </c>
      <c r="E6114" s="17" t="s">
        <v>8639</v>
      </c>
      <c r="F6114" s="4" t="s">
        <v>8839</v>
      </c>
      <c r="G6114" s="3" t="s">
        <v>416</v>
      </c>
      <c r="H6114" s="2" t="s">
        <v>6158</v>
      </c>
      <c r="I6114" s="3" t="s">
        <v>42</v>
      </c>
      <c r="J6114" s="31">
        <v>46058</v>
      </c>
      <c r="K6114" s="31">
        <v>46063</v>
      </c>
      <c r="L6114" s="31"/>
      <c r="M6114" s="31"/>
      <c r="N6114" s="31"/>
      <c r="O6114" s="2" t="s">
        <v>297</v>
      </c>
    </row>
    <row r="6115" spans="1:15">
      <c r="A6115" s="3">
        <f t="shared" si="143"/>
        <v>6114</v>
      </c>
      <c r="B6115" s="65" t="s">
        <v>8485</v>
      </c>
      <c r="C6115" s="1">
        <v>8509060348</v>
      </c>
      <c r="D6115" s="1">
        <v>8219981987</v>
      </c>
      <c r="E6115" s="17" t="s">
        <v>8486</v>
      </c>
      <c r="F6115" s="4" t="s">
        <v>294</v>
      </c>
      <c r="G6115" s="3" t="s">
        <v>295</v>
      </c>
      <c r="H6115" s="2" t="s">
        <v>487</v>
      </c>
      <c r="I6115" s="3" t="s">
        <v>88</v>
      </c>
      <c r="J6115" s="31">
        <v>46042</v>
      </c>
      <c r="K6115" s="31">
        <v>46044</v>
      </c>
      <c r="L6115" s="31">
        <v>46046</v>
      </c>
      <c r="M6115" s="31">
        <v>46106</v>
      </c>
      <c r="N6115" s="31"/>
      <c r="O6115" s="2" t="s">
        <v>297</v>
      </c>
    </row>
    <row r="6116" spans="1:15">
      <c r="A6116" s="3">
        <f t="shared" si="143"/>
        <v>6115</v>
      </c>
      <c r="B6116" s="65" t="s">
        <v>8840</v>
      </c>
      <c r="C6116" s="1">
        <v>7050540433</v>
      </c>
      <c r="E6116" s="17" t="s">
        <v>7904</v>
      </c>
      <c r="F6116" s="4" t="s">
        <v>7338</v>
      </c>
      <c r="G6116" s="3" t="s">
        <v>18</v>
      </c>
      <c r="H6116" s="2" t="s">
        <v>368</v>
      </c>
      <c r="I6116" s="3" t="s">
        <v>88</v>
      </c>
      <c r="J6116" s="31">
        <v>46059</v>
      </c>
      <c r="K6116" s="31">
        <v>46068</v>
      </c>
      <c r="L6116" s="31"/>
      <c r="M6116" s="31"/>
      <c r="N6116" s="31"/>
      <c r="O6116" s="2" t="s">
        <v>297</v>
      </c>
    </row>
    <row r="6117" spans="1:15">
      <c r="A6117" s="3">
        <f t="shared" si="143"/>
        <v>6116</v>
      </c>
      <c r="B6117" s="65" t="s">
        <v>8841</v>
      </c>
      <c r="C6117" s="1">
        <v>6395853927</v>
      </c>
      <c r="E6117" s="17" t="s">
        <v>7901</v>
      </c>
      <c r="F6117" s="4" t="s">
        <v>8842</v>
      </c>
      <c r="G6117" s="3" t="s">
        <v>15</v>
      </c>
      <c r="H6117" s="2" t="s">
        <v>368</v>
      </c>
      <c r="I6117" s="3" t="s">
        <v>88</v>
      </c>
      <c r="J6117" s="31">
        <v>46059</v>
      </c>
      <c r="K6117" s="31">
        <v>46069</v>
      </c>
      <c r="L6117" s="31">
        <v>46073</v>
      </c>
      <c r="M6117" s="31">
        <v>46133</v>
      </c>
      <c r="N6117" s="31"/>
      <c r="O6117" s="2" t="s">
        <v>297</v>
      </c>
    </row>
    <row r="6118" spans="1:15">
      <c r="A6118" s="3">
        <f t="shared" si="143"/>
        <v>6117</v>
      </c>
      <c r="B6118" s="65" t="s">
        <v>8843</v>
      </c>
      <c r="C6118" s="1">
        <v>9491068933</v>
      </c>
      <c r="E6118" s="17" t="s">
        <v>7128</v>
      </c>
      <c r="F6118" s="4" t="s">
        <v>8844</v>
      </c>
      <c r="G6118" s="3" t="s">
        <v>424</v>
      </c>
      <c r="H6118" s="2" t="s">
        <v>162</v>
      </c>
      <c r="I6118" s="3" t="s">
        <v>42</v>
      </c>
      <c r="J6118" s="31">
        <v>46059</v>
      </c>
      <c r="K6118" s="31">
        <v>46113</v>
      </c>
      <c r="L6118" s="31"/>
      <c r="M6118" s="31"/>
      <c r="N6118" s="31"/>
      <c r="O6118" s="2" t="s">
        <v>425</v>
      </c>
    </row>
    <row r="6119" spans="1:15">
      <c r="A6119" s="3">
        <f t="shared" ref="A6119:A6128" si="144">ROW()-1</f>
        <v>6118</v>
      </c>
      <c r="B6119" s="65" t="s">
        <v>8845</v>
      </c>
      <c r="C6119" s="1">
        <v>9398814133</v>
      </c>
      <c r="E6119" s="17" t="s">
        <v>8846</v>
      </c>
      <c r="F6119" s="4" t="s">
        <v>8847</v>
      </c>
      <c r="G6119" s="3" t="s">
        <v>424</v>
      </c>
      <c r="H6119" s="2" t="s">
        <v>162</v>
      </c>
      <c r="I6119" s="3" t="s">
        <v>94</v>
      </c>
      <c r="J6119" s="31">
        <v>46059</v>
      </c>
      <c r="K6119" s="31">
        <v>46085</v>
      </c>
      <c r="L6119" s="31"/>
      <c r="M6119" s="31"/>
      <c r="N6119" s="31"/>
      <c r="O6119" s="2" t="s">
        <v>425</v>
      </c>
    </row>
    <row r="6120" spans="1:15">
      <c r="A6120" s="3">
        <f t="shared" si="144"/>
        <v>6119</v>
      </c>
      <c r="B6120" s="65" t="s">
        <v>8848</v>
      </c>
      <c r="C6120" s="1">
        <v>8977544540</v>
      </c>
      <c r="E6120" s="17" t="s">
        <v>8846</v>
      </c>
      <c r="F6120" s="4" t="s">
        <v>2482</v>
      </c>
      <c r="G6120" s="3" t="s">
        <v>16</v>
      </c>
      <c r="H6120" s="2" t="s">
        <v>162</v>
      </c>
      <c r="I6120" s="3" t="s">
        <v>94</v>
      </c>
      <c r="J6120" s="31">
        <v>46059</v>
      </c>
      <c r="K6120" s="31">
        <v>46059</v>
      </c>
      <c r="L6120" s="31">
        <v>46066</v>
      </c>
      <c r="M6120" s="31">
        <v>46074</v>
      </c>
      <c r="N6120" s="31">
        <v>46074</v>
      </c>
      <c r="O6120" s="2" t="s">
        <v>297</v>
      </c>
    </row>
    <row r="6121" spans="1:15">
      <c r="A6121" s="3">
        <f t="shared" si="144"/>
        <v>6120</v>
      </c>
      <c r="B6121" s="65" t="s">
        <v>8849</v>
      </c>
      <c r="C6121" s="1">
        <v>6300571257</v>
      </c>
      <c r="E6121" s="17" t="s">
        <v>8846</v>
      </c>
      <c r="F6121" s="4" t="s">
        <v>8850</v>
      </c>
      <c r="G6121" s="3" t="s">
        <v>16</v>
      </c>
      <c r="H6121" s="2" t="s">
        <v>162</v>
      </c>
      <c r="I6121" s="3" t="s">
        <v>94</v>
      </c>
      <c r="J6121" s="31">
        <v>46059</v>
      </c>
      <c r="K6121" s="31">
        <v>46065</v>
      </c>
      <c r="L6121" s="31">
        <v>46066</v>
      </c>
      <c r="M6121" s="31">
        <v>46069</v>
      </c>
      <c r="N6121" s="31">
        <v>46065</v>
      </c>
      <c r="O6121" s="2" t="s">
        <v>297</v>
      </c>
    </row>
    <row r="6122" spans="1:15">
      <c r="A6122" s="3">
        <f t="shared" si="144"/>
        <v>6121</v>
      </c>
      <c r="B6122" s="65" t="s">
        <v>8851</v>
      </c>
      <c r="C6122" s="1">
        <v>8466989868</v>
      </c>
      <c r="E6122" s="17" t="s">
        <v>7114</v>
      </c>
      <c r="F6122" s="4" t="s">
        <v>8852</v>
      </c>
      <c r="G6122" s="3" t="s">
        <v>16</v>
      </c>
      <c r="H6122" s="2" t="s">
        <v>6158</v>
      </c>
      <c r="I6122" s="3" t="s">
        <v>42</v>
      </c>
      <c r="J6122" s="31">
        <v>46059</v>
      </c>
      <c r="K6122" s="31">
        <v>46073</v>
      </c>
      <c r="L6122" s="31">
        <v>46073</v>
      </c>
      <c r="M6122" s="31">
        <v>46091</v>
      </c>
      <c r="N6122" s="31">
        <v>46090</v>
      </c>
      <c r="O6122" s="2" t="s">
        <v>297</v>
      </c>
    </row>
    <row r="6123" spans="1:15">
      <c r="A6123" s="3">
        <f t="shared" si="144"/>
        <v>6122</v>
      </c>
      <c r="B6123" s="65" t="s">
        <v>8853</v>
      </c>
      <c r="C6123" s="1">
        <v>9149201643</v>
      </c>
      <c r="D6123" s="1">
        <v>9759991163</v>
      </c>
      <c r="E6123" s="17" t="s">
        <v>7114</v>
      </c>
      <c r="F6123" s="4" t="s">
        <v>2837</v>
      </c>
      <c r="G6123" s="3" t="s">
        <v>295</v>
      </c>
      <c r="H6123" s="2" t="s">
        <v>6158</v>
      </c>
      <c r="I6123" s="3" t="s">
        <v>42</v>
      </c>
      <c r="J6123" s="31">
        <v>46059</v>
      </c>
      <c r="K6123" s="31">
        <v>46063</v>
      </c>
      <c r="L6123" s="31">
        <v>46066</v>
      </c>
      <c r="M6123" s="31">
        <v>46081</v>
      </c>
      <c r="N6123" s="31"/>
      <c r="O6123" s="2" t="s">
        <v>297</v>
      </c>
    </row>
    <row r="6124" spans="1:15">
      <c r="A6124" s="3">
        <f t="shared" si="144"/>
        <v>6123</v>
      </c>
      <c r="B6124" s="65" t="s">
        <v>8854</v>
      </c>
      <c r="C6124" s="1">
        <v>9908728201</v>
      </c>
      <c r="E6124" s="17" t="s">
        <v>7741</v>
      </c>
      <c r="F6124" s="4" t="s">
        <v>8855</v>
      </c>
      <c r="G6124" s="3" t="s">
        <v>16</v>
      </c>
      <c r="H6124" s="2" t="s">
        <v>6158</v>
      </c>
      <c r="I6124" s="3" t="s">
        <v>42</v>
      </c>
      <c r="J6124" s="31">
        <v>46059</v>
      </c>
      <c r="K6124" s="31">
        <v>46063</v>
      </c>
      <c r="L6124" s="31">
        <v>46065</v>
      </c>
      <c r="M6124" s="31">
        <v>46093</v>
      </c>
      <c r="N6124" s="31">
        <v>46093</v>
      </c>
      <c r="O6124" s="2" t="s">
        <v>297</v>
      </c>
    </row>
    <row r="6125" spans="1:15">
      <c r="A6125" s="3">
        <f t="shared" si="144"/>
        <v>6124</v>
      </c>
      <c r="B6125" s="65" t="s">
        <v>8856</v>
      </c>
      <c r="C6125" s="1">
        <v>9550948584</v>
      </c>
      <c r="E6125" s="17" t="s">
        <v>8543</v>
      </c>
      <c r="F6125" s="4"/>
      <c r="G6125" s="3" t="s">
        <v>295</v>
      </c>
      <c r="H6125" s="2" t="s">
        <v>815</v>
      </c>
      <c r="I6125" s="3" t="s">
        <v>42</v>
      </c>
      <c r="J6125" s="31">
        <v>46054</v>
      </c>
      <c r="K6125" s="31">
        <v>46056</v>
      </c>
      <c r="L6125" s="31">
        <v>46059</v>
      </c>
      <c r="M6125" s="31">
        <v>46096</v>
      </c>
      <c r="N6125" s="31"/>
      <c r="O6125" s="2" t="s">
        <v>297</v>
      </c>
    </row>
    <row r="6126" spans="1:15">
      <c r="A6126" s="3">
        <f t="shared" si="144"/>
        <v>6125</v>
      </c>
      <c r="B6126" s="65" t="s">
        <v>8857</v>
      </c>
      <c r="C6126" s="1">
        <v>7396482298</v>
      </c>
      <c r="D6126" s="1">
        <v>9000216376</v>
      </c>
      <c r="E6126" s="17" t="s">
        <v>8403</v>
      </c>
      <c r="F6126" s="4"/>
      <c r="G6126" s="3" t="s">
        <v>295</v>
      </c>
      <c r="H6126" s="2" t="s">
        <v>162</v>
      </c>
      <c r="I6126" s="3" t="s">
        <v>94</v>
      </c>
      <c r="J6126" s="31">
        <v>46054</v>
      </c>
      <c r="K6126" s="31">
        <v>46056</v>
      </c>
      <c r="L6126" s="31">
        <v>46059</v>
      </c>
      <c r="M6126" s="31">
        <v>46076</v>
      </c>
      <c r="N6126" s="31"/>
      <c r="O6126" s="2" t="s">
        <v>297</v>
      </c>
    </row>
    <row r="6127" spans="1:15">
      <c r="A6127" s="3">
        <f t="shared" si="144"/>
        <v>6126</v>
      </c>
      <c r="B6127" s="65" t="s">
        <v>8858</v>
      </c>
      <c r="C6127" s="1">
        <v>9670429424</v>
      </c>
      <c r="E6127" s="17" t="s">
        <v>5915</v>
      </c>
      <c r="F6127" s="4"/>
      <c r="G6127" s="3" t="s">
        <v>15</v>
      </c>
      <c r="H6127" s="2" t="s">
        <v>4339</v>
      </c>
      <c r="I6127" s="3" t="s">
        <v>42</v>
      </c>
      <c r="J6127" s="31">
        <v>46054</v>
      </c>
      <c r="K6127" s="31">
        <v>46056</v>
      </c>
      <c r="L6127" s="31">
        <v>46059</v>
      </c>
      <c r="M6127" s="31">
        <v>46114</v>
      </c>
      <c r="N6127" s="31"/>
      <c r="O6127" s="2" t="s">
        <v>297</v>
      </c>
    </row>
    <row r="6128" spans="1:15">
      <c r="A6128" s="3">
        <f t="shared" si="144"/>
        <v>6127</v>
      </c>
      <c r="B6128" s="65" t="s">
        <v>8859</v>
      </c>
      <c r="C6128" s="1">
        <v>8985119988</v>
      </c>
      <c r="E6128" s="17" t="s">
        <v>8860</v>
      </c>
      <c r="F6128" s="4"/>
      <c r="G6128" s="3" t="s">
        <v>16</v>
      </c>
      <c r="H6128" s="2" t="s">
        <v>6158</v>
      </c>
      <c r="I6128" s="3" t="s">
        <v>42</v>
      </c>
      <c r="J6128" s="31">
        <v>46054</v>
      </c>
      <c r="K6128" s="31">
        <v>46056</v>
      </c>
      <c r="L6128" s="31">
        <v>46059</v>
      </c>
      <c r="M6128" s="31">
        <v>46065</v>
      </c>
      <c r="N6128" s="31">
        <v>46055</v>
      </c>
      <c r="O6128" s="2" t="s">
        <v>297</v>
      </c>
    </row>
    <row r="6129" spans="1:15">
      <c r="A6129" s="3">
        <f t="shared" ref="A6129:A6135" si="145">ROW()-1</f>
        <v>6128</v>
      </c>
      <c r="B6129" s="65" t="s">
        <v>8861</v>
      </c>
      <c r="C6129" s="1">
        <v>9402325701</v>
      </c>
      <c r="E6129" s="17" t="s">
        <v>6523</v>
      </c>
      <c r="F6129" s="4"/>
      <c r="G6129" s="3" t="s">
        <v>16</v>
      </c>
      <c r="H6129" s="2" t="s">
        <v>785</v>
      </c>
      <c r="I6129" s="3" t="s">
        <v>88</v>
      </c>
      <c r="J6129" s="31">
        <v>46054</v>
      </c>
      <c r="K6129" s="31">
        <v>46056</v>
      </c>
      <c r="L6129" s="31">
        <v>46059</v>
      </c>
      <c r="M6129" s="31">
        <v>46088</v>
      </c>
      <c r="N6129" s="31">
        <v>46075</v>
      </c>
      <c r="O6129" s="2" t="s">
        <v>297</v>
      </c>
    </row>
    <row r="6130" spans="1:15">
      <c r="A6130" s="3">
        <f t="shared" si="145"/>
        <v>6129</v>
      </c>
      <c r="B6130" s="65" t="s">
        <v>8862</v>
      </c>
      <c r="C6130" s="1">
        <v>9177302551</v>
      </c>
      <c r="E6130" s="17" t="s">
        <v>8725</v>
      </c>
      <c r="F6130" s="4"/>
      <c r="G6130" s="3" t="s">
        <v>16</v>
      </c>
      <c r="H6130" s="2" t="s">
        <v>999</v>
      </c>
      <c r="I6130" s="3" t="s">
        <v>88</v>
      </c>
      <c r="J6130" s="31">
        <v>46054</v>
      </c>
      <c r="K6130" s="31">
        <v>46056</v>
      </c>
      <c r="L6130" s="31">
        <v>46059</v>
      </c>
      <c r="M6130" s="31">
        <v>46088</v>
      </c>
      <c r="N6130" s="31">
        <v>46088</v>
      </c>
      <c r="O6130" s="2" t="s">
        <v>297</v>
      </c>
    </row>
    <row r="6131" spans="1:15">
      <c r="A6131" s="3">
        <f t="shared" si="145"/>
        <v>6130</v>
      </c>
      <c r="B6131" s="65" t="s">
        <v>8863</v>
      </c>
      <c r="C6131" s="1">
        <v>8142361038</v>
      </c>
      <c r="E6131" s="17" t="s">
        <v>8258</v>
      </c>
      <c r="F6131" s="4"/>
      <c r="G6131" s="3" t="s">
        <v>16</v>
      </c>
      <c r="H6131" s="2" t="s">
        <v>999</v>
      </c>
      <c r="I6131" s="3" t="s">
        <v>88</v>
      </c>
      <c r="J6131" s="31">
        <v>46054</v>
      </c>
      <c r="K6131" s="31">
        <v>46056</v>
      </c>
      <c r="L6131" s="31">
        <v>46059</v>
      </c>
      <c r="M6131" s="31">
        <v>46088</v>
      </c>
      <c r="N6131" s="31">
        <v>46090</v>
      </c>
      <c r="O6131" s="2" t="s">
        <v>297</v>
      </c>
    </row>
    <row r="6132" spans="1:15">
      <c r="A6132" s="3">
        <f t="shared" si="145"/>
        <v>6131</v>
      </c>
      <c r="B6132" s="65" t="s">
        <v>8864</v>
      </c>
      <c r="C6132" s="1">
        <v>8106246063</v>
      </c>
      <c r="E6132" s="17" t="s">
        <v>8865</v>
      </c>
      <c r="F6132" s="4"/>
      <c r="G6132" s="3" t="s">
        <v>16</v>
      </c>
      <c r="H6132" s="2" t="s">
        <v>487</v>
      </c>
      <c r="I6132" s="3" t="s">
        <v>88</v>
      </c>
      <c r="J6132" s="31">
        <v>46054</v>
      </c>
      <c r="K6132" s="31">
        <v>46056</v>
      </c>
      <c r="L6132" s="31">
        <v>46059</v>
      </c>
      <c r="M6132" s="31">
        <v>46111</v>
      </c>
      <c r="N6132" s="31">
        <v>46111</v>
      </c>
      <c r="O6132" s="2" t="s">
        <v>297</v>
      </c>
    </row>
    <row r="6133" spans="1:15">
      <c r="A6133" s="3">
        <f t="shared" si="145"/>
        <v>6132</v>
      </c>
      <c r="B6133" s="65" t="s">
        <v>8866</v>
      </c>
      <c r="C6133" s="1">
        <v>7889544419</v>
      </c>
      <c r="E6133" s="17" t="s">
        <v>8422</v>
      </c>
      <c r="F6133" s="4"/>
      <c r="G6133" s="3" t="s">
        <v>16</v>
      </c>
      <c r="H6133" s="2" t="s">
        <v>487</v>
      </c>
      <c r="I6133" s="3" t="s">
        <v>88</v>
      </c>
      <c r="J6133" s="31">
        <v>46054</v>
      </c>
      <c r="K6133" s="31">
        <v>46056</v>
      </c>
      <c r="L6133" s="31">
        <v>46059</v>
      </c>
      <c r="M6133" s="31">
        <v>46088</v>
      </c>
      <c r="N6133" s="31">
        <v>46086</v>
      </c>
      <c r="O6133" s="2" t="s">
        <v>297</v>
      </c>
    </row>
    <row r="6134" spans="1:15">
      <c r="A6134" s="3">
        <f t="shared" si="145"/>
        <v>6133</v>
      </c>
      <c r="B6134" s="65" t="s">
        <v>8867</v>
      </c>
      <c r="C6134" s="1">
        <v>6303615825</v>
      </c>
      <c r="E6134" s="17" t="s">
        <v>8258</v>
      </c>
      <c r="F6134" s="4"/>
      <c r="G6134" s="3" t="s">
        <v>16</v>
      </c>
      <c r="H6134" s="2" t="s">
        <v>999</v>
      </c>
      <c r="I6134" s="3" t="s">
        <v>88</v>
      </c>
      <c r="J6134" s="31">
        <v>46059</v>
      </c>
      <c r="K6134" s="31">
        <v>46059</v>
      </c>
      <c r="L6134" s="31">
        <v>46060</v>
      </c>
      <c r="M6134" s="31">
        <v>46088</v>
      </c>
      <c r="N6134" s="31">
        <v>46092</v>
      </c>
      <c r="O6134" s="2" t="s">
        <v>297</v>
      </c>
    </row>
    <row r="6135" spans="1:15">
      <c r="A6135" s="3">
        <f t="shared" si="145"/>
        <v>6134</v>
      </c>
      <c r="B6135" s="65" t="s">
        <v>8868</v>
      </c>
      <c r="C6135" s="1">
        <v>9494487723</v>
      </c>
      <c r="E6135" s="17" t="s">
        <v>8530</v>
      </c>
      <c r="F6135" s="4"/>
      <c r="G6135" s="3" t="s">
        <v>16</v>
      </c>
      <c r="H6135" s="2" t="s">
        <v>999</v>
      </c>
      <c r="I6135" s="3" t="s">
        <v>88</v>
      </c>
      <c r="J6135" s="31">
        <v>46059</v>
      </c>
      <c r="K6135" s="31">
        <v>46059</v>
      </c>
      <c r="L6135" s="31">
        <v>46060</v>
      </c>
      <c r="M6135" s="31">
        <v>46096</v>
      </c>
      <c r="N6135" s="31">
        <v>46097</v>
      </c>
      <c r="O6135" s="2" t="s">
        <v>297</v>
      </c>
    </row>
    <row r="6136" spans="1:15">
      <c r="A6136" s="3">
        <f t="shared" ref="A6136:A6185" si="146">ROW()-1</f>
        <v>6135</v>
      </c>
      <c r="B6136" s="65" t="s">
        <v>8869</v>
      </c>
      <c r="C6136" s="1">
        <v>8958741610</v>
      </c>
      <c r="E6136" s="17" t="s">
        <v>6537</v>
      </c>
      <c r="F6136" s="4" t="s">
        <v>1312</v>
      </c>
      <c r="G6136" s="3" t="s">
        <v>764</v>
      </c>
      <c r="H6136" s="2" t="s">
        <v>6158</v>
      </c>
      <c r="I6136" s="3" t="s">
        <v>42</v>
      </c>
      <c r="J6136" s="31">
        <v>46059</v>
      </c>
      <c r="K6136" s="31">
        <v>46066</v>
      </c>
      <c r="L6136" s="31"/>
      <c r="M6136" s="31"/>
      <c r="N6136" s="31"/>
      <c r="O6136" s="2" t="s">
        <v>425</v>
      </c>
    </row>
    <row r="6137" spans="1:15">
      <c r="A6137" s="3">
        <f t="shared" si="146"/>
        <v>6136</v>
      </c>
      <c r="B6137" s="65" t="s">
        <v>8870</v>
      </c>
      <c r="C6137" s="1">
        <v>8009886870</v>
      </c>
      <c r="E6137" s="17" t="s">
        <v>6537</v>
      </c>
      <c r="F6137" s="4" t="s">
        <v>8871</v>
      </c>
      <c r="G6137" s="3" t="s">
        <v>764</v>
      </c>
      <c r="H6137" s="2" t="s">
        <v>6158</v>
      </c>
      <c r="I6137" s="3" t="s">
        <v>42</v>
      </c>
      <c r="J6137" s="31">
        <v>46059</v>
      </c>
      <c r="K6137" s="31">
        <v>46066</v>
      </c>
      <c r="L6137" s="31"/>
      <c r="M6137" s="31"/>
      <c r="N6137" s="31"/>
      <c r="O6137" s="2" t="s">
        <v>425</v>
      </c>
    </row>
    <row r="6138" spans="1:15">
      <c r="A6138" s="3">
        <f t="shared" si="146"/>
        <v>6137</v>
      </c>
      <c r="B6138" s="65" t="s">
        <v>8872</v>
      </c>
      <c r="C6138" s="1">
        <v>9347459614</v>
      </c>
      <c r="E6138" s="17" t="s">
        <v>6537</v>
      </c>
      <c r="F6138" s="4" t="s">
        <v>308</v>
      </c>
      <c r="G6138" s="3" t="s">
        <v>764</v>
      </c>
      <c r="H6138" s="2" t="s">
        <v>6158</v>
      </c>
      <c r="I6138" s="3" t="s">
        <v>42</v>
      </c>
      <c r="J6138" s="31">
        <v>46059</v>
      </c>
      <c r="K6138" s="31">
        <v>46066</v>
      </c>
      <c r="L6138" s="31"/>
      <c r="M6138" s="31"/>
      <c r="N6138" s="31"/>
      <c r="O6138" s="2" t="s">
        <v>425</v>
      </c>
    </row>
    <row r="6139" spans="1:15">
      <c r="A6139" s="3">
        <f t="shared" si="146"/>
        <v>6138</v>
      </c>
      <c r="B6139" s="65" t="s">
        <v>8873</v>
      </c>
      <c r="C6139" s="1">
        <v>9390066134</v>
      </c>
      <c r="E6139" s="17" t="s">
        <v>6537</v>
      </c>
      <c r="F6139" s="4" t="s">
        <v>8874</v>
      </c>
      <c r="G6139" s="3" t="s">
        <v>764</v>
      </c>
      <c r="H6139" s="2" t="s">
        <v>6158</v>
      </c>
      <c r="I6139" s="3" t="s">
        <v>42</v>
      </c>
      <c r="J6139" s="31">
        <v>46059</v>
      </c>
      <c r="K6139" s="31">
        <v>46066</v>
      </c>
      <c r="L6139" s="31"/>
      <c r="M6139" s="31"/>
      <c r="N6139" s="31"/>
      <c r="O6139" s="2" t="s">
        <v>425</v>
      </c>
    </row>
    <row r="6140" spans="1:15">
      <c r="A6140" s="3">
        <f t="shared" si="146"/>
        <v>6139</v>
      </c>
      <c r="B6140" s="65" t="s">
        <v>5982</v>
      </c>
      <c r="C6140" s="1">
        <v>9756189508</v>
      </c>
      <c r="D6140" s="1">
        <v>6397384434</v>
      </c>
      <c r="E6140" s="17" t="s">
        <v>8875</v>
      </c>
      <c r="F6140" s="4" t="s">
        <v>2491</v>
      </c>
      <c r="G6140" s="3" t="s">
        <v>764</v>
      </c>
      <c r="H6140" s="2" t="s">
        <v>3240</v>
      </c>
      <c r="I6140" s="3" t="s">
        <v>42</v>
      </c>
      <c r="J6140" s="31">
        <v>46059</v>
      </c>
      <c r="K6140" s="31">
        <v>46114</v>
      </c>
      <c r="L6140" s="31"/>
      <c r="M6140" s="31"/>
      <c r="N6140" s="31"/>
      <c r="O6140" s="3" t="s">
        <v>425</v>
      </c>
    </row>
    <row r="6141" spans="1:15">
      <c r="A6141" s="3">
        <f t="shared" si="146"/>
        <v>6140</v>
      </c>
      <c r="B6141" s="65" t="s">
        <v>8876</v>
      </c>
      <c r="C6141" s="1">
        <v>9797304527</v>
      </c>
      <c r="D6141" s="1">
        <v>9103345181</v>
      </c>
      <c r="E6141" s="17" t="s">
        <v>7923</v>
      </c>
      <c r="F6141" s="4" t="s">
        <v>490</v>
      </c>
      <c r="G6141" s="3" t="s">
        <v>416</v>
      </c>
      <c r="H6141" s="2" t="s">
        <v>3240</v>
      </c>
      <c r="I6141" s="3" t="s">
        <v>42</v>
      </c>
      <c r="J6141" s="31">
        <v>46059</v>
      </c>
      <c r="K6141" s="31">
        <v>46072</v>
      </c>
      <c r="L6141" s="31"/>
      <c r="M6141" s="31"/>
      <c r="N6141" s="31"/>
      <c r="O6141" s="2" t="s">
        <v>297</v>
      </c>
    </row>
    <row r="6142" spans="1:15">
      <c r="A6142" s="3">
        <f t="shared" si="146"/>
        <v>6141</v>
      </c>
      <c r="B6142" s="65" t="s">
        <v>8877</v>
      </c>
      <c r="C6142" s="1">
        <v>8817927765</v>
      </c>
      <c r="E6142" s="17" t="s">
        <v>7923</v>
      </c>
      <c r="F6142" s="4" t="s">
        <v>2491</v>
      </c>
      <c r="G6142" s="3" t="s">
        <v>16</v>
      </c>
      <c r="H6142" s="2" t="s">
        <v>3240</v>
      </c>
      <c r="I6142" s="3" t="s">
        <v>42</v>
      </c>
      <c r="J6142" s="31">
        <v>46059</v>
      </c>
      <c r="K6142" s="31">
        <v>46072</v>
      </c>
      <c r="L6142" s="31">
        <v>46087</v>
      </c>
      <c r="M6142" s="31">
        <v>46107</v>
      </c>
      <c r="N6142" s="31">
        <v>46097</v>
      </c>
      <c r="O6142" s="2" t="s">
        <v>297</v>
      </c>
    </row>
    <row r="6143" spans="1:15">
      <c r="A6143" s="3">
        <f t="shared" si="146"/>
        <v>6142</v>
      </c>
      <c r="B6143" s="65" t="s">
        <v>557</v>
      </c>
      <c r="C6143" s="1">
        <v>7078272250</v>
      </c>
      <c r="E6143" s="17" t="s">
        <v>7923</v>
      </c>
      <c r="F6143" s="4" t="s">
        <v>2491</v>
      </c>
      <c r="G6143" s="3" t="s">
        <v>416</v>
      </c>
      <c r="H6143" s="2" t="s">
        <v>3240</v>
      </c>
      <c r="I6143" s="3" t="s">
        <v>42</v>
      </c>
      <c r="J6143" s="31">
        <v>46059</v>
      </c>
      <c r="K6143" s="31">
        <v>46072</v>
      </c>
      <c r="L6143" s="31"/>
      <c r="M6143" s="31"/>
      <c r="N6143" s="31"/>
      <c r="O6143" s="2" t="s">
        <v>297</v>
      </c>
    </row>
    <row r="6144" spans="1:15">
      <c r="A6144" s="3">
        <f t="shared" si="146"/>
        <v>6143</v>
      </c>
      <c r="B6144" s="65" t="s">
        <v>8878</v>
      </c>
      <c r="C6144" s="1">
        <v>8340074951</v>
      </c>
      <c r="E6144" s="17" t="s">
        <v>7923</v>
      </c>
      <c r="F6144" s="4" t="s">
        <v>303</v>
      </c>
      <c r="G6144" s="3" t="s">
        <v>416</v>
      </c>
      <c r="H6144" s="2" t="s">
        <v>3240</v>
      </c>
      <c r="I6144" s="3" t="s">
        <v>42</v>
      </c>
      <c r="J6144" s="31">
        <v>46059</v>
      </c>
      <c r="K6144" s="31">
        <v>46072</v>
      </c>
      <c r="L6144" s="31"/>
      <c r="M6144" s="31"/>
      <c r="N6144" s="31"/>
      <c r="O6144" s="2" t="s">
        <v>297</v>
      </c>
    </row>
    <row r="6145" spans="1:15">
      <c r="A6145" s="3">
        <f t="shared" si="146"/>
        <v>6144</v>
      </c>
      <c r="B6145" s="65" t="s">
        <v>7870</v>
      </c>
      <c r="C6145" s="1">
        <v>7055460727</v>
      </c>
      <c r="D6145" s="1">
        <v>9084618024</v>
      </c>
      <c r="E6145" s="17" t="s">
        <v>7923</v>
      </c>
      <c r="F6145" s="4" t="s">
        <v>490</v>
      </c>
      <c r="G6145" s="3" t="s">
        <v>416</v>
      </c>
      <c r="H6145" s="2" t="s">
        <v>3240</v>
      </c>
      <c r="I6145" s="3" t="s">
        <v>42</v>
      </c>
      <c r="J6145" s="31">
        <v>46059</v>
      </c>
      <c r="K6145" s="31">
        <v>46072</v>
      </c>
      <c r="L6145" s="31"/>
      <c r="M6145" s="31"/>
      <c r="N6145" s="31"/>
      <c r="O6145" s="2" t="s">
        <v>297</v>
      </c>
    </row>
    <row r="6146" spans="1:15">
      <c r="A6146" s="3">
        <f t="shared" si="146"/>
        <v>6145</v>
      </c>
      <c r="B6146" s="65" t="s">
        <v>8879</v>
      </c>
      <c r="C6146" s="1">
        <v>7354992909</v>
      </c>
      <c r="E6146" s="17" t="s">
        <v>5560</v>
      </c>
      <c r="F6146" s="4" t="s">
        <v>1199</v>
      </c>
      <c r="G6146" s="3" t="s">
        <v>15</v>
      </c>
      <c r="H6146" s="2" t="s">
        <v>6158</v>
      </c>
      <c r="I6146" s="3" t="s">
        <v>42</v>
      </c>
      <c r="J6146" s="31">
        <v>46059</v>
      </c>
      <c r="K6146" s="31">
        <v>46065</v>
      </c>
      <c r="L6146" s="31">
        <v>46073</v>
      </c>
      <c r="M6146" s="31">
        <v>46111</v>
      </c>
      <c r="N6146" s="31"/>
      <c r="O6146" s="2" t="s">
        <v>297</v>
      </c>
    </row>
    <row r="6147" spans="1:15">
      <c r="A6147" s="3">
        <f t="shared" si="146"/>
        <v>6146</v>
      </c>
      <c r="B6147" s="65" t="s">
        <v>8880</v>
      </c>
      <c r="C6147" s="1">
        <v>8299678892</v>
      </c>
      <c r="D6147" s="1">
        <v>8808997066</v>
      </c>
      <c r="E6147" s="17" t="s">
        <v>7904</v>
      </c>
      <c r="F6147" s="4" t="s">
        <v>1772</v>
      </c>
      <c r="G6147" s="3" t="s">
        <v>7030</v>
      </c>
      <c r="H6147" s="2" t="s">
        <v>368</v>
      </c>
      <c r="I6147" s="3" t="s">
        <v>88</v>
      </c>
      <c r="J6147" s="31">
        <v>46059</v>
      </c>
      <c r="K6147" s="31"/>
      <c r="L6147" s="31"/>
      <c r="M6147" s="31"/>
      <c r="N6147" s="31"/>
      <c r="O6147" s="2" t="s">
        <v>1004</v>
      </c>
    </row>
    <row r="6148" spans="1:15">
      <c r="A6148" s="3">
        <f t="shared" si="146"/>
        <v>6147</v>
      </c>
      <c r="B6148" s="65" t="s">
        <v>8881</v>
      </c>
      <c r="C6148" s="1">
        <v>9456870514</v>
      </c>
      <c r="E6148" s="17" t="s">
        <v>7904</v>
      </c>
      <c r="F6148" s="4" t="s">
        <v>3778</v>
      </c>
      <c r="G6148" s="3" t="s">
        <v>424</v>
      </c>
      <c r="H6148" s="2" t="s">
        <v>368</v>
      </c>
      <c r="I6148" s="3" t="s">
        <v>88</v>
      </c>
      <c r="J6148" s="31">
        <v>46059</v>
      </c>
      <c r="K6148" s="31">
        <v>46075</v>
      </c>
      <c r="L6148" s="31"/>
      <c r="M6148" s="31"/>
      <c r="N6148" s="31"/>
      <c r="O6148" s="2" t="s">
        <v>749</v>
      </c>
    </row>
    <row r="6149" spans="1:15">
      <c r="A6149" s="3">
        <f t="shared" si="146"/>
        <v>6148</v>
      </c>
      <c r="B6149" s="65" t="s">
        <v>8882</v>
      </c>
      <c r="C6149" s="1">
        <v>9699840145</v>
      </c>
      <c r="D6149" s="1">
        <v>9889708082</v>
      </c>
      <c r="E6149" s="17" t="s">
        <v>7904</v>
      </c>
      <c r="F6149" s="4" t="s">
        <v>3778</v>
      </c>
      <c r="G6149" s="3" t="s">
        <v>15</v>
      </c>
      <c r="H6149" s="2" t="s">
        <v>368</v>
      </c>
      <c r="I6149" s="3" t="s">
        <v>88</v>
      </c>
      <c r="J6149" s="31">
        <v>46059</v>
      </c>
      <c r="K6149" s="31">
        <v>46075</v>
      </c>
      <c r="L6149" s="31">
        <v>46077</v>
      </c>
      <c r="M6149" s="31">
        <v>46127</v>
      </c>
      <c r="N6149" s="31"/>
      <c r="O6149" s="2" t="s">
        <v>297</v>
      </c>
    </row>
    <row r="6150" spans="1:15">
      <c r="A6150" s="3">
        <f t="shared" si="146"/>
        <v>6149</v>
      </c>
      <c r="B6150" s="65" t="s">
        <v>8883</v>
      </c>
      <c r="C6150" s="1">
        <v>9786010217</v>
      </c>
      <c r="E6150" s="17" t="s">
        <v>7904</v>
      </c>
      <c r="F6150" s="4" t="s">
        <v>1772</v>
      </c>
      <c r="G6150" s="3" t="s">
        <v>7030</v>
      </c>
      <c r="H6150" s="2" t="s">
        <v>368</v>
      </c>
      <c r="I6150" s="3" t="s">
        <v>88</v>
      </c>
      <c r="J6150" s="31">
        <v>46059</v>
      </c>
      <c r="K6150" s="31"/>
      <c r="L6150" s="31"/>
      <c r="M6150" s="31"/>
      <c r="N6150" s="31"/>
      <c r="O6150" s="2" t="s">
        <v>1004</v>
      </c>
    </row>
    <row r="6151" spans="1:15">
      <c r="A6151" s="3">
        <f t="shared" si="146"/>
        <v>6150</v>
      </c>
      <c r="B6151" s="65" t="s">
        <v>8615</v>
      </c>
      <c r="C6151" s="1">
        <v>7973754362</v>
      </c>
      <c r="E6151" s="17" t="s">
        <v>7912</v>
      </c>
      <c r="F6151" s="4" t="s">
        <v>4370</v>
      </c>
      <c r="G6151" s="3" t="s">
        <v>7030</v>
      </c>
      <c r="H6151" s="2" t="s">
        <v>368</v>
      </c>
      <c r="I6151" s="3" t="s">
        <v>88</v>
      </c>
      <c r="J6151" s="31">
        <v>46059</v>
      </c>
      <c r="K6151" s="31"/>
      <c r="L6151" s="31"/>
      <c r="M6151" s="31"/>
      <c r="N6151" s="31"/>
      <c r="O6151" s="2" t="s">
        <v>1004</v>
      </c>
    </row>
    <row r="6152" spans="1:15">
      <c r="A6152" s="3">
        <f t="shared" si="146"/>
        <v>6151</v>
      </c>
      <c r="B6152" s="65" t="s">
        <v>8884</v>
      </c>
      <c r="C6152" s="1">
        <v>9009141986</v>
      </c>
      <c r="D6152" s="1">
        <v>7000775675</v>
      </c>
      <c r="E6152" s="17" t="s">
        <v>7901</v>
      </c>
      <c r="F6152" s="4" t="s">
        <v>1772</v>
      </c>
      <c r="G6152" s="3" t="s">
        <v>7030</v>
      </c>
      <c r="H6152" s="2" t="s">
        <v>368</v>
      </c>
      <c r="I6152" s="3" t="s">
        <v>88</v>
      </c>
      <c r="J6152" s="31">
        <v>46059</v>
      </c>
      <c r="K6152" s="31"/>
      <c r="L6152" s="31"/>
      <c r="M6152" s="31"/>
      <c r="N6152" s="31"/>
      <c r="O6152" s="2" t="s">
        <v>1004</v>
      </c>
    </row>
    <row r="6153" spans="1:15">
      <c r="A6153" s="3">
        <f t="shared" si="146"/>
        <v>6152</v>
      </c>
      <c r="B6153" s="65" t="s">
        <v>8885</v>
      </c>
      <c r="C6153" s="1">
        <v>7063101508</v>
      </c>
      <c r="E6153" s="17" t="s">
        <v>8486</v>
      </c>
      <c r="F6153" s="4" t="s">
        <v>294</v>
      </c>
      <c r="G6153" s="3" t="s">
        <v>424</v>
      </c>
      <c r="H6153" s="2" t="s">
        <v>487</v>
      </c>
      <c r="I6153" s="3" t="s">
        <v>88</v>
      </c>
      <c r="J6153" s="31">
        <v>46059</v>
      </c>
      <c r="K6153" s="31">
        <v>46060</v>
      </c>
      <c r="L6153" s="31"/>
      <c r="M6153" s="31"/>
      <c r="N6153" s="31"/>
      <c r="O6153" s="2" t="s">
        <v>425</v>
      </c>
    </row>
    <row r="6154" spans="1:15">
      <c r="A6154" s="3">
        <f t="shared" si="146"/>
        <v>6153</v>
      </c>
      <c r="B6154" s="65" t="s">
        <v>8886</v>
      </c>
      <c r="C6154" s="1">
        <v>6295583284</v>
      </c>
      <c r="D6154" s="1">
        <v>8280405785</v>
      </c>
      <c r="E6154" s="17" t="s">
        <v>8486</v>
      </c>
      <c r="F6154" s="4" t="s">
        <v>294</v>
      </c>
      <c r="G6154" s="3" t="s">
        <v>295</v>
      </c>
      <c r="H6154" s="2" t="s">
        <v>487</v>
      </c>
      <c r="I6154" s="3" t="s">
        <v>88</v>
      </c>
      <c r="J6154" s="31">
        <v>46059</v>
      </c>
      <c r="K6154" s="31">
        <v>46060</v>
      </c>
      <c r="L6154" s="31">
        <v>46064</v>
      </c>
      <c r="M6154" s="31">
        <v>46092</v>
      </c>
      <c r="N6154" s="31"/>
      <c r="O6154" s="2" t="s">
        <v>297</v>
      </c>
    </row>
    <row r="6155" spans="1:15">
      <c r="A6155" s="3">
        <f t="shared" si="146"/>
        <v>6154</v>
      </c>
      <c r="B6155" s="65" t="s">
        <v>8887</v>
      </c>
      <c r="C6155" s="1">
        <v>8927472281</v>
      </c>
      <c r="E6155" s="17" t="s">
        <v>8486</v>
      </c>
      <c r="F6155" s="4" t="s">
        <v>294</v>
      </c>
      <c r="G6155" s="3" t="s">
        <v>416</v>
      </c>
      <c r="H6155" s="2" t="s">
        <v>487</v>
      </c>
      <c r="I6155" s="3" t="s">
        <v>88</v>
      </c>
      <c r="J6155" s="31">
        <v>46059</v>
      </c>
      <c r="K6155" s="31">
        <v>46060</v>
      </c>
      <c r="L6155" s="31"/>
      <c r="M6155" s="31"/>
      <c r="N6155" s="31"/>
      <c r="O6155" s="2" t="s">
        <v>297</v>
      </c>
    </row>
    <row r="6156" spans="1:15">
      <c r="A6156" s="3">
        <f t="shared" si="146"/>
        <v>6155</v>
      </c>
      <c r="B6156" s="65" t="s">
        <v>8888</v>
      </c>
      <c r="C6156" s="1">
        <v>7063476857</v>
      </c>
      <c r="E6156" s="17" t="s">
        <v>8486</v>
      </c>
      <c r="F6156" s="4" t="s">
        <v>294</v>
      </c>
      <c r="G6156" s="3" t="s">
        <v>16</v>
      </c>
      <c r="H6156" s="2" t="s">
        <v>487</v>
      </c>
      <c r="I6156" s="3" t="s">
        <v>88</v>
      </c>
      <c r="J6156" s="31">
        <v>46059</v>
      </c>
      <c r="K6156" s="31">
        <v>46060</v>
      </c>
      <c r="L6156" s="31">
        <v>46064</v>
      </c>
      <c r="M6156" s="31">
        <v>46092</v>
      </c>
      <c r="N6156" s="31">
        <v>46092</v>
      </c>
      <c r="O6156" s="2" t="s">
        <v>297</v>
      </c>
    </row>
    <row r="6157" spans="1:15">
      <c r="A6157" s="3">
        <f t="shared" si="146"/>
        <v>6156</v>
      </c>
      <c r="B6157" s="65" t="s">
        <v>8889</v>
      </c>
      <c r="C6157" s="1">
        <v>8438264032</v>
      </c>
      <c r="E6157" s="17" t="s">
        <v>8486</v>
      </c>
      <c r="F6157" s="4" t="s">
        <v>294</v>
      </c>
      <c r="G6157" s="3" t="s">
        <v>295</v>
      </c>
      <c r="H6157" s="2" t="s">
        <v>487</v>
      </c>
      <c r="I6157" s="3" t="s">
        <v>88</v>
      </c>
      <c r="J6157" s="31">
        <v>46059</v>
      </c>
      <c r="K6157" s="31">
        <v>46060</v>
      </c>
      <c r="L6157" s="31">
        <v>46064</v>
      </c>
      <c r="M6157" s="31">
        <v>46106</v>
      </c>
      <c r="N6157" s="31"/>
      <c r="O6157" s="2" t="s">
        <v>297</v>
      </c>
    </row>
    <row r="6158" spans="1:15">
      <c r="A6158" s="3">
        <f t="shared" si="146"/>
        <v>6157</v>
      </c>
      <c r="B6158" s="65" t="s">
        <v>8890</v>
      </c>
      <c r="C6158" s="1">
        <v>7601940608</v>
      </c>
      <c r="E6158" s="17" t="s">
        <v>8486</v>
      </c>
      <c r="F6158" s="4" t="s">
        <v>294</v>
      </c>
      <c r="G6158" s="3" t="s">
        <v>424</v>
      </c>
      <c r="H6158" s="2" t="s">
        <v>487</v>
      </c>
      <c r="I6158" s="3" t="s">
        <v>88</v>
      </c>
      <c r="J6158" s="31">
        <v>46059</v>
      </c>
      <c r="K6158" s="31">
        <v>46060</v>
      </c>
      <c r="L6158" s="31"/>
      <c r="M6158" s="31"/>
      <c r="N6158" s="31"/>
      <c r="O6158" s="2" t="s">
        <v>425</v>
      </c>
    </row>
    <row r="6159" spans="1:15">
      <c r="A6159" s="3">
        <f t="shared" si="146"/>
        <v>6158</v>
      </c>
      <c r="B6159" s="65" t="s">
        <v>8891</v>
      </c>
      <c r="C6159" s="1">
        <v>6291957236</v>
      </c>
      <c r="D6159" s="1">
        <v>9906325868</v>
      </c>
      <c r="E6159" s="17" t="s">
        <v>8486</v>
      </c>
      <c r="F6159" s="4" t="s">
        <v>294</v>
      </c>
      <c r="G6159" s="3" t="s">
        <v>424</v>
      </c>
      <c r="H6159" s="2" t="s">
        <v>487</v>
      </c>
      <c r="I6159" s="3" t="s">
        <v>88</v>
      </c>
      <c r="J6159" s="31">
        <v>46059</v>
      </c>
      <c r="K6159" s="31">
        <v>46060</v>
      </c>
      <c r="L6159" s="31"/>
      <c r="M6159" s="31"/>
      <c r="N6159" s="31"/>
      <c r="O6159" s="2" t="s">
        <v>425</v>
      </c>
    </row>
    <row r="6160" spans="1:15">
      <c r="A6160" s="3">
        <f t="shared" si="146"/>
        <v>6159</v>
      </c>
      <c r="B6160" s="65" t="s">
        <v>8892</v>
      </c>
      <c r="C6160" s="1">
        <v>8106794670</v>
      </c>
      <c r="E6160" s="17" t="s">
        <v>8893</v>
      </c>
      <c r="F6160" s="4" t="s">
        <v>3778</v>
      </c>
      <c r="G6160" s="3" t="s">
        <v>424</v>
      </c>
      <c r="H6160" s="2" t="s">
        <v>8894</v>
      </c>
      <c r="I6160" s="3" t="s">
        <v>88</v>
      </c>
      <c r="J6160" s="31">
        <v>46059</v>
      </c>
      <c r="K6160" s="31">
        <v>46073</v>
      </c>
      <c r="L6160" s="31"/>
      <c r="M6160" s="31"/>
      <c r="N6160" s="31"/>
      <c r="O6160" s="2" t="s">
        <v>425</v>
      </c>
    </row>
    <row r="6161" spans="1:15">
      <c r="A6161" s="3">
        <f t="shared" si="146"/>
        <v>6160</v>
      </c>
      <c r="B6161" s="65" t="s">
        <v>8895</v>
      </c>
      <c r="C6161" s="1">
        <v>9177219996</v>
      </c>
      <c r="E6161" s="17" t="s">
        <v>8893</v>
      </c>
      <c r="F6161" s="4" t="s">
        <v>3778</v>
      </c>
      <c r="G6161" s="3" t="s">
        <v>424</v>
      </c>
      <c r="H6161" s="2" t="s">
        <v>8894</v>
      </c>
      <c r="I6161" s="3" t="s">
        <v>88</v>
      </c>
      <c r="J6161" s="31">
        <v>46059</v>
      </c>
      <c r="K6161" s="31">
        <v>46073</v>
      </c>
      <c r="L6161" s="31"/>
      <c r="M6161" s="31"/>
      <c r="N6161" s="31"/>
      <c r="O6161" s="2" t="s">
        <v>749</v>
      </c>
    </row>
    <row r="6162" spans="1:15">
      <c r="A6162" s="3">
        <f t="shared" si="146"/>
        <v>6161</v>
      </c>
      <c r="B6162" s="65" t="s">
        <v>8025</v>
      </c>
      <c r="C6162" s="1">
        <v>8958493686</v>
      </c>
      <c r="E6162" s="17" t="s">
        <v>8893</v>
      </c>
      <c r="F6162" s="4" t="s">
        <v>6714</v>
      </c>
      <c r="G6162" s="3" t="s">
        <v>424</v>
      </c>
      <c r="H6162" s="2" t="s">
        <v>8894</v>
      </c>
      <c r="I6162" s="3" t="s">
        <v>88</v>
      </c>
      <c r="J6162" s="31">
        <v>46059</v>
      </c>
      <c r="K6162" s="31">
        <v>46073</v>
      </c>
      <c r="L6162" s="31"/>
      <c r="M6162" s="31"/>
      <c r="N6162" s="31"/>
      <c r="O6162" s="2" t="s">
        <v>425</v>
      </c>
    </row>
    <row r="6163" spans="1:15">
      <c r="A6163" s="3">
        <f t="shared" si="146"/>
        <v>6162</v>
      </c>
      <c r="B6163" s="65" t="s">
        <v>8896</v>
      </c>
      <c r="C6163" s="1">
        <v>9441745772</v>
      </c>
      <c r="E6163" s="17" t="s">
        <v>8893</v>
      </c>
      <c r="F6163" s="4" t="s">
        <v>3778</v>
      </c>
      <c r="G6163" s="3" t="s">
        <v>424</v>
      </c>
      <c r="H6163" s="2" t="s">
        <v>8894</v>
      </c>
      <c r="I6163" s="3" t="s">
        <v>88</v>
      </c>
      <c r="J6163" s="31">
        <v>46059</v>
      </c>
      <c r="K6163" s="31">
        <v>46073</v>
      </c>
      <c r="L6163" s="31"/>
      <c r="M6163" s="31"/>
      <c r="N6163" s="31"/>
      <c r="O6163" s="2" t="s">
        <v>425</v>
      </c>
    </row>
    <row r="6164" spans="1:15">
      <c r="A6164" s="3">
        <f t="shared" si="146"/>
        <v>6163</v>
      </c>
      <c r="B6164" s="65" t="s">
        <v>8897</v>
      </c>
      <c r="C6164" s="1">
        <v>9000232186</v>
      </c>
      <c r="E6164" s="17" t="s">
        <v>8893</v>
      </c>
      <c r="F6164" s="4" t="s">
        <v>7342</v>
      </c>
      <c r="G6164" s="3" t="s">
        <v>15</v>
      </c>
      <c r="H6164" s="2" t="s">
        <v>8894</v>
      </c>
      <c r="I6164" s="3" t="s">
        <v>88</v>
      </c>
      <c r="J6164" s="31">
        <v>46059</v>
      </c>
      <c r="K6164" s="31">
        <v>46073</v>
      </c>
      <c r="L6164" s="31">
        <v>46077</v>
      </c>
      <c r="M6164" s="31">
        <v>46125</v>
      </c>
      <c r="N6164" s="31"/>
      <c r="O6164" s="2" t="s">
        <v>297</v>
      </c>
    </row>
    <row r="6165" spans="1:15">
      <c r="A6165" s="3">
        <f t="shared" si="146"/>
        <v>6164</v>
      </c>
      <c r="B6165" s="65" t="s">
        <v>8898</v>
      </c>
      <c r="C6165" s="1">
        <v>7905313887</v>
      </c>
      <c r="D6165" s="1">
        <v>9236003131</v>
      </c>
      <c r="E6165" s="17" t="s">
        <v>8641</v>
      </c>
      <c r="F6165" s="4" t="s">
        <v>308</v>
      </c>
      <c r="G6165" s="3" t="s">
        <v>764</v>
      </c>
      <c r="H6165" s="2" t="s">
        <v>6158</v>
      </c>
      <c r="I6165" s="3" t="s">
        <v>42</v>
      </c>
      <c r="J6165" s="31">
        <v>46060</v>
      </c>
      <c r="K6165" s="31">
        <v>46066</v>
      </c>
      <c r="L6165" s="31"/>
      <c r="M6165" s="31"/>
      <c r="N6165" s="31"/>
      <c r="O6165" s="2" t="s">
        <v>425</v>
      </c>
    </row>
    <row r="6166" spans="1:15">
      <c r="A6166" s="3">
        <f t="shared" si="146"/>
        <v>6165</v>
      </c>
      <c r="B6166" s="65" t="s">
        <v>8899</v>
      </c>
      <c r="C6166" s="1">
        <v>9666860324</v>
      </c>
      <c r="E6166" s="17" t="s">
        <v>8639</v>
      </c>
      <c r="F6166" s="4" t="s">
        <v>8900</v>
      </c>
      <c r="G6166" s="3" t="s">
        <v>764</v>
      </c>
      <c r="H6166" s="2" t="s">
        <v>6158</v>
      </c>
      <c r="I6166" s="3" t="s">
        <v>42</v>
      </c>
      <c r="J6166" s="31">
        <v>46060</v>
      </c>
      <c r="K6166" s="31">
        <v>46066</v>
      </c>
      <c r="L6166" s="31"/>
      <c r="M6166" s="31"/>
      <c r="N6166" s="31"/>
      <c r="O6166" s="2" t="s">
        <v>425</v>
      </c>
    </row>
    <row r="6167" spans="1:15">
      <c r="A6167" s="3">
        <f t="shared" si="146"/>
        <v>6166</v>
      </c>
      <c r="B6167" s="65" t="s">
        <v>3976</v>
      </c>
      <c r="C6167" s="1">
        <v>8088391245</v>
      </c>
      <c r="D6167" s="1">
        <v>9178757468</v>
      </c>
      <c r="E6167" s="17" t="s">
        <v>8644</v>
      </c>
      <c r="F6167" s="4" t="s">
        <v>3920</v>
      </c>
      <c r="G6167" s="3" t="s">
        <v>16</v>
      </c>
      <c r="H6167" s="2" t="s">
        <v>6158</v>
      </c>
      <c r="I6167" s="3" t="s">
        <v>42</v>
      </c>
      <c r="J6167" s="31">
        <v>46060</v>
      </c>
      <c r="K6167" s="31">
        <v>46066</v>
      </c>
      <c r="L6167" s="31">
        <v>46073</v>
      </c>
      <c r="M6167" s="31">
        <v>46097</v>
      </c>
      <c r="N6167" s="31">
        <v>46097</v>
      </c>
      <c r="O6167" s="2" t="s">
        <v>297</v>
      </c>
    </row>
    <row r="6168" spans="1:15">
      <c r="A6168" s="3">
        <f t="shared" si="146"/>
        <v>6167</v>
      </c>
      <c r="B6168" s="65" t="s">
        <v>1775</v>
      </c>
      <c r="C6168" s="1">
        <v>8121256425</v>
      </c>
      <c r="E6168" s="17" t="s">
        <v>8644</v>
      </c>
      <c r="F6168" s="4" t="s">
        <v>8645</v>
      </c>
      <c r="G6168" s="3" t="s">
        <v>16</v>
      </c>
      <c r="H6168" s="2" t="s">
        <v>6158</v>
      </c>
      <c r="I6168" s="3" t="s">
        <v>42</v>
      </c>
      <c r="J6168" s="31">
        <v>46060</v>
      </c>
      <c r="K6168" s="31">
        <v>46066</v>
      </c>
      <c r="L6168" s="31">
        <v>46073</v>
      </c>
      <c r="M6168" s="31">
        <v>46083</v>
      </c>
      <c r="N6168" s="31">
        <v>46083</v>
      </c>
      <c r="O6168" s="2" t="s">
        <v>297</v>
      </c>
    </row>
    <row r="6169" spans="1:15">
      <c r="A6169" s="3">
        <f t="shared" si="146"/>
        <v>6168</v>
      </c>
      <c r="B6169" s="65" t="s">
        <v>8901</v>
      </c>
      <c r="C6169" s="1">
        <v>9983261911</v>
      </c>
      <c r="E6169" s="17" t="s">
        <v>6562</v>
      </c>
      <c r="F6169" s="4" t="s">
        <v>8902</v>
      </c>
      <c r="G6169" s="3" t="s">
        <v>424</v>
      </c>
      <c r="H6169" s="2" t="s">
        <v>5774</v>
      </c>
      <c r="I6169" s="3" t="s">
        <v>42</v>
      </c>
      <c r="J6169" s="31">
        <v>46062</v>
      </c>
      <c r="K6169" s="31">
        <v>46111</v>
      </c>
      <c r="L6169" s="31"/>
      <c r="M6169" s="31"/>
      <c r="N6169" s="31"/>
      <c r="O6169" s="2" t="s">
        <v>749</v>
      </c>
    </row>
    <row r="6170" spans="1:15">
      <c r="A6170" s="3">
        <f t="shared" si="146"/>
        <v>6169</v>
      </c>
      <c r="B6170" s="65" t="s">
        <v>8903</v>
      </c>
      <c r="C6170" s="1">
        <v>9438582656</v>
      </c>
      <c r="D6170" s="1">
        <v>7978209198</v>
      </c>
      <c r="E6170" s="17" t="s">
        <v>6562</v>
      </c>
      <c r="F6170" s="4" t="s">
        <v>972</v>
      </c>
      <c r="G6170" s="3" t="s">
        <v>424</v>
      </c>
      <c r="H6170" s="2" t="s">
        <v>5774</v>
      </c>
      <c r="I6170" s="3" t="s">
        <v>42</v>
      </c>
      <c r="J6170" s="31">
        <v>46062</v>
      </c>
      <c r="K6170" s="31">
        <v>46063</v>
      </c>
      <c r="L6170" s="31"/>
      <c r="M6170" s="31"/>
      <c r="N6170" s="31"/>
      <c r="O6170" s="2" t="s">
        <v>425</v>
      </c>
    </row>
    <row r="6171" spans="1:15">
      <c r="A6171" s="3">
        <f t="shared" si="146"/>
        <v>6170</v>
      </c>
      <c r="B6171" s="65" t="s">
        <v>1217</v>
      </c>
      <c r="C6171" s="1">
        <v>8340520139</v>
      </c>
      <c r="E6171" s="17" t="s">
        <v>6562</v>
      </c>
      <c r="F6171" s="4" t="s">
        <v>7297</v>
      </c>
      <c r="G6171" s="3" t="s">
        <v>424</v>
      </c>
      <c r="H6171" s="2" t="s">
        <v>5774</v>
      </c>
      <c r="I6171" s="3" t="s">
        <v>42</v>
      </c>
      <c r="J6171" s="31">
        <v>46062</v>
      </c>
      <c r="K6171" s="31">
        <v>46111</v>
      </c>
      <c r="L6171" s="31"/>
      <c r="M6171" s="31"/>
      <c r="N6171" s="31"/>
      <c r="O6171" s="2" t="s">
        <v>749</v>
      </c>
    </row>
    <row r="6172" spans="1:15">
      <c r="A6172" s="3">
        <f t="shared" si="146"/>
        <v>6171</v>
      </c>
      <c r="B6172" s="65" t="s">
        <v>8904</v>
      </c>
      <c r="C6172" s="1">
        <v>9704621675</v>
      </c>
      <c r="D6172" s="1">
        <v>6281446175</v>
      </c>
      <c r="E6172" s="17" t="s">
        <v>6562</v>
      </c>
      <c r="F6172" s="4" t="s">
        <v>8905</v>
      </c>
      <c r="G6172" s="3" t="s">
        <v>16</v>
      </c>
      <c r="H6172" s="2" t="s">
        <v>5774</v>
      </c>
      <c r="I6172" s="3" t="s">
        <v>42</v>
      </c>
      <c r="J6172" s="31">
        <v>46062</v>
      </c>
      <c r="K6172" s="31">
        <v>46063</v>
      </c>
      <c r="L6172" s="31">
        <v>46070</v>
      </c>
      <c r="M6172" s="31">
        <v>46080</v>
      </c>
      <c r="N6172" s="31">
        <v>46072</v>
      </c>
      <c r="O6172" s="2" t="s">
        <v>297</v>
      </c>
    </row>
    <row r="6173" spans="1:15">
      <c r="A6173" s="3">
        <f t="shared" si="146"/>
        <v>6172</v>
      </c>
      <c r="B6173" s="65" t="s">
        <v>8906</v>
      </c>
      <c r="C6173" s="1">
        <v>9849106189</v>
      </c>
      <c r="D6173" s="1">
        <v>7020103839</v>
      </c>
      <c r="E6173" s="17" t="s">
        <v>6562</v>
      </c>
      <c r="F6173" s="4" t="s">
        <v>8907</v>
      </c>
      <c r="G6173" s="3" t="s">
        <v>424</v>
      </c>
      <c r="H6173" s="2" t="s">
        <v>5774</v>
      </c>
      <c r="I6173" s="3" t="s">
        <v>42</v>
      </c>
      <c r="J6173" s="31">
        <v>46062</v>
      </c>
      <c r="K6173" s="31">
        <v>46111</v>
      </c>
      <c r="L6173" s="31"/>
      <c r="M6173" s="31"/>
      <c r="N6173" s="31"/>
      <c r="O6173" s="2" t="s">
        <v>749</v>
      </c>
    </row>
    <row r="6174" spans="1:15">
      <c r="A6174" s="3">
        <f t="shared" si="146"/>
        <v>6173</v>
      </c>
      <c r="B6174" s="65" t="s">
        <v>8908</v>
      </c>
      <c r="C6174" s="1">
        <v>9590196932</v>
      </c>
      <c r="E6174" s="17" t="s">
        <v>8670</v>
      </c>
      <c r="F6174" s="4" t="s">
        <v>8909</v>
      </c>
      <c r="G6174" s="3" t="s">
        <v>15</v>
      </c>
      <c r="H6174" s="2" t="s">
        <v>815</v>
      </c>
      <c r="I6174" s="3" t="s">
        <v>42</v>
      </c>
      <c r="J6174" s="31">
        <v>46062</v>
      </c>
      <c r="K6174" s="31">
        <v>46063</v>
      </c>
      <c r="L6174" s="31">
        <v>46101</v>
      </c>
      <c r="M6174" s="31">
        <v>46122</v>
      </c>
      <c r="N6174" s="31"/>
      <c r="O6174" s="2" t="s">
        <v>297</v>
      </c>
    </row>
    <row r="6175" spans="1:15">
      <c r="A6175" s="3">
        <f t="shared" si="146"/>
        <v>6174</v>
      </c>
      <c r="B6175" s="65" t="s">
        <v>807</v>
      </c>
      <c r="C6175" s="1">
        <v>9491335599</v>
      </c>
      <c r="E6175" s="17" t="s">
        <v>8543</v>
      </c>
      <c r="F6175" s="4" t="s">
        <v>821</v>
      </c>
      <c r="G6175" s="3" t="s">
        <v>15</v>
      </c>
      <c r="H6175" s="2" t="s">
        <v>815</v>
      </c>
      <c r="I6175" s="3" t="s">
        <v>42</v>
      </c>
      <c r="J6175" s="31">
        <v>46062</v>
      </c>
      <c r="K6175" s="31">
        <v>46091</v>
      </c>
      <c r="L6175" s="31">
        <v>46108</v>
      </c>
      <c r="M6175" s="31">
        <v>46139</v>
      </c>
      <c r="N6175" s="31"/>
      <c r="O6175" s="2" t="s">
        <v>297</v>
      </c>
    </row>
    <row r="6176" spans="1:15">
      <c r="A6176" s="3">
        <f t="shared" si="146"/>
        <v>6175</v>
      </c>
      <c r="B6176" s="65" t="s">
        <v>8910</v>
      </c>
      <c r="C6176" s="1">
        <v>9618407359</v>
      </c>
      <c r="E6176" s="17" t="s">
        <v>7114</v>
      </c>
      <c r="F6176" s="4" t="s">
        <v>8911</v>
      </c>
      <c r="G6176" s="3" t="s">
        <v>16</v>
      </c>
      <c r="H6176" s="2" t="s">
        <v>6158</v>
      </c>
      <c r="I6176" s="3" t="s">
        <v>42</v>
      </c>
      <c r="J6176" s="31">
        <v>46062</v>
      </c>
      <c r="K6176" s="31">
        <v>46062</v>
      </c>
      <c r="L6176" s="31">
        <v>46073</v>
      </c>
      <c r="M6176" s="31">
        <v>46091</v>
      </c>
      <c r="N6176" s="31">
        <v>46091</v>
      </c>
      <c r="O6176" s="2" t="s">
        <v>297</v>
      </c>
    </row>
    <row r="6177" spans="1:15">
      <c r="A6177" s="3">
        <f t="shared" si="146"/>
        <v>6176</v>
      </c>
      <c r="B6177" s="65" t="s">
        <v>8912</v>
      </c>
      <c r="C6177" s="1">
        <v>9553257301</v>
      </c>
      <c r="E6177" s="17" t="s">
        <v>5778</v>
      </c>
      <c r="F6177" s="4" t="s">
        <v>2438</v>
      </c>
      <c r="G6177" s="3" t="s">
        <v>416</v>
      </c>
      <c r="H6177" s="2" t="s">
        <v>6158</v>
      </c>
      <c r="I6177" s="3" t="s">
        <v>42</v>
      </c>
      <c r="J6177" s="31">
        <v>46062</v>
      </c>
      <c r="K6177" s="31">
        <v>46062</v>
      </c>
      <c r="L6177" s="31"/>
      <c r="M6177" s="31"/>
      <c r="N6177" s="31"/>
      <c r="O6177" s="2" t="s">
        <v>297</v>
      </c>
    </row>
    <row r="6178" spans="1:15">
      <c r="A6178" s="3">
        <f t="shared" si="146"/>
        <v>6177</v>
      </c>
      <c r="B6178" s="65" t="s">
        <v>8913</v>
      </c>
      <c r="C6178" s="1">
        <v>9032375078</v>
      </c>
      <c r="E6178" s="17" t="s">
        <v>8378</v>
      </c>
      <c r="F6178" s="4" t="s">
        <v>303</v>
      </c>
      <c r="G6178" s="3" t="s">
        <v>16</v>
      </c>
      <c r="H6178" s="2" t="s">
        <v>6158</v>
      </c>
      <c r="I6178" s="3" t="s">
        <v>42</v>
      </c>
      <c r="J6178" s="31">
        <v>46062</v>
      </c>
      <c r="K6178" s="31">
        <v>46062</v>
      </c>
      <c r="L6178" s="31">
        <v>46079</v>
      </c>
      <c r="M6178" s="31">
        <v>46086</v>
      </c>
      <c r="N6178" s="31">
        <v>46087</v>
      </c>
      <c r="O6178" s="2" t="s">
        <v>297</v>
      </c>
    </row>
    <row r="6179" spans="1:15">
      <c r="A6179" s="3">
        <f t="shared" si="146"/>
        <v>6178</v>
      </c>
      <c r="B6179" s="65" t="s">
        <v>8914</v>
      </c>
      <c r="C6179" s="1">
        <v>8142042193</v>
      </c>
      <c r="E6179" s="17" t="s">
        <v>8378</v>
      </c>
      <c r="F6179" s="4" t="s">
        <v>612</v>
      </c>
      <c r="G6179" s="3" t="s">
        <v>16</v>
      </c>
      <c r="H6179" s="2" t="s">
        <v>6158</v>
      </c>
      <c r="I6179" s="3" t="s">
        <v>42</v>
      </c>
      <c r="J6179" s="31">
        <v>46062</v>
      </c>
      <c r="K6179" s="31">
        <v>46062</v>
      </c>
      <c r="L6179" s="31">
        <v>46084</v>
      </c>
      <c r="M6179" s="31">
        <v>46090</v>
      </c>
      <c r="N6179" s="31">
        <v>46083</v>
      </c>
      <c r="O6179" s="2" t="s">
        <v>297</v>
      </c>
    </row>
    <row r="6180" spans="1:15">
      <c r="A6180" s="3">
        <f t="shared" si="146"/>
        <v>6179</v>
      </c>
      <c r="B6180" s="65" t="s">
        <v>8915</v>
      </c>
      <c r="C6180" s="1">
        <v>9959163777</v>
      </c>
      <c r="E6180" s="17" t="s">
        <v>8378</v>
      </c>
      <c r="F6180" s="4" t="s">
        <v>303</v>
      </c>
      <c r="G6180" s="3" t="s">
        <v>16</v>
      </c>
      <c r="H6180" s="2" t="s">
        <v>6158</v>
      </c>
      <c r="I6180" s="3" t="s">
        <v>42</v>
      </c>
      <c r="J6180" s="31">
        <v>46062</v>
      </c>
      <c r="K6180" s="31">
        <v>46062</v>
      </c>
      <c r="L6180" s="31">
        <v>46080</v>
      </c>
      <c r="M6180" s="31">
        <v>46090</v>
      </c>
      <c r="N6180" s="31">
        <v>46090</v>
      </c>
      <c r="O6180" s="2" t="s">
        <v>297</v>
      </c>
    </row>
    <row r="6181" spans="1:15">
      <c r="A6181" s="3">
        <f t="shared" si="146"/>
        <v>6180</v>
      </c>
      <c r="B6181" s="65" t="s">
        <v>8916</v>
      </c>
      <c r="C6181" s="1">
        <v>7995414491</v>
      </c>
      <c r="E6181" s="17" t="s">
        <v>6537</v>
      </c>
      <c r="F6181" s="4" t="s">
        <v>329</v>
      </c>
      <c r="G6181" s="2" t="s">
        <v>15</v>
      </c>
      <c r="H6181" s="2" t="s">
        <v>6158</v>
      </c>
      <c r="I6181" s="3" t="s">
        <v>42</v>
      </c>
      <c r="J6181" s="31">
        <v>46063</v>
      </c>
      <c r="K6181" s="31">
        <v>46080</v>
      </c>
      <c r="L6181" s="31">
        <v>46087</v>
      </c>
      <c r="M6181" s="31">
        <v>46118</v>
      </c>
      <c r="N6181" s="31"/>
      <c r="O6181" s="2" t="s">
        <v>297</v>
      </c>
    </row>
    <row r="6182" spans="1:15">
      <c r="A6182" s="3">
        <f t="shared" si="146"/>
        <v>6181</v>
      </c>
      <c r="B6182" s="65" t="s">
        <v>8917</v>
      </c>
      <c r="C6182" s="1">
        <v>7993059825</v>
      </c>
      <c r="E6182" s="17" t="s">
        <v>6537</v>
      </c>
      <c r="F6182" s="4" t="s">
        <v>8918</v>
      </c>
      <c r="G6182" s="3" t="s">
        <v>416</v>
      </c>
      <c r="H6182" s="2" t="s">
        <v>6158</v>
      </c>
      <c r="I6182" s="3" t="s">
        <v>42</v>
      </c>
      <c r="J6182" s="31">
        <v>46063</v>
      </c>
      <c r="K6182" s="31">
        <v>46069</v>
      </c>
      <c r="L6182" s="31"/>
      <c r="M6182" s="31"/>
      <c r="N6182" s="31"/>
      <c r="O6182" s="2" t="s">
        <v>297</v>
      </c>
    </row>
    <row r="6183" spans="1:15">
      <c r="A6183" s="3">
        <f t="shared" si="146"/>
        <v>6182</v>
      </c>
      <c r="B6183" s="65" t="s">
        <v>8190</v>
      </c>
      <c r="C6183" s="1">
        <v>8374141490</v>
      </c>
      <c r="E6183" s="17" t="s">
        <v>7923</v>
      </c>
      <c r="F6183" s="4" t="s">
        <v>6000</v>
      </c>
      <c r="G6183" s="3" t="s">
        <v>7030</v>
      </c>
      <c r="H6183" s="2" t="s">
        <v>6158</v>
      </c>
      <c r="I6183" s="3" t="s">
        <v>42</v>
      </c>
      <c r="J6183" s="31">
        <v>46063</v>
      </c>
      <c r="K6183" s="31"/>
      <c r="L6183" s="31"/>
      <c r="M6183" s="31"/>
      <c r="N6183" s="31"/>
      <c r="O6183" s="2" t="s">
        <v>1004</v>
      </c>
    </row>
    <row r="6184" spans="1:15">
      <c r="A6184" s="3">
        <f t="shared" si="146"/>
        <v>6183</v>
      </c>
      <c r="B6184" s="65" t="s">
        <v>8919</v>
      </c>
      <c r="C6184" s="1">
        <v>6303263405</v>
      </c>
      <c r="E6184" s="17" t="s">
        <v>7923</v>
      </c>
      <c r="F6184" s="4" t="s">
        <v>303</v>
      </c>
      <c r="G6184" s="3" t="s">
        <v>16</v>
      </c>
      <c r="H6184" s="2" t="s">
        <v>6158</v>
      </c>
      <c r="I6184" s="3" t="s">
        <v>42</v>
      </c>
      <c r="J6184" s="31">
        <v>46063</v>
      </c>
      <c r="K6184" s="31">
        <v>46066</v>
      </c>
      <c r="L6184" s="31">
        <v>46079</v>
      </c>
      <c r="M6184" s="31">
        <v>46097</v>
      </c>
      <c r="N6184" s="31">
        <v>46092</v>
      </c>
      <c r="O6184" s="2" t="s">
        <v>297</v>
      </c>
    </row>
    <row r="6185" spans="1:15">
      <c r="A6185" s="3">
        <f t="shared" si="146"/>
        <v>6184</v>
      </c>
      <c r="B6185" s="65" t="s">
        <v>8920</v>
      </c>
      <c r="C6185" s="1">
        <v>7411514641</v>
      </c>
      <c r="E6185" s="17" t="s">
        <v>7923</v>
      </c>
      <c r="F6185" s="4" t="s">
        <v>303</v>
      </c>
      <c r="G6185" s="3" t="s">
        <v>7030</v>
      </c>
      <c r="H6185" s="2" t="s">
        <v>6158</v>
      </c>
      <c r="I6185" s="3" t="s">
        <v>42</v>
      </c>
      <c r="J6185" s="31">
        <v>46063</v>
      </c>
      <c r="K6185" s="31"/>
      <c r="L6185" s="31"/>
      <c r="M6185" s="31"/>
      <c r="N6185" s="31"/>
      <c r="O6185" s="2" t="s">
        <v>1004</v>
      </c>
    </row>
    <row r="6186" spans="1:15">
      <c r="A6186" s="3">
        <f t="shared" ref="A6186:A6211" si="147">ROW()-1</f>
        <v>6185</v>
      </c>
      <c r="B6186" s="65" t="s">
        <v>8921</v>
      </c>
      <c r="C6186" s="1">
        <v>9935624481</v>
      </c>
      <c r="D6186" s="1">
        <v>7985041334</v>
      </c>
      <c r="E6186" s="17" t="s">
        <v>8922</v>
      </c>
      <c r="F6186" s="4" t="s">
        <v>3447</v>
      </c>
      <c r="G6186" s="3" t="s">
        <v>15</v>
      </c>
      <c r="H6186" s="2" t="s">
        <v>6158</v>
      </c>
      <c r="I6186" s="3" t="s">
        <v>42</v>
      </c>
      <c r="J6186" s="31">
        <v>46063</v>
      </c>
      <c r="K6186" s="31">
        <v>46066</v>
      </c>
      <c r="L6186" s="31">
        <v>46073</v>
      </c>
      <c r="M6186" s="31">
        <v>46117</v>
      </c>
      <c r="N6186" s="31"/>
      <c r="O6186" s="2" t="s">
        <v>297</v>
      </c>
    </row>
    <row r="6187" spans="1:15">
      <c r="A6187" s="3">
        <f t="shared" si="147"/>
        <v>6186</v>
      </c>
      <c r="B6187" s="65" t="s">
        <v>8923</v>
      </c>
      <c r="C6187" s="1">
        <v>8247392511</v>
      </c>
      <c r="E6187" s="17" t="s">
        <v>7923</v>
      </c>
      <c r="F6187" s="4" t="s">
        <v>8924</v>
      </c>
      <c r="G6187" s="3" t="s">
        <v>416</v>
      </c>
      <c r="H6187" s="2" t="s">
        <v>6158</v>
      </c>
      <c r="I6187" s="3" t="s">
        <v>42</v>
      </c>
      <c r="J6187" s="31">
        <v>46063</v>
      </c>
      <c r="K6187" s="31">
        <v>46066</v>
      </c>
      <c r="L6187" s="31"/>
      <c r="M6187" s="31"/>
      <c r="N6187" s="31"/>
      <c r="O6187" s="2" t="s">
        <v>297</v>
      </c>
    </row>
    <row r="6188" spans="1:15">
      <c r="A6188" s="3">
        <f t="shared" si="147"/>
        <v>6187</v>
      </c>
      <c r="B6188" s="65" t="s">
        <v>8925</v>
      </c>
      <c r="C6188" s="1">
        <v>8374115044</v>
      </c>
      <c r="E6188" s="17" t="s">
        <v>7923</v>
      </c>
      <c r="F6188" s="4" t="s">
        <v>303</v>
      </c>
      <c r="G6188" s="3" t="s">
        <v>16</v>
      </c>
      <c r="H6188" s="2" t="s">
        <v>6158</v>
      </c>
      <c r="I6188" s="3" t="s">
        <v>42</v>
      </c>
      <c r="J6188" s="31">
        <v>46063</v>
      </c>
      <c r="K6188" s="31">
        <v>46066</v>
      </c>
      <c r="L6188" s="31">
        <v>46073</v>
      </c>
      <c r="M6188" s="31">
        <v>46083</v>
      </c>
      <c r="N6188" s="31">
        <v>46081</v>
      </c>
      <c r="O6188" s="2" t="s">
        <v>297</v>
      </c>
    </row>
    <row r="6189" spans="1:15">
      <c r="A6189" s="3">
        <f t="shared" si="147"/>
        <v>6188</v>
      </c>
      <c r="B6189" s="65" t="s">
        <v>8926</v>
      </c>
      <c r="C6189" s="1">
        <v>9991029518</v>
      </c>
      <c r="E6189" s="17" t="s">
        <v>7923</v>
      </c>
      <c r="F6189" s="4" t="s">
        <v>303</v>
      </c>
      <c r="G6189" s="3" t="s">
        <v>16</v>
      </c>
      <c r="H6189" s="2" t="s">
        <v>6158</v>
      </c>
      <c r="I6189" s="3" t="s">
        <v>42</v>
      </c>
      <c r="J6189" s="31">
        <v>46063</v>
      </c>
      <c r="K6189" s="31">
        <v>46066</v>
      </c>
      <c r="L6189" s="31">
        <v>46079</v>
      </c>
      <c r="M6189" s="31">
        <v>46104</v>
      </c>
      <c r="N6189" s="31">
        <v>46104</v>
      </c>
      <c r="O6189" s="2" t="s">
        <v>297</v>
      </c>
    </row>
    <row r="6190" spans="1:15">
      <c r="A6190" s="3">
        <f t="shared" si="147"/>
        <v>6189</v>
      </c>
      <c r="B6190" s="65" t="s">
        <v>8927</v>
      </c>
      <c r="C6190" s="1">
        <v>7259282622</v>
      </c>
      <c r="D6190" s="1">
        <v>9305704851</v>
      </c>
      <c r="E6190" s="17" t="s">
        <v>7923</v>
      </c>
      <c r="F6190" s="4" t="s">
        <v>303</v>
      </c>
      <c r="G6190" s="3" t="s">
        <v>764</v>
      </c>
      <c r="H6190" s="2" t="s">
        <v>6158</v>
      </c>
      <c r="I6190" s="3" t="s">
        <v>42</v>
      </c>
      <c r="J6190" s="31">
        <v>46063</v>
      </c>
      <c r="K6190" s="31">
        <v>46066</v>
      </c>
      <c r="L6190" s="31"/>
      <c r="M6190" s="31"/>
      <c r="N6190" s="31"/>
      <c r="O6190" s="2" t="s">
        <v>425</v>
      </c>
    </row>
    <row r="6191" spans="1:15">
      <c r="A6191" s="3">
        <f t="shared" si="147"/>
        <v>6190</v>
      </c>
      <c r="B6191" s="65" t="s">
        <v>8928</v>
      </c>
      <c r="C6191" s="1">
        <v>9441126265</v>
      </c>
      <c r="E6191" s="17" t="s">
        <v>7923</v>
      </c>
      <c r="F6191" s="4" t="s">
        <v>303</v>
      </c>
      <c r="G6191" s="3" t="s">
        <v>416</v>
      </c>
      <c r="H6191" s="2" t="s">
        <v>6158</v>
      </c>
      <c r="I6191" s="3" t="s">
        <v>42</v>
      </c>
      <c r="J6191" s="31">
        <v>46063</v>
      </c>
      <c r="K6191" s="31">
        <v>46066</v>
      </c>
      <c r="L6191" s="31"/>
      <c r="M6191" s="31"/>
      <c r="N6191" s="31"/>
      <c r="O6191" s="2" t="s">
        <v>297</v>
      </c>
    </row>
    <row r="6192" spans="1:15">
      <c r="A6192" s="3">
        <f t="shared" si="147"/>
        <v>6191</v>
      </c>
      <c r="B6192" s="65" t="s">
        <v>8929</v>
      </c>
      <c r="C6192" s="1">
        <v>7702021744</v>
      </c>
      <c r="E6192" s="17" t="s">
        <v>5560</v>
      </c>
      <c r="F6192" s="4" t="s">
        <v>8930</v>
      </c>
      <c r="G6192" s="3" t="s">
        <v>15</v>
      </c>
      <c r="H6192" s="2" t="s">
        <v>6158</v>
      </c>
      <c r="I6192" s="3" t="s">
        <v>42</v>
      </c>
      <c r="J6192" s="31">
        <v>46063</v>
      </c>
      <c r="K6192" s="31">
        <v>46073</v>
      </c>
      <c r="L6192" s="31">
        <v>46079</v>
      </c>
      <c r="M6192" s="31">
        <v>46122</v>
      </c>
      <c r="N6192" s="31"/>
      <c r="O6192" s="2" t="s">
        <v>297</v>
      </c>
    </row>
    <row r="6193" spans="1:15">
      <c r="A6193" s="3">
        <f t="shared" si="147"/>
        <v>6192</v>
      </c>
      <c r="B6193" s="65" t="s">
        <v>8931</v>
      </c>
      <c r="C6193" s="1">
        <v>7661975949</v>
      </c>
      <c r="D6193" s="1">
        <v>8328521107</v>
      </c>
      <c r="E6193" s="17" t="s">
        <v>5560</v>
      </c>
      <c r="F6193" s="4" t="s">
        <v>8930</v>
      </c>
      <c r="G6193" s="3" t="s">
        <v>7030</v>
      </c>
      <c r="H6193" s="2" t="s">
        <v>6158</v>
      </c>
      <c r="I6193" s="3" t="s">
        <v>42</v>
      </c>
      <c r="J6193" s="31">
        <v>46063</v>
      </c>
      <c r="K6193" s="31"/>
      <c r="L6193" s="31"/>
      <c r="M6193" s="31"/>
      <c r="N6193" s="31"/>
      <c r="O6193" s="2" t="s">
        <v>1004</v>
      </c>
    </row>
    <row r="6194" spans="1:15">
      <c r="A6194" s="3">
        <f t="shared" si="147"/>
        <v>6193</v>
      </c>
      <c r="B6194" s="65" t="s">
        <v>8932</v>
      </c>
      <c r="C6194" s="1">
        <v>9441965953</v>
      </c>
      <c r="E6194" s="17" t="s">
        <v>6562</v>
      </c>
      <c r="F6194" s="4" t="s">
        <v>972</v>
      </c>
      <c r="G6194" s="3" t="s">
        <v>7030</v>
      </c>
      <c r="H6194" s="2" t="s">
        <v>5774</v>
      </c>
      <c r="I6194" s="3" t="s">
        <v>42</v>
      </c>
      <c r="J6194" s="31">
        <v>46063</v>
      </c>
      <c r="K6194" s="31"/>
      <c r="L6194" s="31"/>
      <c r="M6194" s="31"/>
      <c r="N6194" s="31"/>
      <c r="O6194" s="2" t="s">
        <v>1004</v>
      </c>
    </row>
    <row r="6195" spans="1:15">
      <c r="A6195" s="3">
        <f t="shared" si="147"/>
        <v>6194</v>
      </c>
      <c r="B6195" s="65" t="s">
        <v>8933</v>
      </c>
      <c r="C6195" s="1">
        <v>9949215675</v>
      </c>
      <c r="E6195" s="17" t="s">
        <v>6562</v>
      </c>
      <c r="F6195" s="4" t="s">
        <v>972</v>
      </c>
      <c r="G6195" s="3" t="s">
        <v>424</v>
      </c>
      <c r="H6195" s="2" t="s">
        <v>5774</v>
      </c>
      <c r="I6195" s="3" t="s">
        <v>42</v>
      </c>
      <c r="J6195" s="31">
        <v>46063</v>
      </c>
      <c r="K6195" s="31">
        <v>46111</v>
      </c>
      <c r="L6195" s="31"/>
      <c r="M6195" s="31"/>
      <c r="N6195" s="31"/>
      <c r="O6195" s="2" t="s">
        <v>425</v>
      </c>
    </row>
    <row r="6196" spans="1:15">
      <c r="A6196" s="3">
        <f t="shared" si="147"/>
        <v>6195</v>
      </c>
      <c r="B6196" s="65" t="s">
        <v>8934</v>
      </c>
      <c r="C6196" s="1">
        <v>9881557385</v>
      </c>
      <c r="D6196" s="1">
        <v>7483900000</v>
      </c>
      <c r="E6196" s="17" t="s">
        <v>8935</v>
      </c>
      <c r="F6196" s="4" t="s">
        <v>8936</v>
      </c>
      <c r="G6196" s="3" t="s">
        <v>15</v>
      </c>
      <c r="H6196" s="2" t="s">
        <v>815</v>
      </c>
      <c r="I6196" s="3" t="s">
        <v>94</v>
      </c>
      <c r="J6196" s="31">
        <v>46064</v>
      </c>
      <c r="K6196" s="31">
        <v>46065</v>
      </c>
      <c r="L6196" s="31">
        <v>46066</v>
      </c>
      <c r="M6196" s="31">
        <v>46094</v>
      </c>
      <c r="N6196" s="31"/>
      <c r="O6196" s="2" t="s">
        <v>297</v>
      </c>
    </row>
    <row r="6197" spans="1:15">
      <c r="A6197" s="3">
        <f t="shared" si="147"/>
        <v>6196</v>
      </c>
      <c r="B6197" s="65" t="s">
        <v>8937</v>
      </c>
      <c r="C6197" s="1">
        <v>9908193366</v>
      </c>
      <c r="E6197" s="17" t="s">
        <v>8935</v>
      </c>
      <c r="F6197" s="4" t="s">
        <v>8936</v>
      </c>
      <c r="G6197" s="3" t="s">
        <v>416</v>
      </c>
      <c r="H6197" s="2" t="s">
        <v>815</v>
      </c>
      <c r="I6197" s="3" t="s">
        <v>94</v>
      </c>
      <c r="J6197" s="31">
        <v>46064</v>
      </c>
      <c r="K6197" s="31">
        <v>46065</v>
      </c>
      <c r="L6197" s="31"/>
      <c r="M6197" s="31"/>
      <c r="N6197" s="31"/>
      <c r="O6197" s="2" t="s">
        <v>297</v>
      </c>
    </row>
    <row r="6198" spans="1:15">
      <c r="A6198" s="3">
        <f t="shared" si="147"/>
        <v>6197</v>
      </c>
      <c r="B6198" s="65" t="s">
        <v>3265</v>
      </c>
      <c r="C6198" s="1">
        <v>7485861589</v>
      </c>
      <c r="E6198" s="17" t="s">
        <v>7741</v>
      </c>
      <c r="F6198" s="4" t="s">
        <v>8938</v>
      </c>
      <c r="G6198" s="3" t="s">
        <v>424</v>
      </c>
      <c r="H6198" s="2" t="s">
        <v>6158</v>
      </c>
      <c r="I6198" s="3" t="s">
        <v>42</v>
      </c>
      <c r="J6198" s="31">
        <v>46064</v>
      </c>
      <c r="K6198" s="31">
        <v>46065</v>
      </c>
      <c r="L6198" s="31"/>
      <c r="M6198" s="31"/>
      <c r="N6198" s="31"/>
      <c r="O6198" s="2" t="s">
        <v>425</v>
      </c>
    </row>
    <row r="6199" spans="1:15">
      <c r="A6199" s="3">
        <f t="shared" si="147"/>
        <v>6198</v>
      </c>
      <c r="B6199" s="65" t="s">
        <v>5028</v>
      </c>
      <c r="C6199" s="1">
        <v>8333001194</v>
      </c>
      <c r="E6199" s="17" t="s">
        <v>7741</v>
      </c>
      <c r="F6199" s="4" t="s">
        <v>333</v>
      </c>
      <c r="G6199" s="3" t="s">
        <v>295</v>
      </c>
      <c r="H6199" s="2" t="s">
        <v>6158</v>
      </c>
      <c r="I6199" s="3" t="s">
        <v>42</v>
      </c>
      <c r="J6199" s="31">
        <v>46064</v>
      </c>
      <c r="K6199" s="31">
        <v>46065</v>
      </c>
      <c r="L6199" s="31">
        <v>46065</v>
      </c>
      <c r="M6199" s="31">
        <v>46093</v>
      </c>
      <c r="N6199" s="31"/>
      <c r="O6199" s="2" t="s">
        <v>297</v>
      </c>
    </row>
    <row r="6200" spans="1:15">
      <c r="A6200" s="3">
        <f t="shared" si="147"/>
        <v>6199</v>
      </c>
      <c r="B6200" s="65" t="s">
        <v>8939</v>
      </c>
      <c r="C6200" s="1">
        <v>9304380656</v>
      </c>
      <c r="E6200" s="17" t="s">
        <v>7114</v>
      </c>
      <c r="F6200" s="4" t="s">
        <v>8940</v>
      </c>
      <c r="G6200" s="3" t="s">
        <v>416</v>
      </c>
      <c r="H6200" s="2" t="s">
        <v>6158</v>
      </c>
      <c r="I6200" s="3" t="s">
        <v>42</v>
      </c>
      <c r="J6200" s="31">
        <v>46064</v>
      </c>
      <c r="K6200" s="31">
        <v>46065</v>
      </c>
      <c r="L6200" s="31"/>
      <c r="M6200" s="31"/>
      <c r="N6200" s="31"/>
      <c r="O6200" s="2" t="s">
        <v>297</v>
      </c>
    </row>
    <row r="6201" spans="1:15">
      <c r="A6201" s="3">
        <f t="shared" si="147"/>
        <v>6200</v>
      </c>
      <c r="B6201" s="65" t="s">
        <v>8941</v>
      </c>
      <c r="C6201" s="1">
        <v>9950292928</v>
      </c>
      <c r="E6201" s="17" t="s">
        <v>7114</v>
      </c>
      <c r="F6201" s="4" t="s">
        <v>8942</v>
      </c>
      <c r="G6201" s="3" t="s">
        <v>424</v>
      </c>
      <c r="H6201" s="2" t="s">
        <v>6158</v>
      </c>
      <c r="I6201" s="3" t="s">
        <v>42</v>
      </c>
      <c r="J6201" s="31">
        <v>46064</v>
      </c>
      <c r="K6201" s="31">
        <v>46065</v>
      </c>
      <c r="L6201" s="31"/>
      <c r="M6201" s="31"/>
      <c r="N6201" s="31"/>
      <c r="O6201" s="2" t="s">
        <v>425</v>
      </c>
    </row>
    <row r="6202" spans="1:15">
      <c r="A6202" s="3">
        <f t="shared" si="147"/>
        <v>6201</v>
      </c>
      <c r="B6202" s="65" t="s">
        <v>8943</v>
      </c>
      <c r="C6202" s="1">
        <v>9473951599</v>
      </c>
      <c r="E6202" s="17" t="s">
        <v>6537</v>
      </c>
      <c r="F6202" s="4" t="s">
        <v>451</v>
      </c>
      <c r="G6202" s="3" t="s">
        <v>416</v>
      </c>
      <c r="H6202" s="2" t="s">
        <v>8944</v>
      </c>
      <c r="I6202" s="3" t="s">
        <v>42</v>
      </c>
      <c r="J6202" s="31">
        <v>46064</v>
      </c>
      <c r="K6202" s="31">
        <v>46066</v>
      </c>
      <c r="L6202" s="31"/>
      <c r="M6202" s="31"/>
      <c r="N6202" s="31"/>
      <c r="O6202" s="2" t="s">
        <v>297</v>
      </c>
    </row>
    <row r="6203" spans="1:15">
      <c r="A6203" s="3">
        <f t="shared" si="147"/>
        <v>6202</v>
      </c>
      <c r="B6203" s="65" t="s">
        <v>8945</v>
      </c>
      <c r="C6203" s="1">
        <v>9958691492</v>
      </c>
      <c r="E6203" s="17" t="s">
        <v>6537</v>
      </c>
      <c r="F6203" s="4" t="s">
        <v>308</v>
      </c>
      <c r="G6203" s="3" t="s">
        <v>764</v>
      </c>
      <c r="H6203" s="2" t="s">
        <v>8944</v>
      </c>
      <c r="I6203" s="3" t="s">
        <v>42</v>
      </c>
      <c r="J6203" s="31">
        <v>46064</v>
      </c>
      <c r="K6203" s="31">
        <v>46066</v>
      </c>
      <c r="L6203" s="31"/>
      <c r="M6203" s="31"/>
      <c r="N6203" s="31"/>
      <c r="O6203" s="2" t="s">
        <v>425</v>
      </c>
    </row>
    <row r="6204" spans="1:15">
      <c r="A6204" s="3">
        <f t="shared" si="147"/>
        <v>6203</v>
      </c>
      <c r="B6204" s="65" t="s">
        <v>8946</v>
      </c>
      <c r="C6204" s="1">
        <v>7416185512</v>
      </c>
      <c r="E6204" s="17" t="s">
        <v>6537</v>
      </c>
      <c r="F6204" s="4" t="s">
        <v>308</v>
      </c>
      <c r="G6204" s="3" t="s">
        <v>764</v>
      </c>
      <c r="H6204" s="2" t="s">
        <v>8944</v>
      </c>
      <c r="I6204" s="3" t="s">
        <v>42</v>
      </c>
      <c r="J6204" s="31">
        <v>46064</v>
      </c>
      <c r="K6204" s="31">
        <v>46066</v>
      </c>
      <c r="L6204" s="31"/>
      <c r="M6204" s="31"/>
      <c r="N6204" s="31"/>
      <c r="O6204" s="2" t="s">
        <v>425</v>
      </c>
    </row>
    <row r="6205" spans="1:15">
      <c r="A6205" s="3">
        <f t="shared" si="147"/>
        <v>6204</v>
      </c>
      <c r="B6205" s="65" t="s">
        <v>8947</v>
      </c>
      <c r="C6205" s="1">
        <v>6281725914</v>
      </c>
      <c r="E6205" s="17" t="s">
        <v>6537</v>
      </c>
      <c r="F6205" s="4" t="s">
        <v>308</v>
      </c>
      <c r="G6205" s="3" t="s">
        <v>16</v>
      </c>
      <c r="H6205" s="2" t="s">
        <v>8944</v>
      </c>
      <c r="I6205" s="3" t="s">
        <v>42</v>
      </c>
      <c r="J6205" s="31">
        <v>46064</v>
      </c>
      <c r="K6205" s="31">
        <v>46072</v>
      </c>
      <c r="L6205" s="31">
        <v>46073</v>
      </c>
      <c r="M6205" s="31">
        <v>46083</v>
      </c>
      <c r="N6205" s="31">
        <v>46088</v>
      </c>
      <c r="O6205" s="2" t="s">
        <v>297</v>
      </c>
    </row>
    <row r="6206" spans="1:15">
      <c r="A6206" s="3">
        <f t="shared" si="147"/>
        <v>6205</v>
      </c>
      <c r="B6206" s="65" t="s">
        <v>8948</v>
      </c>
      <c r="C6206" s="1">
        <v>9885252588</v>
      </c>
      <c r="E6206" s="17" t="s">
        <v>6537</v>
      </c>
      <c r="F6206" s="4" t="s">
        <v>308</v>
      </c>
      <c r="G6206" s="3" t="s">
        <v>764</v>
      </c>
      <c r="H6206" s="2" t="s">
        <v>8944</v>
      </c>
      <c r="I6206" s="3" t="s">
        <v>42</v>
      </c>
      <c r="J6206" s="31">
        <v>46064</v>
      </c>
      <c r="K6206" s="31">
        <v>46066</v>
      </c>
      <c r="L6206" s="31"/>
      <c r="M6206" s="31"/>
      <c r="N6206" s="31"/>
      <c r="O6206" s="2" t="s">
        <v>425</v>
      </c>
    </row>
    <row r="6207" spans="1:15">
      <c r="A6207" s="3">
        <f t="shared" si="147"/>
        <v>6206</v>
      </c>
      <c r="B6207" s="65" t="s">
        <v>8949</v>
      </c>
      <c r="C6207" s="1">
        <v>8688678915</v>
      </c>
      <c r="E6207" s="17" t="s">
        <v>6537</v>
      </c>
      <c r="F6207" s="4" t="s">
        <v>5123</v>
      </c>
      <c r="G6207" s="3" t="s">
        <v>764</v>
      </c>
      <c r="H6207" s="2" t="s">
        <v>8944</v>
      </c>
      <c r="I6207" s="3" t="s">
        <v>42</v>
      </c>
      <c r="J6207" s="31">
        <v>46064</v>
      </c>
      <c r="K6207" s="31">
        <v>46066</v>
      </c>
      <c r="L6207" s="31"/>
      <c r="M6207" s="31"/>
      <c r="N6207" s="31"/>
      <c r="O6207" s="2" t="s">
        <v>425</v>
      </c>
    </row>
    <row r="6208" spans="1:15">
      <c r="A6208" s="3">
        <f t="shared" si="147"/>
        <v>6207</v>
      </c>
      <c r="B6208" s="65" t="s">
        <v>8950</v>
      </c>
      <c r="C6208" s="1">
        <v>9137527012</v>
      </c>
      <c r="E6208" s="17" t="s">
        <v>6537</v>
      </c>
      <c r="F6208" s="4" t="s">
        <v>3160</v>
      </c>
      <c r="G6208" s="3" t="s">
        <v>764</v>
      </c>
      <c r="H6208" s="2" t="s">
        <v>8944</v>
      </c>
      <c r="I6208" s="3" t="s">
        <v>42</v>
      </c>
      <c r="J6208" s="31">
        <v>46064</v>
      </c>
      <c r="K6208" s="31">
        <v>46066</v>
      </c>
      <c r="L6208" s="31"/>
      <c r="M6208" s="31"/>
      <c r="N6208" s="31"/>
      <c r="O6208" s="2" t="s">
        <v>425</v>
      </c>
    </row>
    <row r="6209" spans="1:15">
      <c r="A6209" s="3">
        <f t="shared" si="147"/>
        <v>6208</v>
      </c>
      <c r="B6209" s="65" t="s">
        <v>8951</v>
      </c>
      <c r="C6209" s="1">
        <v>9400121116</v>
      </c>
      <c r="E6209" s="17" t="s">
        <v>6537</v>
      </c>
      <c r="F6209" s="4" t="s">
        <v>8952</v>
      </c>
      <c r="G6209" s="3" t="s">
        <v>416</v>
      </c>
      <c r="H6209" s="2" t="s">
        <v>8944</v>
      </c>
      <c r="I6209" s="3" t="s">
        <v>42</v>
      </c>
      <c r="J6209" s="31">
        <v>46064</v>
      </c>
      <c r="K6209" s="31">
        <v>46066</v>
      </c>
      <c r="L6209" s="31"/>
      <c r="M6209" s="31"/>
      <c r="N6209" s="31"/>
      <c r="O6209" s="2" t="s">
        <v>297</v>
      </c>
    </row>
    <row r="6210" spans="1:15">
      <c r="A6210" s="3">
        <f t="shared" si="147"/>
        <v>6209</v>
      </c>
      <c r="B6210" s="65" t="s">
        <v>8953</v>
      </c>
      <c r="C6210" s="1">
        <v>7093642556</v>
      </c>
      <c r="E6210" s="17" t="s">
        <v>6537</v>
      </c>
      <c r="F6210" s="4" t="s">
        <v>8954</v>
      </c>
      <c r="G6210" s="3" t="s">
        <v>764</v>
      </c>
      <c r="H6210" s="2" t="s">
        <v>8944</v>
      </c>
      <c r="I6210" s="3" t="s">
        <v>42</v>
      </c>
      <c r="J6210" s="31">
        <v>46064</v>
      </c>
      <c r="K6210" s="31">
        <v>46072</v>
      </c>
      <c r="L6210" s="31"/>
      <c r="M6210" s="31"/>
      <c r="N6210" s="31"/>
      <c r="O6210" s="2" t="s">
        <v>425</v>
      </c>
    </row>
    <row r="6211" spans="1:15">
      <c r="A6211" s="3">
        <f t="shared" si="147"/>
        <v>6210</v>
      </c>
      <c r="B6211" s="65" t="s">
        <v>8955</v>
      </c>
      <c r="C6211" s="1">
        <v>9490588681</v>
      </c>
      <c r="E6211" s="17" t="s">
        <v>8413</v>
      </c>
      <c r="F6211" s="4" t="s">
        <v>3160</v>
      </c>
      <c r="G6211" s="3" t="s">
        <v>15</v>
      </c>
      <c r="H6211" s="2" t="s">
        <v>8944</v>
      </c>
      <c r="I6211" s="3" t="s">
        <v>42</v>
      </c>
      <c r="J6211" s="31">
        <v>46064</v>
      </c>
      <c r="K6211" s="31">
        <v>46065</v>
      </c>
      <c r="L6211" s="31">
        <v>46066</v>
      </c>
      <c r="M6211" s="31">
        <v>46106</v>
      </c>
      <c r="N6211" s="31"/>
      <c r="O6211" s="2" t="s">
        <v>297</v>
      </c>
    </row>
    <row r="6212" spans="1:15">
      <c r="A6212" s="3">
        <f t="shared" ref="A6212:A6265" si="148">ROW()-1</f>
        <v>6211</v>
      </c>
      <c r="B6212" s="65" t="s">
        <v>8956</v>
      </c>
      <c r="C6212" s="1">
        <v>8688633048</v>
      </c>
      <c r="E6212" s="17" t="s">
        <v>6537</v>
      </c>
      <c r="F6212" s="4" t="s">
        <v>3242</v>
      </c>
      <c r="G6212" s="3" t="s">
        <v>15</v>
      </c>
      <c r="H6212" s="2" t="s">
        <v>8944</v>
      </c>
      <c r="I6212" s="3" t="s">
        <v>42</v>
      </c>
      <c r="J6212" s="31">
        <v>46064</v>
      </c>
      <c r="K6212" s="31">
        <v>46066</v>
      </c>
      <c r="L6212" s="31">
        <v>46070</v>
      </c>
      <c r="M6212" s="31">
        <v>46098</v>
      </c>
      <c r="N6212" s="31"/>
      <c r="O6212" s="2" t="s">
        <v>297</v>
      </c>
    </row>
    <row r="6213" spans="1:15">
      <c r="A6213" s="3">
        <f t="shared" si="148"/>
        <v>6212</v>
      </c>
      <c r="B6213" s="65" t="s">
        <v>8957</v>
      </c>
      <c r="C6213" s="1">
        <v>9912148863</v>
      </c>
      <c r="D6213" s="1">
        <v>8790385211</v>
      </c>
      <c r="E6213" s="17" t="s">
        <v>6537</v>
      </c>
      <c r="F6213" s="4" t="s">
        <v>3242</v>
      </c>
      <c r="G6213" s="3" t="s">
        <v>416</v>
      </c>
      <c r="H6213" s="2" t="s">
        <v>8944</v>
      </c>
      <c r="I6213" s="3" t="s">
        <v>42</v>
      </c>
      <c r="J6213" s="31">
        <v>46064</v>
      </c>
      <c r="K6213" s="31">
        <v>46066</v>
      </c>
      <c r="L6213" s="31"/>
      <c r="M6213" s="31"/>
      <c r="N6213" s="31"/>
      <c r="O6213" s="2" t="s">
        <v>297</v>
      </c>
    </row>
    <row r="6214" spans="1:15">
      <c r="A6214" s="3">
        <f t="shared" si="148"/>
        <v>6213</v>
      </c>
      <c r="B6214" s="65" t="s">
        <v>8958</v>
      </c>
      <c r="C6214" s="1">
        <v>9892648655</v>
      </c>
      <c r="D6214" s="1">
        <v>7977398720</v>
      </c>
      <c r="E6214" s="17" t="s">
        <v>6537</v>
      </c>
      <c r="F6214" s="4" t="s">
        <v>3242</v>
      </c>
      <c r="G6214" s="3" t="s">
        <v>416</v>
      </c>
      <c r="H6214" s="2" t="s">
        <v>8944</v>
      </c>
      <c r="I6214" s="3" t="s">
        <v>42</v>
      </c>
      <c r="J6214" s="31">
        <v>46064</v>
      </c>
      <c r="K6214" s="31">
        <v>46066</v>
      </c>
      <c r="L6214" s="31"/>
      <c r="M6214" s="31"/>
      <c r="N6214" s="31"/>
      <c r="O6214" s="2" t="s">
        <v>297</v>
      </c>
    </row>
    <row r="6215" spans="1:15">
      <c r="A6215" s="3">
        <f t="shared" si="148"/>
        <v>6214</v>
      </c>
      <c r="B6215" s="65" t="s">
        <v>8959</v>
      </c>
      <c r="C6215" s="1">
        <v>8498889092</v>
      </c>
      <c r="E6215" s="17" t="s">
        <v>6537</v>
      </c>
      <c r="F6215" s="4" t="s">
        <v>3242</v>
      </c>
      <c r="G6215" s="3" t="s">
        <v>764</v>
      </c>
      <c r="H6215" s="2" t="s">
        <v>8944</v>
      </c>
      <c r="I6215" s="3" t="s">
        <v>42</v>
      </c>
      <c r="J6215" s="31">
        <v>46064</v>
      </c>
      <c r="K6215" s="31">
        <v>46066</v>
      </c>
      <c r="L6215" s="31"/>
      <c r="M6215" s="31"/>
      <c r="N6215" s="31"/>
      <c r="O6215" s="2" t="s">
        <v>425</v>
      </c>
    </row>
    <row r="6216" spans="1:15">
      <c r="A6216" s="3">
        <f t="shared" si="148"/>
        <v>6215</v>
      </c>
      <c r="B6216" s="65" t="s">
        <v>8960</v>
      </c>
      <c r="C6216" s="1">
        <v>9505327854</v>
      </c>
      <c r="E6216" s="17" t="s">
        <v>6537</v>
      </c>
      <c r="F6216" s="4" t="s">
        <v>3242</v>
      </c>
      <c r="G6216" s="3" t="s">
        <v>16</v>
      </c>
      <c r="H6216" s="2" t="s">
        <v>8944</v>
      </c>
      <c r="I6216" s="3" t="s">
        <v>42</v>
      </c>
      <c r="J6216" s="31">
        <v>46064</v>
      </c>
      <c r="K6216" s="31">
        <v>46065</v>
      </c>
      <c r="L6216" s="31">
        <v>46073</v>
      </c>
      <c r="M6216" s="31">
        <v>46103</v>
      </c>
      <c r="N6216" s="31">
        <v>46103</v>
      </c>
      <c r="O6216" s="2" t="s">
        <v>297</v>
      </c>
    </row>
    <row r="6217" spans="1:15">
      <c r="A6217" s="3">
        <f t="shared" si="148"/>
        <v>6216</v>
      </c>
      <c r="B6217" s="65" t="s">
        <v>8961</v>
      </c>
      <c r="C6217" s="1">
        <v>9966597115</v>
      </c>
      <c r="E6217" s="17" t="s">
        <v>7685</v>
      </c>
      <c r="F6217" s="4" t="s">
        <v>3242</v>
      </c>
      <c r="G6217" s="3" t="s">
        <v>16</v>
      </c>
      <c r="H6217" s="2" t="s">
        <v>8944</v>
      </c>
      <c r="I6217" s="3" t="s">
        <v>42</v>
      </c>
      <c r="J6217" s="31">
        <v>46064</v>
      </c>
      <c r="K6217" s="31">
        <v>46065</v>
      </c>
      <c r="L6217" s="31">
        <v>46066</v>
      </c>
      <c r="M6217" s="31">
        <v>46099</v>
      </c>
      <c r="N6217" s="31">
        <v>46098</v>
      </c>
      <c r="O6217" s="2" t="s">
        <v>297</v>
      </c>
    </row>
    <row r="6218" spans="1:15">
      <c r="A6218" s="3">
        <f t="shared" si="148"/>
        <v>6217</v>
      </c>
      <c r="B6218" s="65" t="s">
        <v>8962</v>
      </c>
      <c r="C6218" s="1">
        <v>7288043043</v>
      </c>
      <c r="E6218" s="128" t="s">
        <v>8963</v>
      </c>
      <c r="F6218" s="4" t="s">
        <v>3242</v>
      </c>
      <c r="G6218" s="3" t="s">
        <v>16</v>
      </c>
      <c r="H6218" s="2" t="s">
        <v>8944</v>
      </c>
      <c r="I6218" s="3" t="s">
        <v>42</v>
      </c>
      <c r="J6218" s="31">
        <v>46064</v>
      </c>
      <c r="K6218" s="31">
        <v>46065</v>
      </c>
      <c r="L6218" s="31">
        <v>46073</v>
      </c>
      <c r="M6218" s="31">
        <v>46081</v>
      </c>
      <c r="N6218" s="31">
        <v>46084</v>
      </c>
      <c r="O6218" s="2" t="s">
        <v>297</v>
      </c>
    </row>
    <row r="6219" spans="1:15">
      <c r="A6219" s="3">
        <f t="shared" si="148"/>
        <v>6218</v>
      </c>
      <c r="B6219" s="65" t="s">
        <v>8964</v>
      </c>
      <c r="C6219" s="1">
        <v>9494330319</v>
      </c>
      <c r="E6219" s="17" t="s">
        <v>7923</v>
      </c>
      <c r="F6219" s="4"/>
      <c r="G6219" s="3" t="s">
        <v>16</v>
      </c>
      <c r="H6219" s="2" t="s">
        <v>6158</v>
      </c>
      <c r="I6219" s="3" t="s">
        <v>42</v>
      </c>
      <c r="J6219" s="31">
        <v>46059</v>
      </c>
      <c r="K6219" s="31">
        <v>46060</v>
      </c>
      <c r="L6219" s="31">
        <v>46060</v>
      </c>
      <c r="M6219" s="31">
        <v>46076</v>
      </c>
      <c r="N6219" s="31">
        <v>46076</v>
      </c>
      <c r="O6219" s="2" t="s">
        <v>297</v>
      </c>
    </row>
    <row r="6220" spans="1:15">
      <c r="A6220" s="3">
        <f t="shared" si="148"/>
        <v>6219</v>
      </c>
      <c r="B6220" s="65" t="s">
        <v>8965</v>
      </c>
      <c r="C6220" s="1">
        <v>9010145632</v>
      </c>
      <c r="E6220" s="17" t="s">
        <v>8966</v>
      </c>
      <c r="F6220" s="4"/>
      <c r="G6220" s="3" t="s">
        <v>16</v>
      </c>
      <c r="H6220" s="2" t="s">
        <v>815</v>
      </c>
      <c r="I6220" s="3" t="s">
        <v>42</v>
      </c>
      <c r="J6220" s="31">
        <v>46060</v>
      </c>
      <c r="K6220" s="31">
        <v>46060</v>
      </c>
      <c r="L6220" s="31">
        <v>46062</v>
      </c>
      <c r="M6220" s="31">
        <v>46070</v>
      </c>
      <c r="N6220" s="31">
        <v>46069</v>
      </c>
      <c r="O6220" s="2" t="s">
        <v>297</v>
      </c>
    </row>
    <row r="6221" spans="1:15">
      <c r="A6221" s="3">
        <f t="shared" si="148"/>
        <v>6220</v>
      </c>
      <c r="B6221" s="65" t="s">
        <v>8967</v>
      </c>
      <c r="C6221" s="1">
        <v>8008364887</v>
      </c>
      <c r="E6221" s="17" t="s">
        <v>8968</v>
      </c>
      <c r="F6221" s="4"/>
      <c r="G6221" s="3" t="s">
        <v>16</v>
      </c>
      <c r="H6221" s="2" t="s">
        <v>815</v>
      </c>
      <c r="I6221" s="3" t="s">
        <v>42</v>
      </c>
      <c r="J6221" s="31">
        <v>46060</v>
      </c>
      <c r="K6221" s="31">
        <v>46060</v>
      </c>
      <c r="L6221" s="31">
        <v>46062</v>
      </c>
      <c r="M6221" s="31">
        <v>46070</v>
      </c>
      <c r="N6221" s="31">
        <v>46070</v>
      </c>
      <c r="O6221" s="2" t="s">
        <v>297</v>
      </c>
    </row>
    <row r="6222" spans="1:15">
      <c r="A6222" s="3">
        <f t="shared" si="148"/>
        <v>6221</v>
      </c>
      <c r="B6222" s="65" t="s">
        <v>8969</v>
      </c>
      <c r="C6222" s="1">
        <v>9492377832</v>
      </c>
      <c r="E6222" s="17" t="s">
        <v>8193</v>
      </c>
      <c r="F6222" s="4"/>
      <c r="G6222" s="3" t="s">
        <v>16</v>
      </c>
      <c r="H6222" s="2" t="s">
        <v>815</v>
      </c>
      <c r="I6222" s="3" t="s">
        <v>42</v>
      </c>
      <c r="J6222" s="31">
        <v>46060</v>
      </c>
      <c r="K6222" s="31">
        <v>46060</v>
      </c>
      <c r="L6222" s="31">
        <v>46062</v>
      </c>
      <c r="M6222" s="31">
        <v>46071</v>
      </c>
      <c r="N6222" s="31">
        <v>46072</v>
      </c>
      <c r="O6222" s="2" t="s">
        <v>297</v>
      </c>
    </row>
    <row r="6223" spans="1:15">
      <c r="A6223" s="3">
        <f t="shared" si="148"/>
        <v>6222</v>
      </c>
      <c r="B6223" s="65" t="s">
        <v>8970</v>
      </c>
      <c r="C6223" s="1">
        <v>6363730463</v>
      </c>
      <c r="E6223" s="17" t="s">
        <v>8193</v>
      </c>
      <c r="F6223" s="4"/>
      <c r="G6223" s="3" t="s">
        <v>16</v>
      </c>
      <c r="H6223" s="2" t="s">
        <v>815</v>
      </c>
      <c r="I6223" s="3" t="s">
        <v>42</v>
      </c>
      <c r="J6223" s="31">
        <v>46060</v>
      </c>
      <c r="K6223" s="31">
        <v>46060</v>
      </c>
      <c r="L6223" s="31">
        <v>46062</v>
      </c>
      <c r="M6223" s="31">
        <v>46064</v>
      </c>
      <c r="N6223" s="31">
        <v>46052</v>
      </c>
      <c r="O6223" s="2" t="s">
        <v>297</v>
      </c>
    </row>
    <row r="6224" spans="1:15">
      <c r="A6224" s="3">
        <f t="shared" si="148"/>
        <v>6223</v>
      </c>
      <c r="B6224" s="65" t="s">
        <v>8971</v>
      </c>
      <c r="C6224" s="1">
        <v>9563913112</v>
      </c>
      <c r="D6224" s="1">
        <v>7006226851</v>
      </c>
      <c r="E6224" s="17" t="s">
        <v>8486</v>
      </c>
      <c r="F6224" s="4" t="s">
        <v>294</v>
      </c>
      <c r="G6224" s="3" t="s">
        <v>18</v>
      </c>
      <c r="H6224" s="2" t="s">
        <v>296</v>
      </c>
      <c r="I6224" s="3" t="s">
        <v>88</v>
      </c>
      <c r="J6224" s="31">
        <v>46065</v>
      </c>
      <c r="K6224" s="31">
        <v>46077</v>
      </c>
      <c r="L6224" s="31"/>
      <c r="M6224" s="31"/>
      <c r="N6224" s="31"/>
      <c r="O6224" s="2" t="s">
        <v>297</v>
      </c>
    </row>
    <row r="6225" spans="1:15">
      <c r="A6225" s="3">
        <f t="shared" si="148"/>
        <v>6224</v>
      </c>
      <c r="B6225" s="65" t="s">
        <v>8972</v>
      </c>
      <c r="C6225" s="1">
        <v>7895732726</v>
      </c>
      <c r="E6225" s="17" t="s">
        <v>8486</v>
      </c>
      <c r="F6225" s="4" t="s">
        <v>294</v>
      </c>
      <c r="G6225" s="3" t="s">
        <v>14</v>
      </c>
      <c r="H6225" s="2" t="s">
        <v>296</v>
      </c>
      <c r="I6225" s="3" t="s">
        <v>88</v>
      </c>
      <c r="J6225" s="31">
        <v>46065</v>
      </c>
      <c r="K6225" s="31">
        <v>46077</v>
      </c>
      <c r="L6225" s="31"/>
      <c r="M6225" s="31"/>
      <c r="N6225" s="31"/>
      <c r="O6225" s="2" t="s">
        <v>297</v>
      </c>
    </row>
    <row r="6226" spans="1:15">
      <c r="A6226" s="3">
        <f t="shared" si="148"/>
        <v>6225</v>
      </c>
      <c r="B6226" s="65" t="s">
        <v>8973</v>
      </c>
      <c r="C6226" s="1">
        <v>7484826250</v>
      </c>
      <c r="E6226" s="17" t="s">
        <v>8486</v>
      </c>
      <c r="F6226" s="4" t="s">
        <v>3002</v>
      </c>
      <c r="G6226" s="3" t="s">
        <v>416</v>
      </c>
      <c r="H6226" s="2" t="s">
        <v>296</v>
      </c>
      <c r="I6226" s="3" t="s">
        <v>88</v>
      </c>
      <c r="J6226" s="31">
        <v>46065</v>
      </c>
      <c r="K6226" s="31">
        <v>46072</v>
      </c>
      <c r="L6226" s="31"/>
      <c r="M6226" s="31"/>
      <c r="N6226" s="31"/>
      <c r="O6226" s="2" t="s">
        <v>297</v>
      </c>
    </row>
    <row r="6227" spans="1:15">
      <c r="A6227" s="3">
        <f t="shared" si="148"/>
        <v>6226</v>
      </c>
      <c r="B6227" s="65" t="s">
        <v>8974</v>
      </c>
      <c r="C6227" s="1">
        <v>7760333446</v>
      </c>
      <c r="D6227" s="1">
        <v>9886669099</v>
      </c>
      <c r="E6227" s="17" t="s">
        <v>8975</v>
      </c>
      <c r="F6227" s="4" t="s">
        <v>8936</v>
      </c>
      <c r="G6227" s="3" t="s">
        <v>416</v>
      </c>
      <c r="H6227" s="2" t="s">
        <v>815</v>
      </c>
      <c r="I6227" s="3" t="s">
        <v>94</v>
      </c>
      <c r="J6227" s="31">
        <v>46065</v>
      </c>
      <c r="K6227" s="31">
        <v>46072</v>
      </c>
      <c r="L6227" s="31"/>
      <c r="M6227" s="31"/>
      <c r="N6227" s="31"/>
      <c r="O6227" s="2" t="s">
        <v>297</v>
      </c>
    </row>
    <row r="6228" spans="1:15">
      <c r="A6228" s="3">
        <f t="shared" si="148"/>
        <v>6227</v>
      </c>
      <c r="B6228" s="65" t="s">
        <v>8976</v>
      </c>
      <c r="C6228" s="1">
        <v>7860941490</v>
      </c>
      <c r="D6228" s="1">
        <v>7518498894</v>
      </c>
      <c r="E6228" s="17" t="s">
        <v>8975</v>
      </c>
      <c r="F6228" s="4" t="s">
        <v>1109</v>
      </c>
      <c r="G6228" s="3" t="s">
        <v>764</v>
      </c>
      <c r="H6228" s="2" t="s">
        <v>815</v>
      </c>
      <c r="I6228" s="3" t="s">
        <v>94</v>
      </c>
      <c r="J6228" s="31">
        <v>46065</v>
      </c>
      <c r="K6228" s="31">
        <v>46072</v>
      </c>
      <c r="L6228" s="31"/>
      <c r="M6228" s="31"/>
      <c r="N6228" s="31"/>
      <c r="O6228" s="2" t="s">
        <v>425</v>
      </c>
    </row>
    <row r="6229" spans="1:15">
      <c r="A6229" s="3">
        <f t="shared" si="148"/>
        <v>6228</v>
      </c>
      <c r="B6229" s="65" t="s">
        <v>985</v>
      </c>
      <c r="C6229" s="1">
        <v>9956369443</v>
      </c>
      <c r="E6229" s="17" t="s">
        <v>8975</v>
      </c>
      <c r="F6229" s="4" t="s">
        <v>1109</v>
      </c>
      <c r="G6229" s="3" t="s">
        <v>764</v>
      </c>
      <c r="H6229" s="2" t="s">
        <v>815</v>
      </c>
      <c r="I6229" s="3" t="s">
        <v>94</v>
      </c>
      <c r="J6229" s="31">
        <v>46065</v>
      </c>
      <c r="K6229" s="31">
        <v>46072</v>
      </c>
      <c r="L6229" s="31"/>
      <c r="M6229" s="31"/>
      <c r="N6229" s="31"/>
      <c r="O6229" s="2" t="s">
        <v>425</v>
      </c>
    </row>
    <row r="6230" spans="1:15">
      <c r="A6230" s="3">
        <f t="shared" si="148"/>
        <v>6229</v>
      </c>
      <c r="B6230" s="65" t="s">
        <v>8977</v>
      </c>
      <c r="C6230" s="1">
        <v>9702829704</v>
      </c>
      <c r="D6230" s="1">
        <v>8080775417</v>
      </c>
      <c r="E6230" s="17" t="s">
        <v>8978</v>
      </c>
      <c r="F6230" s="4" t="s">
        <v>8936</v>
      </c>
      <c r="G6230" s="3" t="s">
        <v>16</v>
      </c>
      <c r="H6230" s="2" t="s">
        <v>815</v>
      </c>
      <c r="I6230" s="3" t="s">
        <v>94</v>
      </c>
      <c r="J6230" s="31">
        <v>46065</v>
      </c>
      <c r="K6230" s="31">
        <v>46072</v>
      </c>
      <c r="L6230" s="31">
        <v>46073</v>
      </c>
      <c r="M6230" s="31">
        <v>46104</v>
      </c>
      <c r="N6230" s="31">
        <v>46105</v>
      </c>
      <c r="O6230" s="2" t="s">
        <v>297</v>
      </c>
    </row>
    <row r="6231" spans="1:15">
      <c r="A6231" s="3">
        <f t="shared" si="148"/>
        <v>6230</v>
      </c>
      <c r="B6231" s="65" t="s">
        <v>8979</v>
      </c>
      <c r="C6231" s="1">
        <v>6264884596</v>
      </c>
      <c r="E6231" s="17" t="s">
        <v>8975</v>
      </c>
      <c r="F6231" s="4" t="s">
        <v>8936</v>
      </c>
      <c r="G6231" s="3" t="s">
        <v>16</v>
      </c>
      <c r="H6231" s="2" t="s">
        <v>815</v>
      </c>
      <c r="I6231" s="3" t="s">
        <v>94</v>
      </c>
      <c r="J6231" s="31">
        <v>46065</v>
      </c>
      <c r="K6231" s="31">
        <v>46072</v>
      </c>
      <c r="L6231" s="31">
        <v>46073</v>
      </c>
      <c r="M6231" s="31">
        <v>46100</v>
      </c>
      <c r="N6231" s="31">
        <v>46101</v>
      </c>
      <c r="O6231" s="2" t="s">
        <v>297</v>
      </c>
    </row>
    <row r="6232" spans="1:15">
      <c r="A6232" s="3">
        <f t="shared" si="148"/>
        <v>6231</v>
      </c>
      <c r="B6232" s="65" t="s">
        <v>8980</v>
      </c>
      <c r="C6232" s="1">
        <v>9515974086</v>
      </c>
      <c r="E6232" s="17" t="s">
        <v>7114</v>
      </c>
      <c r="F6232" s="4" t="s">
        <v>8981</v>
      </c>
      <c r="G6232" s="3" t="s">
        <v>15</v>
      </c>
      <c r="H6232" s="2" t="s">
        <v>4145</v>
      </c>
      <c r="I6232" s="3" t="s">
        <v>42</v>
      </c>
      <c r="J6232" s="31">
        <v>46066</v>
      </c>
      <c r="K6232" s="31">
        <v>46067</v>
      </c>
      <c r="L6232" s="31">
        <v>46073</v>
      </c>
      <c r="M6232" s="31">
        <v>46152</v>
      </c>
      <c r="N6232" s="31"/>
      <c r="O6232" s="2" t="s">
        <v>297</v>
      </c>
    </row>
    <row r="6233" spans="1:15">
      <c r="A6233" s="3">
        <f t="shared" si="148"/>
        <v>6232</v>
      </c>
      <c r="B6233" s="65" t="s">
        <v>8982</v>
      </c>
      <c r="C6233" s="1">
        <v>6303451486</v>
      </c>
      <c r="D6233" s="1">
        <v>6303451486</v>
      </c>
      <c r="E6233" s="17" t="s">
        <v>7114</v>
      </c>
      <c r="F6233" s="4" t="s">
        <v>8983</v>
      </c>
      <c r="G6233" s="3" t="s">
        <v>416</v>
      </c>
      <c r="H6233" s="2" t="s">
        <v>4145</v>
      </c>
      <c r="I6233" s="3" t="s">
        <v>42</v>
      </c>
      <c r="J6233" s="31">
        <v>46066</v>
      </c>
      <c r="K6233" s="31">
        <v>46067</v>
      </c>
      <c r="L6233" s="31"/>
      <c r="M6233" s="31"/>
      <c r="N6233" s="31"/>
      <c r="O6233" s="2" t="s">
        <v>297</v>
      </c>
    </row>
    <row r="6234" spans="1:15">
      <c r="A6234" s="3">
        <f t="shared" si="148"/>
        <v>6233</v>
      </c>
      <c r="B6234" s="65" t="s">
        <v>8984</v>
      </c>
      <c r="C6234" s="1">
        <v>8341123287</v>
      </c>
      <c r="E6234" s="17" t="s">
        <v>7114</v>
      </c>
      <c r="F6234" s="4" t="s">
        <v>8985</v>
      </c>
      <c r="G6234" s="3" t="s">
        <v>18</v>
      </c>
      <c r="H6234" s="2" t="s">
        <v>4145</v>
      </c>
      <c r="I6234" s="3" t="s">
        <v>42</v>
      </c>
      <c r="J6234" s="31">
        <v>46066</v>
      </c>
      <c r="K6234" s="31">
        <v>46067</v>
      </c>
      <c r="L6234" s="31"/>
      <c r="M6234" s="31"/>
      <c r="N6234" s="31"/>
      <c r="O6234" s="2" t="s">
        <v>297</v>
      </c>
    </row>
    <row r="6235" spans="1:15">
      <c r="A6235" s="3">
        <f t="shared" si="148"/>
        <v>6234</v>
      </c>
      <c r="B6235" s="65" t="s">
        <v>8986</v>
      </c>
      <c r="C6235" s="1">
        <v>8008189167</v>
      </c>
      <c r="E6235" s="17" t="s">
        <v>7114</v>
      </c>
      <c r="F6235" s="4" t="s">
        <v>8987</v>
      </c>
      <c r="G6235" s="3" t="s">
        <v>16</v>
      </c>
      <c r="H6235" s="2" t="s">
        <v>4145</v>
      </c>
      <c r="I6235" s="3" t="s">
        <v>42</v>
      </c>
      <c r="J6235" s="31">
        <v>46066</v>
      </c>
      <c r="K6235" s="31">
        <v>46066</v>
      </c>
      <c r="L6235" s="31">
        <v>46073</v>
      </c>
      <c r="M6235" s="31">
        <v>46107</v>
      </c>
      <c r="N6235" s="31">
        <v>46107</v>
      </c>
      <c r="O6235" s="2" t="s">
        <v>297</v>
      </c>
    </row>
    <row r="6236" spans="1:15">
      <c r="A6236" s="3">
        <f t="shared" si="148"/>
        <v>6235</v>
      </c>
      <c r="B6236" s="65" t="s">
        <v>8988</v>
      </c>
      <c r="C6236" s="1">
        <v>9014849530</v>
      </c>
      <c r="E6236" s="17" t="s">
        <v>7114</v>
      </c>
      <c r="F6236" s="4" t="s">
        <v>8989</v>
      </c>
      <c r="G6236" s="3" t="s">
        <v>15</v>
      </c>
      <c r="H6236" s="2" t="s">
        <v>4145</v>
      </c>
      <c r="I6236" s="3" t="s">
        <v>42</v>
      </c>
      <c r="J6236" s="31">
        <v>46066</v>
      </c>
      <c r="K6236" s="31">
        <v>46072</v>
      </c>
      <c r="L6236" s="31">
        <v>46073</v>
      </c>
      <c r="M6236" s="31">
        <v>46157</v>
      </c>
      <c r="N6236" s="31"/>
      <c r="O6236" s="2" t="s">
        <v>297</v>
      </c>
    </row>
    <row r="6237" spans="1:15">
      <c r="A6237" s="3">
        <f t="shared" si="148"/>
        <v>6236</v>
      </c>
      <c r="B6237" s="65" t="s">
        <v>8990</v>
      </c>
      <c r="C6237" s="1">
        <v>9550015979</v>
      </c>
      <c r="E6237" s="17" t="s">
        <v>7114</v>
      </c>
      <c r="F6237" s="4" t="s">
        <v>8911</v>
      </c>
      <c r="G6237" s="3" t="s">
        <v>16</v>
      </c>
      <c r="H6237" s="2" t="s">
        <v>6158</v>
      </c>
      <c r="I6237" s="3" t="s">
        <v>42</v>
      </c>
      <c r="J6237" s="31">
        <v>46066</v>
      </c>
      <c r="K6237" s="31">
        <v>46066</v>
      </c>
      <c r="L6237" s="31">
        <v>46070</v>
      </c>
      <c r="M6237" s="31">
        <v>46106</v>
      </c>
      <c r="N6237" s="31">
        <v>46104</v>
      </c>
      <c r="O6237" s="2" t="s">
        <v>297</v>
      </c>
    </row>
    <row r="6238" spans="1:15">
      <c r="A6238" s="3">
        <f t="shared" si="148"/>
        <v>6237</v>
      </c>
      <c r="B6238" s="65" t="s">
        <v>8991</v>
      </c>
      <c r="C6238" s="1">
        <v>6394761491</v>
      </c>
      <c r="E6238" s="17" t="s">
        <v>6537</v>
      </c>
      <c r="F6238" s="4" t="s">
        <v>308</v>
      </c>
      <c r="G6238" s="3" t="s">
        <v>764</v>
      </c>
      <c r="H6238" s="2" t="s">
        <v>6158</v>
      </c>
      <c r="I6238" s="3" t="s">
        <v>42</v>
      </c>
      <c r="J6238" s="31">
        <v>46066</v>
      </c>
      <c r="K6238" s="31">
        <v>46066</v>
      </c>
      <c r="L6238" s="31"/>
      <c r="M6238" s="31"/>
      <c r="N6238" s="31"/>
      <c r="O6238" s="2" t="s">
        <v>425</v>
      </c>
    </row>
    <row r="6239" spans="1:15">
      <c r="A6239" s="3">
        <f t="shared" si="148"/>
        <v>6238</v>
      </c>
      <c r="B6239" s="65" t="s">
        <v>8992</v>
      </c>
      <c r="C6239" s="1">
        <v>9517530845</v>
      </c>
      <c r="E6239" s="17" t="s">
        <v>6537</v>
      </c>
      <c r="F6239" s="4" t="s">
        <v>329</v>
      </c>
      <c r="G6239" s="3" t="s">
        <v>416</v>
      </c>
      <c r="H6239" s="2" t="s">
        <v>6158</v>
      </c>
      <c r="I6239" s="3" t="s">
        <v>42</v>
      </c>
      <c r="J6239" s="31">
        <v>46066</v>
      </c>
      <c r="K6239" s="31">
        <v>46066</v>
      </c>
      <c r="L6239" s="31"/>
      <c r="M6239" s="31"/>
      <c r="N6239" s="31"/>
      <c r="O6239" s="2" t="s">
        <v>297</v>
      </c>
    </row>
    <row r="6240" spans="1:15">
      <c r="A6240" s="3">
        <f t="shared" si="148"/>
        <v>6239</v>
      </c>
      <c r="B6240" s="65" t="s">
        <v>8993</v>
      </c>
      <c r="C6240" s="1">
        <v>9337406062</v>
      </c>
      <c r="E6240" s="17" t="s">
        <v>6537</v>
      </c>
      <c r="F6240" s="4" t="s">
        <v>1369</v>
      </c>
      <c r="G6240" s="3" t="s">
        <v>16</v>
      </c>
      <c r="H6240" s="2" t="s">
        <v>6158</v>
      </c>
      <c r="I6240" s="3" t="s">
        <v>42</v>
      </c>
      <c r="J6240" s="31">
        <v>46066</v>
      </c>
      <c r="K6240" s="31">
        <v>46066</v>
      </c>
      <c r="L6240" s="31">
        <v>46073</v>
      </c>
      <c r="M6240" s="31">
        <v>46097</v>
      </c>
      <c r="N6240" s="31">
        <v>46097</v>
      </c>
      <c r="O6240" s="2" t="s">
        <v>297</v>
      </c>
    </row>
    <row r="6241" spans="1:15">
      <c r="A6241" s="3">
        <f t="shared" si="148"/>
        <v>6240</v>
      </c>
      <c r="B6241" s="65" t="s">
        <v>8994</v>
      </c>
      <c r="C6241" s="1">
        <v>9491114785</v>
      </c>
      <c r="E6241" s="17" t="s">
        <v>6537</v>
      </c>
      <c r="F6241" s="4" t="s">
        <v>8995</v>
      </c>
      <c r="G6241" s="3" t="s">
        <v>764</v>
      </c>
      <c r="H6241" s="2" t="s">
        <v>6158</v>
      </c>
      <c r="I6241" s="3" t="s">
        <v>42</v>
      </c>
      <c r="J6241" s="31">
        <v>46066</v>
      </c>
      <c r="K6241" s="31">
        <v>46072</v>
      </c>
      <c r="L6241" s="31"/>
      <c r="M6241" s="31"/>
      <c r="N6241" s="31"/>
      <c r="O6241" s="2" t="s">
        <v>425</v>
      </c>
    </row>
    <row r="6242" spans="1:15">
      <c r="A6242" s="3">
        <f t="shared" si="148"/>
        <v>6241</v>
      </c>
      <c r="B6242" s="65" t="s">
        <v>7979</v>
      </c>
      <c r="C6242" s="1">
        <v>8688170878</v>
      </c>
      <c r="E6242" s="17" t="s">
        <v>6537</v>
      </c>
      <c r="F6242" s="4" t="s">
        <v>8995</v>
      </c>
      <c r="G6242" s="3" t="s">
        <v>16</v>
      </c>
      <c r="H6242" s="2" t="s">
        <v>6158</v>
      </c>
      <c r="I6242" s="3" t="s">
        <v>42</v>
      </c>
      <c r="J6242" s="31">
        <v>46066</v>
      </c>
      <c r="K6242" s="31">
        <v>46066</v>
      </c>
      <c r="L6242" s="31">
        <v>46080</v>
      </c>
      <c r="M6242" s="31">
        <v>46099</v>
      </c>
      <c r="N6242" s="31">
        <v>46099</v>
      </c>
      <c r="O6242" s="2" t="s">
        <v>297</v>
      </c>
    </row>
    <row r="6243" spans="1:15">
      <c r="A6243" s="3">
        <f t="shared" si="148"/>
        <v>6242</v>
      </c>
      <c r="B6243" s="65" t="s">
        <v>8996</v>
      </c>
      <c r="C6243" s="1">
        <v>9390942906</v>
      </c>
      <c r="E6243" s="17" t="s">
        <v>7923</v>
      </c>
      <c r="F6243" s="4" t="s">
        <v>8997</v>
      </c>
      <c r="G6243" s="3" t="s">
        <v>416</v>
      </c>
      <c r="H6243" s="2" t="s">
        <v>6158</v>
      </c>
      <c r="I6243" s="3" t="s">
        <v>42</v>
      </c>
      <c r="J6243" s="31">
        <v>46066</v>
      </c>
      <c r="K6243" s="31">
        <v>46066</v>
      </c>
      <c r="L6243" s="31"/>
      <c r="M6243" s="31"/>
      <c r="N6243" s="31"/>
      <c r="O6243" s="2" t="s">
        <v>297</v>
      </c>
    </row>
    <row r="6244" spans="1:15">
      <c r="A6244" s="3">
        <f t="shared" si="148"/>
        <v>6243</v>
      </c>
      <c r="B6244" s="65" t="s">
        <v>8998</v>
      </c>
      <c r="C6244" s="1">
        <v>9392333972</v>
      </c>
      <c r="E6244" s="17" t="s">
        <v>7923</v>
      </c>
      <c r="F6244" s="4" t="s">
        <v>8997</v>
      </c>
      <c r="G6244" s="3" t="s">
        <v>416</v>
      </c>
      <c r="H6244" s="2" t="s">
        <v>6158</v>
      </c>
      <c r="I6244" s="3" t="s">
        <v>42</v>
      </c>
      <c r="J6244" s="31">
        <v>46066</v>
      </c>
      <c r="K6244" s="31">
        <v>46066</v>
      </c>
      <c r="L6244" s="31"/>
      <c r="M6244" s="31"/>
      <c r="N6244" s="31"/>
      <c r="O6244" s="2" t="s">
        <v>297</v>
      </c>
    </row>
    <row r="6245" spans="1:15">
      <c r="A6245" s="3">
        <f t="shared" si="148"/>
        <v>6244</v>
      </c>
      <c r="B6245" s="65" t="s">
        <v>8999</v>
      </c>
      <c r="C6245" s="1">
        <v>7416834220</v>
      </c>
      <c r="E6245" s="17" t="s">
        <v>7923</v>
      </c>
      <c r="F6245" s="4" t="s">
        <v>303</v>
      </c>
      <c r="G6245" s="3" t="s">
        <v>416</v>
      </c>
      <c r="H6245" s="2" t="s">
        <v>6158</v>
      </c>
      <c r="I6245" s="3" t="s">
        <v>42</v>
      </c>
      <c r="J6245" s="31">
        <v>46066</v>
      </c>
      <c r="K6245" s="31">
        <v>46066</v>
      </c>
      <c r="L6245" s="31"/>
      <c r="M6245" s="31"/>
      <c r="N6245" s="31"/>
      <c r="O6245" s="2" t="s">
        <v>297</v>
      </c>
    </row>
    <row r="6246" spans="1:15">
      <c r="A6246" s="3">
        <f t="shared" si="148"/>
        <v>6245</v>
      </c>
      <c r="B6246" s="65" t="s">
        <v>9000</v>
      </c>
      <c r="C6246" s="1">
        <v>9652541896</v>
      </c>
      <c r="E6246" s="17" t="s">
        <v>7923</v>
      </c>
      <c r="F6246" s="4" t="s">
        <v>8997</v>
      </c>
      <c r="G6246" s="3" t="s">
        <v>16</v>
      </c>
      <c r="H6246" s="2" t="s">
        <v>6158</v>
      </c>
      <c r="I6246" s="3" t="s">
        <v>42</v>
      </c>
      <c r="J6246" s="31">
        <v>46066</v>
      </c>
      <c r="K6246" s="31">
        <v>46066</v>
      </c>
      <c r="L6246" s="31">
        <v>46073</v>
      </c>
      <c r="M6246" s="31">
        <v>46083</v>
      </c>
      <c r="N6246" s="31">
        <v>46087</v>
      </c>
      <c r="O6246" s="2" t="s">
        <v>297</v>
      </c>
    </row>
    <row r="6247" spans="1:15">
      <c r="A6247" s="3">
        <f t="shared" si="148"/>
        <v>6246</v>
      </c>
      <c r="B6247" s="65" t="s">
        <v>7699</v>
      </c>
      <c r="C6247" s="1">
        <v>9572752298</v>
      </c>
      <c r="D6247" s="1">
        <v>7000394192</v>
      </c>
      <c r="E6247" s="17" t="s">
        <v>7923</v>
      </c>
      <c r="F6247" s="4" t="s">
        <v>8997</v>
      </c>
      <c r="G6247" s="3" t="s">
        <v>764</v>
      </c>
      <c r="H6247" s="2" t="s">
        <v>6158</v>
      </c>
      <c r="I6247" s="3" t="s">
        <v>42</v>
      </c>
      <c r="J6247" s="31">
        <v>46066</v>
      </c>
      <c r="K6247" s="31">
        <v>46066</v>
      </c>
      <c r="L6247" s="31"/>
      <c r="M6247" s="31"/>
      <c r="N6247" s="31"/>
      <c r="O6247" s="2" t="s">
        <v>425</v>
      </c>
    </row>
    <row r="6248" spans="1:15">
      <c r="A6248" s="3">
        <f t="shared" si="148"/>
        <v>6247</v>
      </c>
      <c r="B6248" s="65" t="s">
        <v>9001</v>
      </c>
      <c r="C6248" s="1">
        <v>9912411550</v>
      </c>
      <c r="E6248" s="17" t="s">
        <v>7685</v>
      </c>
      <c r="F6248" s="4"/>
      <c r="G6248" s="2" t="s">
        <v>15</v>
      </c>
      <c r="H6248" s="2" t="s">
        <v>6158</v>
      </c>
      <c r="I6248" s="3" t="s">
        <v>42</v>
      </c>
      <c r="J6248" s="31">
        <v>46066</v>
      </c>
      <c r="K6248" s="31">
        <v>46066</v>
      </c>
      <c r="L6248" s="31">
        <v>46087</v>
      </c>
      <c r="M6248" s="31">
        <v>46118</v>
      </c>
      <c r="N6248" s="31"/>
      <c r="O6248" s="2" t="s">
        <v>297</v>
      </c>
    </row>
    <row r="6249" spans="1:15">
      <c r="A6249" s="3">
        <f t="shared" si="148"/>
        <v>6248</v>
      </c>
      <c r="B6249" s="65" t="s">
        <v>9002</v>
      </c>
      <c r="C6249" s="1">
        <v>9492866555</v>
      </c>
      <c r="E6249" s="17" t="s">
        <v>7685</v>
      </c>
      <c r="F6249" s="4"/>
      <c r="G6249" s="3" t="s">
        <v>764</v>
      </c>
      <c r="H6249" s="2" t="s">
        <v>6158</v>
      </c>
      <c r="I6249" s="3" t="s">
        <v>42</v>
      </c>
      <c r="J6249" s="31">
        <v>46066</v>
      </c>
      <c r="K6249" s="31">
        <v>46066</v>
      </c>
      <c r="L6249" s="31"/>
      <c r="M6249" s="31"/>
      <c r="N6249" s="31"/>
      <c r="O6249" s="2" t="s">
        <v>425</v>
      </c>
    </row>
    <row r="6250" spans="1:15">
      <c r="A6250" s="3">
        <f t="shared" si="148"/>
        <v>6249</v>
      </c>
      <c r="B6250" s="65" t="s">
        <v>9003</v>
      </c>
      <c r="C6250" s="1">
        <v>9573738286</v>
      </c>
      <c r="D6250" s="1">
        <v>9834427138</v>
      </c>
      <c r="E6250" s="17" t="s">
        <v>5560</v>
      </c>
      <c r="F6250" s="4"/>
      <c r="G6250" s="3" t="s">
        <v>16</v>
      </c>
      <c r="H6250" s="2" t="s">
        <v>6158</v>
      </c>
      <c r="I6250" s="3" t="s">
        <v>42</v>
      </c>
      <c r="J6250" s="31">
        <v>46066</v>
      </c>
      <c r="K6250" s="31">
        <v>46066</v>
      </c>
      <c r="L6250" s="31">
        <v>46079</v>
      </c>
      <c r="M6250" s="31">
        <v>46104</v>
      </c>
      <c r="N6250" s="31">
        <v>46104</v>
      </c>
      <c r="O6250" s="2" t="s">
        <v>297</v>
      </c>
    </row>
    <row r="6251" spans="1:15">
      <c r="A6251" s="3">
        <f t="shared" si="148"/>
        <v>6250</v>
      </c>
      <c r="B6251" s="65" t="s">
        <v>9004</v>
      </c>
      <c r="C6251" s="1">
        <v>8219718679</v>
      </c>
      <c r="E6251" s="17" t="s">
        <v>5685</v>
      </c>
      <c r="F6251" s="4"/>
      <c r="G6251" s="3" t="s">
        <v>16</v>
      </c>
      <c r="H6251" s="2" t="s">
        <v>674</v>
      </c>
      <c r="I6251" s="3" t="s">
        <v>94</v>
      </c>
      <c r="J6251" s="31">
        <v>46060</v>
      </c>
      <c r="K6251" s="31">
        <v>46062</v>
      </c>
      <c r="L6251" s="31">
        <v>46066</v>
      </c>
      <c r="M6251" s="31">
        <v>46098</v>
      </c>
      <c r="N6251" s="31">
        <v>46086</v>
      </c>
      <c r="O6251" s="2" t="s">
        <v>297</v>
      </c>
    </row>
    <row r="6252" spans="1:15">
      <c r="A6252" s="3">
        <f t="shared" si="148"/>
        <v>6251</v>
      </c>
      <c r="B6252" s="65" t="s">
        <v>8275</v>
      </c>
      <c r="C6252" s="1">
        <v>9247888559</v>
      </c>
      <c r="E6252" s="17" t="s">
        <v>4428</v>
      </c>
      <c r="F6252" s="4"/>
      <c r="G6252" s="3" t="s">
        <v>16</v>
      </c>
      <c r="H6252" s="2" t="s">
        <v>3240</v>
      </c>
      <c r="I6252" s="3" t="s">
        <v>94</v>
      </c>
      <c r="J6252" s="31">
        <v>46060</v>
      </c>
      <c r="K6252" s="31">
        <v>46062</v>
      </c>
      <c r="L6252" s="31">
        <v>46066</v>
      </c>
      <c r="M6252" s="31">
        <v>46082</v>
      </c>
      <c r="N6252" s="31">
        <v>46086</v>
      </c>
      <c r="O6252" s="2" t="s">
        <v>297</v>
      </c>
    </row>
    <row r="6253" spans="1:15">
      <c r="A6253" s="3">
        <f t="shared" si="148"/>
        <v>6252</v>
      </c>
      <c r="B6253" s="65" t="s">
        <v>9005</v>
      </c>
      <c r="C6253" s="1">
        <v>6305199045</v>
      </c>
      <c r="E6253" s="17" t="s">
        <v>9006</v>
      </c>
      <c r="F6253" s="4"/>
      <c r="G6253" s="3" t="s">
        <v>16</v>
      </c>
      <c r="H6253" s="2" t="s">
        <v>5163</v>
      </c>
      <c r="I6253" s="3" t="s">
        <v>94</v>
      </c>
      <c r="J6253" s="31">
        <v>46060</v>
      </c>
      <c r="K6253" s="31">
        <v>46062</v>
      </c>
      <c r="L6253" s="31">
        <v>46066</v>
      </c>
      <c r="M6253" s="31">
        <v>46079</v>
      </c>
      <c r="N6253" s="31">
        <v>46083</v>
      </c>
      <c r="O6253" s="2" t="s">
        <v>297</v>
      </c>
    </row>
    <row r="6254" spans="1:15">
      <c r="A6254" s="3">
        <f t="shared" si="148"/>
        <v>6253</v>
      </c>
      <c r="B6254" s="65" t="s">
        <v>9007</v>
      </c>
      <c r="C6254" s="1">
        <v>9573342080</v>
      </c>
      <c r="E6254" s="17" t="s">
        <v>9006</v>
      </c>
      <c r="F6254" s="4"/>
      <c r="G6254" s="3" t="s">
        <v>295</v>
      </c>
      <c r="H6254" s="2" t="s">
        <v>5163</v>
      </c>
      <c r="I6254" s="3" t="s">
        <v>94</v>
      </c>
      <c r="J6254" s="31">
        <v>46060</v>
      </c>
      <c r="K6254" s="31">
        <v>46062</v>
      </c>
      <c r="L6254" s="31">
        <v>46066</v>
      </c>
      <c r="M6254" s="31">
        <v>46076</v>
      </c>
      <c r="N6254" s="31"/>
      <c r="O6254" s="2" t="s">
        <v>297</v>
      </c>
    </row>
    <row r="6255" spans="1:15">
      <c r="A6255" s="3">
        <f t="shared" si="148"/>
        <v>6254</v>
      </c>
      <c r="B6255" s="65" t="s">
        <v>9008</v>
      </c>
      <c r="C6255" s="1">
        <v>7032151842</v>
      </c>
      <c r="E6255" s="17" t="s">
        <v>9009</v>
      </c>
      <c r="F6255" s="4"/>
      <c r="G6255" s="3" t="s">
        <v>16</v>
      </c>
      <c r="H6255" s="2" t="s">
        <v>3461</v>
      </c>
      <c r="I6255" s="3" t="s">
        <v>94</v>
      </c>
      <c r="J6255" s="31">
        <v>46060</v>
      </c>
      <c r="K6255" s="31">
        <v>46062</v>
      </c>
      <c r="L6255" s="31">
        <v>46066</v>
      </c>
      <c r="M6255" s="31">
        <v>46100</v>
      </c>
      <c r="N6255" s="31">
        <v>46102</v>
      </c>
      <c r="O6255" s="2" t="s">
        <v>297</v>
      </c>
    </row>
    <row r="6256" spans="1:15">
      <c r="A6256" s="3">
        <f t="shared" si="148"/>
        <v>6255</v>
      </c>
      <c r="B6256" s="65" t="s">
        <v>9010</v>
      </c>
      <c r="C6256" s="1">
        <v>8466904825</v>
      </c>
      <c r="E6256" s="17" t="s">
        <v>7114</v>
      </c>
      <c r="F6256" s="4" t="s">
        <v>4550</v>
      </c>
      <c r="G6256" s="3" t="s">
        <v>416</v>
      </c>
      <c r="H6256" s="2" t="s">
        <v>4145</v>
      </c>
      <c r="I6256" s="3" t="s">
        <v>42</v>
      </c>
      <c r="J6256" s="31">
        <v>46066</v>
      </c>
      <c r="K6256" s="31">
        <v>46067</v>
      </c>
      <c r="L6256" s="31"/>
      <c r="M6256" s="31"/>
      <c r="N6256" s="31"/>
      <c r="O6256" s="2" t="s">
        <v>297</v>
      </c>
    </row>
    <row r="6257" spans="1:15">
      <c r="A6257" s="3">
        <f t="shared" si="148"/>
        <v>6256</v>
      </c>
      <c r="B6257" s="65" t="s">
        <v>9011</v>
      </c>
      <c r="C6257" s="1">
        <v>6303438538</v>
      </c>
      <c r="E6257" s="17" t="s">
        <v>7114</v>
      </c>
      <c r="F6257" s="4" t="s">
        <v>2093</v>
      </c>
      <c r="G6257" s="3" t="s">
        <v>416</v>
      </c>
      <c r="H6257" s="2" t="s">
        <v>4145</v>
      </c>
      <c r="I6257" s="3" t="s">
        <v>42</v>
      </c>
      <c r="J6257" s="31">
        <v>46066</v>
      </c>
      <c r="K6257" s="31">
        <v>46067</v>
      </c>
      <c r="L6257" s="31"/>
      <c r="M6257" s="31"/>
      <c r="N6257" s="31"/>
      <c r="O6257" s="2" t="s">
        <v>297</v>
      </c>
    </row>
    <row r="6258" spans="1:15">
      <c r="A6258" s="3">
        <f t="shared" si="148"/>
        <v>6257</v>
      </c>
      <c r="B6258" s="65" t="s">
        <v>9012</v>
      </c>
      <c r="C6258" s="1">
        <v>7093256118</v>
      </c>
      <c r="E6258" s="17" t="s">
        <v>7114</v>
      </c>
      <c r="F6258" s="4" t="s">
        <v>3843</v>
      </c>
      <c r="G6258" s="3" t="s">
        <v>764</v>
      </c>
      <c r="H6258" s="2" t="s">
        <v>4145</v>
      </c>
      <c r="I6258" s="3" t="s">
        <v>42</v>
      </c>
      <c r="J6258" s="31">
        <v>46066</v>
      </c>
      <c r="K6258" s="31">
        <v>46067</v>
      </c>
      <c r="L6258" s="31"/>
      <c r="M6258" s="31"/>
      <c r="N6258" s="31"/>
      <c r="O6258" s="2" t="s">
        <v>425</v>
      </c>
    </row>
    <row r="6259" spans="1:15">
      <c r="A6259" s="3">
        <f t="shared" si="148"/>
        <v>6258</v>
      </c>
      <c r="B6259" s="65" t="s">
        <v>9013</v>
      </c>
      <c r="C6259" s="1">
        <v>9603737735</v>
      </c>
      <c r="E6259" s="17" t="s">
        <v>6562</v>
      </c>
      <c r="F6259" s="4"/>
      <c r="G6259" s="3" t="s">
        <v>16</v>
      </c>
      <c r="H6259" s="2" t="s">
        <v>5774</v>
      </c>
      <c r="I6259" s="3" t="s">
        <v>42</v>
      </c>
      <c r="J6259" s="31">
        <v>46066</v>
      </c>
      <c r="K6259" s="31">
        <v>46066</v>
      </c>
      <c r="L6259" s="31">
        <v>46066</v>
      </c>
      <c r="M6259" s="31">
        <v>46090</v>
      </c>
      <c r="N6259" s="31">
        <v>46090</v>
      </c>
      <c r="O6259" s="2" t="s">
        <v>297</v>
      </c>
    </row>
    <row r="6260" spans="1:15">
      <c r="A6260" s="3">
        <f t="shared" si="148"/>
        <v>6259</v>
      </c>
      <c r="B6260" s="65" t="s">
        <v>9014</v>
      </c>
      <c r="C6260" s="1">
        <v>9679940337</v>
      </c>
      <c r="D6260" s="1">
        <v>6302757894</v>
      </c>
      <c r="E6260" s="17" t="s">
        <v>9015</v>
      </c>
      <c r="F6260" s="4" t="s">
        <v>294</v>
      </c>
      <c r="G6260" s="3" t="s">
        <v>15</v>
      </c>
      <c r="H6260" s="2" t="s">
        <v>4842</v>
      </c>
      <c r="I6260" s="3" t="s">
        <v>88</v>
      </c>
      <c r="J6260" s="31">
        <v>46066</v>
      </c>
      <c r="K6260" s="31">
        <v>46069</v>
      </c>
      <c r="L6260" s="31">
        <v>46077</v>
      </c>
      <c r="M6260" s="31">
        <v>46132</v>
      </c>
      <c r="N6260" s="31"/>
      <c r="O6260" s="2" t="s">
        <v>297</v>
      </c>
    </row>
    <row r="6261" spans="1:15">
      <c r="A6261" s="3">
        <f t="shared" si="148"/>
        <v>6260</v>
      </c>
      <c r="B6261" s="65" t="s">
        <v>4275</v>
      </c>
      <c r="C6261" s="1">
        <v>6302073966</v>
      </c>
      <c r="E6261" s="17" t="s">
        <v>9016</v>
      </c>
      <c r="F6261" s="4" t="s">
        <v>294</v>
      </c>
      <c r="G6261" s="3" t="s">
        <v>16</v>
      </c>
      <c r="H6261" s="2" t="s">
        <v>4842</v>
      </c>
      <c r="I6261" s="3" t="s">
        <v>94</v>
      </c>
      <c r="J6261" s="31">
        <v>46066</v>
      </c>
      <c r="K6261" s="31">
        <v>46069</v>
      </c>
      <c r="L6261" s="31">
        <v>46073</v>
      </c>
      <c r="M6261" s="31">
        <v>46101</v>
      </c>
      <c r="N6261" s="31">
        <v>46097</v>
      </c>
      <c r="O6261" s="2" t="s">
        <v>297</v>
      </c>
    </row>
    <row r="6262" spans="1:15">
      <c r="A6262" s="3">
        <f t="shared" si="148"/>
        <v>6261</v>
      </c>
      <c r="B6262" s="65" t="s">
        <v>9017</v>
      </c>
      <c r="C6262" s="1">
        <v>8379993640</v>
      </c>
      <c r="E6262" s="17" t="s">
        <v>9018</v>
      </c>
      <c r="F6262" s="4" t="s">
        <v>3002</v>
      </c>
      <c r="G6262" s="3" t="s">
        <v>15</v>
      </c>
      <c r="H6262" s="2" t="s">
        <v>4842</v>
      </c>
      <c r="I6262" s="3" t="s">
        <v>88</v>
      </c>
      <c r="J6262" s="31">
        <v>46066</v>
      </c>
      <c r="K6262" s="31">
        <v>46069</v>
      </c>
      <c r="L6262" s="31">
        <v>46073</v>
      </c>
      <c r="M6262" s="31">
        <v>46121</v>
      </c>
      <c r="N6262" s="31"/>
      <c r="O6262" s="2" t="s">
        <v>297</v>
      </c>
    </row>
    <row r="6263" spans="1:15">
      <c r="A6263" s="3">
        <f t="shared" si="148"/>
        <v>6262</v>
      </c>
      <c r="B6263" s="65" t="s">
        <v>9019</v>
      </c>
      <c r="C6263" s="1">
        <v>8179736852</v>
      </c>
      <c r="E6263" s="17" t="s">
        <v>8246</v>
      </c>
      <c r="F6263" s="4" t="s">
        <v>294</v>
      </c>
      <c r="G6263" s="3" t="s">
        <v>15</v>
      </c>
      <c r="H6263" s="2" t="s">
        <v>4842</v>
      </c>
      <c r="I6263" s="3" t="s">
        <v>94</v>
      </c>
      <c r="J6263" s="31">
        <v>46066</v>
      </c>
      <c r="K6263" s="31">
        <v>46069</v>
      </c>
      <c r="L6263" s="31">
        <v>46087</v>
      </c>
      <c r="M6263" s="31">
        <v>46118</v>
      </c>
      <c r="N6263" s="31"/>
      <c r="O6263" s="2" t="s">
        <v>297</v>
      </c>
    </row>
    <row r="6264" spans="1:15">
      <c r="A6264" s="3">
        <f t="shared" si="148"/>
        <v>6263</v>
      </c>
      <c r="B6264" s="65" t="s">
        <v>9020</v>
      </c>
      <c r="C6264" s="1">
        <v>9415503774</v>
      </c>
      <c r="E6264" s="17" t="s">
        <v>8470</v>
      </c>
      <c r="F6264" s="4" t="s">
        <v>3370</v>
      </c>
      <c r="G6264" s="3" t="s">
        <v>15</v>
      </c>
      <c r="H6264" s="2" t="s">
        <v>999</v>
      </c>
      <c r="I6264" s="3" t="s">
        <v>88</v>
      </c>
      <c r="J6264" s="31">
        <v>46066</v>
      </c>
      <c r="K6264" s="31">
        <v>46067</v>
      </c>
      <c r="L6264" s="31">
        <v>46073</v>
      </c>
      <c r="M6264" s="31">
        <v>46121</v>
      </c>
      <c r="N6264" s="31"/>
      <c r="O6264" s="2" t="s">
        <v>297</v>
      </c>
    </row>
    <row r="6265" spans="1:15">
      <c r="A6265" s="3">
        <f t="shared" si="148"/>
        <v>6264</v>
      </c>
      <c r="B6265" s="65" t="s">
        <v>9021</v>
      </c>
      <c r="C6265" s="1">
        <v>9963289795</v>
      </c>
      <c r="E6265" s="17" t="s">
        <v>4841</v>
      </c>
      <c r="F6265" s="4" t="s">
        <v>9022</v>
      </c>
      <c r="G6265" s="3" t="s">
        <v>15</v>
      </c>
      <c r="H6265" s="2" t="s">
        <v>4842</v>
      </c>
      <c r="I6265" s="3" t="s">
        <v>94</v>
      </c>
      <c r="J6265" s="31">
        <v>46066</v>
      </c>
      <c r="K6265" s="31">
        <v>46072</v>
      </c>
      <c r="L6265" s="31">
        <v>46080</v>
      </c>
      <c r="M6265" s="31">
        <v>46106</v>
      </c>
      <c r="N6265" s="31"/>
      <c r="O6265" s="2" t="s">
        <v>297</v>
      </c>
    </row>
    <row r="6266" spans="1:15">
      <c r="A6266" s="3">
        <f>ROW()-1</f>
        <v>6265</v>
      </c>
      <c r="B6266" s="65" t="s">
        <v>9023</v>
      </c>
      <c r="C6266" s="1">
        <v>6303999946</v>
      </c>
      <c r="E6266" s="17" t="s">
        <v>4841</v>
      </c>
      <c r="F6266" s="4" t="s">
        <v>7250</v>
      </c>
      <c r="G6266" s="3" t="s">
        <v>764</v>
      </c>
      <c r="H6266" s="2" t="s">
        <v>4842</v>
      </c>
      <c r="I6266" s="3" t="s">
        <v>94</v>
      </c>
      <c r="J6266" s="31">
        <v>46066</v>
      </c>
      <c r="K6266" s="31">
        <v>46069</v>
      </c>
      <c r="L6266" s="31"/>
      <c r="M6266" s="31"/>
      <c r="N6266" s="31"/>
      <c r="O6266" s="2" t="s">
        <v>425</v>
      </c>
    </row>
    <row r="6267" spans="1:15">
      <c r="A6267" s="3">
        <f>ROW()-1</f>
        <v>6266</v>
      </c>
      <c r="B6267" s="65" t="s">
        <v>9024</v>
      </c>
      <c r="C6267" s="1">
        <v>9652747066</v>
      </c>
      <c r="E6267" s="17" t="s">
        <v>4428</v>
      </c>
      <c r="F6267" s="4"/>
      <c r="G6267" s="3" t="s">
        <v>16</v>
      </c>
      <c r="H6267" s="2" t="s">
        <v>4842</v>
      </c>
      <c r="I6267" s="3" t="s">
        <v>94</v>
      </c>
      <c r="J6267" s="31">
        <v>46066</v>
      </c>
      <c r="K6267" s="31">
        <v>46069</v>
      </c>
      <c r="L6267" s="31">
        <v>46072</v>
      </c>
      <c r="M6267" s="31">
        <v>46104</v>
      </c>
      <c r="N6267" s="31">
        <v>46104</v>
      </c>
      <c r="O6267" s="2" t="s">
        <v>297</v>
      </c>
    </row>
    <row r="6268" spans="1:15">
      <c r="A6268" s="3">
        <f t="shared" ref="A6268:A6304" si="149">ROW()-1</f>
        <v>6267</v>
      </c>
      <c r="B6268" s="65" t="s">
        <v>9025</v>
      </c>
      <c r="C6268" s="1">
        <v>7993552332</v>
      </c>
      <c r="E6268" s="17" t="s">
        <v>5560</v>
      </c>
      <c r="F6268" s="4" t="s">
        <v>9026</v>
      </c>
      <c r="G6268" s="3" t="s">
        <v>16</v>
      </c>
      <c r="H6268" s="2" t="s">
        <v>6158</v>
      </c>
      <c r="I6268" s="3" t="s">
        <v>42</v>
      </c>
      <c r="J6268" s="31">
        <v>46066</v>
      </c>
      <c r="K6268" s="31">
        <v>46072</v>
      </c>
      <c r="L6268" s="31">
        <v>46073</v>
      </c>
      <c r="M6268" s="31">
        <v>46097</v>
      </c>
      <c r="N6268" s="31">
        <v>46097</v>
      </c>
      <c r="O6268" s="2" t="s">
        <v>297</v>
      </c>
    </row>
    <row r="6269" spans="1:15">
      <c r="A6269" s="3">
        <f t="shared" si="149"/>
        <v>6268</v>
      </c>
      <c r="B6269" s="65" t="s">
        <v>9027</v>
      </c>
      <c r="C6269" s="1">
        <v>8639448259</v>
      </c>
      <c r="E6269" s="17" t="s">
        <v>5560</v>
      </c>
      <c r="F6269" s="4" t="s">
        <v>9026</v>
      </c>
      <c r="G6269" s="3" t="s">
        <v>424</v>
      </c>
      <c r="H6269" s="2" t="s">
        <v>6158</v>
      </c>
      <c r="I6269" s="3" t="s">
        <v>42</v>
      </c>
      <c r="J6269" s="31">
        <v>46066</v>
      </c>
      <c r="K6269" s="31">
        <v>46087</v>
      </c>
      <c r="L6269" s="31"/>
      <c r="M6269" s="31"/>
      <c r="N6269" s="31"/>
      <c r="O6269" s="2" t="s">
        <v>425</v>
      </c>
    </row>
    <row r="6270" spans="1:15">
      <c r="A6270" s="3">
        <f t="shared" si="149"/>
        <v>6269</v>
      </c>
      <c r="B6270" s="65" t="s">
        <v>9028</v>
      </c>
      <c r="C6270" s="1">
        <v>9084348066</v>
      </c>
      <c r="E6270" s="17" t="s">
        <v>5557</v>
      </c>
      <c r="F6270" s="4" t="s">
        <v>972</v>
      </c>
      <c r="G6270" s="3" t="s">
        <v>16</v>
      </c>
      <c r="H6270" s="2" t="s">
        <v>6158</v>
      </c>
      <c r="I6270" s="3" t="s">
        <v>42</v>
      </c>
      <c r="J6270" s="31">
        <v>46066</v>
      </c>
      <c r="K6270" s="31">
        <v>46080</v>
      </c>
      <c r="L6270" s="31">
        <v>46080</v>
      </c>
      <c r="M6270" s="31">
        <v>46096</v>
      </c>
      <c r="N6270" s="31">
        <v>46098</v>
      </c>
      <c r="O6270" s="2" t="s">
        <v>297</v>
      </c>
    </row>
    <row r="6271" spans="1:15">
      <c r="A6271" s="3">
        <f t="shared" si="149"/>
        <v>6270</v>
      </c>
      <c r="B6271" s="65" t="s">
        <v>9029</v>
      </c>
      <c r="C6271" s="1">
        <v>8897245289</v>
      </c>
      <c r="D6271" s="1">
        <v>7447323744</v>
      </c>
      <c r="E6271" s="17" t="s">
        <v>5557</v>
      </c>
      <c r="F6271" s="4" t="s">
        <v>5201</v>
      </c>
      <c r="G6271" s="3" t="s">
        <v>764</v>
      </c>
      <c r="H6271" s="2" t="s">
        <v>6158</v>
      </c>
      <c r="I6271" s="3" t="s">
        <v>42</v>
      </c>
      <c r="J6271" s="31">
        <v>46066</v>
      </c>
      <c r="K6271" s="31">
        <v>46072</v>
      </c>
      <c r="L6271" s="31"/>
      <c r="M6271" s="31"/>
      <c r="N6271" s="31"/>
      <c r="O6271" s="2" t="s">
        <v>425</v>
      </c>
    </row>
    <row r="6272" spans="1:15">
      <c r="A6272" s="3">
        <f t="shared" si="149"/>
        <v>6271</v>
      </c>
      <c r="B6272" s="65" t="s">
        <v>9030</v>
      </c>
      <c r="C6272" s="1">
        <v>9505953537</v>
      </c>
      <c r="E6272" s="17" t="s">
        <v>8670</v>
      </c>
      <c r="F6272" s="4"/>
      <c r="G6272" s="3" t="s">
        <v>16</v>
      </c>
      <c r="H6272" s="2" t="s">
        <v>815</v>
      </c>
      <c r="I6272" s="3" t="s">
        <v>42</v>
      </c>
      <c r="J6272" s="31">
        <v>46060</v>
      </c>
      <c r="K6272" s="31">
        <v>46063</v>
      </c>
      <c r="L6272" s="31">
        <v>46066</v>
      </c>
      <c r="M6272" s="31">
        <v>46085</v>
      </c>
      <c r="N6272" s="31">
        <v>46080</v>
      </c>
      <c r="O6272" s="2" t="s">
        <v>297</v>
      </c>
    </row>
    <row r="6273" spans="1:15">
      <c r="A6273" s="3">
        <f t="shared" si="149"/>
        <v>6272</v>
      </c>
      <c r="B6273" s="65" t="s">
        <v>9031</v>
      </c>
      <c r="C6273" s="1">
        <v>7602622757</v>
      </c>
      <c r="E6273" s="17" t="s">
        <v>8602</v>
      </c>
      <c r="F6273" s="4"/>
      <c r="G6273" s="3" t="s">
        <v>16</v>
      </c>
      <c r="H6273" s="2" t="s">
        <v>815</v>
      </c>
      <c r="I6273" s="3" t="s">
        <v>42</v>
      </c>
      <c r="J6273" s="31">
        <v>46060</v>
      </c>
      <c r="K6273" s="31">
        <v>46063</v>
      </c>
      <c r="L6273" s="31">
        <v>46066</v>
      </c>
      <c r="M6273" s="31">
        <v>46081</v>
      </c>
      <c r="N6273" s="31">
        <v>46086</v>
      </c>
      <c r="O6273" s="2" t="s">
        <v>297</v>
      </c>
    </row>
    <row r="6274" spans="1:15">
      <c r="A6274" s="3">
        <f t="shared" si="149"/>
        <v>6273</v>
      </c>
      <c r="B6274" s="65" t="s">
        <v>9032</v>
      </c>
      <c r="C6274" s="1">
        <v>8328117157</v>
      </c>
      <c r="E6274" s="17" t="s">
        <v>8602</v>
      </c>
      <c r="F6274" s="4"/>
      <c r="G6274" s="3" t="s">
        <v>295</v>
      </c>
      <c r="H6274" s="2" t="s">
        <v>815</v>
      </c>
      <c r="I6274" s="3" t="s">
        <v>42</v>
      </c>
      <c r="J6274" s="31">
        <v>46060</v>
      </c>
      <c r="K6274" s="31">
        <v>46063</v>
      </c>
      <c r="L6274" s="31">
        <v>46066</v>
      </c>
      <c r="M6274" s="31">
        <v>46074</v>
      </c>
      <c r="N6274" s="31"/>
      <c r="O6274" s="2" t="s">
        <v>297</v>
      </c>
    </row>
    <row r="6275" spans="1:15">
      <c r="A6275" s="3">
        <f t="shared" si="149"/>
        <v>6274</v>
      </c>
      <c r="B6275" s="65" t="s">
        <v>9033</v>
      </c>
      <c r="C6275" s="1">
        <v>9652553333</v>
      </c>
      <c r="E6275" s="17" t="s">
        <v>9034</v>
      </c>
      <c r="F6275" s="4"/>
      <c r="G6275" s="3" t="s">
        <v>16</v>
      </c>
      <c r="H6275" s="2" t="s">
        <v>9035</v>
      </c>
      <c r="I6275" s="3" t="s">
        <v>42</v>
      </c>
      <c r="J6275" s="31">
        <v>46060</v>
      </c>
      <c r="K6275" s="31">
        <v>46063</v>
      </c>
      <c r="L6275" s="31">
        <v>46066</v>
      </c>
      <c r="M6275" s="31">
        <v>46074</v>
      </c>
      <c r="N6275" s="31">
        <v>46072</v>
      </c>
      <c r="O6275" s="2" t="s">
        <v>297</v>
      </c>
    </row>
    <row r="6276" spans="1:15">
      <c r="A6276" s="3">
        <f t="shared" si="149"/>
        <v>6275</v>
      </c>
      <c r="B6276" s="65" t="s">
        <v>9036</v>
      </c>
      <c r="C6276" s="1">
        <v>9010828204</v>
      </c>
      <c r="E6276" s="17" t="s">
        <v>8466</v>
      </c>
      <c r="F6276" s="4"/>
      <c r="G6276" s="3" t="s">
        <v>16</v>
      </c>
      <c r="H6276" s="2" t="s">
        <v>296</v>
      </c>
      <c r="I6276" s="3" t="s">
        <v>42</v>
      </c>
      <c r="J6276" s="31">
        <v>46060</v>
      </c>
      <c r="K6276" s="31">
        <v>46063</v>
      </c>
      <c r="L6276" s="31">
        <v>46066</v>
      </c>
      <c r="M6276" s="31">
        <v>46074</v>
      </c>
      <c r="N6276" s="31">
        <v>46072</v>
      </c>
      <c r="O6276" s="2" t="s">
        <v>297</v>
      </c>
    </row>
    <row r="6277" spans="1:15">
      <c r="A6277" s="3">
        <f t="shared" si="149"/>
        <v>6276</v>
      </c>
      <c r="B6277" s="65" t="s">
        <v>9037</v>
      </c>
      <c r="C6277" s="1">
        <v>9030270262</v>
      </c>
      <c r="E6277" s="17" t="s">
        <v>9038</v>
      </c>
      <c r="F6277" s="4"/>
      <c r="G6277" s="3" t="s">
        <v>15</v>
      </c>
      <c r="H6277" s="2" t="s">
        <v>815</v>
      </c>
      <c r="I6277" s="3" t="s">
        <v>42</v>
      </c>
      <c r="J6277" s="31">
        <v>46060</v>
      </c>
      <c r="K6277" s="31">
        <v>46063</v>
      </c>
      <c r="L6277" s="31">
        <v>46066</v>
      </c>
      <c r="M6277" s="31">
        <v>46105</v>
      </c>
      <c r="N6277" s="31"/>
      <c r="O6277" s="2" t="s">
        <v>297</v>
      </c>
    </row>
    <row r="6278" spans="1:15">
      <c r="A6278" s="3">
        <f t="shared" si="149"/>
        <v>6277</v>
      </c>
      <c r="B6278" s="65" t="s">
        <v>9039</v>
      </c>
      <c r="C6278" s="1">
        <v>8179509457</v>
      </c>
      <c r="E6278" s="17" t="s">
        <v>8644</v>
      </c>
      <c r="F6278" s="4" t="s">
        <v>8645</v>
      </c>
      <c r="G6278" s="3" t="s">
        <v>764</v>
      </c>
      <c r="H6278" s="2" t="s">
        <v>6158</v>
      </c>
      <c r="I6278" s="3" t="s">
        <v>42</v>
      </c>
      <c r="J6278" s="31">
        <v>46067</v>
      </c>
      <c r="K6278" s="31">
        <v>46087</v>
      </c>
      <c r="L6278" s="31"/>
      <c r="M6278" s="31"/>
      <c r="N6278" s="31"/>
      <c r="O6278" s="2" t="s">
        <v>425</v>
      </c>
    </row>
    <row r="6279" spans="1:15">
      <c r="A6279" s="3">
        <f t="shared" si="149"/>
        <v>6278</v>
      </c>
      <c r="B6279" s="65" t="s">
        <v>9040</v>
      </c>
      <c r="C6279" s="1">
        <v>9505851441</v>
      </c>
      <c r="E6279" s="17" t="s">
        <v>8639</v>
      </c>
      <c r="F6279" s="4" t="s">
        <v>9041</v>
      </c>
      <c r="G6279" s="3" t="s">
        <v>764</v>
      </c>
      <c r="H6279" s="2" t="s">
        <v>6158</v>
      </c>
      <c r="I6279" s="3" t="s">
        <v>42</v>
      </c>
      <c r="J6279" s="31">
        <v>46067</v>
      </c>
      <c r="K6279" s="31">
        <v>46078</v>
      </c>
      <c r="L6279" s="31"/>
      <c r="M6279" s="31"/>
      <c r="N6279" s="31"/>
      <c r="O6279" s="2" t="s">
        <v>425</v>
      </c>
    </row>
    <row r="6280" spans="1:15">
      <c r="A6280" s="3">
        <f t="shared" si="149"/>
        <v>6279</v>
      </c>
      <c r="B6280" s="65" t="s">
        <v>2822</v>
      </c>
      <c r="C6280" s="1">
        <v>9666899995</v>
      </c>
      <c r="E6280" s="17" t="s">
        <v>5560</v>
      </c>
      <c r="F6280" s="4" t="s">
        <v>9042</v>
      </c>
      <c r="G6280" s="2" t="s">
        <v>424</v>
      </c>
      <c r="H6280" s="2" t="s">
        <v>5774</v>
      </c>
      <c r="I6280" s="3" t="s">
        <v>42</v>
      </c>
      <c r="J6280" s="31">
        <v>46067</v>
      </c>
      <c r="K6280" s="31">
        <v>46073</v>
      </c>
      <c r="L6280" s="31"/>
      <c r="M6280" s="31"/>
      <c r="N6280" s="31"/>
      <c r="O6280" s="2" t="s">
        <v>425</v>
      </c>
    </row>
    <row r="6281" spans="1:15">
      <c r="A6281" s="3">
        <f t="shared" si="149"/>
        <v>6280</v>
      </c>
      <c r="B6281" s="65" t="s">
        <v>9043</v>
      </c>
      <c r="C6281" s="1">
        <v>9391780680</v>
      </c>
      <c r="E6281" s="17" t="s">
        <v>5560</v>
      </c>
      <c r="F6281" s="4" t="s">
        <v>972</v>
      </c>
      <c r="G6281" s="2" t="s">
        <v>424</v>
      </c>
      <c r="H6281" s="2" t="s">
        <v>5774</v>
      </c>
      <c r="I6281" s="3" t="s">
        <v>42</v>
      </c>
      <c r="J6281" s="31">
        <v>46067</v>
      </c>
      <c r="K6281" s="31">
        <v>46073</v>
      </c>
      <c r="L6281" s="31"/>
      <c r="M6281" s="31"/>
      <c r="N6281" s="31"/>
      <c r="O6281" s="2" t="s">
        <v>425</v>
      </c>
    </row>
    <row r="6282" spans="1:15">
      <c r="A6282" s="3">
        <f t="shared" si="149"/>
        <v>6281</v>
      </c>
      <c r="B6282" s="65" t="s">
        <v>9044</v>
      </c>
      <c r="C6282" s="1">
        <v>7999196746</v>
      </c>
      <c r="D6282" s="1">
        <v>9618885884</v>
      </c>
      <c r="E6282" s="17" t="s">
        <v>5560</v>
      </c>
      <c r="F6282" s="4" t="s">
        <v>9045</v>
      </c>
      <c r="G6282" s="3" t="s">
        <v>416</v>
      </c>
      <c r="H6282" s="2" t="s">
        <v>5774</v>
      </c>
      <c r="I6282" s="3" t="s">
        <v>42</v>
      </c>
      <c r="J6282" s="31">
        <v>46067</v>
      </c>
      <c r="K6282" s="31">
        <v>46080</v>
      </c>
      <c r="L6282" s="31"/>
      <c r="M6282" s="31"/>
      <c r="N6282" s="31"/>
      <c r="O6282" s="2" t="s">
        <v>297</v>
      </c>
    </row>
    <row r="6283" spans="1:15">
      <c r="A6283" s="3">
        <f t="shared" si="149"/>
        <v>6282</v>
      </c>
      <c r="B6283" s="65" t="s">
        <v>5830</v>
      </c>
      <c r="C6283" s="1">
        <v>8795454488</v>
      </c>
      <c r="E6283" s="17" t="s">
        <v>8796</v>
      </c>
      <c r="F6283" s="4" t="s">
        <v>8165</v>
      </c>
      <c r="G6283" s="3" t="s">
        <v>295</v>
      </c>
      <c r="H6283" s="2" t="s">
        <v>4842</v>
      </c>
      <c r="I6283" s="3" t="s">
        <v>88</v>
      </c>
      <c r="J6283" s="31">
        <v>46067</v>
      </c>
      <c r="K6283" s="31">
        <v>46069</v>
      </c>
      <c r="L6283" s="31">
        <v>46073</v>
      </c>
      <c r="M6283" s="31">
        <v>46101</v>
      </c>
      <c r="N6283" s="31"/>
      <c r="O6283" s="2" t="s">
        <v>297</v>
      </c>
    </row>
    <row r="6284" spans="1:15">
      <c r="A6284" s="3">
        <f t="shared" si="149"/>
        <v>6283</v>
      </c>
      <c r="B6284" s="65" t="s">
        <v>9046</v>
      </c>
      <c r="C6284" s="1">
        <v>8650370268</v>
      </c>
      <c r="E6284" s="17" t="s">
        <v>9047</v>
      </c>
      <c r="F6284" s="4" t="s">
        <v>8165</v>
      </c>
      <c r="G6284" s="3" t="s">
        <v>14</v>
      </c>
      <c r="H6284" s="2" t="s">
        <v>4842</v>
      </c>
      <c r="I6284" s="3" t="s">
        <v>88</v>
      </c>
      <c r="J6284" s="31">
        <v>46067</v>
      </c>
      <c r="K6284" s="31">
        <v>46069</v>
      </c>
      <c r="L6284" s="31"/>
      <c r="M6284" s="31"/>
      <c r="N6284" s="31"/>
      <c r="O6284" s="2" t="s">
        <v>297</v>
      </c>
    </row>
    <row r="6285" spans="1:15">
      <c r="A6285" s="3">
        <f t="shared" si="149"/>
        <v>6284</v>
      </c>
      <c r="B6285" s="65" t="s">
        <v>9048</v>
      </c>
      <c r="C6285" s="1">
        <v>9076844425</v>
      </c>
      <c r="E6285" s="17" t="s">
        <v>9047</v>
      </c>
      <c r="F6285" s="4" t="s">
        <v>5895</v>
      </c>
      <c r="G6285" s="3" t="s">
        <v>16</v>
      </c>
      <c r="H6285" s="2" t="s">
        <v>4842</v>
      </c>
      <c r="I6285" s="3" t="s">
        <v>88</v>
      </c>
      <c r="J6285" s="31">
        <v>46067</v>
      </c>
      <c r="K6285" s="31">
        <v>46069</v>
      </c>
      <c r="L6285" s="31">
        <v>46073</v>
      </c>
      <c r="M6285" s="31">
        <v>46101</v>
      </c>
      <c r="N6285" s="31">
        <v>46098</v>
      </c>
      <c r="O6285" s="2" t="s">
        <v>297</v>
      </c>
    </row>
    <row r="6286" spans="1:15">
      <c r="A6286" s="3">
        <f t="shared" si="149"/>
        <v>6285</v>
      </c>
      <c r="B6286" s="65" t="s">
        <v>3575</v>
      </c>
      <c r="C6286" s="1">
        <v>6203490810</v>
      </c>
      <c r="E6286" s="17" t="s">
        <v>9049</v>
      </c>
      <c r="F6286" s="4" t="s">
        <v>294</v>
      </c>
      <c r="G6286" s="3" t="s">
        <v>424</v>
      </c>
      <c r="H6286" s="2" t="s">
        <v>296</v>
      </c>
      <c r="I6286" s="3" t="s">
        <v>88</v>
      </c>
      <c r="J6286" s="31">
        <v>46067</v>
      </c>
      <c r="K6286" s="31">
        <v>46067</v>
      </c>
      <c r="L6286" s="31"/>
      <c r="M6286" s="31"/>
      <c r="N6286" s="31"/>
      <c r="O6286" s="2" t="s">
        <v>425</v>
      </c>
    </row>
    <row r="6287" spans="1:15">
      <c r="A6287" s="3">
        <f t="shared" si="149"/>
        <v>6286</v>
      </c>
      <c r="B6287" s="65" t="s">
        <v>9050</v>
      </c>
      <c r="C6287" s="1">
        <v>9863765071</v>
      </c>
      <c r="E6287" s="17" t="s">
        <v>9018</v>
      </c>
      <c r="F6287" s="4" t="s">
        <v>294</v>
      </c>
      <c r="G6287" s="3" t="s">
        <v>424</v>
      </c>
      <c r="H6287" s="2" t="s">
        <v>296</v>
      </c>
      <c r="I6287" s="3" t="s">
        <v>88</v>
      </c>
      <c r="J6287" s="31">
        <v>46067</v>
      </c>
      <c r="K6287" s="31">
        <v>46070</v>
      </c>
      <c r="L6287" s="31"/>
      <c r="M6287" s="31"/>
      <c r="N6287" s="31"/>
      <c r="O6287" s="2" t="s">
        <v>425</v>
      </c>
    </row>
    <row r="6288" spans="1:15">
      <c r="A6288" s="3">
        <f t="shared" si="149"/>
        <v>6287</v>
      </c>
      <c r="B6288" s="65" t="s">
        <v>9051</v>
      </c>
      <c r="C6288" s="1">
        <v>8927789133</v>
      </c>
      <c r="E6288" s="17" t="s">
        <v>9049</v>
      </c>
      <c r="F6288" s="4" t="s">
        <v>3002</v>
      </c>
      <c r="G6288" s="3" t="s">
        <v>424</v>
      </c>
      <c r="H6288" s="2" t="s">
        <v>296</v>
      </c>
      <c r="I6288" s="3" t="s">
        <v>88</v>
      </c>
      <c r="J6288" s="31">
        <v>46067</v>
      </c>
      <c r="K6288" s="31">
        <v>46067</v>
      </c>
      <c r="L6288" s="31"/>
      <c r="M6288" s="31"/>
      <c r="N6288" s="31"/>
      <c r="O6288" s="2" t="s">
        <v>749</v>
      </c>
    </row>
    <row r="6289" spans="1:15">
      <c r="A6289" s="3">
        <f t="shared" si="149"/>
        <v>6288</v>
      </c>
      <c r="B6289" s="65" t="s">
        <v>9052</v>
      </c>
      <c r="C6289" s="1">
        <v>9541938864</v>
      </c>
      <c r="E6289" s="17" t="s">
        <v>9018</v>
      </c>
      <c r="F6289" s="4" t="s">
        <v>638</v>
      </c>
      <c r="G6289" s="3" t="s">
        <v>424</v>
      </c>
      <c r="H6289" s="2" t="s">
        <v>296</v>
      </c>
      <c r="I6289" s="3" t="s">
        <v>88</v>
      </c>
      <c r="J6289" s="31">
        <v>46067</v>
      </c>
      <c r="K6289" s="31">
        <v>46070</v>
      </c>
      <c r="L6289" s="31"/>
      <c r="M6289" s="31"/>
      <c r="N6289" s="31"/>
      <c r="O6289" s="2" t="s">
        <v>425</v>
      </c>
    </row>
    <row r="6290" spans="1:15">
      <c r="A6290" s="3">
        <f t="shared" si="149"/>
        <v>6289</v>
      </c>
      <c r="B6290" s="65" t="s">
        <v>9053</v>
      </c>
      <c r="C6290" s="1">
        <v>9441882519</v>
      </c>
      <c r="E6290" s="17" t="s">
        <v>7274</v>
      </c>
      <c r="F6290" s="4" t="s">
        <v>1827</v>
      </c>
      <c r="G6290" s="3" t="s">
        <v>15</v>
      </c>
      <c r="H6290" s="2" t="s">
        <v>815</v>
      </c>
      <c r="I6290" s="3" t="s">
        <v>88</v>
      </c>
      <c r="J6290" s="31">
        <v>46067</v>
      </c>
      <c r="K6290" s="31">
        <v>46071</v>
      </c>
      <c r="L6290" s="31">
        <v>46101</v>
      </c>
      <c r="M6290" s="31">
        <v>46132</v>
      </c>
      <c r="N6290" s="31"/>
      <c r="O6290" s="2" t="s">
        <v>297</v>
      </c>
    </row>
    <row r="6291" spans="1:15">
      <c r="A6291" s="3">
        <f t="shared" si="149"/>
        <v>6290</v>
      </c>
      <c r="B6291" s="65" t="s">
        <v>9054</v>
      </c>
      <c r="C6291" s="1">
        <v>9348383817</v>
      </c>
      <c r="E6291" s="17" t="s">
        <v>9055</v>
      </c>
      <c r="F6291" s="4" t="s">
        <v>1555</v>
      </c>
      <c r="G6291" s="3" t="s">
        <v>16</v>
      </c>
      <c r="H6291" s="2" t="s">
        <v>815</v>
      </c>
      <c r="I6291" s="3" t="s">
        <v>88</v>
      </c>
      <c r="J6291" s="31">
        <v>46067</v>
      </c>
      <c r="K6291" s="31">
        <v>46071</v>
      </c>
      <c r="L6291" s="31">
        <v>46073</v>
      </c>
      <c r="M6291" s="31">
        <v>46104</v>
      </c>
      <c r="N6291" s="31">
        <v>46104</v>
      </c>
      <c r="O6291" s="2" t="s">
        <v>297</v>
      </c>
    </row>
    <row r="6292" spans="1:15">
      <c r="A6292" s="3">
        <f t="shared" si="149"/>
        <v>6291</v>
      </c>
      <c r="B6292" s="65" t="s">
        <v>1127</v>
      </c>
      <c r="C6292" s="1">
        <v>7061464473</v>
      </c>
      <c r="E6292" s="17" t="s">
        <v>9055</v>
      </c>
      <c r="F6292" s="4" t="s">
        <v>1555</v>
      </c>
      <c r="G6292" s="3" t="s">
        <v>424</v>
      </c>
      <c r="H6292" s="2" t="s">
        <v>815</v>
      </c>
      <c r="I6292" s="3" t="s">
        <v>88</v>
      </c>
      <c r="J6292" s="31">
        <v>46067</v>
      </c>
      <c r="K6292" s="31">
        <v>46071</v>
      </c>
      <c r="L6292" s="31"/>
      <c r="M6292" s="31"/>
      <c r="N6292" s="31"/>
      <c r="O6292" s="2" t="s">
        <v>425</v>
      </c>
    </row>
    <row r="6293" spans="1:15">
      <c r="A6293" s="3">
        <f t="shared" si="149"/>
        <v>6292</v>
      </c>
      <c r="B6293" s="65" t="s">
        <v>9056</v>
      </c>
      <c r="C6293" s="1">
        <v>8340078465</v>
      </c>
      <c r="E6293" s="17" t="s">
        <v>9057</v>
      </c>
      <c r="F6293" s="4" t="s">
        <v>339</v>
      </c>
      <c r="G6293" s="2" t="s">
        <v>424</v>
      </c>
      <c r="H6293" s="2" t="s">
        <v>162</v>
      </c>
      <c r="I6293" s="3" t="s">
        <v>88</v>
      </c>
      <c r="J6293" s="31">
        <v>46067</v>
      </c>
      <c r="K6293" s="31">
        <v>46077</v>
      </c>
      <c r="L6293" s="31"/>
      <c r="M6293" s="31"/>
      <c r="N6293" s="31"/>
      <c r="O6293" s="2" t="s">
        <v>425</v>
      </c>
    </row>
    <row r="6294" spans="1:15">
      <c r="A6294" s="3">
        <f t="shared" si="149"/>
        <v>6293</v>
      </c>
      <c r="B6294" s="65" t="s">
        <v>9058</v>
      </c>
      <c r="C6294" s="1">
        <v>9666587221</v>
      </c>
      <c r="E6294" s="17" t="s">
        <v>9057</v>
      </c>
      <c r="F6294" s="4" t="s">
        <v>339</v>
      </c>
      <c r="G6294" s="3" t="s">
        <v>424</v>
      </c>
      <c r="H6294" s="2" t="s">
        <v>162</v>
      </c>
      <c r="I6294" s="3" t="s">
        <v>88</v>
      </c>
      <c r="J6294" s="31">
        <v>46067</v>
      </c>
      <c r="K6294" s="31">
        <v>46077</v>
      </c>
      <c r="L6294" s="31"/>
      <c r="M6294" s="31"/>
      <c r="N6294" s="31"/>
      <c r="O6294" s="2" t="s">
        <v>425</v>
      </c>
    </row>
    <row r="6295" spans="1:15">
      <c r="A6295" s="3">
        <f t="shared" si="149"/>
        <v>6294</v>
      </c>
      <c r="B6295" s="65" t="s">
        <v>2231</v>
      </c>
      <c r="C6295" s="1">
        <v>9182255653</v>
      </c>
      <c r="E6295" s="17" t="s">
        <v>9057</v>
      </c>
      <c r="F6295" s="4" t="s">
        <v>339</v>
      </c>
      <c r="G6295" s="3" t="s">
        <v>424</v>
      </c>
      <c r="H6295" s="2" t="s">
        <v>162</v>
      </c>
      <c r="I6295" s="3" t="s">
        <v>88</v>
      </c>
      <c r="J6295" s="31">
        <v>46067</v>
      </c>
      <c r="K6295" s="31">
        <v>46077</v>
      </c>
      <c r="L6295" s="31"/>
      <c r="M6295" s="31"/>
      <c r="N6295" s="31"/>
      <c r="O6295" s="2" t="s">
        <v>425</v>
      </c>
    </row>
    <row r="6296" spans="1:15">
      <c r="A6296" s="3">
        <f t="shared" si="149"/>
        <v>6295</v>
      </c>
      <c r="B6296" s="65" t="s">
        <v>9059</v>
      </c>
      <c r="C6296" s="1">
        <v>7327879722</v>
      </c>
      <c r="E6296" s="17" t="s">
        <v>9057</v>
      </c>
      <c r="F6296" s="4" t="s">
        <v>481</v>
      </c>
      <c r="G6296" s="3" t="s">
        <v>16</v>
      </c>
      <c r="H6296" s="2" t="s">
        <v>162</v>
      </c>
      <c r="I6296" s="3" t="s">
        <v>88</v>
      </c>
      <c r="J6296" s="31">
        <v>46067</v>
      </c>
      <c r="K6296" s="31">
        <v>46077</v>
      </c>
      <c r="L6296" s="31">
        <v>46077</v>
      </c>
      <c r="M6296" s="31">
        <v>46113</v>
      </c>
      <c r="N6296" s="31">
        <v>46095</v>
      </c>
      <c r="O6296" s="2" t="s">
        <v>297</v>
      </c>
    </row>
    <row r="6297" spans="1:15">
      <c r="A6297" s="3">
        <f t="shared" si="149"/>
        <v>6296</v>
      </c>
      <c r="B6297" s="65" t="s">
        <v>9060</v>
      </c>
      <c r="C6297" s="1">
        <v>7288902198</v>
      </c>
      <c r="E6297" s="17" t="s">
        <v>9057</v>
      </c>
      <c r="F6297" s="4" t="s">
        <v>2006</v>
      </c>
      <c r="G6297" s="3" t="s">
        <v>424</v>
      </c>
      <c r="H6297" s="2" t="s">
        <v>162</v>
      </c>
      <c r="I6297" s="3" t="s">
        <v>88</v>
      </c>
      <c r="J6297" s="31">
        <v>46067</v>
      </c>
      <c r="K6297" s="31">
        <v>46077</v>
      </c>
      <c r="L6297" s="31"/>
      <c r="M6297" s="31"/>
      <c r="N6297" s="31"/>
      <c r="O6297" s="2" t="s">
        <v>425</v>
      </c>
    </row>
    <row r="6298" spans="1:15">
      <c r="A6298" s="3">
        <f t="shared" si="149"/>
        <v>6297</v>
      </c>
      <c r="B6298" s="65" t="s">
        <v>9061</v>
      </c>
      <c r="C6298" s="1">
        <v>8367764473</v>
      </c>
      <c r="E6298" s="17" t="s">
        <v>9057</v>
      </c>
      <c r="F6298" s="4" t="s">
        <v>339</v>
      </c>
      <c r="G6298" s="3" t="s">
        <v>424</v>
      </c>
      <c r="H6298" s="2" t="s">
        <v>162</v>
      </c>
      <c r="I6298" s="3" t="s">
        <v>88</v>
      </c>
      <c r="J6298" s="31">
        <v>46067</v>
      </c>
      <c r="K6298" s="31">
        <v>46078</v>
      </c>
      <c r="L6298" s="31"/>
      <c r="M6298" s="31"/>
      <c r="N6298" s="31"/>
      <c r="O6298" s="2" t="s">
        <v>749</v>
      </c>
    </row>
    <row r="6299" spans="1:15">
      <c r="A6299" s="3">
        <f t="shared" si="149"/>
        <v>6298</v>
      </c>
      <c r="B6299" s="65" t="s">
        <v>9062</v>
      </c>
      <c r="C6299" s="1">
        <v>8299422069</v>
      </c>
      <c r="E6299" s="17" t="s">
        <v>9063</v>
      </c>
      <c r="F6299" s="4" t="s">
        <v>1011</v>
      </c>
      <c r="G6299" s="3" t="s">
        <v>764</v>
      </c>
      <c r="H6299" s="2" t="s">
        <v>5163</v>
      </c>
      <c r="I6299" s="3" t="s">
        <v>94</v>
      </c>
      <c r="J6299" s="31">
        <v>46069</v>
      </c>
      <c r="K6299" s="31">
        <v>46073</v>
      </c>
      <c r="L6299" s="31"/>
      <c r="M6299" s="31"/>
      <c r="N6299" s="31"/>
      <c r="O6299" s="2" t="s">
        <v>425</v>
      </c>
    </row>
    <row r="6300" spans="1:15">
      <c r="A6300" s="3">
        <f t="shared" si="149"/>
        <v>6299</v>
      </c>
      <c r="B6300" s="65" t="s">
        <v>9064</v>
      </c>
      <c r="C6300" s="1">
        <v>7995807073</v>
      </c>
      <c r="E6300" s="17" t="s">
        <v>9063</v>
      </c>
      <c r="F6300" s="4" t="s">
        <v>612</v>
      </c>
      <c r="G6300" s="3" t="s">
        <v>15</v>
      </c>
      <c r="H6300" s="2" t="s">
        <v>5163</v>
      </c>
      <c r="I6300" s="3" t="s">
        <v>94</v>
      </c>
      <c r="J6300" s="31">
        <v>46069</v>
      </c>
      <c r="K6300" s="31">
        <v>46078</v>
      </c>
      <c r="L6300" s="31">
        <v>46079</v>
      </c>
      <c r="M6300" s="31">
        <v>46122</v>
      </c>
      <c r="N6300" s="31"/>
      <c r="O6300" s="2" t="s">
        <v>297</v>
      </c>
    </row>
    <row r="6301" spans="1:15">
      <c r="A6301" s="3">
        <f t="shared" si="149"/>
        <v>6300</v>
      </c>
      <c r="B6301" s="65" t="s">
        <v>9065</v>
      </c>
      <c r="C6301" s="1">
        <v>7674026636</v>
      </c>
      <c r="E6301" s="17" t="s">
        <v>7923</v>
      </c>
      <c r="F6301" s="4" t="s">
        <v>303</v>
      </c>
      <c r="G6301" s="3" t="s">
        <v>7030</v>
      </c>
      <c r="H6301" s="2" t="s">
        <v>6158</v>
      </c>
      <c r="I6301" s="3" t="s">
        <v>42</v>
      </c>
      <c r="J6301" s="31">
        <v>46069</v>
      </c>
      <c r="K6301" s="31"/>
      <c r="L6301" s="31"/>
      <c r="M6301" s="31"/>
      <c r="N6301" s="31"/>
      <c r="O6301" s="2" t="s">
        <v>1004</v>
      </c>
    </row>
    <row r="6302" spans="1:15">
      <c r="A6302" s="3">
        <f t="shared" si="149"/>
        <v>6301</v>
      </c>
      <c r="B6302" s="65" t="s">
        <v>9066</v>
      </c>
      <c r="C6302" s="1">
        <v>6360592951</v>
      </c>
      <c r="E6302" s="17" t="s">
        <v>7923</v>
      </c>
      <c r="F6302" s="4" t="s">
        <v>490</v>
      </c>
      <c r="G6302" s="3" t="s">
        <v>7030</v>
      </c>
      <c r="H6302" s="2" t="s">
        <v>6158</v>
      </c>
      <c r="I6302" s="3" t="s">
        <v>42</v>
      </c>
      <c r="J6302" s="31">
        <v>46069</v>
      </c>
      <c r="K6302" s="31"/>
      <c r="L6302" s="31"/>
      <c r="M6302" s="31"/>
      <c r="N6302" s="31"/>
      <c r="O6302" s="2" t="s">
        <v>1004</v>
      </c>
    </row>
    <row r="6303" spans="1:15">
      <c r="A6303" s="3">
        <f t="shared" si="149"/>
        <v>6302</v>
      </c>
      <c r="B6303" s="65" t="s">
        <v>9067</v>
      </c>
      <c r="C6303" s="1">
        <v>6281789479</v>
      </c>
      <c r="E6303" s="17" t="s">
        <v>6537</v>
      </c>
      <c r="F6303" s="4" t="s">
        <v>1001</v>
      </c>
      <c r="G6303" s="3" t="s">
        <v>764</v>
      </c>
      <c r="H6303" s="2" t="s">
        <v>6158</v>
      </c>
      <c r="I6303" s="3" t="s">
        <v>42</v>
      </c>
      <c r="J6303" s="31">
        <v>46069</v>
      </c>
      <c r="K6303" s="31">
        <v>46077</v>
      </c>
      <c r="L6303" s="31"/>
      <c r="M6303" s="31"/>
      <c r="N6303" s="31"/>
      <c r="O6303" s="2" t="s">
        <v>425</v>
      </c>
    </row>
    <row r="6304" spans="1:15">
      <c r="A6304" s="3">
        <f t="shared" si="149"/>
        <v>6303</v>
      </c>
      <c r="B6304" s="65" t="s">
        <v>2202</v>
      </c>
      <c r="C6304" s="1">
        <v>9557112805</v>
      </c>
      <c r="D6304" s="1">
        <v>9557112905</v>
      </c>
      <c r="E6304" s="17" t="s">
        <v>5776</v>
      </c>
      <c r="F6304" s="4" t="s">
        <v>308</v>
      </c>
      <c r="G6304" s="3" t="s">
        <v>416</v>
      </c>
      <c r="H6304" s="2" t="s">
        <v>6158</v>
      </c>
      <c r="I6304" s="3" t="s">
        <v>42</v>
      </c>
      <c r="J6304" s="31">
        <v>46069</v>
      </c>
      <c r="K6304" s="31">
        <v>46077</v>
      </c>
      <c r="L6304" s="31"/>
      <c r="M6304" s="31"/>
      <c r="N6304" s="31"/>
      <c r="O6304" s="2" t="s">
        <v>297</v>
      </c>
    </row>
    <row r="6305" spans="1:15">
      <c r="A6305" s="3">
        <f t="shared" ref="A6305:A6314" si="150">ROW()-1</f>
        <v>6304</v>
      </c>
      <c r="B6305" s="65" t="s">
        <v>9068</v>
      </c>
      <c r="C6305" s="1">
        <v>9798604307</v>
      </c>
      <c r="D6305" s="1">
        <v>6909306765</v>
      </c>
      <c r="E6305" s="17" t="s">
        <v>9047</v>
      </c>
      <c r="F6305" s="4" t="s">
        <v>9069</v>
      </c>
      <c r="G6305" s="3" t="s">
        <v>764</v>
      </c>
      <c r="H6305" s="2" t="s">
        <v>4842</v>
      </c>
      <c r="I6305" s="3" t="s">
        <v>88</v>
      </c>
      <c r="J6305" s="31">
        <v>46069</v>
      </c>
      <c r="K6305" s="31"/>
      <c r="L6305" s="31"/>
      <c r="M6305" s="31"/>
      <c r="N6305" s="31"/>
      <c r="O6305" s="2" t="s">
        <v>8022</v>
      </c>
    </row>
    <row r="6306" spans="1:15">
      <c r="A6306" s="3">
        <f t="shared" si="150"/>
        <v>6305</v>
      </c>
      <c r="B6306" s="65" t="s">
        <v>9070</v>
      </c>
      <c r="C6306" s="1">
        <v>8096446894</v>
      </c>
      <c r="E6306" s="17" t="s">
        <v>9071</v>
      </c>
      <c r="F6306" s="4" t="s">
        <v>8388</v>
      </c>
      <c r="G6306" s="3" t="s">
        <v>295</v>
      </c>
      <c r="H6306" s="2" t="s">
        <v>357</v>
      </c>
      <c r="I6306" s="3" t="s">
        <v>88</v>
      </c>
      <c r="J6306" s="31">
        <v>46070</v>
      </c>
      <c r="K6306" s="31">
        <v>46070</v>
      </c>
      <c r="L6306" s="31">
        <v>46073</v>
      </c>
      <c r="M6306" s="31">
        <v>46101</v>
      </c>
      <c r="N6306" s="31"/>
      <c r="O6306" s="2" t="s">
        <v>297</v>
      </c>
    </row>
    <row r="6307" spans="1:15">
      <c r="A6307" s="3">
        <f t="shared" si="150"/>
        <v>6306</v>
      </c>
      <c r="B6307" s="65" t="s">
        <v>918</v>
      </c>
      <c r="C6307" s="1">
        <v>7718855378</v>
      </c>
      <c r="E6307" s="17" t="s">
        <v>8978</v>
      </c>
      <c r="F6307" s="4" t="s">
        <v>1109</v>
      </c>
      <c r="G6307" s="3" t="s">
        <v>764</v>
      </c>
      <c r="H6307" s="2" t="s">
        <v>815</v>
      </c>
      <c r="I6307" s="3" t="s">
        <v>94</v>
      </c>
      <c r="J6307" s="31">
        <v>46070</v>
      </c>
      <c r="K6307" s="31">
        <v>46073</v>
      </c>
      <c r="L6307" s="31"/>
      <c r="M6307" s="31"/>
      <c r="N6307" s="31"/>
      <c r="O6307" s="2" t="s">
        <v>425</v>
      </c>
    </row>
    <row r="6308" spans="1:15">
      <c r="A6308" s="3">
        <f t="shared" si="150"/>
        <v>6307</v>
      </c>
      <c r="B6308" s="65" t="s">
        <v>9072</v>
      </c>
      <c r="C6308" s="1">
        <v>7577915539</v>
      </c>
      <c r="D6308" s="1">
        <v>9749267420</v>
      </c>
      <c r="E6308" s="17" t="s">
        <v>8978</v>
      </c>
      <c r="F6308" s="4" t="s">
        <v>1109</v>
      </c>
      <c r="G6308" s="3" t="s">
        <v>764</v>
      </c>
      <c r="H6308" s="2" t="s">
        <v>815</v>
      </c>
      <c r="I6308" s="3" t="s">
        <v>94</v>
      </c>
      <c r="J6308" s="31">
        <v>46070</v>
      </c>
      <c r="K6308" s="31">
        <v>46073</v>
      </c>
      <c r="L6308" s="31"/>
      <c r="M6308" s="31"/>
      <c r="N6308" s="31"/>
      <c r="O6308" s="2" t="s">
        <v>425</v>
      </c>
    </row>
    <row r="6309" spans="1:15">
      <c r="A6309" s="3">
        <f t="shared" si="150"/>
        <v>6308</v>
      </c>
      <c r="B6309" s="65" t="s">
        <v>9073</v>
      </c>
      <c r="C6309" s="1">
        <v>8825255307</v>
      </c>
      <c r="D6309" s="1">
        <v>7759841993</v>
      </c>
      <c r="E6309" s="17" t="s">
        <v>9074</v>
      </c>
      <c r="F6309" s="4" t="s">
        <v>1109</v>
      </c>
      <c r="G6309" s="3" t="s">
        <v>295</v>
      </c>
      <c r="H6309" s="2" t="s">
        <v>815</v>
      </c>
      <c r="I6309" s="3" t="s">
        <v>94</v>
      </c>
      <c r="J6309" s="31">
        <v>46070</v>
      </c>
      <c r="K6309" s="31">
        <v>46073</v>
      </c>
      <c r="L6309" s="31">
        <v>46073</v>
      </c>
      <c r="M6309" s="31">
        <v>46106</v>
      </c>
      <c r="N6309" s="31"/>
      <c r="O6309" s="2" t="s">
        <v>297</v>
      </c>
    </row>
    <row r="6310" spans="1:15">
      <c r="A6310" s="3">
        <f t="shared" si="150"/>
        <v>6309</v>
      </c>
      <c r="B6310" s="65" t="s">
        <v>9075</v>
      </c>
      <c r="C6310" s="1">
        <v>8827685638</v>
      </c>
      <c r="E6310" s="17" t="s">
        <v>8978</v>
      </c>
      <c r="F6310" s="4" t="s">
        <v>1109</v>
      </c>
      <c r="G6310" s="3" t="s">
        <v>330</v>
      </c>
      <c r="H6310" s="2" t="s">
        <v>815</v>
      </c>
      <c r="I6310" s="3" t="s">
        <v>94</v>
      </c>
      <c r="J6310" s="31">
        <v>46070</v>
      </c>
      <c r="K6310" s="31">
        <v>46073</v>
      </c>
      <c r="L6310" s="31">
        <v>46073</v>
      </c>
      <c r="M6310" s="31">
        <v>46107</v>
      </c>
      <c r="N6310" s="31">
        <v>46105</v>
      </c>
      <c r="O6310" s="2" t="s">
        <v>297</v>
      </c>
    </row>
    <row r="6311" spans="1:15">
      <c r="A6311" s="3">
        <f t="shared" si="150"/>
        <v>6310</v>
      </c>
      <c r="B6311" s="65" t="s">
        <v>9076</v>
      </c>
      <c r="C6311" s="1">
        <v>9340140667</v>
      </c>
      <c r="D6311" s="1">
        <v>9243879240</v>
      </c>
      <c r="E6311" s="17" t="s">
        <v>9074</v>
      </c>
      <c r="F6311" s="4" t="s">
        <v>4671</v>
      </c>
      <c r="G6311" s="3" t="s">
        <v>16</v>
      </c>
      <c r="H6311" s="2" t="s">
        <v>815</v>
      </c>
      <c r="I6311" s="3" t="s">
        <v>94</v>
      </c>
      <c r="J6311" s="31">
        <v>46070</v>
      </c>
      <c r="K6311" s="31">
        <v>46073</v>
      </c>
      <c r="L6311" s="31">
        <v>46079</v>
      </c>
      <c r="M6311" s="31">
        <v>46097</v>
      </c>
      <c r="N6311" s="31">
        <v>46095</v>
      </c>
      <c r="O6311" s="2" t="s">
        <v>297</v>
      </c>
    </row>
    <row r="6312" spans="1:15">
      <c r="A6312" s="3">
        <f t="shared" si="150"/>
        <v>6311</v>
      </c>
      <c r="B6312" s="65" t="s">
        <v>8939</v>
      </c>
      <c r="C6312" s="1">
        <v>8507736778</v>
      </c>
      <c r="E6312" s="17" t="s">
        <v>9074</v>
      </c>
      <c r="F6312" s="4" t="s">
        <v>4671</v>
      </c>
      <c r="G6312" s="3" t="s">
        <v>16</v>
      </c>
      <c r="H6312" s="2" t="s">
        <v>815</v>
      </c>
      <c r="I6312" s="3" t="s">
        <v>94</v>
      </c>
      <c r="J6312" s="31">
        <v>46070</v>
      </c>
      <c r="K6312" s="31">
        <v>46073</v>
      </c>
      <c r="L6312" s="31">
        <v>46073</v>
      </c>
      <c r="M6312" s="31">
        <v>46104</v>
      </c>
      <c r="N6312" s="31">
        <v>46105</v>
      </c>
      <c r="O6312" s="2" t="s">
        <v>297</v>
      </c>
    </row>
    <row r="6313" spans="1:15">
      <c r="A6313" s="3">
        <f t="shared" si="150"/>
        <v>6312</v>
      </c>
      <c r="B6313" s="65" t="s">
        <v>4646</v>
      </c>
      <c r="C6313" s="1">
        <v>8744982470</v>
      </c>
      <c r="D6313" s="1">
        <v>9123414873</v>
      </c>
      <c r="E6313" s="17" t="s">
        <v>9074</v>
      </c>
      <c r="F6313" s="4" t="s">
        <v>4671</v>
      </c>
      <c r="G6313" s="3" t="s">
        <v>764</v>
      </c>
      <c r="H6313" s="2" t="s">
        <v>815</v>
      </c>
      <c r="I6313" s="3" t="s">
        <v>94</v>
      </c>
      <c r="J6313" s="31">
        <v>46070</v>
      </c>
      <c r="K6313" s="31">
        <v>46073</v>
      </c>
      <c r="L6313" s="31"/>
      <c r="M6313" s="31"/>
      <c r="N6313" s="31"/>
      <c r="O6313" s="2" t="s">
        <v>425</v>
      </c>
    </row>
    <row r="6314" spans="1:15">
      <c r="A6314" s="3">
        <f t="shared" si="150"/>
        <v>6313</v>
      </c>
      <c r="B6314" s="65" t="s">
        <v>9077</v>
      </c>
      <c r="C6314" s="1">
        <v>9977028540</v>
      </c>
      <c r="E6314" s="17" t="s">
        <v>9074</v>
      </c>
      <c r="F6314" s="4" t="s">
        <v>4671</v>
      </c>
      <c r="G6314" s="3" t="s">
        <v>764</v>
      </c>
      <c r="H6314" s="2" t="s">
        <v>815</v>
      </c>
      <c r="I6314" s="3" t="s">
        <v>94</v>
      </c>
      <c r="J6314" s="31">
        <v>46070</v>
      </c>
      <c r="K6314" s="31">
        <v>46073</v>
      </c>
      <c r="L6314" s="31"/>
      <c r="M6314" s="31"/>
      <c r="N6314" s="31"/>
      <c r="O6314" s="2" t="s">
        <v>425</v>
      </c>
    </row>
    <row r="6315" spans="1:15">
      <c r="A6315" s="3">
        <f t="shared" ref="A6315:A6361" si="151">ROW()-1</f>
        <v>6314</v>
      </c>
      <c r="B6315" s="65" t="s">
        <v>9078</v>
      </c>
      <c r="C6315" s="1">
        <v>7722964252</v>
      </c>
      <c r="E6315" s="17" t="s">
        <v>7114</v>
      </c>
      <c r="F6315" s="4" t="s">
        <v>9079</v>
      </c>
      <c r="G6315" s="3" t="s">
        <v>424</v>
      </c>
      <c r="H6315" s="2" t="s">
        <v>4145</v>
      </c>
      <c r="I6315" s="3" t="s">
        <v>42</v>
      </c>
      <c r="J6315" s="31">
        <v>46070</v>
      </c>
      <c r="K6315" s="31">
        <v>46073</v>
      </c>
      <c r="L6315" s="31"/>
      <c r="M6315" s="31"/>
      <c r="N6315" s="31"/>
      <c r="O6315" s="2" t="s">
        <v>425</v>
      </c>
    </row>
    <row r="6316" spans="1:15">
      <c r="A6316" s="3">
        <f t="shared" si="151"/>
        <v>6315</v>
      </c>
      <c r="B6316" s="65" t="s">
        <v>9080</v>
      </c>
      <c r="C6316" s="1">
        <v>7680903618</v>
      </c>
      <c r="E6316" s="17" t="s">
        <v>7114</v>
      </c>
      <c r="F6316" s="4" t="s">
        <v>1312</v>
      </c>
      <c r="G6316" s="3" t="s">
        <v>15</v>
      </c>
      <c r="H6316" s="2" t="s">
        <v>4145</v>
      </c>
      <c r="I6316" s="3" t="s">
        <v>42</v>
      </c>
      <c r="J6316" s="31">
        <v>46070</v>
      </c>
      <c r="K6316" s="31">
        <v>46073</v>
      </c>
      <c r="L6316" s="31">
        <v>46080</v>
      </c>
      <c r="M6316" s="31">
        <v>46117</v>
      </c>
      <c r="N6316" s="31"/>
      <c r="O6316" s="2" t="s">
        <v>297</v>
      </c>
    </row>
    <row r="6317" spans="1:15">
      <c r="A6317" s="3">
        <f t="shared" si="151"/>
        <v>6316</v>
      </c>
      <c r="B6317" s="65" t="s">
        <v>535</v>
      </c>
      <c r="C6317" s="1">
        <v>9133831428</v>
      </c>
      <c r="E6317" s="17" t="s">
        <v>7114</v>
      </c>
      <c r="F6317" s="4" t="s">
        <v>9081</v>
      </c>
      <c r="G6317" s="3" t="s">
        <v>416</v>
      </c>
      <c r="H6317" s="2" t="s">
        <v>4145</v>
      </c>
      <c r="I6317" s="3" t="s">
        <v>42</v>
      </c>
      <c r="J6317" s="31">
        <v>46070</v>
      </c>
      <c r="K6317" s="31">
        <v>46073</v>
      </c>
      <c r="L6317" s="31"/>
      <c r="M6317" s="31"/>
      <c r="N6317" s="31"/>
      <c r="O6317" s="2" t="s">
        <v>297</v>
      </c>
    </row>
    <row r="6318" spans="1:15">
      <c r="A6318" s="3">
        <f t="shared" si="151"/>
        <v>6317</v>
      </c>
      <c r="B6318" s="65" t="s">
        <v>7002</v>
      </c>
      <c r="C6318" s="1">
        <v>9997904354</v>
      </c>
      <c r="E6318" s="17" t="s">
        <v>6712</v>
      </c>
      <c r="F6318" s="4" t="s">
        <v>7342</v>
      </c>
      <c r="G6318" s="3" t="s">
        <v>7030</v>
      </c>
      <c r="H6318" s="2" t="s">
        <v>785</v>
      </c>
      <c r="I6318" s="3" t="s">
        <v>88</v>
      </c>
      <c r="J6318" s="31">
        <v>46070</v>
      </c>
      <c r="K6318" s="31"/>
      <c r="L6318" s="31"/>
      <c r="M6318" s="31"/>
      <c r="N6318" s="31"/>
      <c r="O6318" s="2" t="s">
        <v>1004</v>
      </c>
    </row>
    <row r="6319" spans="1:15">
      <c r="A6319" s="3">
        <f t="shared" si="151"/>
        <v>6318</v>
      </c>
      <c r="B6319" s="65" t="s">
        <v>9082</v>
      </c>
      <c r="C6319" s="1">
        <v>9505759580</v>
      </c>
      <c r="E6319" s="17" t="s">
        <v>9083</v>
      </c>
      <c r="F6319" s="4" t="s">
        <v>9084</v>
      </c>
      <c r="G6319" s="3" t="s">
        <v>7030</v>
      </c>
      <c r="H6319" s="2" t="s">
        <v>8395</v>
      </c>
      <c r="I6319" s="3" t="s">
        <v>42</v>
      </c>
      <c r="J6319" s="31">
        <v>46071</v>
      </c>
      <c r="K6319" s="31"/>
      <c r="L6319" s="31"/>
      <c r="M6319" s="31"/>
      <c r="N6319" s="31"/>
      <c r="O6319" s="2" t="s">
        <v>1004</v>
      </c>
    </row>
    <row r="6320" spans="1:15">
      <c r="A6320" s="3">
        <f t="shared" si="151"/>
        <v>6319</v>
      </c>
      <c r="B6320" s="65" t="s">
        <v>9085</v>
      </c>
      <c r="C6320" s="1">
        <v>9441755553</v>
      </c>
      <c r="E6320" s="17" t="s">
        <v>7762</v>
      </c>
      <c r="F6320" s="4" t="s">
        <v>509</v>
      </c>
      <c r="G6320" s="3" t="s">
        <v>7030</v>
      </c>
      <c r="H6320" s="2" t="s">
        <v>8395</v>
      </c>
      <c r="I6320" s="3" t="s">
        <v>42</v>
      </c>
      <c r="J6320" s="31">
        <v>46071</v>
      </c>
      <c r="K6320" s="31"/>
      <c r="L6320" s="31"/>
      <c r="M6320" s="31"/>
      <c r="N6320" s="31"/>
      <c r="O6320" s="2" t="s">
        <v>1004</v>
      </c>
    </row>
    <row r="6321" spans="1:15">
      <c r="A6321" s="3">
        <f t="shared" si="151"/>
        <v>6320</v>
      </c>
      <c r="B6321" s="65" t="s">
        <v>9086</v>
      </c>
      <c r="C6321" s="1">
        <v>8008628907</v>
      </c>
      <c r="E6321" s="17" t="s">
        <v>7762</v>
      </c>
      <c r="F6321" s="4" t="s">
        <v>9087</v>
      </c>
      <c r="G6321" s="3" t="s">
        <v>7030</v>
      </c>
      <c r="H6321" s="2" t="s">
        <v>8395</v>
      </c>
      <c r="I6321" s="3" t="s">
        <v>42</v>
      </c>
      <c r="J6321" s="31">
        <v>46071</v>
      </c>
      <c r="K6321" s="31"/>
      <c r="L6321" s="31"/>
      <c r="M6321" s="31"/>
      <c r="N6321" s="31"/>
      <c r="O6321" s="2" t="s">
        <v>1004</v>
      </c>
    </row>
    <row r="6322" spans="1:15">
      <c r="A6322" s="3">
        <f t="shared" si="151"/>
        <v>6321</v>
      </c>
      <c r="B6322" s="65" t="s">
        <v>9088</v>
      </c>
      <c r="C6322" s="1">
        <v>8516991638</v>
      </c>
      <c r="E6322" s="17" t="s">
        <v>7901</v>
      </c>
      <c r="F6322" s="4" t="s">
        <v>9089</v>
      </c>
      <c r="G6322" s="3" t="s">
        <v>424</v>
      </c>
      <c r="H6322" s="2" t="s">
        <v>368</v>
      </c>
      <c r="I6322" s="3" t="s">
        <v>42</v>
      </c>
      <c r="J6322" s="31">
        <v>46071</v>
      </c>
      <c r="K6322" s="31">
        <v>46075</v>
      </c>
      <c r="L6322" s="31"/>
      <c r="M6322" s="31"/>
      <c r="N6322" s="31"/>
      <c r="O6322" s="2" t="s">
        <v>425</v>
      </c>
    </row>
    <row r="6323" spans="1:15">
      <c r="A6323" s="3">
        <f t="shared" si="151"/>
        <v>6322</v>
      </c>
      <c r="B6323" s="65" t="s">
        <v>9090</v>
      </c>
      <c r="C6323" s="1">
        <v>9596849720</v>
      </c>
      <c r="E6323" s="17" t="s">
        <v>7904</v>
      </c>
      <c r="F6323" s="4" t="s">
        <v>1769</v>
      </c>
      <c r="G6323" s="3" t="s">
        <v>7030</v>
      </c>
      <c r="H6323" s="2" t="s">
        <v>368</v>
      </c>
      <c r="I6323" s="3" t="s">
        <v>88</v>
      </c>
      <c r="J6323" s="31">
        <v>46071</v>
      </c>
      <c r="K6323" s="31"/>
      <c r="L6323" s="31"/>
      <c r="M6323" s="31"/>
      <c r="N6323" s="31"/>
      <c r="O6323" s="2" t="s">
        <v>1004</v>
      </c>
    </row>
    <row r="6324" spans="1:15">
      <c r="A6324" s="3">
        <f t="shared" si="151"/>
        <v>6323</v>
      </c>
      <c r="B6324" s="65" t="s">
        <v>9091</v>
      </c>
      <c r="C6324" s="1">
        <v>9938616188</v>
      </c>
      <c r="E6324" s="17" t="s">
        <v>7901</v>
      </c>
      <c r="F6324" s="4" t="s">
        <v>1772</v>
      </c>
      <c r="G6324" s="3" t="s">
        <v>424</v>
      </c>
      <c r="H6324" s="2" t="s">
        <v>368</v>
      </c>
      <c r="I6324" s="3" t="s">
        <v>42</v>
      </c>
      <c r="J6324" s="31">
        <v>46071</v>
      </c>
      <c r="K6324" s="31">
        <v>46075</v>
      </c>
      <c r="L6324" s="31"/>
      <c r="M6324" s="31"/>
      <c r="N6324" s="31"/>
      <c r="O6324" s="2" t="s">
        <v>749</v>
      </c>
    </row>
    <row r="6325" spans="1:15">
      <c r="A6325" s="3">
        <f t="shared" si="151"/>
        <v>6324</v>
      </c>
      <c r="B6325" s="65" t="s">
        <v>1553</v>
      </c>
      <c r="C6325" s="1">
        <v>8117986707</v>
      </c>
      <c r="E6325" s="17" t="s">
        <v>8641</v>
      </c>
      <c r="F6325" s="4" t="s">
        <v>308</v>
      </c>
      <c r="G6325" s="3" t="s">
        <v>7030</v>
      </c>
      <c r="H6325" s="2" t="s">
        <v>6158</v>
      </c>
      <c r="I6325" s="3" t="s">
        <v>42</v>
      </c>
      <c r="J6325" s="31">
        <v>46071</v>
      </c>
      <c r="K6325" s="31"/>
      <c r="L6325" s="31"/>
      <c r="M6325" s="31"/>
      <c r="N6325" s="31"/>
      <c r="O6325" s="2" t="s">
        <v>1004</v>
      </c>
    </row>
    <row r="6326" spans="1:15">
      <c r="A6326" s="3">
        <f t="shared" si="151"/>
        <v>6325</v>
      </c>
      <c r="B6326" s="65" t="s">
        <v>9092</v>
      </c>
      <c r="C6326" s="1">
        <v>7032321187</v>
      </c>
      <c r="E6326" s="17" t="s">
        <v>9093</v>
      </c>
      <c r="F6326" s="4" t="s">
        <v>3242</v>
      </c>
      <c r="G6326" s="3" t="s">
        <v>16</v>
      </c>
      <c r="H6326" s="2" t="s">
        <v>6158</v>
      </c>
      <c r="I6326" s="3" t="s">
        <v>42</v>
      </c>
      <c r="J6326" s="31">
        <v>46071</v>
      </c>
      <c r="K6326" s="31">
        <v>46078</v>
      </c>
      <c r="L6326" s="31">
        <v>46079</v>
      </c>
      <c r="M6326" s="31">
        <v>46097</v>
      </c>
      <c r="N6326" s="31">
        <v>46091</v>
      </c>
      <c r="O6326" s="2" t="s">
        <v>297</v>
      </c>
    </row>
    <row r="6327" spans="1:15">
      <c r="A6327" s="3">
        <f t="shared" si="151"/>
        <v>6326</v>
      </c>
      <c r="B6327" s="65" t="s">
        <v>9094</v>
      </c>
      <c r="C6327" s="1">
        <v>8766968636</v>
      </c>
      <c r="E6327" s="17" t="s">
        <v>7685</v>
      </c>
      <c r="F6327" s="4" t="s">
        <v>9095</v>
      </c>
      <c r="G6327" s="3" t="s">
        <v>16</v>
      </c>
      <c r="H6327" s="2" t="s">
        <v>6158</v>
      </c>
      <c r="I6327" s="3" t="s">
        <v>42</v>
      </c>
      <c r="J6327" s="31">
        <v>46071</v>
      </c>
      <c r="K6327" s="31">
        <v>46080</v>
      </c>
      <c r="L6327" s="31">
        <v>46087</v>
      </c>
      <c r="M6327" s="31">
        <v>46107</v>
      </c>
      <c r="N6327" s="31">
        <v>46107</v>
      </c>
      <c r="O6327" s="2" t="s">
        <v>297</v>
      </c>
    </row>
    <row r="6328" spans="1:15">
      <c r="A6328" s="3">
        <f t="shared" si="151"/>
        <v>6327</v>
      </c>
      <c r="B6328" s="65" t="s">
        <v>9096</v>
      </c>
      <c r="C6328" s="1">
        <v>7000612438</v>
      </c>
      <c r="D6328" s="1">
        <v>8827588758</v>
      </c>
      <c r="E6328" s="17" t="s">
        <v>9093</v>
      </c>
      <c r="F6328" s="4" t="s">
        <v>810</v>
      </c>
      <c r="G6328" s="3" t="s">
        <v>15</v>
      </c>
      <c r="H6328" s="2" t="s">
        <v>6158</v>
      </c>
      <c r="I6328" s="3" t="s">
        <v>42</v>
      </c>
      <c r="J6328" s="31">
        <v>46071</v>
      </c>
      <c r="K6328" s="31">
        <v>46083</v>
      </c>
      <c r="L6328" s="31">
        <v>46094</v>
      </c>
      <c r="M6328" s="31">
        <v>46119</v>
      </c>
      <c r="N6328" s="31"/>
      <c r="O6328" s="2" t="s">
        <v>297</v>
      </c>
    </row>
    <row r="6329" spans="1:15">
      <c r="A6329" s="3">
        <f t="shared" si="151"/>
        <v>6328</v>
      </c>
      <c r="B6329" s="65" t="s">
        <v>9097</v>
      </c>
      <c r="C6329" s="1">
        <v>9100860406</v>
      </c>
      <c r="E6329" s="17" t="s">
        <v>5776</v>
      </c>
      <c r="F6329" s="4" t="s">
        <v>9098</v>
      </c>
      <c r="G6329" s="3" t="s">
        <v>416</v>
      </c>
      <c r="H6329" s="2" t="s">
        <v>6158</v>
      </c>
      <c r="I6329" s="3" t="s">
        <v>42</v>
      </c>
      <c r="J6329" s="31">
        <v>46071</v>
      </c>
      <c r="K6329" s="31">
        <v>46077</v>
      </c>
      <c r="L6329" s="31"/>
      <c r="M6329" s="31"/>
      <c r="N6329" s="31"/>
      <c r="O6329" s="2" t="s">
        <v>297</v>
      </c>
    </row>
    <row r="6330" spans="1:15">
      <c r="A6330" s="3">
        <f t="shared" si="151"/>
        <v>6329</v>
      </c>
      <c r="B6330" s="65" t="s">
        <v>9099</v>
      </c>
      <c r="C6330" s="1">
        <v>9059079491</v>
      </c>
      <c r="E6330" s="17" t="s">
        <v>5776</v>
      </c>
      <c r="F6330" s="4" t="s">
        <v>1001</v>
      </c>
      <c r="G6330" s="3" t="s">
        <v>18</v>
      </c>
      <c r="H6330" s="2" t="s">
        <v>6158</v>
      </c>
      <c r="I6330" s="3" t="s">
        <v>42</v>
      </c>
      <c r="J6330" s="31">
        <v>46071</v>
      </c>
      <c r="K6330" s="31">
        <v>46077</v>
      </c>
      <c r="L6330" s="31">
        <v>46080</v>
      </c>
      <c r="M6330" s="31">
        <v>46101</v>
      </c>
      <c r="N6330" s="31"/>
      <c r="O6330" s="2" t="s">
        <v>297</v>
      </c>
    </row>
    <row r="6331" spans="1:15">
      <c r="A6331" s="3">
        <f t="shared" si="151"/>
        <v>6330</v>
      </c>
      <c r="B6331" s="65" t="s">
        <v>9100</v>
      </c>
      <c r="C6331" s="1">
        <v>7057767033</v>
      </c>
      <c r="E6331" s="17" t="s">
        <v>8378</v>
      </c>
      <c r="F6331" s="4" t="s">
        <v>303</v>
      </c>
      <c r="G6331" s="3" t="s">
        <v>416</v>
      </c>
      <c r="H6331" s="2" t="s">
        <v>6158</v>
      </c>
      <c r="I6331" s="3" t="s">
        <v>42</v>
      </c>
      <c r="J6331" s="31">
        <v>46071</v>
      </c>
      <c r="K6331" s="31">
        <v>46072</v>
      </c>
      <c r="L6331" s="31"/>
      <c r="M6331" s="31"/>
      <c r="N6331" s="31"/>
      <c r="O6331" s="2" t="s">
        <v>297</v>
      </c>
    </row>
    <row r="6332" spans="1:15">
      <c r="A6332" s="3">
        <f t="shared" si="151"/>
        <v>6331</v>
      </c>
      <c r="B6332" s="65" t="s">
        <v>9101</v>
      </c>
      <c r="C6332" s="1">
        <v>9390613244</v>
      </c>
      <c r="D6332" s="1">
        <v>9398114575</v>
      </c>
      <c r="E6332" s="17" t="s">
        <v>8378</v>
      </c>
      <c r="F6332" s="4" t="s">
        <v>612</v>
      </c>
      <c r="G6332" s="3" t="s">
        <v>16</v>
      </c>
      <c r="H6332" s="2" t="s">
        <v>6158</v>
      </c>
      <c r="I6332" s="3" t="s">
        <v>42</v>
      </c>
      <c r="J6332" s="31">
        <v>46071</v>
      </c>
      <c r="K6332" s="31">
        <v>46072</v>
      </c>
      <c r="L6332" s="31">
        <v>46087</v>
      </c>
      <c r="M6332" s="31">
        <v>46104</v>
      </c>
      <c r="N6332" s="31">
        <v>46105</v>
      </c>
      <c r="O6332" s="2" t="s">
        <v>297</v>
      </c>
    </row>
    <row r="6333" spans="1:15">
      <c r="A6333" s="3">
        <f t="shared" si="151"/>
        <v>6332</v>
      </c>
      <c r="B6333" s="65" t="s">
        <v>9102</v>
      </c>
      <c r="C6333" s="1">
        <v>9652388868</v>
      </c>
      <c r="E6333" s="17" t="s">
        <v>8378</v>
      </c>
      <c r="F6333" s="4" t="s">
        <v>303</v>
      </c>
      <c r="G6333" s="3" t="s">
        <v>416</v>
      </c>
      <c r="H6333" s="2" t="s">
        <v>6158</v>
      </c>
      <c r="I6333" s="3" t="s">
        <v>42</v>
      </c>
      <c r="J6333" s="31">
        <v>46071</v>
      </c>
      <c r="K6333" s="31">
        <v>46072</v>
      </c>
      <c r="L6333" s="31"/>
      <c r="M6333" s="31"/>
      <c r="N6333" s="31"/>
      <c r="O6333" s="2" t="s">
        <v>297</v>
      </c>
    </row>
    <row r="6334" spans="1:15">
      <c r="A6334" s="3">
        <f t="shared" si="151"/>
        <v>6333</v>
      </c>
      <c r="B6334" s="65" t="s">
        <v>9103</v>
      </c>
      <c r="C6334" s="1">
        <v>9652154136</v>
      </c>
      <c r="D6334" s="1">
        <v>9390891293</v>
      </c>
      <c r="E6334" s="17" t="s">
        <v>5560</v>
      </c>
      <c r="F6334" s="4" t="s">
        <v>9026</v>
      </c>
      <c r="G6334" s="3" t="s">
        <v>7030</v>
      </c>
      <c r="H6334" s="2" t="s">
        <v>6158</v>
      </c>
      <c r="I6334" s="3" t="s">
        <v>42</v>
      </c>
      <c r="J6334" s="31">
        <v>46071</v>
      </c>
      <c r="K6334" s="31"/>
      <c r="L6334" s="31"/>
      <c r="M6334" s="31"/>
      <c r="N6334" s="31"/>
      <c r="O6334" s="2" t="s">
        <v>1004</v>
      </c>
    </row>
    <row r="6335" spans="1:15">
      <c r="A6335" s="3">
        <f t="shared" si="151"/>
        <v>6334</v>
      </c>
      <c r="B6335" s="65" t="s">
        <v>9104</v>
      </c>
      <c r="C6335" s="1">
        <v>8317595876</v>
      </c>
      <c r="E6335" s="17" t="s">
        <v>5560</v>
      </c>
      <c r="F6335" s="4" t="s">
        <v>9105</v>
      </c>
      <c r="G6335" s="3" t="s">
        <v>18</v>
      </c>
      <c r="H6335" s="2" t="s">
        <v>6158</v>
      </c>
      <c r="I6335" s="3" t="s">
        <v>42</v>
      </c>
      <c r="J6335" s="31">
        <v>46071</v>
      </c>
      <c r="K6335" s="31"/>
      <c r="L6335" s="31"/>
      <c r="M6335" s="31"/>
      <c r="N6335" s="31"/>
      <c r="O6335" s="2" t="s">
        <v>1004</v>
      </c>
    </row>
    <row r="6336" spans="1:15">
      <c r="A6336" s="3">
        <f t="shared" si="151"/>
        <v>6335</v>
      </c>
      <c r="B6336" s="65" t="s">
        <v>9106</v>
      </c>
      <c r="C6336" s="1">
        <v>7000461941</v>
      </c>
      <c r="E6336" s="17" t="s">
        <v>5560</v>
      </c>
      <c r="F6336" s="4" t="s">
        <v>9107</v>
      </c>
      <c r="G6336" s="3" t="s">
        <v>416</v>
      </c>
      <c r="H6336" s="2" t="s">
        <v>6158</v>
      </c>
      <c r="I6336" s="3" t="s">
        <v>42</v>
      </c>
      <c r="J6336" s="31">
        <v>46071</v>
      </c>
      <c r="K6336" s="31">
        <v>46080</v>
      </c>
      <c r="L6336" s="31"/>
      <c r="M6336" s="31"/>
      <c r="N6336" s="31"/>
      <c r="O6336" s="2" t="s">
        <v>297</v>
      </c>
    </row>
    <row r="6337" spans="1:15">
      <c r="A6337" s="3">
        <f t="shared" si="151"/>
        <v>6336</v>
      </c>
      <c r="B6337" s="65" t="s">
        <v>9108</v>
      </c>
      <c r="C6337" s="1">
        <v>9442111375</v>
      </c>
      <c r="E6337" s="17" t="s">
        <v>5560</v>
      </c>
      <c r="F6337" s="4" t="s">
        <v>972</v>
      </c>
      <c r="G6337" s="3" t="s">
        <v>7030</v>
      </c>
      <c r="H6337" s="2" t="s">
        <v>6158</v>
      </c>
      <c r="I6337" s="3" t="s">
        <v>42</v>
      </c>
      <c r="J6337" s="31">
        <v>46071</v>
      </c>
      <c r="K6337" s="31"/>
      <c r="L6337" s="31"/>
      <c r="M6337" s="31"/>
      <c r="N6337" s="31"/>
      <c r="O6337" s="2" t="s">
        <v>1004</v>
      </c>
    </row>
    <row r="6338" spans="1:15">
      <c r="A6338" s="3">
        <f t="shared" si="151"/>
        <v>6337</v>
      </c>
      <c r="B6338" s="65" t="s">
        <v>9109</v>
      </c>
      <c r="C6338" s="1">
        <v>9552825657</v>
      </c>
      <c r="E6338" s="17" t="s">
        <v>7741</v>
      </c>
      <c r="F6338" s="4" t="s">
        <v>456</v>
      </c>
      <c r="G6338" s="3" t="s">
        <v>18</v>
      </c>
      <c r="H6338" s="2" t="s">
        <v>6158</v>
      </c>
      <c r="I6338" s="3" t="s">
        <v>42</v>
      </c>
      <c r="J6338" s="31">
        <v>46071</v>
      </c>
      <c r="K6338" s="31">
        <v>46073</v>
      </c>
      <c r="L6338" s="31">
        <v>46073</v>
      </c>
      <c r="M6338" s="31">
        <v>46107</v>
      </c>
      <c r="N6338" s="31"/>
      <c r="O6338" s="2" t="s">
        <v>297</v>
      </c>
    </row>
    <row r="6339" spans="1:15">
      <c r="A6339" s="3">
        <f t="shared" si="151"/>
        <v>6338</v>
      </c>
      <c r="B6339" s="65" t="s">
        <v>9110</v>
      </c>
      <c r="C6339" s="1">
        <v>6300612141</v>
      </c>
      <c r="E6339" s="17" t="s">
        <v>7741</v>
      </c>
      <c r="F6339" s="4" t="s">
        <v>456</v>
      </c>
      <c r="G6339" s="3" t="s">
        <v>15</v>
      </c>
      <c r="H6339" s="2" t="s">
        <v>6158</v>
      </c>
      <c r="I6339" s="3" t="s">
        <v>42</v>
      </c>
      <c r="J6339" s="31">
        <v>46071</v>
      </c>
      <c r="K6339" s="31">
        <v>46073</v>
      </c>
      <c r="L6339" s="31">
        <v>46073</v>
      </c>
      <c r="M6339" s="31">
        <v>46113</v>
      </c>
      <c r="N6339" s="31"/>
      <c r="O6339" s="2" t="s">
        <v>297</v>
      </c>
    </row>
    <row r="6340" spans="1:15">
      <c r="A6340" s="3">
        <f t="shared" si="151"/>
        <v>6339</v>
      </c>
      <c r="B6340" s="65" t="s">
        <v>9111</v>
      </c>
      <c r="C6340" s="1">
        <v>9052858281</v>
      </c>
      <c r="E6340" s="17" t="s">
        <v>7741</v>
      </c>
      <c r="F6340" s="4" t="s">
        <v>456</v>
      </c>
      <c r="G6340" s="3" t="s">
        <v>424</v>
      </c>
      <c r="H6340" s="2" t="s">
        <v>6158</v>
      </c>
      <c r="I6340" s="3" t="s">
        <v>42</v>
      </c>
      <c r="J6340" s="31">
        <v>46071</v>
      </c>
      <c r="K6340" s="31">
        <v>46073</v>
      </c>
      <c r="L6340" s="31"/>
      <c r="M6340" s="31"/>
      <c r="N6340" s="31"/>
      <c r="O6340" s="2" t="s">
        <v>425</v>
      </c>
    </row>
    <row r="6341" spans="1:15">
      <c r="A6341" s="3">
        <f t="shared" si="151"/>
        <v>6340</v>
      </c>
      <c r="B6341" s="65" t="s">
        <v>9112</v>
      </c>
      <c r="C6341" s="1">
        <v>7731968388</v>
      </c>
      <c r="E6341" s="17" t="s">
        <v>9113</v>
      </c>
      <c r="F6341" s="4"/>
      <c r="G6341" s="3" t="s">
        <v>15</v>
      </c>
      <c r="H6341" s="2" t="s">
        <v>296</v>
      </c>
      <c r="I6341" s="3" t="s">
        <v>94</v>
      </c>
      <c r="J6341" s="31">
        <v>46067</v>
      </c>
      <c r="K6341" s="31">
        <v>46069</v>
      </c>
      <c r="L6341" s="31">
        <v>46072</v>
      </c>
      <c r="M6341" s="31">
        <v>46100</v>
      </c>
      <c r="N6341" s="31"/>
      <c r="O6341" s="2" t="s">
        <v>297</v>
      </c>
    </row>
    <row r="6342" spans="1:15">
      <c r="A6342" s="3">
        <f t="shared" si="151"/>
        <v>6341</v>
      </c>
      <c r="B6342" s="65" t="s">
        <v>9114</v>
      </c>
      <c r="C6342" s="1">
        <v>7287065538</v>
      </c>
      <c r="D6342" s="1">
        <v>9133499945</v>
      </c>
      <c r="E6342" s="17" t="s">
        <v>7114</v>
      </c>
      <c r="F6342" s="4" t="s">
        <v>308</v>
      </c>
      <c r="G6342" s="3" t="s">
        <v>416</v>
      </c>
      <c r="H6342" s="2" t="s">
        <v>6158</v>
      </c>
      <c r="I6342" s="3" t="s">
        <v>42</v>
      </c>
      <c r="J6342" s="31">
        <v>46072</v>
      </c>
      <c r="K6342" s="31">
        <v>46076</v>
      </c>
      <c r="L6342" s="31"/>
      <c r="M6342" s="31"/>
      <c r="N6342" s="31"/>
      <c r="O6342" s="2" t="s">
        <v>297</v>
      </c>
    </row>
    <row r="6343" spans="1:15">
      <c r="A6343" s="3">
        <f t="shared" si="151"/>
        <v>6342</v>
      </c>
      <c r="B6343" s="65" t="s">
        <v>9115</v>
      </c>
      <c r="C6343" s="1">
        <v>9000142841</v>
      </c>
      <c r="E6343" s="17" t="s">
        <v>7114</v>
      </c>
      <c r="F6343" s="4" t="s">
        <v>9116</v>
      </c>
      <c r="G6343" s="3" t="s">
        <v>416</v>
      </c>
      <c r="H6343" s="2" t="s">
        <v>6158</v>
      </c>
      <c r="I6343" s="3" t="s">
        <v>42</v>
      </c>
      <c r="J6343" s="31">
        <v>46072</v>
      </c>
      <c r="K6343" s="31">
        <v>46076</v>
      </c>
      <c r="L6343" s="31"/>
      <c r="M6343" s="31"/>
      <c r="N6343" s="31"/>
      <c r="O6343" s="2" t="s">
        <v>297</v>
      </c>
    </row>
    <row r="6344" spans="1:15">
      <c r="A6344" s="3">
        <f t="shared" si="151"/>
        <v>6343</v>
      </c>
      <c r="B6344" s="65" t="s">
        <v>9117</v>
      </c>
      <c r="C6344" s="1">
        <v>9366268676</v>
      </c>
      <c r="D6344" s="1">
        <v>9740251976</v>
      </c>
      <c r="E6344" s="17" t="s">
        <v>7114</v>
      </c>
      <c r="F6344" s="4" t="s">
        <v>9118</v>
      </c>
      <c r="G6344" s="3" t="s">
        <v>15</v>
      </c>
      <c r="H6344" s="2" t="s">
        <v>6158</v>
      </c>
      <c r="I6344" s="3" t="s">
        <v>42</v>
      </c>
      <c r="J6344" s="31">
        <v>46072</v>
      </c>
      <c r="K6344" s="31">
        <v>46076</v>
      </c>
      <c r="L6344" s="31">
        <v>46079</v>
      </c>
      <c r="M6344" s="31">
        <v>46116</v>
      </c>
      <c r="N6344" s="31"/>
      <c r="O6344" s="2" t="s">
        <v>297</v>
      </c>
    </row>
    <row r="6345" spans="1:15">
      <c r="A6345" s="3">
        <f t="shared" si="151"/>
        <v>6344</v>
      </c>
      <c r="B6345" s="65" t="s">
        <v>9119</v>
      </c>
      <c r="C6345" s="1">
        <v>8218618500</v>
      </c>
      <c r="E6345" s="17" t="s">
        <v>9071</v>
      </c>
      <c r="F6345" s="4"/>
      <c r="G6345" s="3" t="s">
        <v>16</v>
      </c>
      <c r="H6345" s="2" t="s">
        <v>357</v>
      </c>
      <c r="I6345" s="3" t="s">
        <v>88</v>
      </c>
      <c r="J6345" s="31">
        <v>46072</v>
      </c>
      <c r="K6345" s="31">
        <v>46072</v>
      </c>
      <c r="L6345" s="31">
        <v>46077</v>
      </c>
      <c r="M6345" s="31">
        <v>46105</v>
      </c>
      <c r="N6345" s="31">
        <v>46111</v>
      </c>
      <c r="O6345" s="2" t="s">
        <v>297</v>
      </c>
    </row>
    <row r="6346" spans="1:15">
      <c r="A6346" s="3">
        <f t="shared" si="151"/>
        <v>6345</v>
      </c>
      <c r="B6346" s="65" t="s">
        <v>9120</v>
      </c>
      <c r="C6346" s="1">
        <v>9493822084</v>
      </c>
      <c r="E6346" s="17" t="s">
        <v>8442</v>
      </c>
      <c r="F6346" s="4" t="s">
        <v>1772</v>
      </c>
      <c r="G6346" s="3" t="s">
        <v>424</v>
      </c>
      <c r="H6346" s="2" t="s">
        <v>6353</v>
      </c>
      <c r="I6346" s="3" t="s">
        <v>42</v>
      </c>
      <c r="J6346" s="31">
        <v>46072</v>
      </c>
      <c r="K6346" s="31">
        <v>46111</v>
      </c>
      <c r="L6346" s="31"/>
      <c r="M6346" s="31"/>
      <c r="N6346" s="31"/>
      <c r="O6346" s="2" t="s">
        <v>425</v>
      </c>
    </row>
    <row r="6347" spans="1:15">
      <c r="A6347" s="3">
        <f t="shared" si="151"/>
        <v>6346</v>
      </c>
      <c r="B6347" s="65" t="s">
        <v>9121</v>
      </c>
      <c r="C6347" s="1">
        <v>9701775474</v>
      </c>
      <c r="E6347" s="17" t="s">
        <v>7114</v>
      </c>
      <c r="F6347" s="4" t="s">
        <v>9122</v>
      </c>
      <c r="G6347" s="3" t="s">
        <v>424</v>
      </c>
      <c r="H6347" s="2" t="s">
        <v>6158</v>
      </c>
      <c r="I6347" s="3" t="s">
        <v>42</v>
      </c>
      <c r="J6347" s="31">
        <v>46072</v>
      </c>
      <c r="K6347" s="31">
        <v>46073</v>
      </c>
      <c r="L6347" s="31"/>
      <c r="M6347" s="31"/>
      <c r="N6347" s="31"/>
      <c r="O6347" s="2" t="s">
        <v>425</v>
      </c>
    </row>
    <row r="6348" spans="1:15">
      <c r="A6348" s="3">
        <f t="shared" si="151"/>
        <v>6347</v>
      </c>
      <c r="B6348" s="65" t="s">
        <v>9123</v>
      </c>
      <c r="C6348" s="1">
        <v>9108425845</v>
      </c>
      <c r="E6348" s="17" t="s">
        <v>6562</v>
      </c>
      <c r="F6348" s="4" t="s">
        <v>972</v>
      </c>
      <c r="G6348" s="3" t="s">
        <v>424</v>
      </c>
      <c r="H6348" s="2" t="s">
        <v>8395</v>
      </c>
      <c r="I6348" s="3" t="s">
        <v>42</v>
      </c>
      <c r="J6348" s="31">
        <v>46072</v>
      </c>
      <c r="K6348" s="31">
        <v>46111</v>
      </c>
      <c r="L6348" s="31"/>
      <c r="M6348" s="31"/>
      <c r="N6348" s="31"/>
      <c r="O6348" s="2" t="s">
        <v>425</v>
      </c>
    </row>
    <row r="6349" spans="1:15">
      <c r="A6349" s="3">
        <f t="shared" si="151"/>
        <v>6348</v>
      </c>
      <c r="B6349" s="65" t="s">
        <v>9124</v>
      </c>
      <c r="C6349" s="1">
        <v>9493443654</v>
      </c>
      <c r="E6349" s="17" t="s">
        <v>6562</v>
      </c>
      <c r="F6349" s="4" t="s">
        <v>972</v>
      </c>
      <c r="G6349" s="3" t="s">
        <v>424</v>
      </c>
      <c r="H6349" s="2" t="s">
        <v>8395</v>
      </c>
      <c r="I6349" s="3" t="s">
        <v>42</v>
      </c>
      <c r="J6349" s="31">
        <v>46072</v>
      </c>
      <c r="K6349" s="31">
        <v>46111</v>
      </c>
      <c r="L6349" s="31"/>
      <c r="M6349" s="31"/>
      <c r="N6349" s="31"/>
      <c r="O6349" s="2" t="s">
        <v>425</v>
      </c>
    </row>
    <row r="6350" spans="1:15">
      <c r="A6350" s="3">
        <f t="shared" si="151"/>
        <v>6349</v>
      </c>
      <c r="B6350" s="65" t="s">
        <v>9125</v>
      </c>
      <c r="C6350" s="1">
        <v>6303358089</v>
      </c>
      <c r="E6350" s="17" t="s">
        <v>3954</v>
      </c>
      <c r="F6350" s="4" t="s">
        <v>245</v>
      </c>
      <c r="G6350" s="3" t="s">
        <v>18</v>
      </c>
      <c r="H6350" s="2" t="s">
        <v>6158</v>
      </c>
      <c r="I6350" s="3" t="s">
        <v>42</v>
      </c>
      <c r="J6350" s="31">
        <v>46067</v>
      </c>
      <c r="K6350" s="31">
        <v>46073</v>
      </c>
      <c r="L6350" s="31"/>
      <c r="M6350" s="31"/>
      <c r="N6350" s="31"/>
      <c r="O6350" s="2" t="s">
        <v>297</v>
      </c>
    </row>
    <row r="6351" spans="1:15">
      <c r="A6351" s="3">
        <f t="shared" si="151"/>
        <v>6350</v>
      </c>
      <c r="B6351" s="65" t="s">
        <v>9126</v>
      </c>
      <c r="C6351" s="1">
        <v>9000049511</v>
      </c>
      <c r="E6351" s="17" t="s">
        <v>8004</v>
      </c>
      <c r="F6351" s="4" t="s">
        <v>1989</v>
      </c>
      <c r="G6351" s="3" t="s">
        <v>16</v>
      </c>
      <c r="H6351" s="2" t="s">
        <v>999</v>
      </c>
      <c r="I6351" s="3" t="s">
        <v>88</v>
      </c>
      <c r="J6351" s="31">
        <v>46073</v>
      </c>
      <c r="K6351" s="31">
        <v>46073</v>
      </c>
      <c r="L6351" s="31">
        <v>46073</v>
      </c>
      <c r="M6351" s="31">
        <v>46101</v>
      </c>
      <c r="N6351" s="31">
        <v>46094</v>
      </c>
      <c r="O6351" s="2" t="s">
        <v>297</v>
      </c>
    </row>
    <row r="6352" spans="1:15">
      <c r="A6352" s="3">
        <f t="shared" si="151"/>
        <v>6351</v>
      </c>
      <c r="B6352" s="65" t="s">
        <v>9127</v>
      </c>
      <c r="C6352" s="1">
        <v>9515474456</v>
      </c>
      <c r="E6352" s="17" t="s">
        <v>9093</v>
      </c>
      <c r="F6352" s="4" t="s">
        <v>333</v>
      </c>
      <c r="G6352" s="3" t="s">
        <v>15</v>
      </c>
      <c r="H6352" s="2" t="s">
        <v>6158</v>
      </c>
      <c r="I6352" s="3" t="s">
        <v>42</v>
      </c>
      <c r="J6352" s="31">
        <v>46073</v>
      </c>
      <c r="K6352" s="31">
        <v>46076</v>
      </c>
      <c r="L6352" s="31">
        <v>46079</v>
      </c>
      <c r="M6352" s="31">
        <v>46107</v>
      </c>
      <c r="N6352" s="31"/>
      <c r="O6352" s="2" t="s">
        <v>297</v>
      </c>
    </row>
    <row r="6353" spans="1:15">
      <c r="A6353" s="3">
        <f t="shared" si="151"/>
        <v>6352</v>
      </c>
      <c r="B6353" s="65" t="s">
        <v>9128</v>
      </c>
      <c r="C6353" s="1">
        <v>9040571793</v>
      </c>
      <c r="D6353" s="1">
        <v>8919870149</v>
      </c>
      <c r="E6353" s="17" t="s">
        <v>7685</v>
      </c>
      <c r="F6353" s="4" t="s">
        <v>333</v>
      </c>
      <c r="G6353" s="3" t="s">
        <v>416</v>
      </c>
      <c r="H6353" s="2" t="s">
        <v>6158</v>
      </c>
      <c r="I6353" s="3" t="s">
        <v>42</v>
      </c>
      <c r="J6353" s="31">
        <v>46073</v>
      </c>
      <c r="K6353" s="31">
        <v>46076</v>
      </c>
      <c r="L6353" s="31"/>
      <c r="M6353" s="31"/>
      <c r="N6353" s="31"/>
      <c r="O6353" s="2" t="s">
        <v>297</v>
      </c>
    </row>
    <row r="6354" spans="1:15">
      <c r="A6354" s="3">
        <f t="shared" si="151"/>
        <v>6353</v>
      </c>
      <c r="B6354" s="65" t="s">
        <v>9129</v>
      </c>
      <c r="C6354" s="1">
        <v>9178766282</v>
      </c>
      <c r="E6354" s="17" t="s">
        <v>5776</v>
      </c>
      <c r="F6354" s="4" t="s">
        <v>333</v>
      </c>
      <c r="G6354" s="3" t="s">
        <v>764</v>
      </c>
      <c r="H6354" s="2" t="s">
        <v>6158</v>
      </c>
      <c r="I6354" s="3" t="s">
        <v>42</v>
      </c>
      <c r="J6354" s="31">
        <v>46073</v>
      </c>
      <c r="K6354" s="31">
        <v>46076</v>
      </c>
      <c r="L6354" s="31"/>
      <c r="M6354" s="31"/>
      <c r="N6354" s="31"/>
      <c r="O6354" s="2" t="s">
        <v>425</v>
      </c>
    </row>
    <row r="6355" spans="1:15">
      <c r="A6355" s="3">
        <f t="shared" si="151"/>
        <v>6354</v>
      </c>
      <c r="B6355" s="65" t="s">
        <v>9130</v>
      </c>
      <c r="C6355" s="1">
        <v>8500773956</v>
      </c>
      <c r="D6355" s="1">
        <v>6301748824</v>
      </c>
      <c r="E6355" s="17" t="s">
        <v>7685</v>
      </c>
      <c r="F6355" s="4" t="s">
        <v>3242</v>
      </c>
      <c r="G6355" s="3" t="s">
        <v>295</v>
      </c>
      <c r="H6355" s="2" t="s">
        <v>6158</v>
      </c>
      <c r="I6355" s="3" t="s">
        <v>42</v>
      </c>
      <c r="J6355" s="31">
        <v>46073</v>
      </c>
      <c r="K6355" s="31">
        <v>46076</v>
      </c>
      <c r="L6355" s="31">
        <v>46079</v>
      </c>
      <c r="M6355" s="31">
        <v>46091</v>
      </c>
      <c r="N6355" s="31"/>
      <c r="O6355" s="2" t="s">
        <v>297</v>
      </c>
    </row>
    <row r="6356" spans="1:15">
      <c r="A6356" s="3">
        <f t="shared" si="151"/>
        <v>6355</v>
      </c>
      <c r="B6356" s="65" t="s">
        <v>9131</v>
      </c>
      <c r="C6356" s="1">
        <v>7893888135</v>
      </c>
      <c r="E6356" s="17" t="s">
        <v>9132</v>
      </c>
      <c r="F6356" s="4"/>
      <c r="G6356" s="3" t="s">
        <v>16</v>
      </c>
      <c r="H6356" s="2" t="s">
        <v>1613</v>
      </c>
      <c r="I6356" s="3" t="s">
        <v>88</v>
      </c>
      <c r="J6356" s="31">
        <v>46067</v>
      </c>
      <c r="K6356" s="31">
        <v>46071</v>
      </c>
      <c r="L6356" s="31">
        <v>46073</v>
      </c>
      <c r="M6356" s="31">
        <v>46101</v>
      </c>
      <c r="N6356" s="31">
        <v>46102</v>
      </c>
      <c r="O6356" s="2" t="s">
        <v>297</v>
      </c>
    </row>
    <row r="6357" spans="1:15">
      <c r="A6357" s="3">
        <f t="shared" si="151"/>
        <v>6356</v>
      </c>
      <c r="B6357" s="65" t="s">
        <v>9133</v>
      </c>
      <c r="C6357" s="1">
        <v>9642662938</v>
      </c>
      <c r="D6357" s="1">
        <v>7569108896</v>
      </c>
      <c r="E6357" s="17" t="s">
        <v>9134</v>
      </c>
      <c r="F6357" s="4" t="s">
        <v>333</v>
      </c>
      <c r="G6357" s="3" t="s">
        <v>764</v>
      </c>
      <c r="H6357" s="2" t="s">
        <v>3240</v>
      </c>
      <c r="I6357" s="3" t="s">
        <v>42</v>
      </c>
      <c r="J6357" s="31">
        <v>46073</v>
      </c>
      <c r="K6357" s="31">
        <v>46114</v>
      </c>
      <c r="L6357" s="31"/>
      <c r="M6357" s="31"/>
      <c r="N6357" s="31"/>
      <c r="O6357" s="3" t="s">
        <v>425</v>
      </c>
    </row>
    <row r="6358" spans="1:15">
      <c r="A6358" s="3">
        <f t="shared" si="151"/>
        <v>6357</v>
      </c>
      <c r="B6358" s="65" t="s">
        <v>9135</v>
      </c>
      <c r="C6358" s="1">
        <v>9704969685</v>
      </c>
      <c r="E6358" s="17" t="s">
        <v>9134</v>
      </c>
      <c r="F6358" s="4" t="s">
        <v>8483</v>
      </c>
      <c r="G6358" s="3" t="s">
        <v>15</v>
      </c>
      <c r="H6358" s="2" t="s">
        <v>3240</v>
      </c>
      <c r="I6358" s="3" t="s">
        <v>42</v>
      </c>
      <c r="J6358" s="31">
        <v>46073</v>
      </c>
      <c r="K6358" s="31">
        <v>46091</v>
      </c>
      <c r="L6358" s="31">
        <v>46094</v>
      </c>
      <c r="M6358" s="31">
        <v>46125</v>
      </c>
      <c r="N6358" s="31"/>
      <c r="O6358" s="2" t="s">
        <v>297</v>
      </c>
    </row>
    <row r="6359" spans="1:15">
      <c r="A6359" s="3">
        <f t="shared" si="151"/>
        <v>6358</v>
      </c>
      <c r="B6359" s="65" t="s">
        <v>9136</v>
      </c>
      <c r="C6359" s="1">
        <v>7730024498</v>
      </c>
      <c r="E6359" s="17" t="s">
        <v>9137</v>
      </c>
      <c r="F6359" s="4" t="s">
        <v>6214</v>
      </c>
      <c r="G6359" s="3" t="s">
        <v>7030</v>
      </c>
      <c r="H6359" s="2" t="s">
        <v>296</v>
      </c>
      <c r="I6359" s="3" t="s">
        <v>94</v>
      </c>
      <c r="J6359" s="31">
        <v>46073</v>
      </c>
      <c r="K6359" s="31"/>
      <c r="L6359" s="31"/>
      <c r="M6359" s="31"/>
      <c r="N6359" s="31"/>
      <c r="O6359" s="2" t="s">
        <v>1004</v>
      </c>
    </row>
    <row r="6360" spans="1:15">
      <c r="A6360" s="3">
        <f>ROW()-1</f>
        <v>6359</v>
      </c>
      <c r="B6360" s="65" t="s">
        <v>9138</v>
      </c>
      <c r="C6360" s="1">
        <v>9370023441</v>
      </c>
      <c r="E6360" s="17" t="s">
        <v>5560</v>
      </c>
      <c r="F6360" s="4" t="s">
        <v>3672</v>
      </c>
      <c r="G6360" s="3" t="s">
        <v>7030</v>
      </c>
      <c r="H6360" s="2" t="s">
        <v>6158</v>
      </c>
      <c r="I6360" s="3" t="s">
        <v>42</v>
      </c>
      <c r="J6360" s="31">
        <v>46073</v>
      </c>
      <c r="K6360" s="31"/>
      <c r="L6360" s="31"/>
      <c r="M6360" s="31"/>
      <c r="N6360" s="31"/>
      <c r="O6360" s="2" t="s">
        <v>1004</v>
      </c>
    </row>
    <row r="6361" spans="1:15">
      <c r="A6361" s="3">
        <f t="shared" si="151"/>
        <v>6360</v>
      </c>
      <c r="B6361" s="65" t="s">
        <v>9139</v>
      </c>
      <c r="C6361" s="1">
        <v>9959509397</v>
      </c>
      <c r="E6361" s="17" t="s">
        <v>5560</v>
      </c>
      <c r="F6361" s="4" t="s">
        <v>1663</v>
      </c>
      <c r="G6361" s="3" t="s">
        <v>7030</v>
      </c>
      <c r="H6361" s="2" t="s">
        <v>6158</v>
      </c>
      <c r="I6361" s="3" t="s">
        <v>42</v>
      </c>
      <c r="J6361" s="31">
        <v>46073</v>
      </c>
      <c r="K6361" s="31"/>
      <c r="L6361" s="31"/>
      <c r="M6361" s="31"/>
      <c r="N6361" s="31"/>
      <c r="O6361" s="2" t="s">
        <v>1004</v>
      </c>
    </row>
    <row r="6362" spans="1:15">
      <c r="A6362" s="3">
        <f>ROW()-1</f>
        <v>6361</v>
      </c>
      <c r="B6362" s="65" t="s">
        <v>9140</v>
      </c>
      <c r="E6362" s="17" t="s">
        <v>9141</v>
      </c>
      <c r="F6362" s="4" t="s">
        <v>2196</v>
      </c>
      <c r="G6362" s="3" t="s">
        <v>15</v>
      </c>
      <c r="H6362" s="2" t="s">
        <v>4842</v>
      </c>
      <c r="I6362" s="3" t="s">
        <v>94</v>
      </c>
      <c r="J6362" s="31"/>
      <c r="K6362" s="31"/>
      <c r="L6362" s="31"/>
      <c r="M6362" s="31"/>
      <c r="N6362" s="31"/>
      <c r="O6362" s="2" t="s">
        <v>297</v>
      </c>
    </row>
    <row r="6363" spans="1:15">
      <c r="A6363" s="3">
        <f t="shared" ref="A6363:A6364" si="152">ROW()-1</f>
        <v>6362</v>
      </c>
      <c r="B6363" s="65" t="s">
        <v>9142</v>
      </c>
      <c r="C6363" s="1">
        <v>9676580390</v>
      </c>
      <c r="E6363" s="17" t="s">
        <v>8975</v>
      </c>
      <c r="F6363" s="4"/>
      <c r="G6363" s="3" t="s">
        <v>16</v>
      </c>
      <c r="H6363" s="2" t="s">
        <v>815</v>
      </c>
      <c r="I6363" s="3" t="s">
        <v>94</v>
      </c>
      <c r="J6363" s="31">
        <v>46067</v>
      </c>
      <c r="K6363" s="31">
        <v>46069</v>
      </c>
      <c r="L6363" s="31">
        <v>46073</v>
      </c>
      <c r="M6363" s="31">
        <v>46083</v>
      </c>
      <c r="N6363" s="31">
        <v>46088</v>
      </c>
      <c r="O6363" s="2" t="s">
        <v>297</v>
      </c>
    </row>
    <row r="6364" spans="1:15">
      <c r="A6364" s="3">
        <f t="shared" si="152"/>
        <v>6363</v>
      </c>
      <c r="B6364" s="65" t="s">
        <v>9143</v>
      </c>
      <c r="C6364" s="1">
        <v>9391346631</v>
      </c>
      <c r="E6364" s="17" t="s">
        <v>8819</v>
      </c>
      <c r="F6364" s="4"/>
      <c r="G6364" s="3" t="s">
        <v>295</v>
      </c>
      <c r="H6364" s="2" t="s">
        <v>5163</v>
      </c>
      <c r="I6364" s="3" t="s">
        <v>94</v>
      </c>
      <c r="J6364" s="31">
        <v>46067</v>
      </c>
      <c r="K6364" s="31">
        <v>46069</v>
      </c>
      <c r="L6364" s="31">
        <v>46073</v>
      </c>
      <c r="M6364" s="31">
        <v>46076</v>
      </c>
      <c r="N6364" s="31"/>
      <c r="O6364" s="2" t="s">
        <v>297</v>
      </c>
    </row>
    <row r="6365" spans="1:15">
      <c r="A6365" s="3">
        <f t="shared" ref="A6365:A6394" si="153">ROW()-1</f>
        <v>6364</v>
      </c>
      <c r="B6365" s="65" t="s">
        <v>9144</v>
      </c>
      <c r="C6365" s="1">
        <v>9392070421</v>
      </c>
      <c r="E6365" s="17" t="s">
        <v>7114</v>
      </c>
      <c r="F6365" s="4" t="s">
        <v>278</v>
      </c>
      <c r="G6365" s="3" t="s">
        <v>416</v>
      </c>
      <c r="H6365" s="2" t="s">
        <v>6158</v>
      </c>
      <c r="I6365" s="3" t="s">
        <v>42</v>
      </c>
      <c r="J6365" s="31">
        <v>46073</v>
      </c>
      <c r="K6365" s="31">
        <v>46077</v>
      </c>
      <c r="L6365" s="31"/>
      <c r="M6365" s="31"/>
      <c r="N6365" s="31"/>
      <c r="O6365" s="2" t="s">
        <v>297</v>
      </c>
    </row>
    <row r="6366" spans="1:15">
      <c r="A6366" s="3">
        <f t="shared" si="153"/>
        <v>6365</v>
      </c>
      <c r="B6366" s="65" t="s">
        <v>9145</v>
      </c>
      <c r="C6366" s="1">
        <v>9705556037</v>
      </c>
      <c r="E6366" s="17" t="s">
        <v>7114</v>
      </c>
      <c r="F6366" s="4" t="s">
        <v>456</v>
      </c>
      <c r="G6366" s="3" t="s">
        <v>15</v>
      </c>
      <c r="H6366" s="2" t="s">
        <v>6158</v>
      </c>
      <c r="I6366" s="3" t="s">
        <v>42</v>
      </c>
      <c r="J6366" s="31">
        <v>46073</v>
      </c>
      <c r="K6366" s="31">
        <v>46076</v>
      </c>
      <c r="L6366" s="31">
        <v>46079</v>
      </c>
      <c r="M6366" s="31">
        <v>46113</v>
      </c>
      <c r="N6366" s="31"/>
      <c r="O6366" s="2" t="s">
        <v>297</v>
      </c>
    </row>
    <row r="6367" spans="1:15">
      <c r="A6367" s="3">
        <f t="shared" si="153"/>
        <v>6366</v>
      </c>
      <c r="B6367" s="65" t="s">
        <v>9146</v>
      </c>
      <c r="C6367" s="1">
        <v>9515575612</v>
      </c>
      <c r="E6367" s="17" t="s">
        <v>8226</v>
      </c>
      <c r="F6367" s="4" t="s">
        <v>329</v>
      </c>
      <c r="G6367" s="3" t="s">
        <v>15</v>
      </c>
      <c r="H6367" s="2" t="s">
        <v>162</v>
      </c>
      <c r="I6367" s="3" t="s">
        <v>94</v>
      </c>
      <c r="J6367" s="31">
        <v>46073</v>
      </c>
      <c r="K6367" s="31">
        <v>46074</v>
      </c>
      <c r="L6367" s="31">
        <v>46079</v>
      </c>
      <c r="M6367" s="31">
        <v>46107</v>
      </c>
      <c r="N6367" s="31"/>
      <c r="O6367" s="2" t="s">
        <v>297</v>
      </c>
    </row>
    <row r="6368" spans="1:15">
      <c r="A6368" s="3">
        <f t="shared" si="153"/>
        <v>6367</v>
      </c>
      <c r="B6368" s="65" t="s">
        <v>9147</v>
      </c>
      <c r="C6368" s="1">
        <v>9392723403</v>
      </c>
      <c r="E6368" s="17" t="s">
        <v>5560</v>
      </c>
      <c r="F6368" s="4"/>
      <c r="G6368" s="2" t="s">
        <v>16</v>
      </c>
      <c r="H6368" s="2" t="s">
        <v>6158</v>
      </c>
      <c r="I6368" s="3" t="s">
        <v>42</v>
      </c>
      <c r="J6368" s="31">
        <v>46067</v>
      </c>
      <c r="K6368" s="31">
        <v>46069</v>
      </c>
      <c r="L6368" s="31">
        <v>46073</v>
      </c>
      <c r="M6368" s="31">
        <v>46088</v>
      </c>
      <c r="N6368" s="31">
        <v>46083</v>
      </c>
      <c r="O6368" s="2" t="s">
        <v>297</v>
      </c>
    </row>
    <row r="6369" spans="1:15">
      <c r="A6369" s="3">
        <f t="shared" si="153"/>
        <v>6368</v>
      </c>
      <c r="B6369" s="65" t="s">
        <v>9148</v>
      </c>
      <c r="C6369" s="1">
        <v>7286003210</v>
      </c>
      <c r="E6369" s="17" t="s">
        <v>5560</v>
      </c>
      <c r="F6369" s="4"/>
      <c r="G6369" s="3" t="s">
        <v>16</v>
      </c>
      <c r="H6369" s="2" t="s">
        <v>6158</v>
      </c>
      <c r="I6369" s="3" t="s">
        <v>42</v>
      </c>
      <c r="J6369" s="31">
        <v>46073</v>
      </c>
      <c r="K6369" s="31">
        <v>46069</v>
      </c>
      <c r="L6369" s="31">
        <v>46073</v>
      </c>
      <c r="M6369" s="31">
        <v>46101</v>
      </c>
      <c r="N6369" s="31">
        <v>46091</v>
      </c>
      <c r="O6369" s="2" t="s">
        <v>297</v>
      </c>
    </row>
    <row r="6370" spans="1:15">
      <c r="A6370" s="3">
        <f t="shared" si="153"/>
        <v>6369</v>
      </c>
      <c r="B6370" s="65" t="s">
        <v>9149</v>
      </c>
      <c r="C6370" s="1">
        <v>9676628752</v>
      </c>
      <c r="E6370" s="17" t="s">
        <v>7114</v>
      </c>
      <c r="F6370" s="4"/>
      <c r="G6370" s="3" t="s">
        <v>16</v>
      </c>
      <c r="H6370" s="2" t="s">
        <v>6158</v>
      </c>
      <c r="I6370" s="3" t="s">
        <v>42</v>
      </c>
      <c r="J6370" s="31">
        <v>46073</v>
      </c>
      <c r="K6370" s="31">
        <v>46069</v>
      </c>
      <c r="L6370" s="31">
        <v>46073</v>
      </c>
      <c r="M6370" s="31">
        <v>46081</v>
      </c>
      <c r="N6370" s="31">
        <v>46084</v>
      </c>
      <c r="O6370" s="2" t="s">
        <v>297</v>
      </c>
    </row>
    <row r="6371" spans="1:15">
      <c r="A6371" s="3">
        <f t="shared" si="153"/>
        <v>6370</v>
      </c>
      <c r="B6371" s="65" t="s">
        <v>8804</v>
      </c>
      <c r="C6371" s="1">
        <v>7013073638</v>
      </c>
      <c r="E6371" s="17" t="s">
        <v>7685</v>
      </c>
      <c r="F6371" s="4"/>
      <c r="G6371" s="3" t="s">
        <v>16</v>
      </c>
      <c r="H6371" s="2" t="s">
        <v>6158</v>
      </c>
      <c r="I6371" s="3" t="s">
        <v>42</v>
      </c>
      <c r="J6371" s="31">
        <v>46073</v>
      </c>
      <c r="K6371" s="31">
        <v>46069</v>
      </c>
      <c r="L6371" s="31">
        <v>46073</v>
      </c>
      <c r="M6371" s="31">
        <v>46088</v>
      </c>
      <c r="N6371" s="31">
        <v>46091</v>
      </c>
      <c r="O6371" s="2" t="s">
        <v>297</v>
      </c>
    </row>
    <row r="6372" spans="1:15">
      <c r="A6372" s="3">
        <f t="shared" si="153"/>
        <v>6371</v>
      </c>
      <c r="B6372" s="65" t="s">
        <v>9150</v>
      </c>
      <c r="C6372" s="1">
        <v>7382483505</v>
      </c>
      <c r="E6372" s="17" t="s">
        <v>7685</v>
      </c>
      <c r="F6372" s="4"/>
      <c r="G6372" s="3" t="s">
        <v>15</v>
      </c>
      <c r="H6372" s="2" t="s">
        <v>6158</v>
      </c>
      <c r="I6372" s="3" t="s">
        <v>42</v>
      </c>
      <c r="J6372" s="31">
        <v>46073</v>
      </c>
      <c r="K6372" s="31">
        <v>46069</v>
      </c>
      <c r="L6372" s="31">
        <v>46073</v>
      </c>
      <c r="M6372" s="31">
        <v>46111</v>
      </c>
      <c r="N6372" s="31"/>
      <c r="O6372" s="2" t="s">
        <v>297</v>
      </c>
    </row>
    <row r="6373" spans="1:15">
      <c r="A6373" s="3">
        <f t="shared" si="153"/>
        <v>6372</v>
      </c>
      <c r="B6373" s="65" t="s">
        <v>9151</v>
      </c>
      <c r="C6373" s="1">
        <v>7993437897</v>
      </c>
      <c r="E6373" s="17" t="s">
        <v>5915</v>
      </c>
      <c r="F6373" s="4"/>
      <c r="G6373" s="3" t="s">
        <v>295</v>
      </c>
      <c r="H6373" s="2" t="s">
        <v>296</v>
      </c>
      <c r="I6373" s="3" t="s">
        <v>42</v>
      </c>
      <c r="J6373" s="31">
        <v>46073</v>
      </c>
      <c r="K6373" s="31">
        <v>46069</v>
      </c>
      <c r="L6373" s="31">
        <v>46073</v>
      </c>
      <c r="M6373" s="31">
        <v>46093</v>
      </c>
      <c r="N6373" s="31"/>
      <c r="O6373" s="2" t="s">
        <v>297</v>
      </c>
    </row>
    <row r="6374" spans="1:15">
      <c r="A6374" s="3">
        <f t="shared" si="153"/>
        <v>6373</v>
      </c>
      <c r="B6374" s="65" t="s">
        <v>9152</v>
      </c>
      <c r="C6374" s="1">
        <v>9492313159</v>
      </c>
      <c r="E6374" s="17" t="s">
        <v>5915</v>
      </c>
      <c r="F6374" s="4"/>
      <c r="G6374" s="3" t="s">
        <v>16</v>
      </c>
      <c r="H6374" s="2" t="s">
        <v>6158</v>
      </c>
      <c r="I6374" s="3" t="s">
        <v>42</v>
      </c>
      <c r="J6374" s="31">
        <v>46073</v>
      </c>
      <c r="K6374" s="31">
        <v>46069</v>
      </c>
      <c r="L6374" s="31">
        <v>46073</v>
      </c>
      <c r="M6374" s="31">
        <v>46083</v>
      </c>
      <c r="N6374" s="31">
        <v>46081</v>
      </c>
      <c r="O6374" s="2" t="s">
        <v>297</v>
      </c>
    </row>
    <row r="6375" spans="1:15">
      <c r="A6375" s="3">
        <f t="shared" si="153"/>
        <v>6374</v>
      </c>
      <c r="B6375" s="65" t="s">
        <v>9153</v>
      </c>
      <c r="C6375" s="1">
        <v>7674821991</v>
      </c>
      <c r="E6375" s="17" t="s">
        <v>8193</v>
      </c>
      <c r="F6375" s="4"/>
      <c r="G6375" s="3" t="s">
        <v>16</v>
      </c>
      <c r="H6375" s="2" t="s">
        <v>815</v>
      </c>
      <c r="I6375" s="3" t="s">
        <v>42</v>
      </c>
      <c r="J6375" s="31">
        <v>46073</v>
      </c>
      <c r="K6375" s="31">
        <v>46069</v>
      </c>
      <c r="L6375" s="31">
        <v>46073</v>
      </c>
      <c r="M6375" s="31">
        <v>46081</v>
      </c>
      <c r="N6375" s="31">
        <v>46081</v>
      </c>
      <c r="O6375" s="2" t="s">
        <v>297</v>
      </c>
    </row>
    <row r="6376" spans="1:15">
      <c r="A6376" s="3">
        <f t="shared" si="153"/>
        <v>6375</v>
      </c>
      <c r="B6376" s="65" t="s">
        <v>9154</v>
      </c>
      <c r="C6376" s="1">
        <v>8185004775</v>
      </c>
      <c r="E6376" s="17" t="s">
        <v>8233</v>
      </c>
      <c r="F6376" s="4"/>
      <c r="G6376" s="3" t="s">
        <v>16</v>
      </c>
      <c r="H6376" s="2" t="s">
        <v>6158</v>
      </c>
      <c r="I6376" s="3" t="s">
        <v>42</v>
      </c>
      <c r="J6376" s="31">
        <v>46073</v>
      </c>
      <c r="K6376" s="31">
        <v>46069</v>
      </c>
      <c r="L6376" s="31">
        <v>46073</v>
      </c>
      <c r="M6376" s="31">
        <v>46081</v>
      </c>
      <c r="N6376" s="31">
        <v>46080</v>
      </c>
      <c r="O6376" s="2" t="s">
        <v>297</v>
      </c>
    </row>
    <row r="6377" spans="1:15">
      <c r="A6377" s="3">
        <f t="shared" si="153"/>
        <v>6376</v>
      </c>
      <c r="B6377" s="65" t="s">
        <v>2536</v>
      </c>
      <c r="C6377" s="1">
        <v>8469246531</v>
      </c>
      <c r="E6377" s="17" t="s">
        <v>7937</v>
      </c>
      <c r="F6377" s="4" t="s">
        <v>9155</v>
      </c>
      <c r="G6377" s="3" t="s">
        <v>14</v>
      </c>
      <c r="H6377" s="2" t="s">
        <v>7935</v>
      </c>
      <c r="I6377" s="3" t="s">
        <v>94</v>
      </c>
      <c r="J6377" s="31">
        <v>46065</v>
      </c>
      <c r="K6377" s="31">
        <v>46065</v>
      </c>
      <c r="L6377" s="31"/>
      <c r="M6377" s="31"/>
      <c r="N6377" s="31"/>
      <c r="O6377" s="2" t="s">
        <v>297</v>
      </c>
    </row>
    <row r="6378" spans="1:15">
      <c r="A6378" s="3">
        <f t="shared" si="153"/>
        <v>6377</v>
      </c>
      <c r="B6378" s="65" t="s">
        <v>549</v>
      </c>
      <c r="C6378" s="1">
        <v>7903440224</v>
      </c>
      <c r="E6378" s="17" t="s">
        <v>7937</v>
      </c>
      <c r="F6378" s="4" t="s">
        <v>9156</v>
      </c>
      <c r="G6378" s="3" t="s">
        <v>424</v>
      </c>
      <c r="H6378" s="2" t="s">
        <v>7935</v>
      </c>
      <c r="I6378" s="3" t="s">
        <v>94</v>
      </c>
      <c r="J6378" s="31">
        <v>46065</v>
      </c>
      <c r="K6378" s="31">
        <v>46065</v>
      </c>
      <c r="L6378" s="31"/>
      <c r="M6378" s="31"/>
      <c r="N6378" s="31"/>
      <c r="O6378" s="2" t="s">
        <v>425</v>
      </c>
    </row>
    <row r="6379" spans="1:15">
      <c r="A6379" s="3">
        <f t="shared" si="153"/>
        <v>6378</v>
      </c>
      <c r="B6379" s="65" t="s">
        <v>9157</v>
      </c>
      <c r="C6379" s="1">
        <v>9989885475</v>
      </c>
      <c r="E6379" s="17" t="s">
        <v>8730</v>
      </c>
      <c r="F6379" s="4" t="s">
        <v>9158</v>
      </c>
      <c r="G6379" s="3" t="s">
        <v>424</v>
      </c>
      <c r="H6379" s="2" t="s">
        <v>6158</v>
      </c>
      <c r="I6379" s="3" t="s">
        <v>42</v>
      </c>
      <c r="J6379" s="31">
        <v>46076</v>
      </c>
      <c r="K6379" s="31">
        <v>46111</v>
      </c>
      <c r="L6379" s="31"/>
      <c r="M6379" s="31"/>
      <c r="N6379" s="31"/>
      <c r="O6379" s="2" t="s">
        <v>749</v>
      </c>
    </row>
    <row r="6380" spans="1:15">
      <c r="A6380" s="3">
        <f t="shared" si="153"/>
        <v>6379</v>
      </c>
      <c r="B6380" s="65" t="s">
        <v>9159</v>
      </c>
      <c r="C6380" s="1">
        <v>6296647572</v>
      </c>
      <c r="E6380" s="17" t="s">
        <v>7114</v>
      </c>
      <c r="F6380" s="4" t="s">
        <v>9160</v>
      </c>
      <c r="G6380" s="3" t="s">
        <v>14</v>
      </c>
      <c r="H6380" s="2" t="s">
        <v>4145</v>
      </c>
      <c r="I6380" s="3" t="s">
        <v>42</v>
      </c>
      <c r="J6380" s="31">
        <v>46076</v>
      </c>
      <c r="K6380" s="31">
        <v>46091</v>
      </c>
      <c r="L6380" s="31"/>
      <c r="M6380" s="31"/>
      <c r="N6380" s="31"/>
      <c r="O6380" s="2" t="s">
        <v>297</v>
      </c>
    </row>
    <row r="6381" spans="1:15">
      <c r="A6381" s="3">
        <f t="shared" si="153"/>
        <v>6380</v>
      </c>
      <c r="B6381" s="65" t="s">
        <v>9161</v>
      </c>
      <c r="C6381" s="1">
        <v>8374719368</v>
      </c>
      <c r="D6381" s="1">
        <v>7253076775</v>
      </c>
      <c r="E6381" s="17" t="s">
        <v>6537</v>
      </c>
      <c r="F6381" s="4" t="s">
        <v>329</v>
      </c>
      <c r="G6381" s="3" t="s">
        <v>15</v>
      </c>
      <c r="H6381" s="2" t="s">
        <v>6158</v>
      </c>
      <c r="I6381" s="3" t="s">
        <v>42</v>
      </c>
      <c r="J6381" s="31">
        <v>46076</v>
      </c>
      <c r="K6381" s="31">
        <v>46076</v>
      </c>
      <c r="L6381" s="31">
        <v>46079</v>
      </c>
      <c r="M6381" s="31">
        <v>46114</v>
      </c>
      <c r="N6381" s="31"/>
      <c r="O6381" s="2" t="s">
        <v>297</v>
      </c>
    </row>
    <row r="6382" spans="1:15">
      <c r="A6382" s="3">
        <f t="shared" si="153"/>
        <v>6381</v>
      </c>
      <c r="B6382" s="65" t="s">
        <v>8202</v>
      </c>
      <c r="C6382" s="1">
        <v>9603459882</v>
      </c>
      <c r="E6382" s="17" t="s">
        <v>6537</v>
      </c>
      <c r="F6382" s="4" t="s">
        <v>329</v>
      </c>
      <c r="G6382" s="3" t="s">
        <v>16</v>
      </c>
      <c r="H6382" s="2" t="s">
        <v>6158</v>
      </c>
      <c r="I6382" s="3" t="s">
        <v>42</v>
      </c>
      <c r="J6382" s="31">
        <v>46076</v>
      </c>
      <c r="K6382" s="31">
        <v>46084</v>
      </c>
      <c r="L6382" s="31">
        <v>46084</v>
      </c>
      <c r="M6382" s="31">
        <v>46090</v>
      </c>
      <c r="N6382" s="31">
        <v>46087</v>
      </c>
      <c r="O6382" s="2" t="s">
        <v>297</v>
      </c>
    </row>
    <row r="6383" spans="1:15">
      <c r="A6383" s="3">
        <f t="shared" si="153"/>
        <v>6382</v>
      </c>
      <c r="B6383" s="65" t="s">
        <v>6935</v>
      </c>
      <c r="C6383" s="1">
        <v>6392299031</v>
      </c>
      <c r="E6383" s="17" t="s">
        <v>8486</v>
      </c>
      <c r="F6383" s="4" t="s">
        <v>6936</v>
      </c>
      <c r="G6383" s="3" t="s">
        <v>424</v>
      </c>
      <c r="H6383" s="2" t="s">
        <v>296</v>
      </c>
      <c r="I6383" s="3" t="s">
        <v>88</v>
      </c>
      <c r="J6383" s="31">
        <v>46076</v>
      </c>
      <c r="K6383" s="31">
        <v>46078</v>
      </c>
      <c r="L6383" s="31"/>
      <c r="M6383" s="31"/>
      <c r="N6383" s="31"/>
      <c r="O6383" s="2" t="s">
        <v>425</v>
      </c>
    </row>
    <row r="6384" spans="1:15">
      <c r="A6384" s="3">
        <f t="shared" si="153"/>
        <v>6383</v>
      </c>
      <c r="B6384" s="65" t="s">
        <v>9162</v>
      </c>
      <c r="C6384" s="1">
        <v>7003295610</v>
      </c>
      <c r="E6384" s="17" t="s">
        <v>9018</v>
      </c>
      <c r="F6384" s="4" t="s">
        <v>3002</v>
      </c>
      <c r="G6384" s="3" t="s">
        <v>15</v>
      </c>
      <c r="H6384" s="2" t="s">
        <v>296</v>
      </c>
      <c r="I6384" s="3" t="s">
        <v>88</v>
      </c>
      <c r="J6384" s="31">
        <v>46076</v>
      </c>
      <c r="K6384" s="31">
        <v>46097</v>
      </c>
      <c r="L6384" s="31">
        <v>46101</v>
      </c>
      <c r="M6384" s="31">
        <v>46132</v>
      </c>
      <c r="N6384" s="31"/>
      <c r="O6384" s="2" t="s">
        <v>297</v>
      </c>
    </row>
    <row r="6385" spans="1:15">
      <c r="A6385" s="3">
        <f t="shared" si="153"/>
        <v>6384</v>
      </c>
      <c r="B6385" s="65" t="s">
        <v>9163</v>
      </c>
      <c r="C6385" s="1">
        <v>8382007502</v>
      </c>
      <c r="E6385" s="17" t="s">
        <v>8922</v>
      </c>
      <c r="F6385" s="4" t="s">
        <v>3594</v>
      </c>
      <c r="G6385" s="3" t="s">
        <v>16</v>
      </c>
      <c r="H6385" s="2" t="s">
        <v>6158</v>
      </c>
      <c r="I6385" s="3" t="s">
        <v>42</v>
      </c>
      <c r="J6385" s="31">
        <v>46076</v>
      </c>
      <c r="K6385" s="31">
        <v>46085</v>
      </c>
      <c r="L6385" s="31">
        <v>46087</v>
      </c>
      <c r="M6385" s="31">
        <v>46107</v>
      </c>
      <c r="N6385" s="31">
        <v>46104</v>
      </c>
      <c r="O6385" s="2" t="s">
        <v>297</v>
      </c>
    </row>
    <row r="6386" spans="1:15">
      <c r="A6386" s="3">
        <f t="shared" si="153"/>
        <v>6385</v>
      </c>
      <c r="B6386" s="65" t="s">
        <v>9164</v>
      </c>
      <c r="C6386" s="1">
        <v>6306864859</v>
      </c>
      <c r="E6386" s="17" t="s">
        <v>8922</v>
      </c>
      <c r="F6386" s="4" t="s">
        <v>8372</v>
      </c>
      <c r="G6386" s="3" t="s">
        <v>15</v>
      </c>
      <c r="H6386" s="2" t="s">
        <v>6158</v>
      </c>
      <c r="I6386" s="3" t="s">
        <v>42</v>
      </c>
      <c r="J6386" s="31">
        <v>46076</v>
      </c>
      <c r="K6386" s="31">
        <v>46085</v>
      </c>
      <c r="L6386" s="31">
        <v>46087</v>
      </c>
      <c r="M6386" s="31">
        <v>46115</v>
      </c>
      <c r="N6386" s="31"/>
      <c r="O6386" s="2" t="s">
        <v>297</v>
      </c>
    </row>
    <row r="6387" spans="1:15">
      <c r="A6387" s="3">
        <f t="shared" si="153"/>
        <v>6386</v>
      </c>
      <c r="B6387" s="65" t="s">
        <v>9165</v>
      </c>
      <c r="C6387" s="1">
        <v>7095953421</v>
      </c>
      <c r="E6387" s="17" t="s">
        <v>8922</v>
      </c>
      <c r="F6387" s="4" t="s">
        <v>303</v>
      </c>
      <c r="G6387" s="3" t="s">
        <v>15</v>
      </c>
      <c r="H6387" s="2" t="s">
        <v>6158</v>
      </c>
      <c r="I6387" s="3" t="s">
        <v>42</v>
      </c>
      <c r="J6387" s="31">
        <v>46076</v>
      </c>
      <c r="K6387" s="31">
        <v>46085</v>
      </c>
      <c r="L6387" s="31">
        <v>46094</v>
      </c>
      <c r="M6387" s="31">
        <v>46109</v>
      </c>
      <c r="N6387" s="31"/>
      <c r="O6387" s="2" t="s">
        <v>297</v>
      </c>
    </row>
    <row r="6388" spans="1:15">
      <c r="A6388" s="3">
        <f t="shared" si="153"/>
        <v>6387</v>
      </c>
      <c r="B6388" s="65" t="s">
        <v>9166</v>
      </c>
      <c r="C6388" s="1">
        <v>9065797494</v>
      </c>
      <c r="E6388" s="17" t="s">
        <v>8922</v>
      </c>
      <c r="F6388" s="4" t="s">
        <v>7810</v>
      </c>
      <c r="G6388" s="3" t="s">
        <v>416</v>
      </c>
      <c r="H6388" s="2" t="s">
        <v>6158</v>
      </c>
      <c r="I6388" s="3" t="s">
        <v>42</v>
      </c>
      <c r="J6388" s="31">
        <v>46076</v>
      </c>
      <c r="K6388" s="31">
        <v>46085</v>
      </c>
      <c r="L6388" s="31"/>
      <c r="M6388" s="31"/>
      <c r="N6388" s="31"/>
      <c r="O6388" s="2" t="s">
        <v>297</v>
      </c>
    </row>
    <row r="6389" spans="1:15">
      <c r="A6389" s="3">
        <f t="shared" si="153"/>
        <v>6388</v>
      </c>
      <c r="B6389" s="65" t="s">
        <v>5649</v>
      </c>
      <c r="C6389" s="1">
        <v>7667981651</v>
      </c>
      <c r="E6389" s="17" t="s">
        <v>8922</v>
      </c>
      <c r="F6389" s="4" t="s">
        <v>3594</v>
      </c>
      <c r="G6389" s="3" t="s">
        <v>416</v>
      </c>
      <c r="H6389" s="2" t="s">
        <v>6158</v>
      </c>
      <c r="I6389" s="3" t="s">
        <v>42</v>
      </c>
      <c r="J6389" s="31">
        <v>46076</v>
      </c>
      <c r="K6389" s="31">
        <v>46085</v>
      </c>
      <c r="L6389" s="31"/>
      <c r="M6389" s="31"/>
      <c r="N6389" s="31"/>
      <c r="O6389" s="2" t="s">
        <v>297</v>
      </c>
    </row>
    <row r="6390" spans="1:15">
      <c r="A6390" s="3">
        <f t="shared" si="153"/>
        <v>6389</v>
      </c>
      <c r="B6390" s="65" t="s">
        <v>9167</v>
      </c>
      <c r="C6390" s="1">
        <v>9573551922</v>
      </c>
      <c r="E6390" s="17" t="s">
        <v>8184</v>
      </c>
      <c r="F6390" s="4" t="s">
        <v>9168</v>
      </c>
      <c r="G6390" s="3" t="s">
        <v>424</v>
      </c>
      <c r="H6390" s="2" t="s">
        <v>1605</v>
      </c>
      <c r="I6390" s="3" t="s">
        <v>94</v>
      </c>
      <c r="J6390" s="31">
        <v>46076</v>
      </c>
      <c r="K6390" s="31">
        <v>46087</v>
      </c>
      <c r="L6390" s="31"/>
      <c r="M6390" s="31"/>
      <c r="N6390" s="31"/>
      <c r="O6390" s="2" t="s">
        <v>425</v>
      </c>
    </row>
    <row r="6391" spans="1:15">
      <c r="A6391" s="3">
        <f t="shared" si="153"/>
        <v>6390</v>
      </c>
      <c r="B6391" s="65" t="s">
        <v>5517</v>
      </c>
      <c r="C6391" s="1">
        <v>7009106503</v>
      </c>
      <c r="D6391" s="1">
        <v>9877848361</v>
      </c>
      <c r="E6391" s="17" t="s">
        <v>8184</v>
      </c>
      <c r="F6391" s="4" t="s">
        <v>1312</v>
      </c>
      <c r="G6391" s="3" t="s">
        <v>424</v>
      </c>
      <c r="H6391" s="2" t="s">
        <v>1605</v>
      </c>
      <c r="I6391" s="3" t="s">
        <v>94</v>
      </c>
      <c r="J6391" s="31">
        <v>46076</v>
      </c>
      <c r="K6391" s="31">
        <v>46087</v>
      </c>
      <c r="L6391" s="31"/>
      <c r="M6391" s="31"/>
      <c r="N6391" s="31"/>
      <c r="O6391" s="2" t="s">
        <v>425</v>
      </c>
    </row>
    <row r="6392" spans="1:15">
      <c r="A6392" s="3">
        <f t="shared" si="153"/>
        <v>6391</v>
      </c>
      <c r="B6392" s="65" t="s">
        <v>1871</v>
      </c>
      <c r="C6392" s="1">
        <v>8695875590</v>
      </c>
      <c r="D6392" s="1">
        <v>7517543626</v>
      </c>
      <c r="E6392" s="17" t="s">
        <v>8183</v>
      </c>
      <c r="F6392" s="4" t="s">
        <v>9169</v>
      </c>
      <c r="G6392" s="3" t="s">
        <v>424</v>
      </c>
      <c r="H6392" s="2" t="s">
        <v>1605</v>
      </c>
      <c r="I6392" s="3" t="s">
        <v>94</v>
      </c>
      <c r="J6392" s="31">
        <v>46076</v>
      </c>
      <c r="K6392" s="31">
        <v>46087</v>
      </c>
      <c r="L6392" s="31"/>
      <c r="M6392" s="31"/>
      <c r="N6392" s="31"/>
      <c r="O6392" s="2" t="s">
        <v>425</v>
      </c>
    </row>
    <row r="6393" spans="1:15">
      <c r="A6393" s="3">
        <f t="shared" si="153"/>
        <v>6392</v>
      </c>
      <c r="B6393" s="65" t="s">
        <v>9170</v>
      </c>
      <c r="C6393" s="1">
        <v>6305594005</v>
      </c>
      <c r="E6393" s="17" t="s">
        <v>8805</v>
      </c>
      <c r="F6393" s="4" t="s">
        <v>329</v>
      </c>
      <c r="G6393" s="3" t="s">
        <v>16</v>
      </c>
      <c r="H6393" s="2" t="s">
        <v>162</v>
      </c>
      <c r="I6393" s="3" t="s">
        <v>94</v>
      </c>
      <c r="J6393" s="31">
        <v>46077</v>
      </c>
      <c r="K6393" s="31">
        <v>46080</v>
      </c>
      <c r="L6393" s="31">
        <v>46080</v>
      </c>
      <c r="M6393" s="31">
        <v>46093</v>
      </c>
      <c r="N6393" s="31">
        <v>46093</v>
      </c>
      <c r="O6393" s="2" t="s">
        <v>297</v>
      </c>
    </row>
    <row r="6394" spans="1:15">
      <c r="A6394" s="3">
        <f t="shared" si="153"/>
        <v>6393</v>
      </c>
      <c r="B6394" s="65" t="s">
        <v>9171</v>
      </c>
      <c r="C6394" s="1">
        <v>8179918654</v>
      </c>
      <c r="E6394" s="17" t="s">
        <v>9137</v>
      </c>
      <c r="F6394" s="4" t="s">
        <v>336</v>
      </c>
      <c r="G6394" s="3" t="s">
        <v>424</v>
      </c>
      <c r="H6394" s="2" t="s">
        <v>296</v>
      </c>
      <c r="I6394" s="3" t="s">
        <v>94</v>
      </c>
      <c r="J6394" s="31">
        <v>46077</v>
      </c>
      <c r="K6394" s="31">
        <v>46098</v>
      </c>
      <c r="L6394" s="31"/>
      <c r="M6394" s="31"/>
      <c r="N6394" s="31"/>
      <c r="O6394" s="2" t="s">
        <v>749</v>
      </c>
    </row>
    <row r="6395" spans="1:15">
      <c r="A6395" s="3">
        <f t="shared" ref="A6395:A6399" si="154">ROW()-1</f>
        <v>6394</v>
      </c>
      <c r="B6395" s="65" t="s">
        <v>9172</v>
      </c>
      <c r="C6395" s="1">
        <v>9198295722</v>
      </c>
      <c r="E6395" s="17" t="s">
        <v>8922</v>
      </c>
      <c r="F6395" s="4" t="s">
        <v>303</v>
      </c>
      <c r="G6395" s="3" t="s">
        <v>16</v>
      </c>
      <c r="H6395" s="2" t="s">
        <v>6158</v>
      </c>
      <c r="I6395" s="3" t="s">
        <v>42</v>
      </c>
      <c r="J6395" s="31">
        <v>46077</v>
      </c>
      <c r="K6395" s="31">
        <v>46079</v>
      </c>
      <c r="L6395" s="31">
        <v>46080</v>
      </c>
      <c r="M6395" s="31">
        <v>46104</v>
      </c>
      <c r="N6395" s="31">
        <v>46104</v>
      </c>
      <c r="O6395" s="2" t="s">
        <v>297</v>
      </c>
    </row>
    <row r="6396" spans="1:15">
      <c r="A6396" s="3">
        <f t="shared" si="154"/>
        <v>6395</v>
      </c>
      <c r="B6396" s="65" t="s">
        <v>9173</v>
      </c>
      <c r="C6396" s="1">
        <v>7400998997</v>
      </c>
      <c r="D6396" s="1">
        <v>8808880211</v>
      </c>
      <c r="E6396" s="17" t="s">
        <v>8922</v>
      </c>
      <c r="F6396" s="4" t="s">
        <v>7800</v>
      </c>
      <c r="G6396" s="3" t="s">
        <v>16</v>
      </c>
      <c r="H6396" s="2" t="s">
        <v>6158</v>
      </c>
      <c r="I6396" s="3" t="s">
        <v>42</v>
      </c>
      <c r="J6396" s="31">
        <v>46077</v>
      </c>
      <c r="K6396" s="31">
        <v>46079</v>
      </c>
      <c r="L6396" s="31">
        <v>46080</v>
      </c>
      <c r="M6396" s="31">
        <v>46107</v>
      </c>
      <c r="N6396" s="31">
        <v>46107</v>
      </c>
      <c r="O6396" s="2" t="s">
        <v>297</v>
      </c>
    </row>
    <row r="6397" spans="1:15">
      <c r="A6397" s="3">
        <f t="shared" si="154"/>
        <v>6396</v>
      </c>
      <c r="B6397" s="65" t="s">
        <v>8427</v>
      </c>
      <c r="C6397" s="1">
        <v>8737021471</v>
      </c>
      <c r="E6397" s="17" t="s">
        <v>8922</v>
      </c>
      <c r="F6397" s="4" t="s">
        <v>612</v>
      </c>
      <c r="G6397" s="3" t="s">
        <v>16</v>
      </c>
      <c r="H6397" s="2" t="s">
        <v>6158</v>
      </c>
      <c r="I6397" s="3" t="s">
        <v>42</v>
      </c>
      <c r="J6397" s="31">
        <v>46077</v>
      </c>
      <c r="K6397" s="31">
        <v>46079</v>
      </c>
      <c r="L6397" s="31">
        <v>46080</v>
      </c>
      <c r="M6397" s="31">
        <v>46097</v>
      </c>
      <c r="N6397" s="31">
        <v>46094</v>
      </c>
      <c r="O6397" s="2" t="s">
        <v>297</v>
      </c>
    </row>
    <row r="6398" spans="1:15">
      <c r="A6398" s="3">
        <f t="shared" si="154"/>
        <v>6397</v>
      </c>
      <c r="B6398" s="65" t="s">
        <v>9174</v>
      </c>
      <c r="C6398" s="1">
        <v>7461991997</v>
      </c>
      <c r="E6398" s="17" t="s">
        <v>8922</v>
      </c>
      <c r="F6398" s="4" t="s">
        <v>3648</v>
      </c>
      <c r="G6398" s="3" t="s">
        <v>416</v>
      </c>
      <c r="H6398" s="2" t="s">
        <v>6158</v>
      </c>
      <c r="I6398" s="3" t="s">
        <v>42</v>
      </c>
      <c r="J6398" s="31">
        <v>46077</v>
      </c>
      <c r="K6398" s="31">
        <v>46079</v>
      </c>
      <c r="L6398" s="31"/>
      <c r="M6398" s="31"/>
      <c r="N6398" s="31"/>
      <c r="O6398" s="2" t="s">
        <v>297</v>
      </c>
    </row>
    <row r="6399" spans="1:15">
      <c r="A6399" s="3">
        <f t="shared" si="154"/>
        <v>6398</v>
      </c>
      <c r="B6399" s="65" t="s">
        <v>7585</v>
      </c>
      <c r="C6399" s="1">
        <v>9182891034</v>
      </c>
      <c r="E6399" s="17" t="s">
        <v>9175</v>
      </c>
      <c r="F6399" s="4" t="s">
        <v>2004</v>
      </c>
      <c r="G6399" s="3" t="s">
        <v>16</v>
      </c>
      <c r="H6399" s="2" t="s">
        <v>999</v>
      </c>
      <c r="I6399" s="3" t="s">
        <v>88</v>
      </c>
      <c r="J6399" s="31">
        <v>46077</v>
      </c>
      <c r="K6399" s="31">
        <v>46077</v>
      </c>
      <c r="L6399" s="31">
        <v>46077</v>
      </c>
      <c r="M6399" s="31">
        <v>46113</v>
      </c>
      <c r="N6399" s="31">
        <v>46113</v>
      </c>
      <c r="O6399" s="2" t="s">
        <v>297</v>
      </c>
    </row>
    <row r="6400" spans="1:15">
      <c r="A6400" s="3">
        <f t="shared" ref="A6400:A6420" si="155">ROW()-1</f>
        <v>6399</v>
      </c>
      <c r="B6400" s="65" t="s">
        <v>9176</v>
      </c>
      <c r="C6400" s="1">
        <v>9182092089</v>
      </c>
      <c r="E6400" s="17" t="s">
        <v>8644</v>
      </c>
      <c r="F6400" s="4" t="s">
        <v>1060</v>
      </c>
      <c r="G6400" s="3" t="s">
        <v>416</v>
      </c>
      <c r="H6400" s="2" t="s">
        <v>6158</v>
      </c>
      <c r="I6400" s="3" t="s">
        <v>42</v>
      </c>
      <c r="J6400" s="31">
        <v>46077</v>
      </c>
      <c r="K6400" s="31">
        <v>46078</v>
      </c>
      <c r="L6400" s="31"/>
      <c r="M6400" s="31"/>
      <c r="N6400" s="31"/>
      <c r="O6400" s="2" t="s">
        <v>297</v>
      </c>
    </row>
    <row r="6401" spans="1:15">
      <c r="A6401" s="3">
        <f t="shared" si="155"/>
        <v>6400</v>
      </c>
      <c r="B6401" s="65" t="s">
        <v>9177</v>
      </c>
      <c r="C6401" s="1">
        <v>9676022310</v>
      </c>
      <c r="D6401" s="1">
        <v>9328483348</v>
      </c>
      <c r="E6401" s="17" t="s">
        <v>9178</v>
      </c>
      <c r="F6401" s="4" t="s">
        <v>9179</v>
      </c>
      <c r="G6401" s="3" t="s">
        <v>16</v>
      </c>
      <c r="H6401" s="2" t="s">
        <v>6158</v>
      </c>
      <c r="I6401" s="3" t="s">
        <v>42</v>
      </c>
      <c r="J6401" s="31">
        <v>46077</v>
      </c>
      <c r="K6401" s="31">
        <v>46078</v>
      </c>
      <c r="L6401" s="31">
        <v>46080</v>
      </c>
      <c r="M6401" s="31">
        <v>46094</v>
      </c>
      <c r="N6401" s="31">
        <v>46093</v>
      </c>
      <c r="O6401" s="2" t="s">
        <v>297</v>
      </c>
    </row>
    <row r="6402" spans="1:15">
      <c r="A6402" s="3">
        <f t="shared" si="155"/>
        <v>6401</v>
      </c>
      <c r="B6402" s="65" t="s">
        <v>9180</v>
      </c>
      <c r="C6402" s="1">
        <v>7240973855</v>
      </c>
      <c r="E6402" s="17" t="s">
        <v>9178</v>
      </c>
      <c r="F6402" s="4" t="s">
        <v>2340</v>
      </c>
      <c r="G6402" s="3" t="s">
        <v>764</v>
      </c>
      <c r="H6402" s="2" t="s">
        <v>6158</v>
      </c>
      <c r="I6402" s="3" t="s">
        <v>42</v>
      </c>
      <c r="J6402" s="31">
        <v>46077</v>
      </c>
      <c r="K6402" s="31">
        <v>46078</v>
      </c>
      <c r="L6402" s="31"/>
      <c r="M6402" s="31"/>
      <c r="N6402" s="31"/>
      <c r="O6402" s="2" t="s">
        <v>425</v>
      </c>
    </row>
    <row r="6403" spans="1:15">
      <c r="A6403" s="3">
        <f t="shared" si="155"/>
        <v>6402</v>
      </c>
      <c r="B6403" s="65" t="s">
        <v>9181</v>
      </c>
      <c r="C6403" s="1">
        <v>9573253015</v>
      </c>
      <c r="E6403" s="17" t="s">
        <v>8639</v>
      </c>
      <c r="F6403" s="4" t="s">
        <v>9182</v>
      </c>
      <c r="G6403" s="3" t="s">
        <v>764</v>
      </c>
      <c r="H6403" s="2" t="s">
        <v>6158</v>
      </c>
      <c r="I6403" s="3" t="s">
        <v>42</v>
      </c>
      <c r="J6403" s="31">
        <v>46077</v>
      </c>
      <c r="K6403" s="31">
        <v>46078</v>
      </c>
      <c r="L6403" s="31"/>
      <c r="M6403" s="31"/>
      <c r="N6403" s="31"/>
      <c r="O6403" s="2" t="s">
        <v>425</v>
      </c>
    </row>
    <row r="6404" spans="1:15">
      <c r="A6404" s="3">
        <f t="shared" si="155"/>
        <v>6403</v>
      </c>
      <c r="B6404" s="65" t="s">
        <v>9183</v>
      </c>
      <c r="C6404" s="1">
        <v>7978189095</v>
      </c>
      <c r="E6404" s="17" t="s">
        <v>8639</v>
      </c>
      <c r="F6404" s="4" t="s">
        <v>9184</v>
      </c>
      <c r="G6404" s="3" t="s">
        <v>764</v>
      </c>
      <c r="H6404" s="2" t="s">
        <v>6158</v>
      </c>
      <c r="I6404" s="3" t="s">
        <v>42</v>
      </c>
      <c r="J6404" s="31">
        <v>46077</v>
      </c>
      <c r="K6404" s="31">
        <v>46078</v>
      </c>
      <c r="L6404" s="31"/>
      <c r="M6404" s="31"/>
      <c r="N6404" s="31"/>
      <c r="O6404" s="2" t="s">
        <v>425</v>
      </c>
    </row>
    <row r="6405" spans="1:15">
      <c r="A6405" s="3">
        <f t="shared" si="155"/>
        <v>6404</v>
      </c>
      <c r="B6405" s="65" t="s">
        <v>9185</v>
      </c>
      <c r="C6405" s="1">
        <v>8054540666</v>
      </c>
      <c r="E6405" s="17" t="s">
        <v>8183</v>
      </c>
      <c r="F6405" s="4" t="s">
        <v>333</v>
      </c>
      <c r="G6405" s="3" t="s">
        <v>16</v>
      </c>
      <c r="H6405" s="2" t="s">
        <v>1605</v>
      </c>
      <c r="I6405" s="3" t="s">
        <v>94</v>
      </c>
      <c r="J6405" s="31">
        <v>46078</v>
      </c>
      <c r="K6405" s="31">
        <v>46080</v>
      </c>
      <c r="L6405" s="31">
        <v>46080</v>
      </c>
      <c r="M6405" s="31">
        <v>46106</v>
      </c>
      <c r="N6405" s="31">
        <v>46106</v>
      </c>
      <c r="O6405" s="2" t="s">
        <v>297</v>
      </c>
    </row>
    <row r="6406" spans="1:15">
      <c r="A6406" s="3">
        <f t="shared" si="155"/>
        <v>6405</v>
      </c>
      <c r="B6406" s="65" t="s">
        <v>9186</v>
      </c>
      <c r="C6406" s="1">
        <v>7898610751</v>
      </c>
      <c r="D6406" s="1">
        <v>8319602196</v>
      </c>
      <c r="E6406" s="17" t="s">
        <v>8922</v>
      </c>
      <c r="F6406" s="4" t="s">
        <v>3594</v>
      </c>
      <c r="G6406" s="3" t="s">
        <v>416</v>
      </c>
      <c r="H6406" s="2" t="s">
        <v>6158</v>
      </c>
      <c r="I6406" s="3" t="s">
        <v>42</v>
      </c>
      <c r="J6406" s="31">
        <v>46078</v>
      </c>
      <c r="K6406" s="31">
        <v>46079</v>
      </c>
      <c r="L6406" s="31"/>
      <c r="M6406" s="31"/>
      <c r="N6406" s="31"/>
      <c r="O6406" s="2" t="s">
        <v>297</v>
      </c>
    </row>
    <row r="6407" spans="1:15">
      <c r="A6407" s="3">
        <f t="shared" si="155"/>
        <v>6406</v>
      </c>
      <c r="B6407" s="65" t="s">
        <v>8927</v>
      </c>
      <c r="C6407" s="1">
        <v>9305704851</v>
      </c>
      <c r="D6407" s="1">
        <v>9236526261</v>
      </c>
      <c r="E6407" s="17" t="s">
        <v>8922</v>
      </c>
      <c r="F6407" s="4" t="s">
        <v>3594</v>
      </c>
      <c r="G6407" s="3" t="s">
        <v>416</v>
      </c>
      <c r="H6407" s="2" t="s">
        <v>6158</v>
      </c>
      <c r="I6407" s="3" t="s">
        <v>42</v>
      </c>
      <c r="J6407" s="31">
        <v>46078</v>
      </c>
      <c r="K6407" s="31">
        <v>46079</v>
      </c>
      <c r="L6407" s="31"/>
      <c r="M6407" s="31"/>
      <c r="N6407" s="31"/>
      <c r="O6407" s="2" t="s">
        <v>297</v>
      </c>
    </row>
    <row r="6408" spans="1:15">
      <c r="A6408" s="3">
        <f t="shared" si="155"/>
        <v>6407</v>
      </c>
      <c r="B6408" s="65" t="s">
        <v>3705</v>
      </c>
      <c r="C6408" s="1">
        <v>9534172260</v>
      </c>
      <c r="E6408" s="17" t="s">
        <v>8922</v>
      </c>
      <c r="F6408" s="4" t="s">
        <v>3594</v>
      </c>
      <c r="G6408" s="3" t="s">
        <v>764</v>
      </c>
      <c r="H6408" s="2" t="s">
        <v>6158</v>
      </c>
      <c r="I6408" s="3" t="s">
        <v>42</v>
      </c>
      <c r="J6408" s="31">
        <v>46078</v>
      </c>
      <c r="K6408" s="31">
        <v>46079</v>
      </c>
      <c r="L6408" s="31"/>
      <c r="M6408" s="31"/>
      <c r="N6408" s="31"/>
      <c r="O6408" s="2" t="s">
        <v>425</v>
      </c>
    </row>
    <row r="6409" spans="1:15">
      <c r="A6409" s="3">
        <f t="shared" si="155"/>
        <v>6408</v>
      </c>
      <c r="B6409" s="65" t="s">
        <v>1058</v>
      </c>
      <c r="C6409" s="1">
        <v>9695360611</v>
      </c>
      <c r="E6409" s="17" t="s">
        <v>8922</v>
      </c>
      <c r="F6409" s="4" t="s">
        <v>9187</v>
      </c>
      <c r="G6409" s="3" t="s">
        <v>764</v>
      </c>
      <c r="H6409" s="2" t="s">
        <v>6158</v>
      </c>
      <c r="I6409" s="3" t="s">
        <v>42</v>
      </c>
      <c r="J6409" s="31">
        <v>46078</v>
      </c>
      <c r="K6409" s="31">
        <v>46079</v>
      </c>
      <c r="L6409" s="31"/>
      <c r="M6409" s="31"/>
      <c r="N6409" s="31"/>
      <c r="O6409" s="2" t="s">
        <v>425</v>
      </c>
    </row>
    <row r="6410" spans="1:15">
      <c r="A6410" s="3">
        <f t="shared" si="155"/>
        <v>6409</v>
      </c>
      <c r="B6410" s="65" t="s">
        <v>9188</v>
      </c>
      <c r="C6410" s="1">
        <v>7661874983</v>
      </c>
      <c r="E6410" s="17" t="s">
        <v>8644</v>
      </c>
      <c r="F6410" s="4" t="s">
        <v>1060</v>
      </c>
      <c r="G6410" s="3" t="s">
        <v>416</v>
      </c>
      <c r="H6410" s="2" t="s">
        <v>6158</v>
      </c>
      <c r="I6410" s="3" t="s">
        <v>42</v>
      </c>
      <c r="J6410" s="31">
        <v>46078</v>
      </c>
      <c r="K6410" s="31">
        <v>46079</v>
      </c>
      <c r="L6410" s="31"/>
      <c r="M6410" s="31"/>
      <c r="N6410" s="31"/>
      <c r="O6410" s="2" t="s">
        <v>297</v>
      </c>
    </row>
    <row r="6411" spans="1:15">
      <c r="A6411" s="3">
        <f t="shared" si="155"/>
        <v>6410</v>
      </c>
      <c r="B6411" s="65" t="s">
        <v>1507</v>
      </c>
      <c r="C6411" s="1">
        <v>9510228634</v>
      </c>
      <c r="D6411" s="1">
        <v>7037768649</v>
      </c>
      <c r="E6411" s="17" t="s">
        <v>9178</v>
      </c>
      <c r="F6411" s="4" t="s">
        <v>2340</v>
      </c>
      <c r="G6411" s="3" t="s">
        <v>15</v>
      </c>
      <c r="H6411" s="2" t="s">
        <v>6158</v>
      </c>
      <c r="I6411" s="3" t="s">
        <v>42</v>
      </c>
      <c r="J6411" s="31">
        <v>46078</v>
      </c>
      <c r="K6411" s="31">
        <v>46079</v>
      </c>
      <c r="L6411" s="31">
        <v>46080</v>
      </c>
      <c r="M6411" s="31">
        <v>46113</v>
      </c>
      <c r="N6411" s="31"/>
      <c r="O6411" s="2" t="s">
        <v>297</v>
      </c>
    </row>
    <row r="6412" spans="1:15">
      <c r="A6412" s="3">
        <f t="shared" si="155"/>
        <v>6411</v>
      </c>
      <c r="B6412" s="65" t="s">
        <v>9189</v>
      </c>
      <c r="C6412" s="1">
        <v>9154691279</v>
      </c>
      <c r="D6412" s="1">
        <v>9959270224</v>
      </c>
      <c r="E6412" s="17" t="s">
        <v>8639</v>
      </c>
      <c r="F6412" s="4" t="s">
        <v>9190</v>
      </c>
      <c r="G6412" s="3" t="s">
        <v>424</v>
      </c>
      <c r="H6412" s="2" t="s">
        <v>6158</v>
      </c>
      <c r="I6412" s="3" t="s">
        <v>42</v>
      </c>
      <c r="J6412" s="31">
        <v>46078</v>
      </c>
      <c r="K6412" s="31">
        <v>46079</v>
      </c>
      <c r="L6412" s="31"/>
      <c r="M6412" s="31"/>
      <c r="N6412" s="31"/>
      <c r="O6412" s="2" t="s">
        <v>425</v>
      </c>
    </row>
    <row r="6413" spans="1:15">
      <c r="A6413" s="3">
        <f t="shared" si="155"/>
        <v>6412</v>
      </c>
      <c r="B6413" s="65" t="s">
        <v>9191</v>
      </c>
      <c r="C6413" s="1">
        <v>9970435362</v>
      </c>
      <c r="E6413" s="17" t="s">
        <v>9192</v>
      </c>
      <c r="F6413" s="4" t="s">
        <v>9193</v>
      </c>
      <c r="G6413" s="3" t="s">
        <v>416</v>
      </c>
      <c r="H6413" s="2" t="s">
        <v>815</v>
      </c>
      <c r="I6413" s="3" t="s">
        <v>94</v>
      </c>
      <c r="J6413" s="31">
        <v>46078</v>
      </c>
      <c r="K6413" s="31">
        <v>46079</v>
      </c>
      <c r="L6413" s="31"/>
      <c r="M6413" s="31"/>
      <c r="N6413" s="31"/>
      <c r="O6413" s="2" t="s">
        <v>297</v>
      </c>
    </row>
    <row r="6414" spans="1:15">
      <c r="A6414" s="3">
        <f t="shared" si="155"/>
        <v>6413</v>
      </c>
      <c r="B6414" s="65" t="s">
        <v>9194</v>
      </c>
      <c r="C6414" s="1">
        <v>7067689391</v>
      </c>
      <c r="E6414" s="17" t="s">
        <v>9192</v>
      </c>
      <c r="F6414" s="4" t="s">
        <v>9193</v>
      </c>
      <c r="G6414" s="3" t="s">
        <v>764</v>
      </c>
      <c r="H6414" s="2" t="s">
        <v>815</v>
      </c>
      <c r="I6414" s="3" t="s">
        <v>94</v>
      </c>
      <c r="J6414" s="31">
        <v>46078</v>
      </c>
      <c r="K6414" s="31">
        <v>46079</v>
      </c>
      <c r="L6414" s="31"/>
      <c r="M6414" s="31"/>
      <c r="N6414" s="31"/>
      <c r="O6414" s="2" t="s">
        <v>425</v>
      </c>
    </row>
    <row r="6415" spans="1:15">
      <c r="A6415" s="3">
        <f t="shared" si="155"/>
        <v>6414</v>
      </c>
      <c r="B6415" s="65" t="s">
        <v>9195</v>
      </c>
      <c r="C6415" s="1">
        <v>6201508043</v>
      </c>
      <c r="E6415" s="17" t="s">
        <v>5540</v>
      </c>
      <c r="F6415" s="4" t="s">
        <v>9193</v>
      </c>
      <c r="G6415" s="3" t="s">
        <v>15</v>
      </c>
      <c r="H6415" s="2" t="s">
        <v>815</v>
      </c>
      <c r="I6415" s="3" t="s">
        <v>94</v>
      </c>
      <c r="J6415" s="31">
        <v>46078</v>
      </c>
      <c r="K6415" s="31">
        <v>46079</v>
      </c>
      <c r="L6415" s="31">
        <v>46087</v>
      </c>
      <c r="M6415" s="31">
        <v>46102</v>
      </c>
      <c r="N6415" s="31"/>
      <c r="O6415" s="2" t="s">
        <v>297</v>
      </c>
    </row>
    <row r="6416" spans="1:15">
      <c r="A6416" s="3">
        <f t="shared" si="155"/>
        <v>6415</v>
      </c>
      <c r="B6416" s="65" t="s">
        <v>9196</v>
      </c>
      <c r="C6416" s="1">
        <v>7070723417</v>
      </c>
      <c r="E6416" s="17" t="s">
        <v>5540</v>
      </c>
      <c r="F6416" s="4" t="s">
        <v>9193</v>
      </c>
      <c r="G6416" s="3" t="s">
        <v>764</v>
      </c>
      <c r="H6416" s="2" t="s">
        <v>815</v>
      </c>
      <c r="I6416" s="3" t="s">
        <v>94</v>
      </c>
      <c r="J6416" s="31">
        <v>46078</v>
      </c>
      <c r="K6416" s="31">
        <v>46079</v>
      </c>
      <c r="L6416" s="31"/>
      <c r="M6416" s="31"/>
      <c r="N6416" s="31"/>
      <c r="O6416" s="2" t="s">
        <v>425</v>
      </c>
    </row>
    <row r="6417" spans="1:15">
      <c r="A6417" s="3">
        <f t="shared" si="155"/>
        <v>6416</v>
      </c>
      <c r="B6417" s="65" t="s">
        <v>9197</v>
      </c>
      <c r="C6417" s="1">
        <v>7294963100</v>
      </c>
      <c r="E6417" s="17" t="s">
        <v>5540</v>
      </c>
      <c r="F6417" s="4" t="s">
        <v>9193</v>
      </c>
      <c r="G6417" s="3" t="s">
        <v>764</v>
      </c>
      <c r="H6417" s="2" t="s">
        <v>815</v>
      </c>
      <c r="I6417" s="3" t="s">
        <v>94</v>
      </c>
      <c r="J6417" s="31">
        <v>46078</v>
      </c>
      <c r="K6417" s="31">
        <v>46079</v>
      </c>
      <c r="L6417" s="31"/>
      <c r="M6417" s="31"/>
      <c r="N6417" s="31"/>
      <c r="O6417" s="2" t="s">
        <v>425</v>
      </c>
    </row>
    <row r="6418" spans="1:15">
      <c r="A6418" s="3">
        <f t="shared" si="155"/>
        <v>6417</v>
      </c>
      <c r="B6418" s="65" t="s">
        <v>9198</v>
      </c>
      <c r="C6418" s="1">
        <v>6371246961</v>
      </c>
      <c r="E6418" s="17" t="s">
        <v>5540</v>
      </c>
      <c r="F6418" s="4" t="s">
        <v>1555</v>
      </c>
      <c r="G6418" s="3" t="s">
        <v>15</v>
      </c>
      <c r="H6418" s="2" t="s">
        <v>815</v>
      </c>
      <c r="I6418" s="3" t="s">
        <v>94</v>
      </c>
      <c r="J6418" s="31">
        <v>46078</v>
      </c>
      <c r="K6418" s="31">
        <v>46079</v>
      </c>
      <c r="L6418" s="31">
        <v>46080</v>
      </c>
      <c r="M6418" s="31">
        <v>46111</v>
      </c>
      <c r="N6418" s="31"/>
      <c r="O6418" s="2" t="s">
        <v>297</v>
      </c>
    </row>
    <row r="6419" spans="1:15">
      <c r="A6419" s="3">
        <f t="shared" si="155"/>
        <v>6418</v>
      </c>
      <c r="B6419" s="65" t="s">
        <v>9199</v>
      </c>
      <c r="C6419" s="1">
        <v>7093860575</v>
      </c>
      <c r="E6419" s="17" t="s">
        <v>5540</v>
      </c>
      <c r="F6419" s="4" t="s">
        <v>1555</v>
      </c>
      <c r="G6419" s="3" t="s">
        <v>764</v>
      </c>
      <c r="H6419" s="2" t="s">
        <v>815</v>
      </c>
      <c r="I6419" s="3" t="s">
        <v>94</v>
      </c>
      <c r="J6419" s="31">
        <v>46078</v>
      </c>
      <c r="K6419" s="31">
        <v>46079</v>
      </c>
      <c r="L6419" s="31"/>
      <c r="M6419" s="31"/>
      <c r="N6419" s="31"/>
      <c r="O6419" s="2" t="s">
        <v>425</v>
      </c>
    </row>
    <row r="6420" spans="1:15">
      <c r="A6420" s="3">
        <f t="shared" si="155"/>
        <v>6419</v>
      </c>
      <c r="B6420" s="65" t="s">
        <v>3066</v>
      </c>
      <c r="C6420" s="1">
        <v>9676403132</v>
      </c>
      <c r="E6420" s="17" t="s">
        <v>5540</v>
      </c>
      <c r="F6420" s="4" t="s">
        <v>1555</v>
      </c>
      <c r="G6420" s="3" t="s">
        <v>416</v>
      </c>
      <c r="H6420" s="2" t="s">
        <v>815</v>
      </c>
      <c r="I6420" s="3" t="s">
        <v>94</v>
      </c>
      <c r="J6420" s="31">
        <v>46078</v>
      </c>
      <c r="K6420" s="31">
        <v>46079</v>
      </c>
      <c r="L6420" s="31"/>
      <c r="M6420" s="31"/>
      <c r="N6420" s="31"/>
      <c r="O6420" s="2" t="s">
        <v>297</v>
      </c>
    </row>
    <row r="6421" spans="1:15">
      <c r="A6421" s="3">
        <f t="shared" ref="A6421:A6428" si="156">ROW()-1</f>
        <v>6420</v>
      </c>
      <c r="B6421" s="65" t="s">
        <v>9200</v>
      </c>
      <c r="C6421" s="1">
        <v>9030900499</v>
      </c>
      <c r="D6421" s="1">
        <v>6281364318</v>
      </c>
      <c r="E6421" s="17" t="s">
        <v>8419</v>
      </c>
      <c r="F6421" s="4" t="s">
        <v>9201</v>
      </c>
      <c r="G6421" s="3" t="s">
        <v>7030</v>
      </c>
      <c r="H6421" s="2" t="s">
        <v>8395</v>
      </c>
      <c r="I6421" s="3" t="s">
        <v>42</v>
      </c>
      <c r="J6421" s="31">
        <v>46078</v>
      </c>
      <c r="K6421" s="31"/>
      <c r="L6421" s="31"/>
      <c r="M6421" s="31"/>
      <c r="N6421" s="31"/>
      <c r="O6421" s="2" t="s">
        <v>1004</v>
      </c>
    </row>
    <row r="6422" spans="1:15">
      <c r="A6422" s="3">
        <f t="shared" si="156"/>
        <v>6421</v>
      </c>
      <c r="B6422" s="65" t="s">
        <v>9202</v>
      </c>
      <c r="C6422" s="1">
        <v>7250196632</v>
      </c>
      <c r="D6422" s="1">
        <v>9309422320</v>
      </c>
      <c r="E6422" s="17" t="s">
        <v>9093</v>
      </c>
      <c r="F6422" s="4" t="s">
        <v>3160</v>
      </c>
      <c r="G6422" s="3" t="s">
        <v>416</v>
      </c>
      <c r="H6422" s="2" t="s">
        <v>6158</v>
      </c>
      <c r="I6422" s="3" t="s">
        <v>42</v>
      </c>
      <c r="J6422" s="31">
        <v>46078</v>
      </c>
      <c r="K6422" s="31">
        <v>46083</v>
      </c>
      <c r="L6422" s="31"/>
      <c r="M6422" s="31"/>
      <c r="N6422" s="31"/>
      <c r="O6422" s="2" t="s">
        <v>297</v>
      </c>
    </row>
    <row r="6423" spans="1:15">
      <c r="A6423" s="3">
        <f t="shared" si="156"/>
        <v>6422</v>
      </c>
      <c r="B6423" s="65" t="s">
        <v>9203</v>
      </c>
      <c r="C6423" s="1">
        <v>9381180257</v>
      </c>
      <c r="E6423" s="17" t="s">
        <v>9093</v>
      </c>
      <c r="F6423" s="4" t="s">
        <v>3160</v>
      </c>
      <c r="G6423" s="3" t="s">
        <v>14</v>
      </c>
      <c r="H6423" s="2" t="s">
        <v>6158</v>
      </c>
      <c r="I6423" s="3" t="s">
        <v>42</v>
      </c>
      <c r="J6423" s="31">
        <v>46078</v>
      </c>
      <c r="K6423" s="31">
        <v>46083</v>
      </c>
      <c r="L6423" s="31"/>
      <c r="M6423" s="31"/>
      <c r="N6423" s="31"/>
      <c r="O6423" s="2" t="s">
        <v>297</v>
      </c>
    </row>
    <row r="6424" spans="1:15">
      <c r="A6424" s="3">
        <f t="shared" si="156"/>
        <v>6423</v>
      </c>
      <c r="B6424" s="65" t="s">
        <v>9204</v>
      </c>
      <c r="C6424" s="1">
        <v>7307073434</v>
      </c>
      <c r="D6424" s="1">
        <v>7895312704</v>
      </c>
      <c r="E6424" s="17" t="s">
        <v>8963</v>
      </c>
      <c r="F6424" s="4" t="s">
        <v>1369</v>
      </c>
      <c r="G6424" s="3" t="s">
        <v>416</v>
      </c>
      <c r="H6424" s="2" t="s">
        <v>6158</v>
      </c>
      <c r="I6424" s="3" t="s">
        <v>42</v>
      </c>
      <c r="J6424" s="31">
        <v>46078</v>
      </c>
      <c r="K6424" s="31">
        <v>46085</v>
      </c>
      <c r="L6424" s="31"/>
      <c r="M6424" s="31"/>
      <c r="N6424" s="31"/>
      <c r="O6424" s="2" t="s">
        <v>297</v>
      </c>
    </row>
    <row r="6425" spans="1:15">
      <c r="A6425" s="3">
        <f t="shared" si="156"/>
        <v>6424</v>
      </c>
      <c r="B6425" s="65" t="s">
        <v>9205</v>
      </c>
      <c r="C6425" s="1">
        <v>8851871013</v>
      </c>
      <c r="E6425" s="17" t="s">
        <v>8963</v>
      </c>
      <c r="F6425" s="4" t="s">
        <v>308</v>
      </c>
      <c r="G6425" s="3" t="s">
        <v>15</v>
      </c>
      <c r="H6425" s="2" t="s">
        <v>6158</v>
      </c>
      <c r="I6425" s="3" t="s">
        <v>42</v>
      </c>
      <c r="J6425" s="31">
        <v>46078</v>
      </c>
      <c r="K6425" s="31">
        <v>46085</v>
      </c>
      <c r="L6425" s="31">
        <v>46087</v>
      </c>
      <c r="M6425" s="31">
        <v>46108</v>
      </c>
      <c r="N6425" s="31"/>
      <c r="O6425" s="2" t="s">
        <v>297</v>
      </c>
    </row>
    <row r="6426" spans="1:15">
      <c r="A6426" s="3">
        <f t="shared" si="156"/>
        <v>6425</v>
      </c>
      <c r="B6426" s="65" t="s">
        <v>9206</v>
      </c>
      <c r="C6426" s="1">
        <v>7386030157</v>
      </c>
      <c r="E6426" s="17" t="s">
        <v>8963</v>
      </c>
      <c r="F6426" s="4" t="s">
        <v>308</v>
      </c>
      <c r="G6426" s="3" t="s">
        <v>16</v>
      </c>
      <c r="H6426" s="2" t="s">
        <v>6158</v>
      </c>
      <c r="I6426" s="3" t="s">
        <v>42</v>
      </c>
      <c r="J6426" s="31">
        <v>46078</v>
      </c>
      <c r="K6426" s="31">
        <v>46083</v>
      </c>
      <c r="L6426" s="31">
        <v>46087</v>
      </c>
      <c r="M6426" s="31">
        <v>46102</v>
      </c>
      <c r="N6426" s="31">
        <v>46091</v>
      </c>
      <c r="O6426" s="2" t="s">
        <v>297</v>
      </c>
    </row>
    <row r="6427" spans="1:15">
      <c r="A6427" s="3">
        <f t="shared" si="156"/>
        <v>6426</v>
      </c>
      <c r="B6427" s="65" t="s">
        <v>9207</v>
      </c>
      <c r="C6427" s="1">
        <v>9515573771</v>
      </c>
      <c r="E6427" s="17" t="s">
        <v>6537</v>
      </c>
      <c r="F6427" s="4" t="s">
        <v>308</v>
      </c>
      <c r="G6427" s="3" t="s">
        <v>416</v>
      </c>
      <c r="H6427" s="2" t="s">
        <v>6158</v>
      </c>
      <c r="I6427" s="3" t="s">
        <v>42</v>
      </c>
      <c r="J6427" s="31">
        <v>46078</v>
      </c>
      <c r="K6427" s="31">
        <v>46085</v>
      </c>
      <c r="L6427" s="31"/>
      <c r="M6427" s="31"/>
      <c r="N6427" s="31"/>
      <c r="O6427" s="2" t="s">
        <v>297</v>
      </c>
    </row>
    <row r="6428" spans="1:15">
      <c r="A6428" s="3">
        <f t="shared" si="156"/>
        <v>6427</v>
      </c>
      <c r="B6428" s="65" t="s">
        <v>9208</v>
      </c>
      <c r="C6428" s="1">
        <v>9963199553</v>
      </c>
      <c r="E6428" s="17" t="s">
        <v>6537</v>
      </c>
      <c r="F6428" s="4" t="s">
        <v>419</v>
      </c>
      <c r="G6428" s="3" t="s">
        <v>15</v>
      </c>
      <c r="H6428" s="2" t="s">
        <v>6158</v>
      </c>
      <c r="I6428" s="3" t="s">
        <v>42</v>
      </c>
      <c r="J6428" s="31">
        <v>46078</v>
      </c>
      <c r="K6428" s="31">
        <v>46085</v>
      </c>
      <c r="L6428" s="31">
        <v>46087</v>
      </c>
      <c r="M6428" s="31">
        <v>46114</v>
      </c>
      <c r="N6428" s="31"/>
      <c r="O6428" s="2" t="s">
        <v>297</v>
      </c>
    </row>
    <row r="6429" spans="1:15">
      <c r="A6429" s="3">
        <f t="shared" ref="A6429:A6453" si="157">ROW()-1</f>
        <v>6428</v>
      </c>
      <c r="B6429" s="65" t="s">
        <v>9209</v>
      </c>
      <c r="C6429" s="1">
        <v>8919250039</v>
      </c>
      <c r="E6429" s="17" t="s">
        <v>5454</v>
      </c>
      <c r="F6429" s="4" t="s">
        <v>9210</v>
      </c>
      <c r="G6429" s="3" t="s">
        <v>7030</v>
      </c>
      <c r="H6429" s="2" t="s">
        <v>999</v>
      </c>
      <c r="I6429" s="3" t="s">
        <v>42</v>
      </c>
      <c r="J6429" s="31">
        <v>46079</v>
      </c>
      <c r="K6429" s="31"/>
      <c r="L6429" s="31"/>
      <c r="M6429" s="31"/>
      <c r="N6429" s="31"/>
      <c r="O6429" s="2" t="s">
        <v>1004</v>
      </c>
    </row>
    <row r="6430" spans="1:15">
      <c r="A6430" s="3">
        <f t="shared" si="157"/>
        <v>6429</v>
      </c>
      <c r="B6430" s="65" t="s">
        <v>9211</v>
      </c>
      <c r="C6430" s="1">
        <v>9666101219</v>
      </c>
      <c r="E6430" s="17" t="s">
        <v>9212</v>
      </c>
      <c r="F6430" s="4"/>
      <c r="G6430" s="3" t="s">
        <v>15</v>
      </c>
      <c r="H6430" s="2" t="s">
        <v>42</v>
      </c>
      <c r="I6430" s="3" t="s">
        <v>42</v>
      </c>
      <c r="J6430" s="31">
        <v>46074</v>
      </c>
      <c r="K6430" s="31">
        <v>46075</v>
      </c>
      <c r="L6430" s="31">
        <v>46079</v>
      </c>
      <c r="M6430" s="31">
        <v>46144</v>
      </c>
      <c r="N6430" s="31"/>
      <c r="O6430" s="2" t="s">
        <v>297</v>
      </c>
    </row>
    <row r="6431" spans="1:15">
      <c r="A6431" s="3">
        <f t="shared" si="157"/>
        <v>6430</v>
      </c>
      <c r="B6431" s="65" t="s">
        <v>9213</v>
      </c>
      <c r="C6431" s="1">
        <v>8121416116</v>
      </c>
      <c r="E6431" s="17" t="s">
        <v>7114</v>
      </c>
      <c r="F6431" s="4"/>
      <c r="G6431" s="3" t="s">
        <v>16</v>
      </c>
      <c r="H6431" s="2" t="s">
        <v>6158</v>
      </c>
      <c r="I6431" s="3" t="s">
        <v>42</v>
      </c>
      <c r="J6431" s="31">
        <v>46074</v>
      </c>
      <c r="K6431" s="31">
        <v>46075</v>
      </c>
      <c r="L6431" s="31">
        <v>46079</v>
      </c>
      <c r="M6431" s="31">
        <v>46107</v>
      </c>
      <c r="N6431" s="31">
        <v>46104</v>
      </c>
      <c r="O6431" s="2" t="s">
        <v>297</v>
      </c>
    </row>
    <row r="6432" spans="1:15">
      <c r="A6432" s="3">
        <f t="shared" si="157"/>
        <v>6431</v>
      </c>
      <c r="B6432" s="65" t="s">
        <v>9214</v>
      </c>
      <c r="C6432" s="1">
        <v>8374862740</v>
      </c>
      <c r="E6432" s="17" t="s">
        <v>8800</v>
      </c>
      <c r="F6432" s="4" t="s">
        <v>271</v>
      </c>
      <c r="G6432" s="3" t="s">
        <v>16</v>
      </c>
      <c r="H6432" s="2" t="s">
        <v>815</v>
      </c>
      <c r="I6432" s="3" t="s">
        <v>94</v>
      </c>
      <c r="J6432" s="31">
        <v>46079</v>
      </c>
      <c r="K6432" s="31">
        <v>46080</v>
      </c>
      <c r="L6432" s="31">
        <v>46080</v>
      </c>
      <c r="M6432" s="31">
        <v>46088</v>
      </c>
      <c r="N6432" s="31">
        <v>46090</v>
      </c>
      <c r="O6432" s="2" t="s">
        <v>297</v>
      </c>
    </row>
    <row r="6433" spans="1:15">
      <c r="A6433" s="3">
        <f t="shared" si="157"/>
        <v>6432</v>
      </c>
      <c r="B6433" s="65" t="s">
        <v>9215</v>
      </c>
      <c r="C6433" s="1">
        <v>9891503291</v>
      </c>
      <c r="E6433" s="17" t="s">
        <v>8800</v>
      </c>
      <c r="F6433" s="4" t="s">
        <v>271</v>
      </c>
      <c r="G6433" s="3" t="s">
        <v>295</v>
      </c>
      <c r="H6433" s="2" t="s">
        <v>815</v>
      </c>
      <c r="I6433" s="3" t="s">
        <v>94</v>
      </c>
      <c r="J6433" s="31">
        <v>46079</v>
      </c>
      <c r="K6433" s="31">
        <v>46080</v>
      </c>
      <c r="L6433" s="31">
        <v>46080</v>
      </c>
      <c r="M6433" s="31">
        <v>46101</v>
      </c>
      <c r="N6433" s="31"/>
      <c r="O6433" s="2" t="s">
        <v>297</v>
      </c>
    </row>
    <row r="6434" spans="1:15">
      <c r="A6434" s="3">
        <f t="shared" si="157"/>
        <v>6433</v>
      </c>
      <c r="B6434" s="65" t="s">
        <v>9216</v>
      </c>
      <c r="C6434" s="1">
        <v>9119745272</v>
      </c>
      <c r="E6434" s="17" t="s">
        <v>8800</v>
      </c>
      <c r="F6434" s="4" t="s">
        <v>271</v>
      </c>
      <c r="G6434" s="3" t="s">
        <v>416</v>
      </c>
      <c r="H6434" s="2" t="s">
        <v>815</v>
      </c>
      <c r="I6434" s="3" t="s">
        <v>94</v>
      </c>
      <c r="J6434" s="31">
        <v>46079</v>
      </c>
      <c r="K6434" s="31">
        <v>46080</v>
      </c>
      <c r="L6434" s="31"/>
      <c r="M6434" s="31"/>
      <c r="N6434" s="31"/>
      <c r="O6434" s="2" t="s">
        <v>297</v>
      </c>
    </row>
    <row r="6435" spans="1:15">
      <c r="A6435" s="3">
        <f t="shared" si="157"/>
        <v>6434</v>
      </c>
      <c r="B6435" s="65" t="s">
        <v>9217</v>
      </c>
      <c r="C6435" s="1">
        <v>8372811054</v>
      </c>
      <c r="E6435" s="17" t="s">
        <v>8800</v>
      </c>
      <c r="F6435" s="4" t="s">
        <v>271</v>
      </c>
      <c r="G6435" s="3" t="s">
        <v>14</v>
      </c>
      <c r="H6435" s="2" t="s">
        <v>815</v>
      </c>
      <c r="I6435" s="3" t="s">
        <v>94</v>
      </c>
      <c r="J6435" s="31">
        <v>46079</v>
      </c>
      <c r="K6435" s="31">
        <v>46080</v>
      </c>
      <c r="L6435" s="31"/>
      <c r="M6435" s="31"/>
      <c r="N6435" s="31"/>
      <c r="O6435" s="2" t="s">
        <v>297</v>
      </c>
    </row>
    <row r="6436" spans="1:15">
      <c r="A6436" s="3">
        <f t="shared" si="157"/>
        <v>6435</v>
      </c>
      <c r="B6436" s="65" t="s">
        <v>9218</v>
      </c>
      <c r="C6436" s="1">
        <v>9440891136</v>
      </c>
      <c r="E6436" s="17" t="s">
        <v>8800</v>
      </c>
      <c r="F6436" s="4" t="s">
        <v>271</v>
      </c>
      <c r="G6436" s="3" t="s">
        <v>15</v>
      </c>
      <c r="H6436" s="2" t="s">
        <v>815</v>
      </c>
      <c r="I6436" s="3" t="s">
        <v>94</v>
      </c>
      <c r="J6436" s="31">
        <v>46079</v>
      </c>
      <c r="K6436" s="31">
        <v>46080</v>
      </c>
      <c r="L6436" s="31">
        <v>46080</v>
      </c>
      <c r="M6436" s="31">
        <v>46102</v>
      </c>
      <c r="N6436" s="31"/>
      <c r="O6436" s="2" t="s">
        <v>297</v>
      </c>
    </row>
    <row r="6437" spans="1:15">
      <c r="A6437" s="3">
        <f t="shared" si="157"/>
        <v>6436</v>
      </c>
      <c r="B6437" s="65" t="s">
        <v>9219</v>
      </c>
      <c r="C6437" s="1">
        <v>6370847061</v>
      </c>
      <c r="E6437" s="17" t="s">
        <v>8800</v>
      </c>
      <c r="F6437" s="4" t="s">
        <v>271</v>
      </c>
      <c r="G6437" s="3" t="s">
        <v>15</v>
      </c>
      <c r="H6437" s="2" t="s">
        <v>815</v>
      </c>
      <c r="I6437" s="3" t="s">
        <v>94</v>
      </c>
      <c r="J6437" s="31">
        <v>46079</v>
      </c>
      <c r="K6437" s="31">
        <v>46080</v>
      </c>
      <c r="L6437" s="31">
        <v>46080</v>
      </c>
      <c r="M6437" s="31">
        <v>46101</v>
      </c>
      <c r="N6437" s="31"/>
      <c r="O6437" s="2" t="s">
        <v>297</v>
      </c>
    </row>
    <row r="6438" spans="1:15">
      <c r="A6438" s="3">
        <f t="shared" si="157"/>
        <v>6437</v>
      </c>
      <c r="B6438" s="65" t="s">
        <v>9220</v>
      </c>
      <c r="C6438" s="1">
        <v>9583076550</v>
      </c>
      <c r="E6438" s="17" t="s">
        <v>8800</v>
      </c>
      <c r="F6438" s="4" t="s">
        <v>271</v>
      </c>
      <c r="G6438" s="3" t="s">
        <v>15</v>
      </c>
      <c r="H6438" s="2" t="s">
        <v>815</v>
      </c>
      <c r="I6438" s="3" t="s">
        <v>94</v>
      </c>
      <c r="J6438" s="31">
        <v>46079</v>
      </c>
      <c r="K6438" s="31">
        <v>46080</v>
      </c>
      <c r="L6438" s="31">
        <v>46112</v>
      </c>
      <c r="M6438" s="31">
        <v>46142</v>
      </c>
      <c r="N6438" s="31"/>
      <c r="O6438" s="2" t="s">
        <v>297</v>
      </c>
    </row>
    <row r="6439" spans="1:15">
      <c r="A6439" s="3">
        <f t="shared" si="157"/>
        <v>6438</v>
      </c>
      <c r="B6439" s="65" t="s">
        <v>9221</v>
      </c>
      <c r="C6439" s="1">
        <v>9956236455</v>
      </c>
      <c r="D6439" s="1">
        <v>7376718082</v>
      </c>
      <c r="E6439" s="17" t="s">
        <v>8800</v>
      </c>
      <c r="F6439" s="4" t="s">
        <v>271</v>
      </c>
      <c r="G6439" s="3" t="s">
        <v>14</v>
      </c>
      <c r="H6439" s="2" t="s">
        <v>815</v>
      </c>
      <c r="I6439" s="3" t="s">
        <v>94</v>
      </c>
      <c r="J6439" s="31">
        <v>46079</v>
      </c>
      <c r="K6439" s="31">
        <v>46080</v>
      </c>
      <c r="L6439" s="31"/>
      <c r="M6439" s="31"/>
      <c r="N6439" s="31"/>
      <c r="O6439" s="2" t="s">
        <v>297</v>
      </c>
    </row>
    <row r="6440" spans="1:15">
      <c r="A6440" s="3">
        <f t="shared" si="157"/>
        <v>6439</v>
      </c>
      <c r="B6440" s="65" t="s">
        <v>9222</v>
      </c>
      <c r="C6440" s="1">
        <v>9963731152</v>
      </c>
      <c r="E6440" s="17" t="s">
        <v>9223</v>
      </c>
      <c r="F6440" s="4"/>
      <c r="G6440" s="3" t="s">
        <v>15</v>
      </c>
      <c r="H6440" s="2" t="s">
        <v>999</v>
      </c>
      <c r="I6440" s="3" t="s">
        <v>88</v>
      </c>
      <c r="J6440" s="31">
        <v>46074</v>
      </c>
      <c r="K6440" s="31">
        <v>46076</v>
      </c>
      <c r="L6440" s="31">
        <v>46077</v>
      </c>
      <c r="M6440" s="31">
        <v>46125</v>
      </c>
      <c r="N6440" s="31"/>
      <c r="O6440" s="2" t="s">
        <v>297</v>
      </c>
    </row>
    <row r="6441" spans="1:15">
      <c r="A6441" s="3">
        <f t="shared" si="157"/>
        <v>6440</v>
      </c>
      <c r="B6441" s="65" t="s">
        <v>1507</v>
      </c>
      <c r="C6441" s="1">
        <v>8627073909</v>
      </c>
      <c r="E6441" s="17" t="s">
        <v>7829</v>
      </c>
      <c r="F6441" s="4"/>
      <c r="G6441" s="3" t="s">
        <v>15</v>
      </c>
      <c r="H6441" s="2" t="s">
        <v>6587</v>
      </c>
      <c r="I6441" s="3" t="s">
        <v>88</v>
      </c>
      <c r="J6441" s="31">
        <v>46074</v>
      </c>
      <c r="K6441" s="31">
        <v>46076</v>
      </c>
      <c r="L6441" s="31">
        <v>46077</v>
      </c>
      <c r="M6441" s="31">
        <v>46120</v>
      </c>
      <c r="N6441" s="31"/>
      <c r="O6441" s="2" t="s">
        <v>297</v>
      </c>
    </row>
    <row r="6442" spans="1:15">
      <c r="A6442" s="3">
        <f t="shared" si="157"/>
        <v>6441</v>
      </c>
      <c r="B6442" s="65" t="s">
        <v>6325</v>
      </c>
      <c r="C6442" s="1">
        <v>7310850830</v>
      </c>
      <c r="E6442" s="17" t="s">
        <v>7829</v>
      </c>
      <c r="F6442" s="4"/>
      <c r="G6442" s="3" t="s">
        <v>16</v>
      </c>
      <c r="H6442" s="2" t="s">
        <v>6587</v>
      </c>
      <c r="I6442" s="3" t="s">
        <v>88</v>
      </c>
      <c r="J6442" s="31">
        <v>46074</v>
      </c>
      <c r="K6442" s="31">
        <v>46076</v>
      </c>
      <c r="L6442" s="31">
        <v>46077</v>
      </c>
      <c r="M6442" s="31">
        <v>46105</v>
      </c>
      <c r="N6442" s="31">
        <v>46108</v>
      </c>
      <c r="O6442" s="2" t="s">
        <v>297</v>
      </c>
    </row>
    <row r="6443" spans="1:15">
      <c r="A6443" s="3">
        <f t="shared" si="157"/>
        <v>6442</v>
      </c>
      <c r="B6443" s="65" t="s">
        <v>9224</v>
      </c>
      <c r="C6443" s="1">
        <v>9391627885</v>
      </c>
      <c r="E6443" s="17" t="s">
        <v>8821</v>
      </c>
      <c r="F6443" s="4"/>
      <c r="G6443" s="3" t="s">
        <v>16</v>
      </c>
      <c r="H6443" s="2" t="s">
        <v>5163</v>
      </c>
      <c r="I6443" s="3" t="s">
        <v>94</v>
      </c>
      <c r="J6443" s="31">
        <v>46074</v>
      </c>
      <c r="K6443" s="31">
        <v>46076</v>
      </c>
      <c r="L6443" s="31">
        <v>46079</v>
      </c>
      <c r="M6443" s="31">
        <v>46083</v>
      </c>
      <c r="N6443" s="31">
        <v>46081</v>
      </c>
      <c r="O6443" s="2" t="s">
        <v>297</v>
      </c>
    </row>
    <row r="6444" spans="1:15">
      <c r="A6444" s="3">
        <f t="shared" si="157"/>
        <v>6443</v>
      </c>
      <c r="B6444" s="65" t="s">
        <v>9225</v>
      </c>
      <c r="C6444" s="1">
        <v>7207707146</v>
      </c>
      <c r="E6444" s="17" t="s">
        <v>9226</v>
      </c>
      <c r="F6444" s="4"/>
      <c r="G6444" s="3" t="s">
        <v>295</v>
      </c>
      <c r="H6444" s="2" t="s">
        <v>94</v>
      </c>
      <c r="I6444" s="3" t="s">
        <v>94</v>
      </c>
      <c r="J6444" s="31">
        <v>46074</v>
      </c>
      <c r="K6444" s="31">
        <v>46076</v>
      </c>
      <c r="L6444" s="31">
        <v>46079</v>
      </c>
      <c r="M6444" s="31">
        <v>46099</v>
      </c>
      <c r="N6444" s="31"/>
      <c r="O6444" s="2" t="s">
        <v>297</v>
      </c>
    </row>
    <row r="6445" spans="1:15">
      <c r="A6445" s="3">
        <f t="shared" si="157"/>
        <v>6444</v>
      </c>
      <c r="B6445" s="65" t="s">
        <v>9227</v>
      </c>
      <c r="C6445" s="1">
        <v>9721414123</v>
      </c>
      <c r="E6445" s="17" t="s">
        <v>1567</v>
      </c>
      <c r="F6445" s="4"/>
      <c r="G6445" s="3" t="s">
        <v>15</v>
      </c>
      <c r="H6445" s="2" t="s">
        <v>815</v>
      </c>
      <c r="I6445" s="3" t="s">
        <v>94</v>
      </c>
      <c r="J6445" s="31">
        <v>46074</v>
      </c>
      <c r="K6445" s="31">
        <v>46076</v>
      </c>
      <c r="L6445" s="31">
        <v>46079</v>
      </c>
      <c r="M6445" s="31">
        <v>46125</v>
      </c>
      <c r="N6445" s="31"/>
      <c r="O6445" s="2" t="s">
        <v>297</v>
      </c>
    </row>
    <row r="6446" spans="1:15">
      <c r="A6446" s="3">
        <f t="shared" si="157"/>
        <v>6445</v>
      </c>
      <c r="B6446" s="65" t="s">
        <v>9228</v>
      </c>
      <c r="C6446" s="1">
        <v>9630256825</v>
      </c>
      <c r="E6446" s="17" t="s">
        <v>1101</v>
      </c>
      <c r="F6446" s="4"/>
      <c r="G6446" s="3" t="s">
        <v>16</v>
      </c>
      <c r="H6446" s="2" t="s">
        <v>815</v>
      </c>
      <c r="I6446" s="3" t="s">
        <v>94</v>
      </c>
      <c r="J6446" s="31">
        <v>46074</v>
      </c>
      <c r="K6446" s="31">
        <v>46076</v>
      </c>
      <c r="L6446" s="31">
        <v>46079</v>
      </c>
      <c r="M6446" s="31">
        <v>46083</v>
      </c>
      <c r="N6446" s="31">
        <v>46087</v>
      </c>
      <c r="O6446" s="2" t="s">
        <v>297</v>
      </c>
    </row>
    <row r="6447" spans="1:15">
      <c r="A6447" s="3">
        <f t="shared" si="157"/>
        <v>6446</v>
      </c>
      <c r="B6447" s="65" t="s">
        <v>9229</v>
      </c>
      <c r="C6447" s="1">
        <v>7847876609</v>
      </c>
      <c r="E6447" s="17" t="s">
        <v>8644</v>
      </c>
      <c r="F6447" s="4" t="s">
        <v>1060</v>
      </c>
      <c r="G6447" s="3" t="s">
        <v>416</v>
      </c>
      <c r="H6447" s="2" t="s">
        <v>6158</v>
      </c>
      <c r="I6447" s="3" t="s">
        <v>42</v>
      </c>
      <c r="J6447" s="31">
        <v>46079</v>
      </c>
      <c r="K6447" s="31">
        <v>46080</v>
      </c>
      <c r="L6447" s="31"/>
      <c r="M6447" s="31"/>
      <c r="N6447" s="31"/>
      <c r="O6447" s="2" t="s">
        <v>297</v>
      </c>
    </row>
    <row r="6448" spans="1:15">
      <c r="A6448" s="3">
        <f t="shared" si="157"/>
        <v>6447</v>
      </c>
      <c r="B6448" s="65" t="s">
        <v>9230</v>
      </c>
      <c r="C6448" s="1">
        <v>7887393952</v>
      </c>
      <c r="E6448" s="17" t="s">
        <v>8644</v>
      </c>
      <c r="F6448" s="4" t="s">
        <v>1060</v>
      </c>
      <c r="G6448" s="3" t="s">
        <v>18</v>
      </c>
      <c r="H6448" s="2" t="s">
        <v>6158</v>
      </c>
      <c r="I6448" s="3" t="s">
        <v>42</v>
      </c>
      <c r="J6448" s="31">
        <v>46079</v>
      </c>
      <c r="K6448" s="31">
        <v>46080</v>
      </c>
      <c r="L6448" s="31"/>
      <c r="M6448" s="31"/>
      <c r="N6448" s="31"/>
      <c r="O6448" s="2" t="s">
        <v>297</v>
      </c>
    </row>
    <row r="6449" spans="1:15">
      <c r="A6449" s="3">
        <f t="shared" si="157"/>
        <v>6448</v>
      </c>
      <c r="B6449" s="65" t="s">
        <v>9231</v>
      </c>
      <c r="C6449" s="1">
        <v>7869262936</v>
      </c>
      <c r="D6449" s="1">
        <v>8319727179</v>
      </c>
      <c r="E6449" s="17" t="s">
        <v>8644</v>
      </c>
      <c r="F6449" s="4" t="s">
        <v>1060</v>
      </c>
      <c r="G6449" s="3" t="s">
        <v>15</v>
      </c>
      <c r="H6449" s="2" t="s">
        <v>6158</v>
      </c>
      <c r="I6449" s="3" t="s">
        <v>42</v>
      </c>
      <c r="J6449" s="31">
        <v>46079</v>
      </c>
      <c r="K6449" s="31">
        <v>46080</v>
      </c>
      <c r="L6449" s="31">
        <v>46080</v>
      </c>
      <c r="M6449" s="31">
        <v>46106</v>
      </c>
      <c r="N6449" s="31"/>
      <c r="O6449" s="2" t="s">
        <v>297</v>
      </c>
    </row>
    <row r="6450" spans="1:15">
      <c r="A6450" s="3">
        <f t="shared" si="157"/>
        <v>6449</v>
      </c>
      <c r="B6450" s="65" t="s">
        <v>1979</v>
      </c>
      <c r="C6450" s="1">
        <v>9130969428</v>
      </c>
      <c r="E6450" s="17" t="s">
        <v>8644</v>
      </c>
      <c r="F6450" s="4" t="s">
        <v>3698</v>
      </c>
      <c r="G6450" s="3" t="s">
        <v>15</v>
      </c>
      <c r="H6450" s="2" t="s">
        <v>6158</v>
      </c>
      <c r="I6450" s="3" t="s">
        <v>42</v>
      </c>
      <c r="J6450" s="31">
        <v>46079</v>
      </c>
      <c r="K6450" s="31">
        <v>46080</v>
      </c>
      <c r="L6450" s="31">
        <v>46080</v>
      </c>
      <c r="M6450" s="31">
        <v>46127</v>
      </c>
      <c r="N6450" s="31"/>
      <c r="O6450" s="2" t="s">
        <v>297</v>
      </c>
    </row>
    <row r="6451" spans="1:15">
      <c r="A6451" s="3">
        <f t="shared" si="157"/>
        <v>6450</v>
      </c>
      <c r="B6451" s="65" t="s">
        <v>9232</v>
      </c>
      <c r="C6451" s="1">
        <v>7609804610</v>
      </c>
      <c r="E6451" s="17" t="s">
        <v>8644</v>
      </c>
      <c r="F6451" s="4" t="s">
        <v>1060</v>
      </c>
      <c r="G6451" s="3" t="s">
        <v>764</v>
      </c>
      <c r="H6451" s="2" t="s">
        <v>6158</v>
      </c>
      <c r="I6451" s="3" t="s">
        <v>42</v>
      </c>
      <c r="J6451" s="31">
        <v>46079</v>
      </c>
      <c r="K6451" s="31">
        <v>46080</v>
      </c>
      <c r="L6451" s="31"/>
      <c r="M6451" s="31"/>
      <c r="N6451" s="31"/>
      <c r="O6451" s="2" t="s">
        <v>425</v>
      </c>
    </row>
    <row r="6452" spans="1:15">
      <c r="A6452" s="3">
        <f t="shared" si="157"/>
        <v>6451</v>
      </c>
      <c r="B6452" s="65" t="s">
        <v>9233</v>
      </c>
      <c r="C6452" s="1">
        <v>8249353550</v>
      </c>
      <c r="E6452" s="17" t="s">
        <v>8644</v>
      </c>
      <c r="F6452" s="4" t="s">
        <v>1060</v>
      </c>
      <c r="G6452" s="3" t="s">
        <v>15</v>
      </c>
      <c r="H6452" s="2" t="s">
        <v>6158</v>
      </c>
      <c r="I6452" s="3" t="s">
        <v>42</v>
      </c>
      <c r="J6452" s="31">
        <v>46079</v>
      </c>
      <c r="K6452" s="31">
        <v>46080</v>
      </c>
      <c r="L6452" s="31">
        <v>46080</v>
      </c>
      <c r="M6452" s="31">
        <v>46120</v>
      </c>
      <c r="N6452" s="31"/>
      <c r="O6452" s="2" t="s">
        <v>297</v>
      </c>
    </row>
    <row r="6453" spans="1:15">
      <c r="A6453" s="3">
        <f t="shared" si="157"/>
        <v>6452</v>
      </c>
      <c r="B6453" s="65" t="s">
        <v>9234</v>
      </c>
      <c r="C6453" s="1">
        <v>9618553010</v>
      </c>
      <c r="E6453" s="17" t="s">
        <v>8644</v>
      </c>
      <c r="F6453" s="4" t="s">
        <v>1060</v>
      </c>
      <c r="G6453" s="3" t="s">
        <v>764</v>
      </c>
      <c r="H6453" s="2" t="s">
        <v>6158</v>
      </c>
      <c r="I6453" s="3" t="s">
        <v>42</v>
      </c>
      <c r="J6453" s="31">
        <v>46079</v>
      </c>
      <c r="K6453" s="31">
        <v>46080</v>
      </c>
      <c r="L6453" s="31"/>
      <c r="M6453" s="31"/>
      <c r="N6453" s="31"/>
      <c r="O6453" s="2" t="s">
        <v>425</v>
      </c>
    </row>
    <row r="6454" spans="1:15">
      <c r="A6454" s="3">
        <f t="shared" ref="A6454:A6462" si="158">ROW()-1</f>
        <v>6453</v>
      </c>
      <c r="B6454" s="65" t="s">
        <v>8798</v>
      </c>
      <c r="C6454" s="1">
        <v>9748761816</v>
      </c>
      <c r="E6454" s="17" t="s">
        <v>9235</v>
      </c>
      <c r="F6454" s="4" t="s">
        <v>2196</v>
      </c>
      <c r="G6454" s="3" t="s">
        <v>18</v>
      </c>
      <c r="H6454" s="2" t="s">
        <v>6158</v>
      </c>
      <c r="I6454" s="3" t="s">
        <v>42</v>
      </c>
      <c r="J6454" s="31">
        <v>46079</v>
      </c>
      <c r="K6454" s="31">
        <v>46080</v>
      </c>
      <c r="L6454" s="31">
        <v>46080</v>
      </c>
      <c r="M6454" s="31">
        <v>46104</v>
      </c>
      <c r="N6454" s="31"/>
      <c r="O6454" s="2" t="s">
        <v>297</v>
      </c>
    </row>
    <row r="6455" spans="1:15">
      <c r="A6455" s="3">
        <f t="shared" si="158"/>
        <v>6454</v>
      </c>
      <c r="B6455" s="65" t="s">
        <v>9236</v>
      </c>
      <c r="C6455" s="1">
        <v>9731571995</v>
      </c>
      <c r="E6455" s="17" t="s">
        <v>9235</v>
      </c>
      <c r="F6455" s="4" t="s">
        <v>2196</v>
      </c>
      <c r="G6455" s="3" t="s">
        <v>15</v>
      </c>
      <c r="H6455" s="2" t="s">
        <v>6158</v>
      </c>
      <c r="I6455" s="3" t="s">
        <v>42</v>
      </c>
      <c r="J6455" s="31">
        <v>46079</v>
      </c>
      <c r="K6455" s="31">
        <v>46080</v>
      </c>
      <c r="L6455" s="31">
        <v>46080</v>
      </c>
      <c r="M6455" s="31">
        <v>46116</v>
      </c>
      <c r="N6455" s="31"/>
      <c r="O6455" s="2" t="s">
        <v>297</v>
      </c>
    </row>
    <row r="6456" spans="1:15">
      <c r="A6456" s="3">
        <f t="shared" si="158"/>
        <v>6455</v>
      </c>
      <c r="B6456" s="65" t="s">
        <v>9237</v>
      </c>
      <c r="C6456" s="1">
        <v>9667076235</v>
      </c>
      <c r="E6456" s="17" t="s">
        <v>9238</v>
      </c>
      <c r="F6456" s="4" t="s">
        <v>9239</v>
      </c>
      <c r="G6456" s="3" t="s">
        <v>416</v>
      </c>
      <c r="H6456" s="2" t="s">
        <v>6158</v>
      </c>
      <c r="I6456" s="3" t="s">
        <v>42</v>
      </c>
      <c r="J6456" s="31">
        <v>46079</v>
      </c>
      <c r="K6456" s="31">
        <v>46080</v>
      </c>
      <c r="L6456" s="31"/>
      <c r="M6456" s="31"/>
      <c r="N6456" s="31"/>
      <c r="O6456" s="2" t="s">
        <v>297</v>
      </c>
    </row>
    <row r="6457" spans="1:15">
      <c r="A6457" s="3">
        <f t="shared" si="158"/>
        <v>6456</v>
      </c>
      <c r="B6457" s="65" t="s">
        <v>9240</v>
      </c>
      <c r="C6457" s="1">
        <v>6361521066</v>
      </c>
      <c r="E6457" s="17" t="s">
        <v>9238</v>
      </c>
      <c r="F6457" s="4" t="s">
        <v>294</v>
      </c>
      <c r="G6457" s="3" t="s">
        <v>416</v>
      </c>
      <c r="H6457" s="2" t="s">
        <v>6158</v>
      </c>
      <c r="I6457" s="3" t="s">
        <v>42</v>
      </c>
      <c r="J6457" s="31">
        <v>46079</v>
      </c>
      <c r="K6457" s="31">
        <v>46080</v>
      </c>
      <c r="L6457" s="31"/>
      <c r="M6457" s="31"/>
      <c r="N6457" s="31"/>
      <c r="O6457" s="2" t="s">
        <v>297</v>
      </c>
    </row>
    <row r="6458" spans="1:15">
      <c r="A6458" s="3">
        <f t="shared" si="158"/>
        <v>6457</v>
      </c>
      <c r="B6458" s="65" t="s">
        <v>9241</v>
      </c>
      <c r="C6458" s="1">
        <v>9635266560</v>
      </c>
      <c r="D6458" s="1">
        <v>8240120657</v>
      </c>
      <c r="E6458" s="17" t="s">
        <v>9238</v>
      </c>
      <c r="F6458" s="4" t="s">
        <v>294</v>
      </c>
      <c r="G6458" s="3" t="s">
        <v>764</v>
      </c>
      <c r="H6458" s="2" t="s">
        <v>6158</v>
      </c>
      <c r="I6458" s="3" t="s">
        <v>42</v>
      </c>
      <c r="J6458" s="31">
        <v>46079</v>
      </c>
      <c r="K6458" s="31">
        <v>46080</v>
      </c>
      <c r="L6458" s="31"/>
      <c r="M6458" s="31"/>
      <c r="N6458" s="31"/>
      <c r="O6458" s="2" t="s">
        <v>425</v>
      </c>
    </row>
    <row r="6459" spans="1:15">
      <c r="A6459" s="3">
        <f t="shared" si="158"/>
        <v>6458</v>
      </c>
      <c r="B6459" s="65" t="s">
        <v>9242</v>
      </c>
      <c r="C6459" s="1">
        <v>9682861582</v>
      </c>
      <c r="E6459" s="17" t="s">
        <v>9178</v>
      </c>
      <c r="F6459" s="4" t="s">
        <v>9243</v>
      </c>
      <c r="G6459" s="3" t="s">
        <v>416</v>
      </c>
      <c r="H6459" s="2" t="s">
        <v>6158</v>
      </c>
      <c r="I6459" s="3" t="s">
        <v>42</v>
      </c>
      <c r="J6459" s="31">
        <v>46079</v>
      </c>
      <c r="K6459" s="31">
        <v>46080</v>
      </c>
      <c r="L6459" s="31"/>
      <c r="M6459" s="31"/>
      <c r="N6459" s="31"/>
      <c r="O6459" s="2" t="s">
        <v>297</v>
      </c>
    </row>
    <row r="6460" spans="1:15">
      <c r="A6460" s="3">
        <f t="shared" si="158"/>
        <v>6459</v>
      </c>
      <c r="B6460" s="65" t="s">
        <v>9244</v>
      </c>
      <c r="C6460" s="1">
        <v>9177622618</v>
      </c>
      <c r="E6460" s="17" t="s">
        <v>9178</v>
      </c>
      <c r="F6460" s="4" t="s">
        <v>9245</v>
      </c>
      <c r="G6460" s="3" t="s">
        <v>764</v>
      </c>
      <c r="H6460" s="2" t="s">
        <v>6158</v>
      </c>
      <c r="I6460" s="3" t="s">
        <v>42</v>
      </c>
      <c r="J6460" s="31">
        <v>46079</v>
      </c>
      <c r="K6460" s="31">
        <v>46080</v>
      </c>
      <c r="L6460" s="31"/>
      <c r="M6460" s="31"/>
      <c r="N6460" s="31"/>
      <c r="O6460" s="2" t="s">
        <v>425</v>
      </c>
    </row>
    <row r="6461" spans="1:15">
      <c r="A6461" s="3">
        <f t="shared" si="158"/>
        <v>6460</v>
      </c>
      <c r="B6461" s="65" t="s">
        <v>9246</v>
      </c>
      <c r="C6461" s="131">
        <v>6281044116</v>
      </c>
      <c r="E6461" s="17" t="s">
        <v>9178</v>
      </c>
      <c r="F6461" s="4" t="s">
        <v>2340</v>
      </c>
      <c r="G6461" s="3" t="s">
        <v>16</v>
      </c>
      <c r="H6461" s="2" t="s">
        <v>6158</v>
      </c>
      <c r="I6461" s="3" t="s">
        <v>42</v>
      </c>
      <c r="J6461" s="31">
        <v>46079</v>
      </c>
      <c r="K6461" s="31">
        <v>46083</v>
      </c>
      <c r="L6461" s="31">
        <v>46087</v>
      </c>
      <c r="M6461" s="31">
        <v>46107</v>
      </c>
      <c r="N6461" s="31">
        <v>46107</v>
      </c>
      <c r="O6461" s="2" t="s">
        <v>297</v>
      </c>
    </row>
    <row r="6462" spans="1:15">
      <c r="A6462" s="3">
        <f t="shared" si="158"/>
        <v>6461</v>
      </c>
      <c r="B6462" s="129" t="s">
        <v>9247</v>
      </c>
      <c r="C6462" s="1">
        <v>8555084144</v>
      </c>
      <c r="D6462" s="130">
        <v>8309810073</v>
      </c>
      <c r="E6462" s="17" t="s">
        <v>9178</v>
      </c>
      <c r="F6462" s="4" t="s">
        <v>9248</v>
      </c>
      <c r="G6462" s="3" t="s">
        <v>416</v>
      </c>
      <c r="H6462" s="2" t="s">
        <v>6158</v>
      </c>
      <c r="I6462" s="3" t="s">
        <v>42</v>
      </c>
      <c r="J6462" s="31">
        <v>46079</v>
      </c>
      <c r="K6462" s="31">
        <v>46080</v>
      </c>
      <c r="L6462" s="31"/>
      <c r="M6462" s="31"/>
      <c r="N6462" s="31"/>
      <c r="O6462" s="2" t="s">
        <v>297</v>
      </c>
    </row>
    <row r="6463" spans="1:15">
      <c r="A6463" s="3">
        <f t="shared" ref="A6463:A6470" si="159">ROW()-1</f>
        <v>6462</v>
      </c>
      <c r="B6463" s="129" t="s">
        <v>1524</v>
      </c>
      <c r="C6463" s="1">
        <v>8294979309</v>
      </c>
      <c r="D6463" s="130"/>
      <c r="E6463" s="17" t="s">
        <v>3954</v>
      </c>
      <c r="F6463" s="4" t="s">
        <v>9249</v>
      </c>
      <c r="G6463" s="3" t="s">
        <v>764</v>
      </c>
      <c r="H6463" s="2" t="s">
        <v>4145</v>
      </c>
      <c r="I6463" s="3" t="s">
        <v>42</v>
      </c>
      <c r="J6463" s="31">
        <v>46079</v>
      </c>
      <c r="K6463" s="31">
        <v>46080</v>
      </c>
      <c r="L6463" s="31"/>
      <c r="M6463" s="31"/>
      <c r="N6463" s="31"/>
      <c r="O6463" s="2" t="s">
        <v>425</v>
      </c>
    </row>
    <row r="6464" spans="1:15">
      <c r="A6464" s="3">
        <f t="shared" si="159"/>
        <v>6463</v>
      </c>
      <c r="B6464" s="129" t="s">
        <v>9250</v>
      </c>
      <c r="C6464" s="1">
        <v>6355501689</v>
      </c>
      <c r="D6464" s="130"/>
      <c r="E6464" s="17" t="s">
        <v>6537</v>
      </c>
      <c r="F6464" s="4" t="s">
        <v>9251</v>
      </c>
      <c r="G6464" s="3" t="s">
        <v>416</v>
      </c>
      <c r="H6464" s="2" t="s">
        <v>6158</v>
      </c>
      <c r="I6464" s="3" t="s">
        <v>42</v>
      </c>
      <c r="J6464" s="31">
        <v>46079</v>
      </c>
      <c r="K6464" s="31">
        <v>46080</v>
      </c>
      <c r="L6464" s="31"/>
      <c r="M6464" s="31"/>
      <c r="N6464" s="31"/>
      <c r="O6464" s="2" t="s">
        <v>297</v>
      </c>
    </row>
    <row r="6465" spans="1:15">
      <c r="A6465" s="3">
        <f t="shared" si="159"/>
        <v>6464</v>
      </c>
      <c r="B6465" s="129" t="s">
        <v>9252</v>
      </c>
      <c r="C6465" s="1">
        <v>6301805802</v>
      </c>
      <c r="D6465" s="130"/>
      <c r="E6465" s="17" t="s">
        <v>6537</v>
      </c>
      <c r="F6465" s="4" t="s">
        <v>329</v>
      </c>
      <c r="G6465" s="3" t="s">
        <v>416</v>
      </c>
      <c r="H6465" s="2" t="s">
        <v>6158</v>
      </c>
      <c r="I6465" s="3" t="s">
        <v>42</v>
      </c>
      <c r="J6465" s="31">
        <v>46079</v>
      </c>
      <c r="K6465" s="31">
        <v>46080</v>
      </c>
      <c r="L6465" s="31"/>
      <c r="M6465" s="31"/>
      <c r="N6465" s="31"/>
      <c r="O6465" s="2" t="s">
        <v>297</v>
      </c>
    </row>
    <row r="6466" spans="1:15">
      <c r="A6466" s="3">
        <f t="shared" si="159"/>
        <v>6465</v>
      </c>
      <c r="B6466" s="129" t="s">
        <v>9253</v>
      </c>
      <c r="C6466" s="1">
        <v>8328181791</v>
      </c>
      <c r="D6466" s="130"/>
      <c r="E6466" s="17" t="s">
        <v>6537</v>
      </c>
      <c r="F6466" s="4" t="s">
        <v>1312</v>
      </c>
      <c r="G6466" s="3" t="s">
        <v>18</v>
      </c>
      <c r="H6466" s="2" t="s">
        <v>6158</v>
      </c>
      <c r="I6466" s="3" t="s">
        <v>42</v>
      </c>
      <c r="J6466" s="31">
        <v>46079</v>
      </c>
      <c r="K6466" s="31">
        <v>46080</v>
      </c>
      <c r="L6466" s="31"/>
      <c r="M6466" s="31"/>
      <c r="N6466" s="31"/>
      <c r="O6466" s="2" t="s">
        <v>297</v>
      </c>
    </row>
    <row r="6467" spans="1:15">
      <c r="A6467" s="3">
        <f t="shared" si="159"/>
        <v>6466</v>
      </c>
      <c r="B6467" s="129" t="s">
        <v>363</v>
      </c>
      <c r="C6467" s="1">
        <v>8228918280</v>
      </c>
      <c r="D6467" s="130">
        <v>6202183948</v>
      </c>
      <c r="E6467" s="17" t="s">
        <v>8433</v>
      </c>
      <c r="F6467" s="4" t="s">
        <v>419</v>
      </c>
      <c r="G6467" s="3" t="s">
        <v>15</v>
      </c>
      <c r="H6467" s="2" t="s">
        <v>6158</v>
      </c>
      <c r="I6467" s="3" t="s">
        <v>42</v>
      </c>
      <c r="J6467" s="31">
        <v>46079</v>
      </c>
      <c r="K6467" s="31">
        <v>46080</v>
      </c>
      <c r="L6467" s="31">
        <v>46094</v>
      </c>
      <c r="M6467" s="31">
        <v>46114</v>
      </c>
      <c r="N6467" s="31"/>
      <c r="O6467" s="2" t="s">
        <v>297</v>
      </c>
    </row>
    <row r="6468" spans="1:15">
      <c r="A6468" s="3">
        <f t="shared" si="159"/>
        <v>6467</v>
      </c>
      <c r="B6468" s="129" t="s">
        <v>9254</v>
      </c>
      <c r="C6468" s="1">
        <v>8074760356</v>
      </c>
      <c r="D6468" s="130"/>
      <c r="E6468" s="17" t="s">
        <v>8963</v>
      </c>
      <c r="F6468" s="4" t="s">
        <v>5563</v>
      </c>
      <c r="G6468" s="3" t="s">
        <v>15</v>
      </c>
      <c r="H6468" s="2" t="s">
        <v>6158</v>
      </c>
      <c r="I6468" s="3" t="s">
        <v>42</v>
      </c>
      <c r="J6468" s="31">
        <v>46079</v>
      </c>
      <c r="K6468" s="31">
        <v>46080</v>
      </c>
      <c r="L6468" s="31">
        <v>46080</v>
      </c>
      <c r="M6468" s="31">
        <v>46111</v>
      </c>
      <c r="N6468" s="31"/>
      <c r="O6468" s="2" t="s">
        <v>297</v>
      </c>
    </row>
    <row r="6469" spans="1:15">
      <c r="A6469" s="3">
        <f t="shared" si="159"/>
        <v>6468</v>
      </c>
      <c r="B6469" s="129" t="s">
        <v>9255</v>
      </c>
      <c r="C6469" s="1">
        <v>8317681975</v>
      </c>
      <c r="D6469" s="130"/>
      <c r="E6469" s="17" t="s">
        <v>8734</v>
      </c>
      <c r="F6469" s="4" t="s">
        <v>9256</v>
      </c>
      <c r="G6469" s="3" t="s">
        <v>16</v>
      </c>
      <c r="H6469" s="2" t="s">
        <v>6158</v>
      </c>
      <c r="I6469" s="3" t="s">
        <v>42</v>
      </c>
      <c r="J6469" s="31">
        <v>46079</v>
      </c>
      <c r="K6469" s="31">
        <v>46080</v>
      </c>
      <c r="L6469" s="31">
        <v>46080</v>
      </c>
      <c r="M6469" s="31">
        <v>46095</v>
      </c>
      <c r="N6469" s="31">
        <v>46097</v>
      </c>
      <c r="O6469" s="2" t="s">
        <v>297</v>
      </c>
    </row>
    <row r="6470" spans="1:15">
      <c r="A6470" s="3">
        <f t="shared" si="159"/>
        <v>6469</v>
      </c>
      <c r="B6470" s="129" t="s">
        <v>413</v>
      </c>
      <c r="C6470" s="1">
        <v>9693854926</v>
      </c>
      <c r="D6470" s="130"/>
      <c r="E6470" s="17" t="s">
        <v>9257</v>
      </c>
      <c r="F6470" s="4" t="s">
        <v>9258</v>
      </c>
      <c r="G6470" s="3" t="s">
        <v>15</v>
      </c>
      <c r="H6470" s="2" t="s">
        <v>815</v>
      </c>
      <c r="I6470" s="3" t="s">
        <v>42</v>
      </c>
      <c r="J6470" s="31">
        <v>46079</v>
      </c>
      <c r="K6470" s="31">
        <v>46080</v>
      </c>
      <c r="L6470" s="31">
        <v>46080</v>
      </c>
      <c r="M6470" s="31">
        <v>46114</v>
      </c>
      <c r="N6470" s="31"/>
      <c r="O6470" s="2" t="s">
        <v>297</v>
      </c>
    </row>
    <row r="6471" spans="1:15">
      <c r="A6471" s="3">
        <f t="shared" ref="A6471:A6474" si="160">ROW()-1</f>
        <v>6470</v>
      </c>
      <c r="B6471" s="129" t="s">
        <v>9259</v>
      </c>
      <c r="C6471" s="1">
        <v>9381155417</v>
      </c>
      <c r="D6471" s="130"/>
      <c r="E6471" s="17" t="s">
        <v>9192</v>
      </c>
      <c r="F6471" s="4"/>
      <c r="G6471" s="3" t="s">
        <v>15</v>
      </c>
      <c r="H6471" s="2" t="s">
        <v>815</v>
      </c>
      <c r="I6471" s="3" t="s">
        <v>94</v>
      </c>
      <c r="J6471" s="31">
        <v>46079</v>
      </c>
      <c r="K6471" s="31">
        <v>46080</v>
      </c>
      <c r="L6471" s="31">
        <v>46080</v>
      </c>
      <c r="M6471" s="31">
        <v>46111</v>
      </c>
      <c r="N6471" s="31"/>
      <c r="O6471" s="2" t="s">
        <v>297</v>
      </c>
    </row>
    <row r="6472" spans="1:15">
      <c r="A6472" s="3">
        <f t="shared" si="160"/>
        <v>6471</v>
      </c>
      <c r="B6472" s="129" t="s">
        <v>9260</v>
      </c>
      <c r="C6472" s="1">
        <v>8790098080</v>
      </c>
      <c r="D6472" s="130"/>
      <c r="E6472" s="17" t="s">
        <v>8800</v>
      </c>
      <c r="F6472" s="4"/>
      <c r="G6472" s="3" t="s">
        <v>16</v>
      </c>
      <c r="H6472" s="2" t="s">
        <v>815</v>
      </c>
      <c r="I6472" s="3" t="s">
        <v>94</v>
      </c>
      <c r="J6472" s="31">
        <v>46079</v>
      </c>
      <c r="K6472" s="31">
        <v>46080</v>
      </c>
      <c r="L6472" s="31">
        <v>46080</v>
      </c>
      <c r="M6472" s="31">
        <v>46087</v>
      </c>
      <c r="N6472" s="31">
        <v>46092</v>
      </c>
      <c r="O6472" s="2" t="s">
        <v>297</v>
      </c>
    </row>
    <row r="6473" spans="1:15">
      <c r="A6473" s="3">
        <f t="shared" si="160"/>
        <v>6472</v>
      </c>
      <c r="B6473" s="129" t="s">
        <v>9261</v>
      </c>
      <c r="C6473" s="1">
        <v>7095646246</v>
      </c>
      <c r="D6473" s="130"/>
      <c r="E6473" s="17" t="s">
        <v>8800</v>
      </c>
      <c r="F6473" s="4"/>
      <c r="G6473" s="3" t="s">
        <v>15</v>
      </c>
      <c r="H6473" s="2" t="s">
        <v>815</v>
      </c>
      <c r="I6473" s="3" t="s">
        <v>94</v>
      </c>
      <c r="J6473" s="31">
        <v>46079</v>
      </c>
      <c r="K6473" s="31">
        <v>46080</v>
      </c>
      <c r="L6473" s="31">
        <v>46080</v>
      </c>
      <c r="M6473" s="31">
        <v>46087</v>
      </c>
      <c r="N6473" s="31"/>
      <c r="O6473" s="2" t="s">
        <v>297</v>
      </c>
    </row>
    <row r="6474" spans="1:15">
      <c r="A6474" s="3">
        <f t="shared" si="160"/>
        <v>6473</v>
      </c>
      <c r="B6474" s="129" t="s">
        <v>9262</v>
      </c>
      <c r="C6474" s="1">
        <v>8179218155</v>
      </c>
      <c r="D6474" s="130"/>
      <c r="E6474" s="17" t="s">
        <v>5540</v>
      </c>
      <c r="F6474" s="4"/>
      <c r="G6474" s="3" t="s">
        <v>15</v>
      </c>
      <c r="H6474" s="2" t="s">
        <v>815</v>
      </c>
      <c r="I6474" s="3" t="s">
        <v>94</v>
      </c>
      <c r="J6474" s="31">
        <v>46079</v>
      </c>
      <c r="K6474" s="31">
        <v>46080</v>
      </c>
      <c r="L6474" s="31">
        <v>46080</v>
      </c>
      <c r="M6474" s="31">
        <v>46111</v>
      </c>
      <c r="N6474" s="31"/>
      <c r="O6474" s="2" t="s">
        <v>297</v>
      </c>
    </row>
    <row r="6475" spans="1:15">
      <c r="A6475" s="3">
        <f>ROW()-1</f>
        <v>6474</v>
      </c>
      <c r="B6475" s="129" t="s">
        <v>9263</v>
      </c>
      <c r="C6475" s="1">
        <v>9642406042</v>
      </c>
      <c r="D6475" s="130"/>
      <c r="E6475" s="17" t="s">
        <v>5915</v>
      </c>
      <c r="F6475" s="4"/>
      <c r="G6475" s="3" t="s">
        <v>16</v>
      </c>
      <c r="H6475" s="2" t="s">
        <v>9264</v>
      </c>
      <c r="I6475" s="3" t="s">
        <v>42</v>
      </c>
      <c r="J6475" s="31">
        <v>46079</v>
      </c>
      <c r="K6475" s="31">
        <v>46080</v>
      </c>
      <c r="L6475" s="31">
        <v>46080</v>
      </c>
      <c r="M6475" s="31">
        <v>46101</v>
      </c>
      <c r="N6475" s="31">
        <v>46093</v>
      </c>
      <c r="O6475" s="2" t="s">
        <v>297</v>
      </c>
    </row>
    <row r="6476" spans="1:15">
      <c r="A6476" s="3">
        <f>ROW()-1</f>
        <v>6475</v>
      </c>
      <c r="B6476" s="129" t="s">
        <v>9265</v>
      </c>
      <c r="C6476" s="1">
        <v>9959222669</v>
      </c>
      <c r="D6476" s="130"/>
      <c r="E6476" s="17" t="s">
        <v>9266</v>
      </c>
      <c r="F6476" s="4" t="s">
        <v>9267</v>
      </c>
      <c r="G6476" s="3" t="s">
        <v>16</v>
      </c>
      <c r="H6476" s="2" t="s">
        <v>162</v>
      </c>
      <c r="I6476" s="3" t="s">
        <v>42</v>
      </c>
      <c r="J6476" s="31">
        <v>46083</v>
      </c>
      <c r="K6476" s="31">
        <v>46083</v>
      </c>
      <c r="L6476" s="31">
        <v>46087</v>
      </c>
      <c r="M6476" s="31">
        <v>46102</v>
      </c>
      <c r="N6476" s="31">
        <v>46106</v>
      </c>
      <c r="O6476" s="2" t="s">
        <v>297</v>
      </c>
    </row>
    <row r="6477" spans="1:15">
      <c r="A6477" s="3">
        <f t="shared" ref="A6477:A6489" si="161">ROW()-1</f>
        <v>6476</v>
      </c>
      <c r="B6477" s="129" t="s">
        <v>9268</v>
      </c>
      <c r="C6477" s="1">
        <v>9177396724</v>
      </c>
      <c r="D6477" s="130"/>
      <c r="E6477" s="17" t="s">
        <v>8644</v>
      </c>
      <c r="F6477" s="4" t="s">
        <v>1060</v>
      </c>
      <c r="G6477" s="3" t="s">
        <v>764</v>
      </c>
      <c r="H6477" s="2" t="s">
        <v>6158</v>
      </c>
      <c r="I6477" s="3" t="s">
        <v>42</v>
      </c>
      <c r="J6477" s="31">
        <v>46084</v>
      </c>
      <c r="K6477" s="31">
        <v>46085</v>
      </c>
      <c r="L6477" s="31"/>
      <c r="M6477" s="31"/>
      <c r="N6477" s="31"/>
      <c r="O6477" s="2" t="s">
        <v>425</v>
      </c>
    </row>
    <row r="6478" spans="1:15">
      <c r="A6478" s="3">
        <f t="shared" si="161"/>
        <v>6477</v>
      </c>
      <c r="B6478" s="129" t="s">
        <v>9269</v>
      </c>
      <c r="C6478" s="1">
        <v>9182237675</v>
      </c>
      <c r="D6478" s="130"/>
      <c r="E6478" s="17" t="s">
        <v>9178</v>
      </c>
      <c r="F6478" s="4" t="s">
        <v>9270</v>
      </c>
      <c r="G6478" s="3" t="s">
        <v>14</v>
      </c>
      <c r="H6478" s="2" t="s">
        <v>6158</v>
      </c>
      <c r="I6478" s="3" t="s">
        <v>42</v>
      </c>
      <c r="J6478" s="31">
        <v>46084</v>
      </c>
      <c r="K6478" s="31">
        <v>46085</v>
      </c>
      <c r="L6478" s="31"/>
      <c r="M6478" s="31"/>
      <c r="N6478" s="31"/>
      <c r="O6478" s="2" t="s">
        <v>297</v>
      </c>
    </row>
    <row r="6479" spans="1:15">
      <c r="A6479" s="3">
        <f t="shared" si="161"/>
        <v>6478</v>
      </c>
      <c r="B6479" s="129" t="s">
        <v>9271</v>
      </c>
      <c r="C6479" s="1">
        <v>7396915900</v>
      </c>
      <c r="D6479" s="130"/>
      <c r="E6479" s="17" t="s">
        <v>9178</v>
      </c>
      <c r="F6479" s="4" t="s">
        <v>8839</v>
      </c>
      <c r="G6479" s="3" t="s">
        <v>764</v>
      </c>
      <c r="H6479" s="2" t="s">
        <v>6158</v>
      </c>
      <c r="I6479" s="3" t="s">
        <v>42</v>
      </c>
      <c r="J6479" s="31">
        <v>46084</v>
      </c>
      <c r="K6479" s="31">
        <v>46085</v>
      </c>
      <c r="L6479" s="31"/>
      <c r="M6479" s="31"/>
      <c r="N6479" s="31"/>
      <c r="O6479" s="2" t="s">
        <v>425</v>
      </c>
    </row>
    <row r="6480" spans="1:15">
      <c r="A6480" s="3">
        <f t="shared" si="161"/>
        <v>6479</v>
      </c>
      <c r="B6480" s="129" t="s">
        <v>9272</v>
      </c>
      <c r="C6480" s="1">
        <v>7036578323</v>
      </c>
      <c r="D6480" s="130"/>
      <c r="E6480" s="17" t="s">
        <v>9178</v>
      </c>
      <c r="F6480" s="4" t="s">
        <v>2340</v>
      </c>
      <c r="G6480" s="3" t="s">
        <v>416</v>
      </c>
      <c r="H6480" s="2" t="s">
        <v>6158</v>
      </c>
      <c r="I6480" s="3" t="s">
        <v>42</v>
      </c>
      <c r="J6480" s="31">
        <v>46084</v>
      </c>
      <c r="K6480" s="31">
        <v>46085</v>
      </c>
      <c r="L6480" s="31"/>
      <c r="M6480" s="31"/>
      <c r="N6480" s="31"/>
      <c r="O6480" s="2" t="s">
        <v>297</v>
      </c>
    </row>
    <row r="6481" spans="1:15">
      <c r="A6481" s="3">
        <f t="shared" si="161"/>
        <v>6480</v>
      </c>
      <c r="B6481" s="129" t="s">
        <v>9273</v>
      </c>
      <c r="C6481" s="1">
        <v>9390847041</v>
      </c>
      <c r="D6481" s="130"/>
      <c r="E6481" s="17" t="s">
        <v>2176</v>
      </c>
      <c r="F6481" s="4" t="s">
        <v>7106</v>
      </c>
      <c r="G6481" s="3" t="s">
        <v>295</v>
      </c>
      <c r="H6481" s="2" t="s">
        <v>999</v>
      </c>
      <c r="I6481" s="3" t="s">
        <v>42</v>
      </c>
      <c r="J6481" s="31">
        <v>46084</v>
      </c>
      <c r="K6481" s="31">
        <v>46084</v>
      </c>
      <c r="L6481" s="31">
        <v>46084</v>
      </c>
      <c r="M6481" s="31">
        <v>46090</v>
      </c>
      <c r="N6481" s="31"/>
      <c r="O6481" s="2" t="s">
        <v>297</v>
      </c>
    </row>
    <row r="6482" spans="1:15">
      <c r="A6482" s="3">
        <f t="shared" si="161"/>
        <v>6481</v>
      </c>
      <c r="B6482" s="129" t="s">
        <v>9274</v>
      </c>
      <c r="C6482" s="1">
        <v>9398659075</v>
      </c>
      <c r="D6482" s="130"/>
      <c r="E6482" s="17" t="s">
        <v>9275</v>
      </c>
      <c r="F6482" s="4"/>
      <c r="G6482" s="3" t="s">
        <v>16</v>
      </c>
      <c r="H6482" s="2" t="s">
        <v>162</v>
      </c>
      <c r="I6482" s="3" t="s">
        <v>94</v>
      </c>
      <c r="J6482" s="31">
        <v>46084</v>
      </c>
      <c r="K6482" s="31">
        <v>46084</v>
      </c>
      <c r="L6482" s="31">
        <v>46094</v>
      </c>
      <c r="M6482" s="31">
        <v>46101</v>
      </c>
      <c r="N6482" s="31">
        <v>46096</v>
      </c>
      <c r="O6482" s="2" t="s">
        <v>297</v>
      </c>
    </row>
    <row r="6483" spans="1:15">
      <c r="A6483" s="3">
        <f t="shared" si="161"/>
        <v>6482</v>
      </c>
      <c r="B6483" s="129" t="s">
        <v>9276</v>
      </c>
      <c r="C6483" s="1">
        <v>8637597117</v>
      </c>
      <c r="D6483" s="130">
        <v>7872592572</v>
      </c>
      <c r="E6483" s="3" t="s">
        <v>9277</v>
      </c>
      <c r="F6483" s="4" t="s">
        <v>9278</v>
      </c>
      <c r="G6483" s="3" t="s">
        <v>15</v>
      </c>
      <c r="H6483" s="2" t="s">
        <v>296</v>
      </c>
      <c r="I6483" s="3" t="s">
        <v>88</v>
      </c>
      <c r="J6483" s="31">
        <v>46084</v>
      </c>
      <c r="K6483" s="31">
        <v>46086</v>
      </c>
      <c r="L6483" s="31">
        <v>46087</v>
      </c>
      <c r="M6483" s="31">
        <v>46118</v>
      </c>
      <c r="N6483" s="31"/>
      <c r="O6483" s="2" t="s">
        <v>297</v>
      </c>
    </row>
    <row r="6484" spans="1:15">
      <c r="A6484" s="3">
        <f t="shared" si="161"/>
        <v>6483</v>
      </c>
      <c r="B6484" s="129" t="s">
        <v>9279</v>
      </c>
      <c r="C6484" s="1">
        <v>7602638914</v>
      </c>
      <c r="D6484" s="130">
        <v>9735448576</v>
      </c>
      <c r="E6484" s="17" t="s">
        <v>9018</v>
      </c>
      <c r="F6484" s="4" t="s">
        <v>294</v>
      </c>
      <c r="G6484" s="3" t="s">
        <v>424</v>
      </c>
      <c r="H6484" s="2" t="s">
        <v>296</v>
      </c>
      <c r="I6484" s="3" t="s">
        <v>88</v>
      </c>
      <c r="J6484" s="31">
        <v>46084</v>
      </c>
      <c r="K6484" s="31">
        <v>46092</v>
      </c>
      <c r="L6484" s="31"/>
      <c r="M6484" s="31"/>
      <c r="N6484" s="31"/>
      <c r="O6484" s="2" t="s">
        <v>425</v>
      </c>
    </row>
    <row r="6485" spans="1:15">
      <c r="A6485" s="3">
        <f t="shared" si="161"/>
        <v>6484</v>
      </c>
      <c r="B6485" s="129" t="s">
        <v>9280</v>
      </c>
      <c r="C6485" s="1">
        <v>9411083205</v>
      </c>
      <c r="D6485" s="130">
        <v>9664221611</v>
      </c>
      <c r="E6485" s="17" t="s">
        <v>9277</v>
      </c>
      <c r="F6485" s="4" t="s">
        <v>9281</v>
      </c>
      <c r="G6485" s="3" t="s">
        <v>424</v>
      </c>
      <c r="H6485" s="2" t="s">
        <v>296</v>
      </c>
      <c r="I6485" s="3" t="s">
        <v>88</v>
      </c>
      <c r="J6485" s="31">
        <v>46084</v>
      </c>
      <c r="K6485" s="31">
        <v>46094</v>
      </c>
      <c r="L6485" s="31"/>
      <c r="M6485" s="31"/>
      <c r="N6485" s="31"/>
      <c r="O6485" s="2" t="s">
        <v>749</v>
      </c>
    </row>
    <row r="6486" spans="1:15">
      <c r="A6486" s="3">
        <f t="shared" si="161"/>
        <v>6485</v>
      </c>
      <c r="B6486" s="129" t="s">
        <v>9282</v>
      </c>
      <c r="C6486" s="1">
        <v>9804158915</v>
      </c>
      <c r="D6486" s="130">
        <v>9123752337</v>
      </c>
      <c r="E6486" s="17" t="s">
        <v>9277</v>
      </c>
      <c r="F6486" s="4" t="s">
        <v>9283</v>
      </c>
      <c r="G6486" s="3" t="s">
        <v>424</v>
      </c>
      <c r="H6486" s="2" t="s">
        <v>296</v>
      </c>
      <c r="I6486" s="3" t="s">
        <v>88</v>
      </c>
      <c r="J6486" s="31">
        <v>46084</v>
      </c>
      <c r="K6486" s="31">
        <v>46094</v>
      </c>
      <c r="L6486" s="31"/>
      <c r="M6486" s="31"/>
      <c r="N6486" s="31"/>
      <c r="O6486" s="2" t="s">
        <v>425</v>
      </c>
    </row>
    <row r="6487" spans="1:15">
      <c r="A6487" s="3">
        <f t="shared" si="161"/>
        <v>6486</v>
      </c>
      <c r="B6487" s="129" t="s">
        <v>9284</v>
      </c>
      <c r="C6487" s="1">
        <v>9177441831</v>
      </c>
      <c r="D6487" s="130"/>
      <c r="E6487" s="17" t="s">
        <v>5557</v>
      </c>
      <c r="F6487" s="4" t="s">
        <v>2346</v>
      </c>
      <c r="G6487" s="3" t="s">
        <v>14</v>
      </c>
      <c r="H6487" s="2" t="s">
        <v>6158</v>
      </c>
      <c r="I6487" s="3" t="s">
        <v>42</v>
      </c>
      <c r="J6487" s="31">
        <v>46084</v>
      </c>
      <c r="K6487" s="31">
        <v>46101</v>
      </c>
      <c r="L6487" s="31"/>
      <c r="M6487" s="31"/>
      <c r="N6487" s="31"/>
      <c r="O6487" s="2" t="s">
        <v>297</v>
      </c>
    </row>
    <row r="6488" spans="1:15">
      <c r="A6488" s="3">
        <f t="shared" si="161"/>
        <v>6487</v>
      </c>
      <c r="B6488" s="129" t="s">
        <v>9285</v>
      </c>
      <c r="C6488" s="1">
        <v>7667094566</v>
      </c>
      <c r="D6488" s="130"/>
      <c r="E6488" s="17" t="s">
        <v>5557</v>
      </c>
      <c r="F6488" s="4" t="s">
        <v>9286</v>
      </c>
      <c r="G6488" s="3" t="s">
        <v>18</v>
      </c>
      <c r="H6488" s="2" t="s">
        <v>6158</v>
      </c>
      <c r="I6488" s="3" t="s">
        <v>42</v>
      </c>
      <c r="J6488" s="31">
        <v>46084</v>
      </c>
      <c r="K6488" s="31"/>
      <c r="L6488" s="31"/>
      <c r="M6488" s="31"/>
      <c r="N6488" s="31"/>
      <c r="O6488" s="2" t="s">
        <v>1004</v>
      </c>
    </row>
    <row r="6489" spans="1:15">
      <c r="A6489" s="3">
        <f t="shared" si="161"/>
        <v>6488</v>
      </c>
      <c r="B6489" s="129" t="s">
        <v>9287</v>
      </c>
      <c r="C6489" s="1">
        <v>6362364986</v>
      </c>
      <c r="D6489" s="130">
        <v>9661220550</v>
      </c>
      <c r="E6489" s="17" t="s">
        <v>5557</v>
      </c>
      <c r="F6489" s="4" t="s">
        <v>1364</v>
      </c>
      <c r="G6489" s="3" t="s">
        <v>15</v>
      </c>
      <c r="H6489" s="2" t="s">
        <v>6158</v>
      </c>
      <c r="I6489" s="3" t="s">
        <v>42</v>
      </c>
      <c r="J6489" s="31">
        <v>46084</v>
      </c>
      <c r="K6489" s="31">
        <v>46101</v>
      </c>
      <c r="L6489" s="31">
        <v>46108</v>
      </c>
      <c r="M6489" s="31">
        <v>46139</v>
      </c>
      <c r="N6489" s="31"/>
      <c r="O6489" s="2" t="s">
        <v>297</v>
      </c>
    </row>
    <row r="6490" spans="1:15">
      <c r="A6490" s="3">
        <f t="shared" ref="A6490:A6507" si="162">ROW()-1</f>
        <v>6489</v>
      </c>
      <c r="B6490" s="129" t="s">
        <v>9288</v>
      </c>
      <c r="C6490" s="1">
        <v>8897828225</v>
      </c>
      <c r="D6490" s="130"/>
      <c r="E6490" s="17" t="s">
        <v>6537</v>
      </c>
      <c r="F6490" s="4" t="s">
        <v>9289</v>
      </c>
      <c r="G6490" s="3" t="s">
        <v>416</v>
      </c>
      <c r="H6490" s="2" t="s">
        <v>6158</v>
      </c>
      <c r="I6490" s="3" t="s">
        <v>42</v>
      </c>
      <c r="J6490" s="31">
        <v>46084</v>
      </c>
      <c r="K6490" s="31">
        <v>46087</v>
      </c>
      <c r="L6490" s="31"/>
      <c r="M6490" s="31"/>
      <c r="N6490" s="31"/>
      <c r="O6490" s="2" t="s">
        <v>297</v>
      </c>
    </row>
    <row r="6491" spans="1:15">
      <c r="A6491" s="3">
        <f t="shared" si="162"/>
        <v>6490</v>
      </c>
      <c r="B6491" s="129" t="s">
        <v>9290</v>
      </c>
      <c r="C6491" s="1">
        <v>7286027823</v>
      </c>
      <c r="D6491" s="130"/>
      <c r="E6491" s="17" t="s">
        <v>6537</v>
      </c>
      <c r="F6491" s="4" t="s">
        <v>329</v>
      </c>
      <c r="G6491" s="3" t="s">
        <v>15</v>
      </c>
      <c r="H6491" s="2" t="s">
        <v>6158</v>
      </c>
      <c r="I6491" s="3" t="s">
        <v>42</v>
      </c>
      <c r="J6491" s="31">
        <v>46084</v>
      </c>
      <c r="K6491" s="31">
        <v>46087</v>
      </c>
      <c r="L6491" s="31">
        <v>46094</v>
      </c>
      <c r="M6491" s="31">
        <v>46109</v>
      </c>
      <c r="N6491" s="31"/>
      <c r="O6491" s="2" t="s">
        <v>297</v>
      </c>
    </row>
    <row r="6492" spans="1:15">
      <c r="A6492" s="3">
        <f t="shared" si="162"/>
        <v>6491</v>
      </c>
      <c r="B6492" s="129" t="s">
        <v>9291</v>
      </c>
      <c r="C6492" s="1">
        <v>9391169117</v>
      </c>
      <c r="D6492" s="130"/>
      <c r="E6492" s="17" t="s">
        <v>9292</v>
      </c>
      <c r="F6492" s="4" t="s">
        <v>270</v>
      </c>
      <c r="G6492" s="3" t="s">
        <v>15</v>
      </c>
      <c r="H6492" s="2" t="s">
        <v>162</v>
      </c>
      <c r="I6492" s="3" t="s">
        <v>42</v>
      </c>
      <c r="J6492" s="31">
        <v>46082</v>
      </c>
      <c r="K6492" s="31">
        <v>46083</v>
      </c>
      <c r="L6492" s="31">
        <v>46084</v>
      </c>
      <c r="M6492" s="31">
        <v>46115</v>
      </c>
      <c r="N6492" s="31"/>
      <c r="O6492" s="2" t="s">
        <v>297</v>
      </c>
    </row>
    <row r="6493" spans="1:15">
      <c r="A6493" s="3">
        <f t="shared" si="162"/>
        <v>6492</v>
      </c>
      <c r="B6493" s="129" t="s">
        <v>9293</v>
      </c>
      <c r="C6493" s="1">
        <v>8179144964</v>
      </c>
      <c r="D6493" s="130"/>
      <c r="E6493" s="17" t="s">
        <v>5540</v>
      </c>
      <c r="F6493" s="4" t="s">
        <v>9193</v>
      </c>
      <c r="G6493" s="3" t="s">
        <v>15</v>
      </c>
      <c r="H6493" s="2" t="s">
        <v>815</v>
      </c>
      <c r="I6493" s="3" t="s">
        <v>42</v>
      </c>
      <c r="J6493" s="31">
        <v>46082</v>
      </c>
      <c r="K6493" s="31">
        <v>46083</v>
      </c>
      <c r="L6493" s="31">
        <v>46084</v>
      </c>
      <c r="M6493" s="31">
        <v>46104</v>
      </c>
      <c r="N6493" s="31"/>
      <c r="O6493" s="2" t="s">
        <v>297</v>
      </c>
    </row>
    <row r="6494" spans="1:15">
      <c r="A6494" s="3">
        <f t="shared" si="162"/>
        <v>6493</v>
      </c>
      <c r="B6494" s="129" t="s">
        <v>9294</v>
      </c>
      <c r="C6494" s="1">
        <v>9440060292</v>
      </c>
      <c r="D6494" s="130"/>
      <c r="E6494" s="17" t="s">
        <v>9295</v>
      </c>
      <c r="F6494" s="4"/>
      <c r="G6494" s="3" t="s">
        <v>15</v>
      </c>
      <c r="H6494" s="2" t="s">
        <v>9035</v>
      </c>
      <c r="I6494" s="3" t="s">
        <v>42</v>
      </c>
      <c r="J6494" s="31">
        <v>46082</v>
      </c>
      <c r="K6494" s="31">
        <v>46083</v>
      </c>
      <c r="L6494" s="31">
        <v>46084</v>
      </c>
      <c r="M6494" s="31">
        <v>46115</v>
      </c>
      <c r="N6494" s="31"/>
      <c r="O6494" s="2" t="s">
        <v>297</v>
      </c>
    </row>
    <row r="6495" spans="1:15">
      <c r="A6495" s="3">
        <f t="shared" si="162"/>
        <v>6494</v>
      </c>
      <c r="B6495" s="129" t="s">
        <v>9296</v>
      </c>
      <c r="C6495" s="1">
        <v>7731882280</v>
      </c>
      <c r="D6495" s="130"/>
      <c r="E6495" s="17" t="s">
        <v>9178</v>
      </c>
      <c r="F6495" s="4" t="s">
        <v>9297</v>
      </c>
      <c r="G6495" s="3" t="s">
        <v>15</v>
      </c>
      <c r="H6495" s="2" t="s">
        <v>6158</v>
      </c>
      <c r="I6495" s="3" t="s">
        <v>42</v>
      </c>
      <c r="J6495" s="31">
        <v>46085</v>
      </c>
      <c r="K6495" s="31">
        <v>46086</v>
      </c>
      <c r="L6495" s="31">
        <v>46094</v>
      </c>
      <c r="M6495" s="31">
        <v>46109</v>
      </c>
      <c r="N6495" s="31"/>
      <c r="O6495" s="2" t="s">
        <v>297</v>
      </c>
    </row>
    <row r="6496" spans="1:15">
      <c r="A6496" s="3">
        <f t="shared" si="162"/>
        <v>6495</v>
      </c>
      <c r="B6496" s="129" t="s">
        <v>9298</v>
      </c>
      <c r="C6496" s="1">
        <v>8106017020</v>
      </c>
      <c r="D6496" s="130"/>
      <c r="E6496" s="17" t="s">
        <v>9178</v>
      </c>
      <c r="F6496" s="4" t="s">
        <v>2340</v>
      </c>
      <c r="G6496" s="3" t="s">
        <v>18</v>
      </c>
      <c r="H6496" s="2" t="s">
        <v>6158</v>
      </c>
      <c r="I6496" s="3" t="s">
        <v>42</v>
      </c>
      <c r="J6496" s="31">
        <v>46085</v>
      </c>
      <c r="K6496" s="31">
        <v>46086</v>
      </c>
      <c r="L6496" s="31"/>
      <c r="M6496" s="31"/>
      <c r="N6496" s="31"/>
      <c r="O6496" s="2" t="s">
        <v>297</v>
      </c>
    </row>
    <row r="6497" spans="1:15">
      <c r="A6497" s="3">
        <f t="shared" si="162"/>
        <v>6496</v>
      </c>
      <c r="B6497" s="129" t="s">
        <v>9299</v>
      </c>
      <c r="C6497" s="1">
        <v>9492930484</v>
      </c>
      <c r="D6497" s="130"/>
      <c r="E6497" s="17" t="s">
        <v>9178</v>
      </c>
      <c r="F6497" s="4" t="s">
        <v>2340</v>
      </c>
      <c r="G6497" s="3" t="s">
        <v>15</v>
      </c>
      <c r="H6497" s="2" t="s">
        <v>6158</v>
      </c>
      <c r="I6497" s="3" t="s">
        <v>42</v>
      </c>
      <c r="J6497" s="31">
        <v>46085</v>
      </c>
      <c r="K6497" s="31">
        <v>46086</v>
      </c>
      <c r="L6497" s="31">
        <v>46087</v>
      </c>
      <c r="M6497" s="31">
        <v>46125</v>
      </c>
      <c r="N6497" s="31"/>
      <c r="O6497" s="2" t="s">
        <v>297</v>
      </c>
    </row>
    <row r="6498" spans="1:15">
      <c r="A6498" s="3">
        <f t="shared" si="162"/>
        <v>6497</v>
      </c>
      <c r="B6498" s="129" t="s">
        <v>9300</v>
      </c>
      <c r="C6498" s="1">
        <v>7337307656</v>
      </c>
      <c r="D6498" s="130"/>
      <c r="E6498" s="17" t="s">
        <v>8644</v>
      </c>
      <c r="F6498" s="4" t="s">
        <v>1060</v>
      </c>
      <c r="G6498" s="3" t="s">
        <v>416</v>
      </c>
      <c r="H6498" s="2" t="s">
        <v>6158</v>
      </c>
      <c r="I6498" s="3" t="s">
        <v>42</v>
      </c>
      <c r="J6498" s="31">
        <v>46085</v>
      </c>
      <c r="K6498" s="31">
        <v>46085</v>
      </c>
      <c r="L6498" s="31"/>
      <c r="M6498" s="31"/>
      <c r="N6498" s="31"/>
      <c r="O6498" s="2" t="s">
        <v>297</v>
      </c>
    </row>
    <row r="6499" spans="1:15">
      <c r="A6499" s="3">
        <f t="shared" si="162"/>
        <v>6498</v>
      </c>
      <c r="B6499" s="129" t="s">
        <v>9301</v>
      </c>
      <c r="C6499" s="1">
        <v>7799807025</v>
      </c>
      <c r="D6499" s="130"/>
      <c r="E6499" s="17" t="s">
        <v>7114</v>
      </c>
      <c r="F6499" s="4" t="s">
        <v>9302</v>
      </c>
      <c r="G6499" s="3" t="s">
        <v>15</v>
      </c>
      <c r="H6499" s="2" t="s">
        <v>6158</v>
      </c>
      <c r="I6499" s="3" t="s">
        <v>42</v>
      </c>
      <c r="J6499" s="31">
        <v>46085</v>
      </c>
      <c r="K6499" s="31">
        <v>46091</v>
      </c>
      <c r="L6499" s="31">
        <v>46094</v>
      </c>
      <c r="M6499" s="31">
        <v>46109</v>
      </c>
      <c r="N6499" s="31"/>
      <c r="O6499" s="2" t="s">
        <v>297</v>
      </c>
    </row>
    <row r="6500" spans="1:15">
      <c r="A6500" s="3">
        <f t="shared" si="162"/>
        <v>6499</v>
      </c>
      <c r="B6500" s="129" t="s">
        <v>9303</v>
      </c>
      <c r="C6500" s="1">
        <v>8374603085</v>
      </c>
      <c r="D6500" s="130"/>
      <c r="E6500" s="17" t="s">
        <v>7114</v>
      </c>
      <c r="F6500" s="4" t="s">
        <v>7376</v>
      </c>
      <c r="G6500" s="3" t="s">
        <v>15</v>
      </c>
      <c r="H6500" s="2" t="s">
        <v>6158</v>
      </c>
      <c r="I6500" s="3" t="s">
        <v>42</v>
      </c>
      <c r="J6500" s="31">
        <v>46085</v>
      </c>
      <c r="K6500" s="31">
        <v>46091</v>
      </c>
      <c r="L6500" s="31">
        <v>46094</v>
      </c>
      <c r="M6500" s="31">
        <v>46125</v>
      </c>
      <c r="N6500" s="31"/>
      <c r="O6500" s="2" t="s">
        <v>297</v>
      </c>
    </row>
    <row r="6501" spans="1:15">
      <c r="A6501" s="3">
        <f t="shared" si="162"/>
        <v>6500</v>
      </c>
      <c r="B6501" s="129" t="s">
        <v>9304</v>
      </c>
      <c r="C6501" s="1">
        <v>9861456325</v>
      </c>
      <c r="D6501" s="130">
        <v>8338800000</v>
      </c>
      <c r="E6501" s="17" t="s">
        <v>8246</v>
      </c>
      <c r="F6501" s="4" t="s">
        <v>638</v>
      </c>
      <c r="G6501" s="3" t="s">
        <v>15</v>
      </c>
      <c r="H6501" s="2" t="s">
        <v>9305</v>
      </c>
      <c r="I6501" s="3" t="s">
        <v>94</v>
      </c>
      <c r="J6501" s="31">
        <v>46085</v>
      </c>
      <c r="K6501" s="31">
        <v>46092</v>
      </c>
      <c r="L6501" s="31">
        <v>46094</v>
      </c>
      <c r="M6501" s="31">
        <v>46106</v>
      </c>
      <c r="N6501" s="31"/>
      <c r="O6501" s="2" t="s">
        <v>297</v>
      </c>
    </row>
    <row r="6502" spans="1:15">
      <c r="A6502" s="3">
        <f t="shared" si="162"/>
        <v>6501</v>
      </c>
      <c r="B6502" s="129" t="s">
        <v>8580</v>
      </c>
      <c r="C6502" s="1">
        <v>9728907803</v>
      </c>
      <c r="D6502" s="130"/>
      <c r="E6502" s="17" t="s">
        <v>9238</v>
      </c>
      <c r="F6502" s="4" t="s">
        <v>638</v>
      </c>
      <c r="G6502" s="3" t="s">
        <v>15</v>
      </c>
      <c r="H6502" s="2" t="s">
        <v>9305</v>
      </c>
      <c r="I6502" s="3" t="s">
        <v>94</v>
      </c>
      <c r="J6502" s="31">
        <v>46085</v>
      </c>
      <c r="K6502" s="31">
        <v>46093</v>
      </c>
      <c r="L6502" s="31">
        <v>46094</v>
      </c>
      <c r="M6502" s="31">
        <v>46109</v>
      </c>
      <c r="N6502" s="31"/>
      <c r="O6502" s="2" t="s">
        <v>297</v>
      </c>
    </row>
    <row r="6503" spans="1:15">
      <c r="A6503" s="3">
        <f t="shared" si="162"/>
        <v>6502</v>
      </c>
      <c r="B6503" s="129" t="s">
        <v>9306</v>
      </c>
      <c r="C6503" s="1">
        <v>7880940053</v>
      </c>
      <c r="D6503" s="130">
        <v>9214613811</v>
      </c>
      <c r="E6503" s="17" t="s">
        <v>9238</v>
      </c>
      <c r="F6503" s="4" t="s">
        <v>638</v>
      </c>
      <c r="G6503" s="3" t="s">
        <v>15</v>
      </c>
      <c r="H6503" s="2" t="s">
        <v>9305</v>
      </c>
      <c r="I6503" s="3" t="s">
        <v>94</v>
      </c>
      <c r="J6503" s="31">
        <v>46085</v>
      </c>
      <c r="K6503" s="31">
        <v>46097</v>
      </c>
      <c r="L6503" s="31">
        <v>46101</v>
      </c>
      <c r="M6503" s="31">
        <v>46116</v>
      </c>
      <c r="N6503" s="31"/>
      <c r="O6503" s="2" t="s">
        <v>297</v>
      </c>
    </row>
    <row r="6504" spans="1:15">
      <c r="A6504" s="3">
        <f t="shared" si="162"/>
        <v>6503</v>
      </c>
      <c r="B6504" s="129" t="s">
        <v>9307</v>
      </c>
      <c r="C6504" s="1">
        <v>6291790237</v>
      </c>
      <c r="D6504" s="130"/>
      <c r="E6504" s="17" t="s">
        <v>9238</v>
      </c>
      <c r="F6504" s="4" t="s">
        <v>638</v>
      </c>
      <c r="G6504" s="3" t="s">
        <v>416</v>
      </c>
      <c r="H6504" s="2" t="s">
        <v>9305</v>
      </c>
      <c r="I6504" s="3" t="s">
        <v>94</v>
      </c>
      <c r="J6504" s="31">
        <v>46085</v>
      </c>
      <c r="K6504" s="31">
        <v>46091</v>
      </c>
      <c r="L6504" s="31"/>
      <c r="M6504" s="31"/>
      <c r="N6504" s="31"/>
      <c r="O6504" s="2" t="s">
        <v>297</v>
      </c>
    </row>
    <row r="6505" spans="1:15">
      <c r="A6505" s="3">
        <f t="shared" si="162"/>
        <v>6504</v>
      </c>
      <c r="B6505" s="129" t="s">
        <v>9308</v>
      </c>
      <c r="C6505" s="1">
        <v>8738014043</v>
      </c>
      <c r="D6505" s="130"/>
      <c r="E6505" s="17" t="s">
        <v>8246</v>
      </c>
      <c r="F6505" s="4" t="s">
        <v>638</v>
      </c>
      <c r="G6505" s="3" t="s">
        <v>16</v>
      </c>
      <c r="H6505" s="2" t="s">
        <v>9305</v>
      </c>
      <c r="I6505" s="3" t="s">
        <v>94</v>
      </c>
      <c r="J6505" s="31">
        <v>46085</v>
      </c>
      <c r="K6505" s="31">
        <v>46086</v>
      </c>
      <c r="L6505" s="31">
        <v>46087</v>
      </c>
      <c r="M6505" s="31">
        <v>46107</v>
      </c>
      <c r="N6505" s="31">
        <v>46106</v>
      </c>
      <c r="O6505" s="2" t="s">
        <v>297</v>
      </c>
    </row>
    <row r="6506" spans="1:15">
      <c r="A6506" s="3">
        <f t="shared" si="162"/>
        <v>6505</v>
      </c>
      <c r="B6506" s="129" t="s">
        <v>8581</v>
      </c>
      <c r="C6506" s="1">
        <v>9517404484</v>
      </c>
      <c r="D6506" s="130"/>
      <c r="E6506" s="17" t="s">
        <v>9238</v>
      </c>
      <c r="F6506" s="4" t="s">
        <v>638</v>
      </c>
      <c r="G6506" s="3" t="s">
        <v>15</v>
      </c>
      <c r="H6506" s="2" t="s">
        <v>9305</v>
      </c>
      <c r="I6506" s="3" t="s">
        <v>94</v>
      </c>
      <c r="J6506" s="31">
        <v>46085</v>
      </c>
      <c r="K6506" s="31">
        <v>46086</v>
      </c>
      <c r="L6506" s="31">
        <v>46087</v>
      </c>
      <c r="M6506" s="31">
        <v>46102</v>
      </c>
      <c r="N6506" s="31"/>
      <c r="O6506" s="2" t="s">
        <v>297</v>
      </c>
    </row>
    <row r="6507" spans="1:15">
      <c r="A6507" s="3">
        <f t="shared" si="162"/>
        <v>6506</v>
      </c>
      <c r="B6507" s="129" t="s">
        <v>1871</v>
      </c>
      <c r="C6507" s="1">
        <v>7275636086</v>
      </c>
      <c r="D6507" s="130"/>
      <c r="E6507" s="17" t="s">
        <v>9238</v>
      </c>
      <c r="F6507" s="4" t="s">
        <v>638</v>
      </c>
      <c r="G6507" s="3" t="s">
        <v>424</v>
      </c>
      <c r="H6507" s="2" t="s">
        <v>9305</v>
      </c>
      <c r="I6507" s="3" t="s">
        <v>94</v>
      </c>
      <c r="J6507" s="31">
        <v>46085</v>
      </c>
      <c r="K6507" s="31">
        <v>46104</v>
      </c>
      <c r="L6507" s="31"/>
      <c r="M6507" s="31"/>
      <c r="N6507" s="31"/>
      <c r="O6507" s="2" t="s">
        <v>425</v>
      </c>
    </row>
    <row r="6508" spans="1:15">
      <c r="A6508" s="3">
        <f t="shared" ref="A6508:A6520" si="163">ROW()-1</f>
        <v>6507</v>
      </c>
      <c r="B6508" s="129" t="s">
        <v>9309</v>
      </c>
      <c r="C6508" s="1">
        <v>9121416438</v>
      </c>
      <c r="D6508" s="130"/>
      <c r="E6508" s="17" t="s">
        <v>9083</v>
      </c>
      <c r="F6508" s="4" t="s">
        <v>461</v>
      </c>
      <c r="G6508" s="3" t="s">
        <v>15</v>
      </c>
      <c r="H6508" s="2" t="s">
        <v>8395</v>
      </c>
      <c r="I6508" s="3" t="s">
        <v>42</v>
      </c>
      <c r="J6508" s="31">
        <v>46085</v>
      </c>
      <c r="K6508" s="31">
        <v>46090</v>
      </c>
      <c r="L6508" s="31">
        <v>46108</v>
      </c>
      <c r="M6508" s="31">
        <v>46118</v>
      </c>
      <c r="N6508" s="31"/>
      <c r="O6508" s="2" t="s">
        <v>297</v>
      </c>
    </row>
    <row r="6509" spans="1:15">
      <c r="A6509" s="3">
        <f t="shared" si="163"/>
        <v>6508</v>
      </c>
      <c r="B6509" s="129" t="s">
        <v>9310</v>
      </c>
      <c r="C6509" s="1">
        <v>7093013296</v>
      </c>
      <c r="D6509" s="130"/>
      <c r="E6509" s="17" t="s">
        <v>9083</v>
      </c>
      <c r="F6509" s="4" t="s">
        <v>503</v>
      </c>
      <c r="G6509" s="3" t="s">
        <v>416</v>
      </c>
      <c r="H6509" s="2" t="s">
        <v>8395</v>
      </c>
      <c r="I6509" s="3" t="s">
        <v>42</v>
      </c>
      <c r="J6509" s="31">
        <v>46085</v>
      </c>
      <c r="K6509" s="31">
        <v>46090</v>
      </c>
      <c r="L6509" s="31"/>
      <c r="M6509" s="31"/>
      <c r="N6509" s="31"/>
      <c r="O6509" s="2" t="s">
        <v>297</v>
      </c>
    </row>
    <row r="6510" spans="1:15">
      <c r="A6510" s="3">
        <f t="shared" si="163"/>
        <v>6509</v>
      </c>
      <c r="B6510" s="129" t="s">
        <v>9311</v>
      </c>
      <c r="C6510" s="1">
        <v>7702504474</v>
      </c>
      <c r="D6510" s="130"/>
      <c r="E6510" s="17" t="s">
        <v>9083</v>
      </c>
      <c r="F6510" s="4" t="s">
        <v>9312</v>
      </c>
      <c r="G6510" s="3" t="s">
        <v>14</v>
      </c>
      <c r="H6510" s="2" t="s">
        <v>8395</v>
      </c>
      <c r="I6510" s="3" t="s">
        <v>42</v>
      </c>
      <c r="J6510" s="31">
        <v>46085</v>
      </c>
      <c r="K6510" s="31">
        <v>46090</v>
      </c>
      <c r="L6510" s="31"/>
      <c r="M6510" s="31"/>
      <c r="N6510" s="31"/>
      <c r="O6510" s="2" t="s">
        <v>297</v>
      </c>
    </row>
    <row r="6511" spans="1:15">
      <c r="A6511" s="3">
        <f t="shared" si="163"/>
        <v>6510</v>
      </c>
      <c r="B6511" s="129" t="s">
        <v>9313</v>
      </c>
      <c r="C6511" s="1">
        <v>7702227720</v>
      </c>
      <c r="D6511" s="130"/>
      <c r="E6511" s="17" t="s">
        <v>9083</v>
      </c>
      <c r="F6511" s="4" t="s">
        <v>9314</v>
      </c>
      <c r="G6511" s="3" t="s">
        <v>15</v>
      </c>
      <c r="H6511" s="2" t="s">
        <v>8395</v>
      </c>
      <c r="I6511" s="3" t="s">
        <v>42</v>
      </c>
      <c r="J6511" s="31">
        <v>46085</v>
      </c>
      <c r="K6511" s="31">
        <v>46090</v>
      </c>
      <c r="L6511" s="31">
        <v>46101</v>
      </c>
      <c r="M6511" s="31">
        <v>46133</v>
      </c>
      <c r="N6511" s="31"/>
      <c r="O6511" s="2" t="s">
        <v>297</v>
      </c>
    </row>
    <row r="6512" spans="1:15">
      <c r="A6512" s="3">
        <f t="shared" si="163"/>
        <v>6511</v>
      </c>
      <c r="B6512" s="129" t="s">
        <v>9315</v>
      </c>
      <c r="C6512" s="1">
        <v>8580432817</v>
      </c>
      <c r="D6512" s="130"/>
      <c r="E6512" s="17" t="s">
        <v>6766</v>
      </c>
      <c r="F6512" s="4" t="s">
        <v>503</v>
      </c>
      <c r="G6512" s="3" t="s">
        <v>15</v>
      </c>
      <c r="H6512" s="2" t="s">
        <v>1613</v>
      </c>
      <c r="I6512" s="3" t="s">
        <v>88</v>
      </c>
      <c r="J6512" s="31">
        <v>46086</v>
      </c>
      <c r="K6512" s="31">
        <v>46086</v>
      </c>
      <c r="L6512" s="31">
        <v>46087</v>
      </c>
      <c r="M6512" s="31">
        <v>46118</v>
      </c>
      <c r="N6512" s="31"/>
      <c r="O6512" s="2" t="s">
        <v>297</v>
      </c>
    </row>
    <row r="6513" spans="1:15">
      <c r="A6513" s="3">
        <f t="shared" si="163"/>
        <v>6512</v>
      </c>
      <c r="B6513" s="129" t="s">
        <v>9316</v>
      </c>
      <c r="C6513" s="1">
        <v>9905963931</v>
      </c>
      <c r="D6513" s="130"/>
      <c r="E6513" s="17" t="s">
        <v>9057</v>
      </c>
      <c r="F6513" s="4" t="s">
        <v>9317</v>
      </c>
      <c r="G6513" s="3" t="s">
        <v>15</v>
      </c>
      <c r="H6513" s="2" t="s">
        <v>162</v>
      </c>
      <c r="I6513" s="3" t="s">
        <v>88</v>
      </c>
      <c r="J6513" s="31">
        <v>46086</v>
      </c>
      <c r="K6513" s="31">
        <v>46086</v>
      </c>
      <c r="L6513" s="31">
        <v>46087</v>
      </c>
      <c r="M6513" s="31">
        <v>46118</v>
      </c>
      <c r="N6513" s="31"/>
      <c r="O6513" s="2" t="s">
        <v>297</v>
      </c>
    </row>
    <row r="6514" spans="1:15">
      <c r="A6514" s="3">
        <f t="shared" si="163"/>
        <v>6513</v>
      </c>
      <c r="B6514" s="129" t="s">
        <v>9318</v>
      </c>
      <c r="C6514" s="1">
        <v>9851996156</v>
      </c>
      <c r="D6514" s="130"/>
      <c r="E6514" s="17" t="s">
        <v>9049</v>
      </c>
      <c r="F6514" s="4" t="s">
        <v>3002</v>
      </c>
      <c r="G6514" s="3" t="s">
        <v>15</v>
      </c>
      <c r="H6514" s="2" t="s">
        <v>296</v>
      </c>
      <c r="I6514" s="3" t="s">
        <v>88</v>
      </c>
      <c r="J6514" s="31">
        <v>46086</v>
      </c>
      <c r="K6514" s="31">
        <v>46086</v>
      </c>
      <c r="L6514" s="31">
        <v>46087</v>
      </c>
      <c r="M6514" s="31">
        <v>46118</v>
      </c>
      <c r="N6514" s="31"/>
      <c r="O6514" s="2" t="s">
        <v>297</v>
      </c>
    </row>
    <row r="6515" spans="1:15">
      <c r="A6515" s="3">
        <f t="shared" si="163"/>
        <v>6514</v>
      </c>
      <c r="B6515" s="129" t="s">
        <v>9319</v>
      </c>
      <c r="C6515" s="1">
        <v>8769354512</v>
      </c>
      <c r="D6515" s="130"/>
      <c r="E6515" s="17" t="s">
        <v>9018</v>
      </c>
      <c r="F6515" s="4" t="s">
        <v>3002</v>
      </c>
      <c r="G6515" s="3" t="s">
        <v>424</v>
      </c>
      <c r="H6515" s="2" t="s">
        <v>296</v>
      </c>
      <c r="I6515" s="3" t="s">
        <v>88</v>
      </c>
      <c r="J6515" s="31">
        <v>46086</v>
      </c>
      <c r="K6515" s="31">
        <v>46103</v>
      </c>
      <c r="L6515" s="31"/>
      <c r="M6515" s="31"/>
      <c r="N6515" s="31"/>
      <c r="O6515" s="2" t="s">
        <v>425</v>
      </c>
    </row>
    <row r="6516" spans="1:15">
      <c r="A6516" s="3">
        <f t="shared" si="163"/>
        <v>6515</v>
      </c>
      <c r="B6516" s="129" t="s">
        <v>1178</v>
      </c>
      <c r="C6516" s="1">
        <v>9532097186</v>
      </c>
      <c r="D6516" s="130"/>
      <c r="E6516" s="17" t="s">
        <v>9018</v>
      </c>
      <c r="F6516" s="4" t="s">
        <v>3002</v>
      </c>
      <c r="G6516" s="3" t="s">
        <v>7030</v>
      </c>
      <c r="H6516" s="2" t="s">
        <v>296</v>
      </c>
      <c r="I6516" s="3" t="s">
        <v>88</v>
      </c>
      <c r="J6516" s="31">
        <v>46086</v>
      </c>
      <c r="K6516" s="31"/>
      <c r="L6516" s="31"/>
      <c r="M6516" s="31"/>
      <c r="N6516" s="31"/>
      <c r="O6516" s="2" t="s">
        <v>1004</v>
      </c>
    </row>
    <row r="6517" spans="1:15">
      <c r="A6517" s="3">
        <f t="shared" si="163"/>
        <v>6516</v>
      </c>
      <c r="B6517" s="129" t="s">
        <v>9320</v>
      </c>
      <c r="C6517" s="1">
        <v>8967500550</v>
      </c>
      <c r="D6517" s="130"/>
      <c r="E6517" s="17" t="s">
        <v>9277</v>
      </c>
      <c r="F6517" s="4" t="s">
        <v>294</v>
      </c>
      <c r="G6517" s="3" t="s">
        <v>15</v>
      </c>
      <c r="H6517" s="2" t="s">
        <v>296</v>
      </c>
      <c r="I6517" s="3" t="s">
        <v>88</v>
      </c>
      <c r="J6517" s="31">
        <v>46086</v>
      </c>
      <c r="K6517" s="31">
        <v>46097</v>
      </c>
      <c r="L6517" s="31">
        <v>46101</v>
      </c>
      <c r="M6517" s="31">
        <v>46132</v>
      </c>
      <c r="N6517" s="31"/>
      <c r="O6517" s="2" t="s">
        <v>297</v>
      </c>
    </row>
    <row r="6518" spans="1:15">
      <c r="A6518" s="3">
        <f t="shared" si="163"/>
        <v>6517</v>
      </c>
      <c r="B6518" s="129" t="s">
        <v>9321</v>
      </c>
      <c r="C6518" s="1">
        <v>7584003696</v>
      </c>
      <c r="D6518" s="130">
        <v>9103944363</v>
      </c>
      <c r="E6518" s="17" t="s">
        <v>9277</v>
      </c>
      <c r="F6518" s="4" t="s">
        <v>644</v>
      </c>
      <c r="G6518" s="3" t="s">
        <v>14</v>
      </c>
      <c r="H6518" s="2" t="s">
        <v>296</v>
      </c>
      <c r="I6518" s="3" t="s">
        <v>88</v>
      </c>
      <c r="J6518" s="31">
        <v>46086</v>
      </c>
      <c r="K6518" s="31">
        <v>46108</v>
      </c>
      <c r="L6518" s="31"/>
      <c r="M6518" s="31"/>
      <c r="N6518" s="31"/>
      <c r="O6518" s="2" t="s">
        <v>297</v>
      </c>
    </row>
    <row r="6519" spans="1:15">
      <c r="A6519" s="3">
        <f t="shared" si="163"/>
        <v>6518</v>
      </c>
      <c r="B6519" s="132" t="s">
        <v>9322</v>
      </c>
      <c r="C6519" s="1">
        <v>7703922959</v>
      </c>
      <c r="D6519" s="130">
        <v>8802888578</v>
      </c>
      <c r="E6519" s="17" t="s">
        <v>9277</v>
      </c>
      <c r="F6519" s="4" t="s">
        <v>294</v>
      </c>
      <c r="G6519" s="3" t="s">
        <v>424</v>
      </c>
      <c r="H6519" s="2" t="s">
        <v>296</v>
      </c>
      <c r="I6519" s="3" t="s">
        <v>88</v>
      </c>
      <c r="J6519" s="31">
        <v>46086</v>
      </c>
      <c r="K6519" s="31">
        <v>46108</v>
      </c>
      <c r="L6519" s="31"/>
      <c r="M6519" s="31"/>
      <c r="N6519" s="31"/>
      <c r="O6519" s="2" t="s">
        <v>425</v>
      </c>
    </row>
    <row r="6520" spans="1:15">
      <c r="A6520" s="133">
        <f t="shared" si="163"/>
        <v>6519</v>
      </c>
      <c r="B6520" s="134" t="s">
        <v>9323</v>
      </c>
      <c r="C6520" s="130">
        <v>9528543206</v>
      </c>
      <c r="D6520" s="130">
        <v>9647417673</v>
      </c>
      <c r="E6520" s="17" t="s">
        <v>9277</v>
      </c>
      <c r="F6520" s="4" t="s">
        <v>294</v>
      </c>
      <c r="G6520" s="3" t="s">
        <v>416</v>
      </c>
      <c r="H6520" s="2" t="s">
        <v>296</v>
      </c>
      <c r="I6520" s="3" t="s">
        <v>88</v>
      </c>
      <c r="J6520" s="31">
        <v>46086</v>
      </c>
      <c r="K6520" s="31">
        <v>46099</v>
      </c>
      <c r="L6520" s="31"/>
      <c r="M6520" s="31"/>
      <c r="N6520" s="31"/>
      <c r="O6520" s="2" t="s">
        <v>297</v>
      </c>
    </row>
    <row r="6521" spans="1:15">
      <c r="A6521" s="133">
        <f>ROW()-1</f>
        <v>6520</v>
      </c>
      <c r="B6521" s="65" t="s">
        <v>9324</v>
      </c>
      <c r="C6521" s="130">
        <v>8688735668</v>
      </c>
      <c r="D6521" s="130"/>
      <c r="E6521" s="17" t="s">
        <v>7114</v>
      </c>
      <c r="F6521" s="4" t="s">
        <v>308</v>
      </c>
      <c r="G6521" s="3" t="s">
        <v>7030</v>
      </c>
      <c r="H6521" s="2" t="s">
        <v>6158</v>
      </c>
      <c r="I6521" s="3" t="s">
        <v>42</v>
      </c>
      <c r="J6521" s="31">
        <v>46087</v>
      </c>
      <c r="K6521" s="31"/>
      <c r="L6521" s="31"/>
      <c r="M6521" s="31"/>
      <c r="N6521" s="31"/>
      <c r="O6521" s="2" t="s">
        <v>1004</v>
      </c>
    </row>
    <row r="6522" spans="1:15">
      <c r="A6522" s="133">
        <f>ROW()-1</f>
        <v>6521</v>
      </c>
      <c r="B6522" s="65" t="s">
        <v>6152</v>
      </c>
      <c r="C6522" s="130">
        <v>7589435688</v>
      </c>
      <c r="D6522" s="130">
        <v>9103137194</v>
      </c>
      <c r="E6522" s="17" t="s">
        <v>8184</v>
      </c>
      <c r="F6522" s="4" t="s">
        <v>308</v>
      </c>
      <c r="G6522" s="3" t="s">
        <v>18</v>
      </c>
      <c r="H6522" s="2" t="s">
        <v>1605</v>
      </c>
      <c r="I6522" s="3" t="s">
        <v>94</v>
      </c>
      <c r="J6522" s="31">
        <v>46087</v>
      </c>
      <c r="K6522" s="31"/>
      <c r="L6522" s="31"/>
      <c r="M6522" s="31"/>
      <c r="N6522" s="31"/>
      <c r="O6522" s="2" t="s">
        <v>1004</v>
      </c>
    </row>
    <row r="6523" spans="1:15">
      <c r="A6523" s="133">
        <f t="shared" ref="A6523:A6552" si="164">ROW()-1</f>
        <v>6522</v>
      </c>
      <c r="B6523" s="65" t="s">
        <v>9325</v>
      </c>
      <c r="C6523" s="130">
        <v>8074353164</v>
      </c>
      <c r="D6523" s="130"/>
      <c r="E6523" s="17" t="s">
        <v>8213</v>
      </c>
      <c r="F6523" s="4"/>
      <c r="G6523" s="3" t="s">
        <v>16</v>
      </c>
      <c r="H6523" s="2" t="s">
        <v>9305</v>
      </c>
      <c r="I6523" s="3" t="s">
        <v>94</v>
      </c>
      <c r="J6523" s="31">
        <v>46083</v>
      </c>
      <c r="K6523" s="31">
        <v>46086</v>
      </c>
      <c r="L6523" s="31">
        <v>46087</v>
      </c>
      <c r="M6523" s="31">
        <v>46097</v>
      </c>
      <c r="N6523" s="31">
        <v>46092</v>
      </c>
      <c r="O6523" s="2" t="s">
        <v>297</v>
      </c>
    </row>
    <row r="6524" spans="1:15">
      <c r="A6524" s="133">
        <f t="shared" si="164"/>
        <v>6523</v>
      </c>
      <c r="B6524" s="65" t="s">
        <v>9326</v>
      </c>
      <c r="C6524" s="130">
        <v>6309407025</v>
      </c>
      <c r="D6524" s="130"/>
      <c r="E6524" s="17" t="s">
        <v>8213</v>
      </c>
      <c r="F6524" s="4"/>
      <c r="G6524" s="3" t="s">
        <v>16</v>
      </c>
      <c r="H6524" s="2" t="s">
        <v>9305</v>
      </c>
      <c r="I6524" s="3" t="s">
        <v>94</v>
      </c>
      <c r="J6524" s="31">
        <v>46083</v>
      </c>
      <c r="K6524" s="31">
        <v>46086</v>
      </c>
      <c r="L6524" s="31">
        <v>46087</v>
      </c>
      <c r="M6524" s="31">
        <v>46097</v>
      </c>
      <c r="N6524" s="31">
        <v>46093</v>
      </c>
      <c r="O6524" s="2" t="s">
        <v>297</v>
      </c>
    </row>
    <row r="6525" spans="1:15">
      <c r="A6525" s="133">
        <f t="shared" si="164"/>
        <v>6524</v>
      </c>
      <c r="B6525" s="65" t="s">
        <v>9327</v>
      </c>
      <c r="C6525" s="130">
        <v>9704231618</v>
      </c>
      <c r="D6525" s="130"/>
      <c r="E6525" s="17" t="s">
        <v>8213</v>
      </c>
      <c r="F6525" s="4"/>
      <c r="G6525" s="3" t="s">
        <v>16</v>
      </c>
      <c r="H6525" s="2" t="s">
        <v>9305</v>
      </c>
      <c r="I6525" s="3" t="s">
        <v>94</v>
      </c>
      <c r="J6525" s="31">
        <v>46083</v>
      </c>
      <c r="K6525" s="31">
        <v>46086</v>
      </c>
      <c r="L6525" s="31">
        <v>46087</v>
      </c>
      <c r="M6525" s="31">
        <v>46097</v>
      </c>
      <c r="N6525" s="31">
        <v>46092</v>
      </c>
      <c r="O6525" s="2" t="s">
        <v>297</v>
      </c>
    </row>
    <row r="6526" spans="1:15">
      <c r="A6526" s="133">
        <f t="shared" si="164"/>
        <v>6525</v>
      </c>
      <c r="B6526" s="65" t="s">
        <v>9328</v>
      </c>
      <c r="C6526" s="130">
        <v>9848535390</v>
      </c>
      <c r="D6526" s="130"/>
      <c r="E6526" s="17" t="s">
        <v>8213</v>
      </c>
      <c r="F6526" s="4"/>
      <c r="G6526" s="3" t="s">
        <v>16</v>
      </c>
      <c r="H6526" s="2" t="s">
        <v>9305</v>
      </c>
      <c r="I6526" s="3" t="s">
        <v>94</v>
      </c>
      <c r="J6526" s="31">
        <v>46083</v>
      </c>
      <c r="K6526" s="31">
        <v>46086</v>
      </c>
      <c r="L6526" s="31">
        <v>46087</v>
      </c>
      <c r="M6526" s="31">
        <v>46097</v>
      </c>
      <c r="N6526" s="31">
        <v>46094</v>
      </c>
      <c r="O6526" s="2" t="s">
        <v>297</v>
      </c>
    </row>
    <row r="6527" spans="1:15">
      <c r="A6527" s="133">
        <f t="shared" si="164"/>
        <v>6526</v>
      </c>
      <c r="B6527" s="65" t="s">
        <v>9329</v>
      </c>
      <c r="C6527" s="130">
        <v>9908757260</v>
      </c>
      <c r="D6527" s="130"/>
      <c r="E6527" s="17" t="s">
        <v>8213</v>
      </c>
      <c r="F6527" s="4"/>
      <c r="G6527" s="3" t="s">
        <v>16</v>
      </c>
      <c r="H6527" s="2" t="s">
        <v>9305</v>
      </c>
      <c r="I6527" s="3" t="s">
        <v>94</v>
      </c>
      <c r="J6527" s="31">
        <v>46083</v>
      </c>
      <c r="K6527" s="31">
        <v>46086</v>
      </c>
      <c r="L6527" s="31">
        <v>46087</v>
      </c>
      <c r="M6527" s="31">
        <v>46104</v>
      </c>
      <c r="N6527" s="31">
        <v>46105</v>
      </c>
      <c r="O6527" s="2" t="s">
        <v>297</v>
      </c>
    </row>
    <row r="6528" spans="1:15">
      <c r="A6528" s="133">
        <f t="shared" si="164"/>
        <v>6527</v>
      </c>
      <c r="B6528" s="65" t="s">
        <v>9330</v>
      </c>
      <c r="C6528" s="130">
        <v>8008586194</v>
      </c>
      <c r="D6528" s="130"/>
      <c r="E6528" s="17" t="s">
        <v>8221</v>
      </c>
      <c r="F6528" s="4"/>
      <c r="G6528" s="3" t="s">
        <v>15</v>
      </c>
      <c r="H6528" s="2" t="s">
        <v>162</v>
      </c>
      <c r="I6528" s="3" t="s">
        <v>94</v>
      </c>
      <c r="J6528" s="31">
        <v>46083</v>
      </c>
      <c r="K6528" s="31">
        <v>46086</v>
      </c>
      <c r="L6528" s="31">
        <v>46087</v>
      </c>
      <c r="M6528" s="31">
        <v>46118</v>
      </c>
      <c r="N6528" s="31"/>
      <c r="O6528" s="2" t="s">
        <v>297</v>
      </c>
    </row>
    <row r="6529" spans="1:15">
      <c r="A6529" s="133">
        <f t="shared" si="164"/>
        <v>6528</v>
      </c>
      <c r="B6529" s="65" t="s">
        <v>7178</v>
      </c>
      <c r="C6529" s="130">
        <v>9165937886</v>
      </c>
      <c r="D6529" s="130"/>
      <c r="E6529" s="17" t="s">
        <v>5838</v>
      </c>
      <c r="F6529" s="4"/>
      <c r="G6529" s="3" t="s">
        <v>295</v>
      </c>
      <c r="H6529" s="2" t="s">
        <v>815</v>
      </c>
      <c r="I6529" s="3" t="s">
        <v>94</v>
      </c>
      <c r="J6529" s="31">
        <v>46083</v>
      </c>
      <c r="K6529" s="31">
        <v>46086</v>
      </c>
      <c r="L6529" s="31">
        <v>46087</v>
      </c>
      <c r="M6529" s="31">
        <v>46102</v>
      </c>
      <c r="N6529" s="31"/>
      <c r="O6529" s="2" t="s">
        <v>297</v>
      </c>
    </row>
    <row r="6530" spans="1:15">
      <c r="A6530" s="133">
        <f t="shared" si="164"/>
        <v>6529</v>
      </c>
      <c r="B6530" s="65" t="s">
        <v>7932</v>
      </c>
      <c r="C6530" s="130">
        <v>6388920130</v>
      </c>
      <c r="D6530" s="130"/>
      <c r="E6530" s="17" t="s">
        <v>6091</v>
      </c>
      <c r="F6530" s="4"/>
      <c r="G6530" s="3" t="s">
        <v>15</v>
      </c>
      <c r="H6530" s="2" t="s">
        <v>815</v>
      </c>
      <c r="I6530" s="3" t="s">
        <v>94</v>
      </c>
      <c r="J6530" s="31">
        <v>46083</v>
      </c>
      <c r="K6530" s="31">
        <v>46086</v>
      </c>
      <c r="L6530" s="31">
        <v>46087</v>
      </c>
      <c r="M6530" s="31">
        <v>46113</v>
      </c>
      <c r="N6530" s="31"/>
      <c r="O6530" s="2" t="s">
        <v>297</v>
      </c>
    </row>
    <row r="6531" spans="1:15">
      <c r="A6531" s="133">
        <f t="shared" si="164"/>
        <v>6530</v>
      </c>
      <c r="B6531" s="65" t="s">
        <v>9331</v>
      </c>
      <c r="C6531" s="130">
        <v>7400000120</v>
      </c>
      <c r="D6531" s="130"/>
      <c r="E6531" s="17" t="s">
        <v>7937</v>
      </c>
      <c r="F6531" s="4" t="s">
        <v>9155</v>
      </c>
      <c r="G6531" s="3" t="s">
        <v>14</v>
      </c>
      <c r="H6531" s="2" t="s">
        <v>7935</v>
      </c>
      <c r="I6531" s="3" t="s">
        <v>94</v>
      </c>
      <c r="J6531" s="31">
        <v>46087</v>
      </c>
      <c r="K6531" s="31">
        <v>46094</v>
      </c>
      <c r="L6531" s="31"/>
      <c r="M6531" s="31"/>
      <c r="N6531" s="31"/>
      <c r="O6531" s="2" t="s">
        <v>297</v>
      </c>
    </row>
    <row r="6532" spans="1:15">
      <c r="A6532" s="133">
        <f t="shared" si="164"/>
        <v>6531</v>
      </c>
      <c r="B6532" s="65" t="s">
        <v>9052</v>
      </c>
      <c r="C6532" s="130">
        <v>7006653987</v>
      </c>
      <c r="D6532" s="130"/>
      <c r="E6532" s="17" t="s">
        <v>5915</v>
      </c>
      <c r="F6532" s="4" t="s">
        <v>3929</v>
      </c>
      <c r="G6532" s="3" t="s">
        <v>15</v>
      </c>
      <c r="H6532" s="2" t="s">
        <v>6158</v>
      </c>
      <c r="I6532" s="3" t="s">
        <v>42</v>
      </c>
      <c r="J6532" s="31">
        <v>46083</v>
      </c>
      <c r="K6532" s="31">
        <v>46086</v>
      </c>
      <c r="L6532" s="31">
        <v>46087</v>
      </c>
      <c r="M6532" s="31">
        <v>46107</v>
      </c>
      <c r="N6532" s="31"/>
      <c r="O6532" s="2" t="s">
        <v>297</v>
      </c>
    </row>
    <row r="6533" spans="1:15">
      <c r="A6533" s="133">
        <f t="shared" si="164"/>
        <v>6532</v>
      </c>
      <c r="B6533" s="65" t="s">
        <v>9332</v>
      </c>
      <c r="C6533" s="130">
        <v>7799010813</v>
      </c>
      <c r="D6533" s="135">
        <v>9010472020</v>
      </c>
      <c r="E6533" s="17" t="s">
        <v>7020</v>
      </c>
      <c r="F6533" s="4" t="s">
        <v>1555</v>
      </c>
      <c r="G6533" s="3" t="s">
        <v>16</v>
      </c>
      <c r="H6533" s="2" t="s">
        <v>815</v>
      </c>
      <c r="I6533" s="3" t="s">
        <v>42</v>
      </c>
      <c r="J6533" s="31">
        <v>46083</v>
      </c>
      <c r="K6533" s="31">
        <v>46086</v>
      </c>
      <c r="L6533" s="31">
        <v>46087</v>
      </c>
      <c r="M6533" s="31">
        <v>46090</v>
      </c>
      <c r="N6533" s="31">
        <v>46091</v>
      </c>
      <c r="O6533" s="2" t="s">
        <v>297</v>
      </c>
    </row>
    <row r="6534" spans="1:15">
      <c r="A6534" s="133">
        <f t="shared" si="164"/>
        <v>6533</v>
      </c>
      <c r="B6534" s="65" t="s">
        <v>9333</v>
      </c>
      <c r="C6534" s="130">
        <v>6304020600</v>
      </c>
      <c r="D6534" s="130"/>
      <c r="E6534" s="17" t="s">
        <v>8193</v>
      </c>
      <c r="F6534" s="4" t="s">
        <v>6146</v>
      </c>
      <c r="G6534" s="3" t="s">
        <v>16</v>
      </c>
      <c r="H6534" s="2" t="s">
        <v>815</v>
      </c>
      <c r="I6534" s="3" t="s">
        <v>42</v>
      </c>
      <c r="J6534" s="31">
        <v>46083</v>
      </c>
      <c r="K6534" s="31">
        <v>46086</v>
      </c>
      <c r="L6534" s="31">
        <v>46087</v>
      </c>
      <c r="M6534" s="31">
        <v>46090</v>
      </c>
      <c r="N6534" s="31">
        <v>46090</v>
      </c>
      <c r="O6534" s="2" t="s">
        <v>297</v>
      </c>
    </row>
    <row r="6535" spans="1:15">
      <c r="A6535" s="133">
        <f t="shared" si="164"/>
        <v>6534</v>
      </c>
      <c r="B6535" s="65" t="s">
        <v>9334</v>
      </c>
      <c r="C6535" s="130">
        <v>9398456870</v>
      </c>
      <c r="D6535" s="130"/>
      <c r="E6535" s="17" t="s">
        <v>8193</v>
      </c>
      <c r="F6535" s="4" t="s">
        <v>6146</v>
      </c>
      <c r="G6535" s="3" t="s">
        <v>16</v>
      </c>
      <c r="H6535" s="2" t="s">
        <v>815</v>
      </c>
      <c r="I6535" s="3" t="s">
        <v>42</v>
      </c>
      <c r="J6535" s="31">
        <v>46083</v>
      </c>
      <c r="K6535" s="31">
        <v>46086</v>
      </c>
      <c r="L6535" s="31">
        <v>46087</v>
      </c>
      <c r="M6535" s="31">
        <v>46090</v>
      </c>
      <c r="N6535" s="31">
        <v>46091</v>
      </c>
      <c r="O6535" s="2" t="s">
        <v>297</v>
      </c>
    </row>
    <row r="6536" spans="1:15">
      <c r="A6536" s="133">
        <f t="shared" si="164"/>
        <v>6535</v>
      </c>
      <c r="B6536" s="65" t="s">
        <v>9335</v>
      </c>
      <c r="C6536" s="130">
        <v>9949085490</v>
      </c>
      <c r="D6536" s="130"/>
      <c r="E6536" s="17" t="s">
        <v>9336</v>
      </c>
      <c r="F6536" s="4" t="s">
        <v>9337</v>
      </c>
      <c r="G6536" s="3" t="s">
        <v>16</v>
      </c>
      <c r="H6536" s="2" t="s">
        <v>2553</v>
      </c>
      <c r="I6536" s="3" t="s">
        <v>42</v>
      </c>
      <c r="J6536" s="31">
        <v>46083</v>
      </c>
      <c r="K6536" s="31">
        <v>46086</v>
      </c>
      <c r="L6536" s="31">
        <v>46087</v>
      </c>
      <c r="M6536" s="31">
        <v>46094</v>
      </c>
      <c r="N6536" s="31">
        <v>46090</v>
      </c>
      <c r="O6536" s="2" t="s">
        <v>297</v>
      </c>
    </row>
    <row r="6537" spans="1:15">
      <c r="A6537" s="133">
        <f t="shared" si="164"/>
        <v>6536</v>
      </c>
      <c r="B6537" s="65" t="s">
        <v>9338</v>
      </c>
      <c r="C6537" s="130">
        <v>9805951903</v>
      </c>
      <c r="D6537" s="130">
        <v>7018061876</v>
      </c>
      <c r="E6537" s="17" t="s">
        <v>8184</v>
      </c>
      <c r="F6537" s="4" t="s">
        <v>308</v>
      </c>
      <c r="G6537" s="3" t="s">
        <v>15</v>
      </c>
      <c r="H6537" s="2" t="s">
        <v>1605</v>
      </c>
      <c r="I6537" s="3" t="s">
        <v>94</v>
      </c>
      <c r="J6537" s="31">
        <v>46087</v>
      </c>
      <c r="K6537" s="31">
        <v>46091</v>
      </c>
      <c r="L6537" s="31">
        <v>46094</v>
      </c>
      <c r="M6537" s="31">
        <v>46122</v>
      </c>
      <c r="N6537" s="31"/>
      <c r="O6537" s="2" t="s">
        <v>297</v>
      </c>
    </row>
    <row r="6538" spans="1:15">
      <c r="A6538" s="133">
        <f t="shared" si="164"/>
        <v>6537</v>
      </c>
      <c r="B6538" s="65" t="s">
        <v>9339</v>
      </c>
      <c r="C6538" s="130">
        <v>7659945462</v>
      </c>
      <c r="D6538" s="130"/>
      <c r="E6538" s="17" t="s">
        <v>9083</v>
      </c>
      <c r="F6538" s="4"/>
      <c r="G6538" s="3" t="s">
        <v>15</v>
      </c>
      <c r="H6538" s="2" t="s">
        <v>8395</v>
      </c>
      <c r="I6538" s="3" t="s">
        <v>42</v>
      </c>
      <c r="J6538" s="31">
        <v>46090</v>
      </c>
      <c r="K6538" s="31">
        <v>46090</v>
      </c>
      <c r="L6538" s="31">
        <v>46101</v>
      </c>
      <c r="M6538" s="31">
        <v>46133</v>
      </c>
      <c r="N6538" s="31"/>
      <c r="O6538" s="2" t="s">
        <v>297</v>
      </c>
    </row>
    <row r="6539" spans="1:15">
      <c r="A6539" s="133">
        <f t="shared" si="164"/>
        <v>6538</v>
      </c>
      <c r="B6539" s="65" t="s">
        <v>9340</v>
      </c>
      <c r="C6539" s="130">
        <v>9182268822</v>
      </c>
      <c r="D6539" s="130"/>
      <c r="E6539" s="17" t="s">
        <v>9083</v>
      </c>
      <c r="F6539" s="4"/>
      <c r="G6539" s="3" t="s">
        <v>15</v>
      </c>
      <c r="H6539" s="2" t="s">
        <v>8395</v>
      </c>
      <c r="I6539" s="3" t="s">
        <v>42</v>
      </c>
      <c r="J6539" s="31">
        <v>46090</v>
      </c>
      <c r="K6539" s="31">
        <v>46090</v>
      </c>
      <c r="L6539" s="31">
        <v>46108</v>
      </c>
      <c r="M6539" s="31">
        <v>46115</v>
      </c>
      <c r="N6539" s="31"/>
      <c r="O6539" s="2" t="s">
        <v>297</v>
      </c>
    </row>
    <row r="6540" spans="1:15">
      <c r="A6540" s="133">
        <f t="shared" si="164"/>
        <v>6539</v>
      </c>
      <c r="B6540" s="65" t="s">
        <v>9341</v>
      </c>
      <c r="C6540" s="130">
        <v>9603948376</v>
      </c>
      <c r="D6540" s="130"/>
      <c r="E6540" s="17" t="s">
        <v>5454</v>
      </c>
      <c r="F6540" s="4" t="s">
        <v>5735</v>
      </c>
      <c r="G6540" s="3" t="s">
        <v>424</v>
      </c>
      <c r="H6540" s="2" t="s">
        <v>6158</v>
      </c>
      <c r="I6540" s="3" t="s">
        <v>42</v>
      </c>
      <c r="J6540" s="31">
        <v>46090</v>
      </c>
      <c r="K6540" s="31">
        <v>46111</v>
      </c>
      <c r="L6540" s="31"/>
      <c r="M6540" s="31"/>
      <c r="N6540" s="31"/>
      <c r="O6540" s="2" t="s">
        <v>425</v>
      </c>
    </row>
    <row r="6541" spans="1:15">
      <c r="A6541" s="133">
        <f t="shared" si="164"/>
        <v>6540</v>
      </c>
      <c r="B6541" s="65" t="s">
        <v>9342</v>
      </c>
      <c r="C6541" s="130">
        <v>7013570776</v>
      </c>
      <c r="D6541" s="130"/>
      <c r="E6541" s="17" t="s">
        <v>7114</v>
      </c>
      <c r="F6541" s="4" t="s">
        <v>5735</v>
      </c>
      <c r="G6541" s="3" t="s">
        <v>7030</v>
      </c>
      <c r="H6541" s="2" t="s">
        <v>6158</v>
      </c>
      <c r="I6541" s="3" t="s">
        <v>42</v>
      </c>
      <c r="J6541" s="31">
        <v>46090</v>
      </c>
      <c r="K6541" s="31"/>
      <c r="L6541" s="31"/>
      <c r="M6541" s="31"/>
      <c r="N6541" s="31"/>
      <c r="O6541" s="2" t="s">
        <v>1004</v>
      </c>
    </row>
    <row r="6542" spans="1:15">
      <c r="A6542" s="133">
        <f t="shared" si="164"/>
        <v>6541</v>
      </c>
      <c r="B6542" s="65" t="s">
        <v>9343</v>
      </c>
      <c r="C6542" s="130">
        <v>9177726412</v>
      </c>
      <c r="D6542" s="130"/>
      <c r="E6542" s="17" t="s">
        <v>7114</v>
      </c>
      <c r="F6542" s="4" t="s">
        <v>9344</v>
      </c>
      <c r="G6542" s="3" t="s">
        <v>7030</v>
      </c>
      <c r="H6542" s="2" t="s">
        <v>6158</v>
      </c>
      <c r="I6542" s="3" t="s">
        <v>42</v>
      </c>
      <c r="J6542" s="31">
        <v>46090</v>
      </c>
      <c r="K6542" s="31"/>
      <c r="L6542" s="31"/>
      <c r="M6542" s="31"/>
      <c r="N6542" s="31"/>
      <c r="O6542" s="2" t="s">
        <v>1004</v>
      </c>
    </row>
    <row r="6543" spans="1:15">
      <c r="A6543" s="133">
        <f t="shared" si="164"/>
        <v>6542</v>
      </c>
      <c r="B6543" s="65" t="s">
        <v>9345</v>
      </c>
      <c r="C6543" s="130">
        <v>7207479842</v>
      </c>
      <c r="D6543" s="130"/>
      <c r="E6543" s="17" t="s">
        <v>5454</v>
      </c>
      <c r="F6543" s="4" t="s">
        <v>5735</v>
      </c>
      <c r="G6543" s="3" t="s">
        <v>15</v>
      </c>
      <c r="H6543" s="2" t="s">
        <v>999</v>
      </c>
      <c r="I6543" s="3" t="s">
        <v>42</v>
      </c>
      <c r="J6543" s="31">
        <v>46090</v>
      </c>
      <c r="K6543" s="31">
        <v>46091</v>
      </c>
      <c r="L6543" s="31">
        <v>46094</v>
      </c>
      <c r="M6543" s="31">
        <v>46125</v>
      </c>
      <c r="N6543" s="31"/>
      <c r="O6543" s="2" t="s">
        <v>297</v>
      </c>
    </row>
    <row r="6544" spans="1:15">
      <c r="A6544" s="133">
        <f t="shared" si="164"/>
        <v>6543</v>
      </c>
      <c r="B6544" s="65" t="s">
        <v>9346</v>
      </c>
      <c r="C6544" s="130">
        <v>6281621524</v>
      </c>
      <c r="D6544" s="130"/>
      <c r="E6544" s="17" t="s">
        <v>8433</v>
      </c>
      <c r="F6544" s="4" t="s">
        <v>1312</v>
      </c>
      <c r="G6544" s="3" t="s">
        <v>14</v>
      </c>
      <c r="H6544" s="2" t="s">
        <v>6158</v>
      </c>
      <c r="I6544" s="3" t="s">
        <v>42</v>
      </c>
      <c r="J6544" s="31">
        <v>46090</v>
      </c>
      <c r="K6544" s="31">
        <v>46098</v>
      </c>
      <c r="L6544" s="31"/>
      <c r="M6544" s="31"/>
      <c r="N6544" s="31"/>
      <c r="O6544" s="2" t="s">
        <v>297</v>
      </c>
    </row>
    <row r="6545" spans="1:15">
      <c r="A6545" s="133">
        <f t="shared" si="164"/>
        <v>6544</v>
      </c>
      <c r="B6545" s="65" t="s">
        <v>9347</v>
      </c>
      <c r="C6545" s="130">
        <v>7799209103</v>
      </c>
      <c r="D6545" s="130"/>
      <c r="E6545" s="17" t="s">
        <v>8433</v>
      </c>
      <c r="F6545" s="4" t="s">
        <v>1312</v>
      </c>
      <c r="G6545" s="3" t="s">
        <v>7030</v>
      </c>
      <c r="H6545" s="2" t="s">
        <v>6158</v>
      </c>
      <c r="I6545" s="3" t="s">
        <v>42</v>
      </c>
      <c r="J6545" s="31">
        <v>46090</v>
      </c>
      <c r="K6545" s="31"/>
      <c r="L6545" s="31"/>
      <c r="M6545" s="31"/>
      <c r="N6545" s="31"/>
      <c r="O6545" s="2" t="s">
        <v>1004</v>
      </c>
    </row>
    <row r="6546" spans="1:15">
      <c r="A6546" s="133">
        <f t="shared" si="164"/>
        <v>6545</v>
      </c>
      <c r="B6546" s="65" t="s">
        <v>9348</v>
      </c>
      <c r="C6546" s="130">
        <v>9438309174</v>
      </c>
      <c r="D6546" s="130"/>
      <c r="E6546" s="17" t="s">
        <v>6537</v>
      </c>
      <c r="F6546" s="4" t="s">
        <v>1001</v>
      </c>
      <c r="G6546" s="3" t="s">
        <v>764</v>
      </c>
      <c r="H6546" s="2" t="s">
        <v>6158</v>
      </c>
      <c r="I6546" s="3" t="s">
        <v>42</v>
      </c>
      <c r="J6546" s="31">
        <v>46090</v>
      </c>
      <c r="K6546" s="31"/>
      <c r="L6546" s="31"/>
      <c r="M6546" s="31"/>
      <c r="N6546" s="31"/>
      <c r="O6546" s="2" t="s">
        <v>8022</v>
      </c>
    </row>
    <row r="6547" spans="1:15">
      <c r="A6547" s="133">
        <f t="shared" si="164"/>
        <v>6546</v>
      </c>
      <c r="B6547" s="65" t="s">
        <v>9349</v>
      </c>
      <c r="C6547" s="130">
        <v>7207004539</v>
      </c>
      <c r="D6547" s="130"/>
      <c r="E6547" s="17" t="s">
        <v>6537</v>
      </c>
      <c r="F6547" s="4" t="s">
        <v>419</v>
      </c>
      <c r="G6547" s="3" t="s">
        <v>14</v>
      </c>
      <c r="H6547" s="2" t="s">
        <v>6158</v>
      </c>
      <c r="I6547" s="3" t="s">
        <v>42</v>
      </c>
      <c r="J6547" s="31">
        <v>46090</v>
      </c>
      <c r="K6547" s="31">
        <v>46099</v>
      </c>
      <c r="L6547" s="31"/>
      <c r="M6547" s="31"/>
      <c r="N6547" s="31"/>
      <c r="O6547" s="2" t="s">
        <v>297</v>
      </c>
    </row>
    <row r="6548" spans="1:15">
      <c r="A6548" s="133">
        <f t="shared" si="164"/>
        <v>6547</v>
      </c>
      <c r="B6548" s="65" t="s">
        <v>9350</v>
      </c>
      <c r="C6548" s="130">
        <v>9110594571</v>
      </c>
      <c r="D6548" s="130">
        <v>8985473361</v>
      </c>
      <c r="E6548" s="17" t="s">
        <v>8433</v>
      </c>
      <c r="F6548" s="4" t="s">
        <v>1312</v>
      </c>
      <c r="G6548" s="3" t="s">
        <v>416</v>
      </c>
      <c r="H6548" s="2" t="s">
        <v>6158</v>
      </c>
      <c r="I6548" s="3" t="s">
        <v>42</v>
      </c>
      <c r="J6548" s="31">
        <v>46090</v>
      </c>
      <c r="K6548" s="31">
        <v>46091</v>
      </c>
      <c r="L6548" s="31"/>
      <c r="M6548" s="31"/>
      <c r="N6548" s="31"/>
      <c r="O6548" s="2" t="s">
        <v>297</v>
      </c>
    </row>
    <row r="6549" spans="1:15">
      <c r="A6549" s="133">
        <f t="shared" si="164"/>
        <v>6548</v>
      </c>
      <c r="B6549" s="65" t="s">
        <v>9351</v>
      </c>
      <c r="C6549" s="130">
        <v>6361270523</v>
      </c>
      <c r="D6549" s="130"/>
      <c r="E6549" s="17" t="s">
        <v>8922</v>
      </c>
      <c r="F6549" s="4" t="s">
        <v>303</v>
      </c>
      <c r="G6549" s="3" t="s">
        <v>764</v>
      </c>
      <c r="H6549" s="2" t="s">
        <v>6158</v>
      </c>
      <c r="I6549" s="3" t="s">
        <v>42</v>
      </c>
      <c r="J6549" s="31">
        <v>46090</v>
      </c>
      <c r="K6549" s="31">
        <v>46095</v>
      </c>
      <c r="L6549" s="31"/>
      <c r="M6549" s="31"/>
      <c r="N6549" s="31"/>
      <c r="O6549" s="2" t="s">
        <v>425</v>
      </c>
    </row>
    <row r="6550" spans="1:15">
      <c r="A6550" s="133">
        <f t="shared" si="164"/>
        <v>6549</v>
      </c>
      <c r="B6550" s="65" t="s">
        <v>9352</v>
      </c>
      <c r="C6550" s="130">
        <v>6309966142</v>
      </c>
      <c r="D6550" s="130"/>
      <c r="E6550" s="17" t="s">
        <v>8922</v>
      </c>
      <c r="F6550" s="4" t="s">
        <v>2491</v>
      </c>
      <c r="G6550" s="3" t="s">
        <v>15</v>
      </c>
      <c r="H6550" s="2" t="s">
        <v>6158</v>
      </c>
      <c r="I6550" s="3" t="s">
        <v>42</v>
      </c>
      <c r="J6550" s="31">
        <v>46090</v>
      </c>
      <c r="K6550" s="31">
        <v>46095</v>
      </c>
      <c r="L6550" s="31">
        <v>46108</v>
      </c>
      <c r="M6550" s="31">
        <v>46118</v>
      </c>
      <c r="N6550" s="31"/>
      <c r="O6550" s="2" t="s">
        <v>297</v>
      </c>
    </row>
    <row r="6551" spans="1:15">
      <c r="A6551" s="133">
        <f t="shared" si="164"/>
        <v>6550</v>
      </c>
      <c r="B6551" s="65" t="s">
        <v>9353</v>
      </c>
      <c r="C6551" s="130">
        <v>6301897774</v>
      </c>
      <c r="D6551" s="130"/>
      <c r="E6551" s="17" t="s">
        <v>9178</v>
      </c>
      <c r="F6551" s="4" t="s">
        <v>308</v>
      </c>
      <c r="G6551" s="3" t="s">
        <v>14</v>
      </c>
      <c r="H6551" s="2" t="s">
        <v>102</v>
      </c>
      <c r="I6551" s="3" t="s">
        <v>42</v>
      </c>
      <c r="J6551" s="31">
        <v>46090</v>
      </c>
      <c r="K6551" s="31">
        <v>46094</v>
      </c>
      <c r="L6551" s="31"/>
      <c r="M6551" s="31"/>
      <c r="N6551" s="31"/>
      <c r="O6551" s="2" t="s">
        <v>297</v>
      </c>
    </row>
    <row r="6552" spans="1:15">
      <c r="A6552" s="133">
        <f t="shared" si="164"/>
        <v>6551</v>
      </c>
      <c r="B6552" s="65" t="s">
        <v>9354</v>
      </c>
      <c r="C6552" s="130">
        <v>9160340383</v>
      </c>
      <c r="D6552" s="130"/>
      <c r="E6552" s="17" t="s">
        <v>9178</v>
      </c>
      <c r="F6552" s="4" t="s">
        <v>9355</v>
      </c>
      <c r="G6552" s="3" t="s">
        <v>16</v>
      </c>
      <c r="H6552" s="2" t="s">
        <v>102</v>
      </c>
      <c r="I6552" s="3" t="s">
        <v>42</v>
      </c>
      <c r="J6552" s="31">
        <v>46090</v>
      </c>
      <c r="K6552" s="31">
        <v>46094</v>
      </c>
      <c r="L6552" s="31">
        <v>46094</v>
      </c>
      <c r="M6552" s="31">
        <v>46104</v>
      </c>
      <c r="N6552" s="31">
        <v>46105</v>
      </c>
      <c r="O6552" s="2" t="s">
        <v>297</v>
      </c>
    </row>
    <row r="6553" spans="1:15">
      <c r="A6553" s="133">
        <f t="shared" ref="A6553:A6558" si="165">ROW()-1</f>
        <v>6552</v>
      </c>
      <c r="B6553" s="65" t="s">
        <v>9356</v>
      </c>
      <c r="C6553" s="130">
        <v>8125848992</v>
      </c>
      <c r="D6553" s="130"/>
      <c r="E6553" s="17" t="s">
        <v>7595</v>
      </c>
      <c r="F6553" s="4" t="s">
        <v>308</v>
      </c>
      <c r="G6553" s="3" t="s">
        <v>14</v>
      </c>
      <c r="H6553" s="2" t="s">
        <v>3240</v>
      </c>
      <c r="I6553" s="3" t="s">
        <v>42</v>
      </c>
      <c r="J6553" s="31">
        <v>46090</v>
      </c>
      <c r="K6553" s="31">
        <v>46114</v>
      </c>
      <c r="L6553" s="31"/>
      <c r="M6553" s="31"/>
      <c r="N6553" s="31"/>
      <c r="O6553" s="2" t="s">
        <v>297</v>
      </c>
    </row>
    <row r="6554" spans="1:15">
      <c r="A6554" s="133">
        <f t="shared" si="165"/>
        <v>6553</v>
      </c>
      <c r="B6554" s="65" t="s">
        <v>9357</v>
      </c>
      <c r="C6554" s="130">
        <v>6289164926</v>
      </c>
      <c r="D6554" s="130">
        <v>8927795859</v>
      </c>
      <c r="E6554" s="17" t="s">
        <v>8433</v>
      </c>
      <c r="F6554" s="4" t="s">
        <v>1312</v>
      </c>
      <c r="G6554" s="3" t="s">
        <v>764</v>
      </c>
      <c r="H6554" s="2" t="s">
        <v>6158</v>
      </c>
      <c r="I6554" s="3" t="s">
        <v>42</v>
      </c>
      <c r="J6554" s="31">
        <v>46090</v>
      </c>
      <c r="K6554" s="31"/>
      <c r="L6554" s="31"/>
      <c r="M6554" s="31"/>
      <c r="N6554" s="31"/>
      <c r="O6554" s="2" t="s">
        <v>8022</v>
      </c>
    </row>
    <row r="6555" spans="1:15">
      <c r="A6555" s="133">
        <f t="shared" si="165"/>
        <v>6554</v>
      </c>
      <c r="B6555" s="65" t="s">
        <v>9358</v>
      </c>
      <c r="C6555" s="130">
        <v>8951323317</v>
      </c>
      <c r="D6555" s="130"/>
      <c r="E6555" s="17" t="s">
        <v>8433</v>
      </c>
      <c r="F6555" s="4" t="s">
        <v>1312</v>
      </c>
      <c r="G6555" s="3" t="s">
        <v>15</v>
      </c>
      <c r="H6555" s="2" t="s">
        <v>6158</v>
      </c>
      <c r="I6555" s="3" t="s">
        <v>42</v>
      </c>
      <c r="J6555" s="31">
        <v>46090</v>
      </c>
      <c r="K6555" s="31">
        <v>46095</v>
      </c>
      <c r="L6555" s="31">
        <v>46108</v>
      </c>
      <c r="M6555" s="31">
        <v>46118</v>
      </c>
      <c r="N6555" s="31"/>
      <c r="O6555" s="2" t="s">
        <v>297</v>
      </c>
    </row>
    <row r="6556" spans="1:15">
      <c r="A6556" s="133">
        <f t="shared" si="165"/>
        <v>6555</v>
      </c>
      <c r="B6556" s="65" t="s">
        <v>9359</v>
      </c>
      <c r="C6556" s="130">
        <v>8977298949</v>
      </c>
      <c r="D6556" s="130"/>
      <c r="E6556" s="17" t="s">
        <v>8433</v>
      </c>
      <c r="F6556" s="4" t="s">
        <v>9360</v>
      </c>
      <c r="G6556" s="3" t="s">
        <v>416</v>
      </c>
      <c r="H6556" s="2" t="s">
        <v>6158</v>
      </c>
      <c r="I6556" s="3" t="s">
        <v>42</v>
      </c>
      <c r="J6556" s="31">
        <v>46090</v>
      </c>
      <c r="K6556" s="31">
        <v>46093</v>
      </c>
      <c r="L6556" s="31"/>
      <c r="M6556" s="31"/>
      <c r="N6556" s="31"/>
      <c r="O6556" s="2" t="s">
        <v>297</v>
      </c>
    </row>
    <row r="6557" spans="1:15">
      <c r="A6557" s="133">
        <f t="shared" si="165"/>
        <v>6556</v>
      </c>
      <c r="B6557" s="65" t="s">
        <v>9361</v>
      </c>
      <c r="C6557" s="130"/>
      <c r="D6557" s="130"/>
      <c r="E6557" s="17" t="s">
        <v>6712</v>
      </c>
      <c r="F6557" s="4"/>
      <c r="G6557" s="3" t="s">
        <v>16</v>
      </c>
      <c r="H6557" s="2"/>
      <c r="I6557" s="3" t="s">
        <v>88</v>
      </c>
      <c r="J6557" s="31"/>
      <c r="K6557" s="31"/>
      <c r="L6557" s="31"/>
      <c r="M6557" s="31"/>
      <c r="N6557" s="31">
        <v>46090</v>
      </c>
      <c r="O6557" s="2" t="s">
        <v>297</v>
      </c>
    </row>
    <row r="6558" spans="1:15">
      <c r="A6558" s="133">
        <f t="shared" si="165"/>
        <v>6557</v>
      </c>
      <c r="B6558" s="65" t="s">
        <v>9362</v>
      </c>
      <c r="C6558" s="130"/>
      <c r="D6558" s="130"/>
      <c r="E6558" s="17" t="s">
        <v>9363</v>
      </c>
      <c r="F6558" s="4"/>
      <c r="G6558" s="3" t="s">
        <v>16</v>
      </c>
      <c r="H6558" s="2"/>
      <c r="I6558" s="3" t="s">
        <v>88</v>
      </c>
      <c r="J6558" s="31"/>
      <c r="K6558" s="31"/>
      <c r="L6558" s="31"/>
      <c r="M6558" s="31"/>
      <c r="N6558" s="31">
        <v>46087</v>
      </c>
      <c r="O6558" s="2" t="s">
        <v>297</v>
      </c>
    </row>
    <row r="6559" spans="1:15">
      <c r="A6559" s="133">
        <f t="shared" ref="A6559:A6602" si="166">ROW()-1</f>
        <v>6558</v>
      </c>
      <c r="B6559" s="65" t="s">
        <v>9364</v>
      </c>
      <c r="C6559" s="130">
        <v>8341694589</v>
      </c>
      <c r="D6559" s="130"/>
      <c r="E6559" s="17" t="s">
        <v>7114</v>
      </c>
      <c r="F6559" s="4" t="s">
        <v>1893</v>
      </c>
      <c r="G6559" s="3" t="s">
        <v>16</v>
      </c>
      <c r="H6559" s="2" t="s">
        <v>4145</v>
      </c>
      <c r="I6559" s="3" t="s">
        <v>42</v>
      </c>
      <c r="J6559" s="31">
        <v>46091</v>
      </c>
      <c r="K6559" s="31">
        <v>46093</v>
      </c>
      <c r="L6559" s="31">
        <v>46094</v>
      </c>
      <c r="M6559" s="31">
        <v>46104</v>
      </c>
      <c r="N6559" s="31">
        <v>46104</v>
      </c>
      <c r="O6559" s="2" t="s">
        <v>297</v>
      </c>
    </row>
    <row r="6560" spans="1:15">
      <c r="A6560" s="133">
        <f t="shared" si="166"/>
        <v>6559</v>
      </c>
      <c r="B6560" s="65" t="s">
        <v>9365</v>
      </c>
      <c r="C6560" s="130">
        <v>8919687673</v>
      </c>
      <c r="D6560" s="130"/>
      <c r="E6560" s="17" t="s">
        <v>5557</v>
      </c>
      <c r="F6560" s="4" t="s">
        <v>2346</v>
      </c>
      <c r="G6560" s="3" t="s">
        <v>14</v>
      </c>
      <c r="H6560" s="2" t="s">
        <v>6158</v>
      </c>
      <c r="I6560" s="3" t="s">
        <v>42</v>
      </c>
      <c r="J6560" s="31">
        <v>46091</v>
      </c>
      <c r="K6560" s="31">
        <v>46111</v>
      </c>
      <c r="L6560" s="31"/>
      <c r="M6560" s="31"/>
      <c r="N6560" s="31"/>
      <c r="O6560" s="2" t="s">
        <v>297</v>
      </c>
    </row>
    <row r="6561" spans="1:15">
      <c r="A6561" s="133">
        <f t="shared" si="166"/>
        <v>6560</v>
      </c>
      <c r="B6561" s="65" t="s">
        <v>9366</v>
      </c>
      <c r="C6561" s="130">
        <v>8795482344</v>
      </c>
      <c r="D6561" s="130"/>
      <c r="E6561" s="17" t="s">
        <v>6537</v>
      </c>
      <c r="F6561" s="4" t="s">
        <v>1312</v>
      </c>
      <c r="G6561" s="3" t="s">
        <v>14</v>
      </c>
      <c r="H6561" s="2" t="s">
        <v>6158</v>
      </c>
      <c r="I6561" s="3" t="s">
        <v>42</v>
      </c>
      <c r="J6561" s="31">
        <v>46091</v>
      </c>
      <c r="K6561" s="31">
        <v>46095</v>
      </c>
      <c r="L6561" s="31"/>
      <c r="M6561" s="31"/>
      <c r="N6561" s="31"/>
      <c r="O6561" s="2" t="s">
        <v>297</v>
      </c>
    </row>
    <row r="6562" spans="1:15">
      <c r="A6562" s="133">
        <f t="shared" si="166"/>
        <v>6561</v>
      </c>
      <c r="B6562" s="65" t="s">
        <v>9367</v>
      </c>
      <c r="C6562" s="130">
        <v>6305400547</v>
      </c>
      <c r="D6562" s="130"/>
      <c r="E6562" s="17" t="s">
        <v>6537</v>
      </c>
      <c r="F6562" s="4" t="s">
        <v>1312</v>
      </c>
      <c r="G6562" s="3" t="s">
        <v>764</v>
      </c>
      <c r="H6562" s="2" t="s">
        <v>6158</v>
      </c>
      <c r="I6562" s="3" t="s">
        <v>42</v>
      </c>
      <c r="J6562" s="31">
        <v>46091</v>
      </c>
      <c r="K6562" s="31">
        <v>46095</v>
      </c>
      <c r="L6562" s="31"/>
      <c r="M6562" s="31"/>
      <c r="N6562" s="31"/>
      <c r="O6562" s="2" t="s">
        <v>425</v>
      </c>
    </row>
    <row r="6563" spans="1:15">
      <c r="A6563" s="133">
        <f t="shared" si="166"/>
        <v>6562</v>
      </c>
      <c r="B6563" s="65" t="s">
        <v>9368</v>
      </c>
      <c r="C6563" s="130">
        <v>7675067492</v>
      </c>
      <c r="D6563" s="130"/>
      <c r="E6563" s="17" t="s">
        <v>6537</v>
      </c>
      <c r="F6563" s="4" t="s">
        <v>3242</v>
      </c>
      <c r="G6563" s="3" t="s">
        <v>764</v>
      </c>
      <c r="H6563" s="2" t="s">
        <v>6158</v>
      </c>
      <c r="I6563" s="3" t="s">
        <v>42</v>
      </c>
      <c r="J6563" s="31">
        <v>46091</v>
      </c>
      <c r="K6563" s="31">
        <v>46095</v>
      </c>
      <c r="L6563" s="31"/>
      <c r="M6563" s="31"/>
      <c r="N6563" s="31"/>
      <c r="O6563" s="2" t="s">
        <v>425</v>
      </c>
    </row>
    <row r="6564" spans="1:15">
      <c r="A6564" s="133">
        <f t="shared" si="166"/>
        <v>6563</v>
      </c>
      <c r="B6564" s="65" t="s">
        <v>9369</v>
      </c>
      <c r="C6564" s="130">
        <v>7905813072</v>
      </c>
      <c r="D6564" s="130"/>
      <c r="E6564" s="17" t="s">
        <v>6537</v>
      </c>
      <c r="F6564" s="4" t="s">
        <v>1001</v>
      </c>
      <c r="G6564" s="3" t="s">
        <v>764</v>
      </c>
      <c r="H6564" s="2" t="s">
        <v>6158</v>
      </c>
      <c r="I6564" s="3" t="s">
        <v>42</v>
      </c>
      <c r="J6564" s="31">
        <v>46091</v>
      </c>
      <c r="K6564" s="31">
        <v>46095</v>
      </c>
      <c r="L6564" s="31"/>
      <c r="M6564" s="31"/>
      <c r="N6564" s="31"/>
      <c r="O6564" s="2" t="s">
        <v>425</v>
      </c>
    </row>
    <row r="6565" spans="1:15">
      <c r="A6565" s="133">
        <f t="shared" si="166"/>
        <v>6564</v>
      </c>
      <c r="B6565" s="65" t="s">
        <v>9370</v>
      </c>
      <c r="C6565" s="130">
        <v>7904926016</v>
      </c>
      <c r="D6565" s="130">
        <v>9791693033</v>
      </c>
      <c r="E6565" s="17" t="s">
        <v>9178</v>
      </c>
      <c r="F6565" s="4" t="s">
        <v>9371</v>
      </c>
      <c r="G6565" s="3" t="s">
        <v>15</v>
      </c>
      <c r="H6565" s="2" t="s">
        <v>102</v>
      </c>
      <c r="I6565" s="3" t="s">
        <v>42</v>
      </c>
      <c r="J6565" s="31">
        <v>46091</v>
      </c>
      <c r="K6565" s="31">
        <v>46094</v>
      </c>
      <c r="L6565" s="31">
        <v>46101</v>
      </c>
      <c r="M6565" s="31">
        <v>46133</v>
      </c>
      <c r="N6565" s="31"/>
      <c r="O6565" s="2" t="s">
        <v>297</v>
      </c>
    </row>
    <row r="6566" spans="1:15">
      <c r="A6566" s="133">
        <f t="shared" si="166"/>
        <v>6565</v>
      </c>
      <c r="B6566" s="65" t="s">
        <v>9372</v>
      </c>
      <c r="C6566" s="130">
        <v>9861616883</v>
      </c>
      <c r="D6566" s="130">
        <v>9668409998</v>
      </c>
      <c r="E6566" s="17" t="s">
        <v>9178</v>
      </c>
      <c r="F6566" s="4" t="s">
        <v>2357</v>
      </c>
      <c r="G6566" s="3" t="s">
        <v>14</v>
      </c>
      <c r="H6566" s="2" t="s">
        <v>102</v>
      </c>
      <c r="I6566" s="3" t="s">
        <v>42</v>
      </c>
      <c r="J6566" s="31">
        <v>46091</v>
      </c>
      <c r="K6566" s="31">
        <v>46094</v>
      </c>
      <c r="L6566" s="31"/>
      <c r="M6566" s="31"/>
      <c r="N6566" s="31"/>
      <c r="O6566" s="2" t="s">
        <v>297</v>
      </c>
    </row>
    <row r="6567" spans="1:15">
      <c r="A6567" s="133">
        <f t="shared" si="166"/>
        <v>6566</v>
      </c>
      <c r="B6567" s="65" t="s">
        <v>9373</v>
      </c>
      <c r="C6567" s="130">
        <v>7674018351</v>
      </c>
      <c r="D6567" s="130"/>
      <c r="E6567" s="17" t="s">
        <v>9178</v>
      </c>
      <c r="F6567" s="4" t="s">
        <v>9374</v>
      </c>
      <c r="G6567" s="3" t="s">
        <v>15</v>
      </c>
      <c r="H6567" s="2" t="s">
        <v>102</v>
      </c>
      <c r="I6567" s="3" t="s">
        <v>42</v>
      </c>
      <c r="J6567" s="31">
        <v>46091</v>
      </c>
      <c r="K6567" s="31">
        <v>46094</v>
      </c>
      <c r="L6567" s="31">
        <v>46094</v>
      </c>
      <c r="M6567" s="31">
        <v>46109</v>
      </c>
      <c r="N6567" s="31"/>
      <c r="O6567" s="2" t="s">
        <v>297</v>
      </c>
    </row>
    <row r="6568" spans="1:15">
      <c r="A6568" s="133">
        <f t="shared" si="166"/>
        <v>6567</v>
      </c>
      <c r="B6568" s="65" t="s">
        <v>9375</v>
      </c>
      <c r="C6568" s="130">
        <v>6382852044</v>
      </c>
      <c r="D6568" s="130"/>
      <c r="E6568" s="17" t="s">
        <v>7114</v>
      </c>
      <c r="F6568" s="4" t="s">
        <v>9376</v>
      </c>
      <c r="G6568" s="3" t="s">
        <v>15</v>
      </c>
      <c r="H6568" s="2" t="s">
        <v>4145</v>
      </c>
      <c r="I6568" s="3" t="s">
        <v>42</v>
      </c>
      <c r="J6568" s="31">
        <v>46091</v>
      </c>
      <c r="K6568" s="31">
        <v>46093</v>
      </c>
      <c r="L6568" s="31">
        <v>46101</v>
      </c>
      <c r="M6568" s="31">
        <v>46133</v>
      </c>
      <c r="N6568" s="31"/>
      <c r="O6568" s="2" t="s">
        <v>297</v>
      </c>
    </row>
    <row r="6569" spans="1:15">
      <c r="A6569" s="133">
        <f t="shared" si="166"/>
        <v>6568</v>
      </c>
      <c r="B6569" s="65" t="s">
        <v>9377</v>
      </c>
      <c r="C6569" s="130">
        <v>9754732325</v>
      </c>
      <c r="D6569" s="130">
        <v>9490269087</v>
      </c>
      <c r="E6569" s="17" t="s">
        <v>5560</v>
      </c>
      <c r="F6569" s="4" t="s">
        <v>9378</v>
      </c>
      <c r="G6569" s="3" t="s">
        <v>15</v>
      </c>
      <c r="H6569" s="2" t="s">
        <v>6158</v>
      </c>
      <c r="I6569" s="3" t="s">
        <v>42</v>
      </c>
      <c r="J6569" s="31">
        <v>46091</v>
      </c>
      <c r="K6569" s="31">
        <v>46101</v>
      </c>
      <c r="L6569" s="31">
        <v>46101</v>
      </c>
      <c r="M6569" s="31">
        <v>46133</v>
      </c>
      <c r="N6569" s="31"/>
      <c r="O6569" s="2" t="s">
        <v>297</v>
      </c>
    </row>
    <row r="6570" spans="1:15">
      <c r="A6570" s="133">
        <f t="shared" si="166"/>
        <v>6569</v>
      </c>
      <c r="B6570" s="65" t="s">
        <v>9379</v>
      </c>
      <c r="C6570" s="130">
        <v>9948284863</v>
      </c>
      <c r="D6570" s="130"/>
      <c r="E6570" s="17" t="s">
        <v>9380</v>
      </c>
      <c r="F6570" s="4" t="s">
        <v>2613</v>
      </c>
      <c r="G6570" s="3" t="s">
        <v>15</v>
      </c>
      <c r="H6570" s="2" t="s">
        <v>88</v>
      </c>
      <c r="I6570" s="3" t="s">
        <v>88</v>
      </c>
      <c r="J6570" s="31">
        <v>46091</v>
      </c>
      <c r="K6570" s="31">
        <v>46094</v>
      </c>
      <c r="L6570" s="31">
        <v>46094</v>
      </c>
      <c r="M6570" s="31">
        <v>46125</v>
      </c>
      <c r="N6570" s="31"/>
      <c r="O6570" s="2" t="s">
        <v>297</v>
      </c>
    </row>
    <row r="6571" spans="1:15">
      <c r="A6571" s="133">
        <f t="shared" si="166"/>
        <v>6570</v>
      </c>
      <c r="B6571" s="65" t="s">
        <v>9381</v>
      </c>
      <c r="C6571" s="130">
        <v>7730002178</v>
      </c>
      <c r="D6571" s="130"/>
      <c r="E6571" s="17" t="s">
        <v>9038</v>
      </c>
      <c r="F6571" s="4" t="s">
        <v>8936</v>
      </c>
      <c r="G6571" s="3" t="s">
        <v>7030</v>
      </c>
      <c r="H6571" s="2" t="s">
        <v>815</v>
      </c>
      <c r="I6571" s="3" t="s">
        <v>94</v>
      </c>
      <c r="J6571" s="31">
        <v>46091</v>
      </c>
      <c r="K6571" s="31"/>
      <c r="L6571" s="31"/>
      <c r="M6571" s="31"/>
      <c r="N6571" s="31"/>
      <c r="O6571" s="2" t="s">
        <v>1004</v>
      </c>
    </row>
    <row r="6572" spans="1:15">
      <c r="A6572" s="133">
        <f t="shared" si="166"/>
        <v>6571</v>
      </c>
      <c r="B6572" s="65" t="s">
        <v>9382</v>
      </c>
      <c r="C6572" s="130">
        <v>8408001545</v>
      </c>
      <c r="D6572" s="130"/>
      <c r="E6572" s="17" t="s">
        <v>9038</v>
      </c>
      <c r="F6572" s="4" t="s">
        <v>8936</v>
      </c>
      <c r="G6572" s="3" t="s">
        <v>7030</v>
      </c>
      <c r="H6572" s="2" t="s">
        <v>815</v>
      </c>
      <c r="I6572" s="3" t="s">
        <v>94</v>
      </c>
      <c r="J6572" s="31">
        <v>46091</v>
      </c>
      <c r="K6572" s="31"/>
      <c r="L6572" s="31"/>
      <c r="M6572" s="31"/>
      <c r="N6572" s="31"/>
      <c r="O6572" s="2" t="s">
        <v>1004</v>
      </c>
    </row>
    <row r="6573" spans="1:15">
      <c r="A6573" s="133">
        <f t="shared" si="166"/>
        <v>6572</v>
      </c>
      <c r="B6573" s="65" t="s">
        <v>9383</v>
      </c>
      <c r="C6573" s="130">
        <v>7893932735</v>
      </c>
      <c r="D6573" s="130">
        <v>8125245224</v>
      </c>
      <c r="E6573" s="17" t="s">
        <v>9083</v>
      </c>
      <c r="F6573" s="4" t="s">
        <v>269</v>
      </c>
      <c r="G6573" s="3" t="s">
        <v>7030</v>
      </c>
      <c r="H6573" s="2" t="s">
        <v>8395</v>
      </c>
      <c r="I6573" s="3" t="s">
        <v>94</v>
      </c>
      <c r="J6573" s="31">
        <v>46091</v>
      </c>
      <c r="K6573" s="31"/>
      <c r="L6573" s="31"/>
      <c r="M6573" s="31"/>
      <c r="N6573" s="31"/>
      <c r="O6573" s="2" t="s">
        <v>1004</v>
      </c>
    </row>
    <row r="6574" spans="1:15">
      <c r="A6574" s="133">
        <f t="shared" si="166"/>
        <v>6573</v>
      </c>
      <c r="B6574" s="65" t="s">
        <v>9384</v>
      </c>
      <c r="C6574" s="130">
        <v>8249318284</v>
      </c>
      <c r="D6574" s="130"/>
      <c r="E6574" s="17" t="s">
        <v>9083</v>
      </c>
      <c r="F6574" s="4" t="s">
        <v>269</v>
      </c>
      <c r="G6574" s="3" t="s">
        <v>7030</v>
      </c>
      <c r="H6574" s="2" t="s">
        <v>8395</v>
      </c>
      <c r="I6574" s="3" t="s">
        <v>94</v>
      </c>
      <c r="J6574" s="31">
        <v>46091</v>
      </c>
      <c r="K6574" s="31"/>
      <c r="L6574" s="31"/>
      <c r="M6574" s="31"/>
      <c r="N6574" s="31"/>
      <c r="O6574" s="2" t="s">
        <v>1004</v>
      </c>
    </row>
    <row r="6575" spans="1:15">
      <c r="A6575" s="133">
        <f t="shared" si="166"/>
        <v>6574</v>
      </c>
      <c r="B6575" s="65" t="s">
        <v>9385</v>
      </c>
      <c r="C6575" s="130">
        <v>8339038376</v>
      </c>
      <c r="D6575" s="130"/>
      <c r="E6575" s="17" t="s">
        <v>9386</v>
      </c>
      <c r="F6575" s="4" t="s">
        <v>2006</v>
      </c>
      <c r="G6575" s="3" t="s">
        <v>15</v>
      </c>
      <c r="H6575" s="2" t="s">
        <v>9387</v>
      </c>
      <c r="I6575" s="3" t="s">
        <v>88</v>
      </c>
      <c r="J6575" s="31">
        <v>46088</v>
      </c>
      <c r="K6575" s="31">
        <v>46088</v>
      </c>
      <c r="L6575" s="31">
        <v>46088</v>
      </c>
      <c r="M6575" s="31">
        <v>46119</v>
      </c>
      <c r="N6575" s="31"/>
      <c r="O6575" s="2" t="s">
        <v>297</v>
      </c>
    </row>
    <row r="6576" spans="1:15">
      <c r="A6576" s="133">
        <f t="shared" si="166"/>
        <v>6575</v>
      </c>
      <c r="B6576" s="65" t="s">
        <v>9388</v>
      </c>
      <c r="C6576" s="130">
        <v>7873663606</v>
      </c>
      <c r="D6576" s="130"/>
      <c r="E6576" s="17" t="s">
        <v>7114</v>
      </c>
      <c r="F6576" s="4" t="s">
        <v>443</v>
      </c>
      <c r="G6576" s="3" t="s">
        <v>15</v>
      </c>
      <c r="H6576" s="2" t="s">
        <v>6158</v>
      </c>
      <c r="I6576" s="3" t="s">
        <v>42</v>
      </c>
      <c r="J6576" s="31">
        <v>46092</v>
      </c>
      <c r="K6576" s="31">
        <v>46093</v>
      </c>
      <c r="L6576" s="31">
        <v>46094</v>
      </c>
      <c r="M6576" s="31">
        <v>46104</v>
      </c>
      <c r="N6576" s="31"/>
      <c r="O6576" s="2" t="s">
        <v>297</v>
      </c>
    </row>
    <row r="6577" spans="1:15">
      <c r="A6577" s="133">
        <f t="shared" si="166"/>
        <v>6576</v>
      </c>
      <c r="B6577" s="65" t="s">
        <v>9389</v>
      </c>
      <c r="C6577" s="130">
        <v>6305548250</v>
      </c>
      <c r="D6577" s="130"/>
      <c r="E6577" s="17" t="s">
        <v>7114</v>
      </c>
      <c r="F6577" s="4" t="s">
        <v>443</v>
      </c>
      <c r="G6577" s="3" t="s">
        <v>15</v>
      </c>
      <c r="H6577" s="2" t="s">
        <v>6158</v>
      </c>
      <c r="I6577" s="3" t="s">
        <v>42</v>
      </c>
      <c r="J6577" s="31">
        <v>46092</v>
      </c>
      <c r="K6577" s="31">
        <v>46093</v>
      </c>
      <c r="L6577" s="31">
        <v>46094</v>
      </c>
      <c r="M6577" s="31">
        <v>46125</v>
      </c>
      <c r="N6577" s="31"/>
      <c r="O6577" s="2" t="s">
        <v>297</v>
      </c>
    </row>
    <row r="6578" spans="1:15">
      <c r="A6578" s="133">
        <f t="shared" si="166"/>
        <v>6577</v>
      </c>
      <c r="B6578" s="65" t="s">
        <v>9390</v>
      </c>
      <c r="C6578" s="130">
        <v>9415408874</v>
      </c>
      <c r="D6578" s="130"/>
      <c r="E6578" s="17" t="s">
        <v>8378</v>
      </c>
      <c r="F6578" s="4" t="s">
        <v>612</v>
      </c>
      <c r="G6578" s="3" t="s">
        <v>14</v>
      </c>
      <c r="H6578" s="2" t="s">
        <v>6158</v>
      </c>
      <c r="I6578" s="3" t="s">
        <v>42</v>
      </c>
      <c r="J6578" s="31">
        <v>46092</v>
      </c>
      <c r="K6578" s="31">
        <v>46095</v>
      </c>
      <c r="L6578" s="31"/>
      <c r="M6578" s="31"/>
      <c r="N6578" s="31"/>
      <c r="O6578" s="2" t="s">
        <v>297</v>
      </c>
    </row>
    <row r="6579" spans="1:15">
      <c r="A6579" s="133">
        <f t="shared" si="166"/>
        <v>6578</v>
      </c>
      <c r="B6579" s="65" t="s">
        <v>9391</v>
      </c>
      <c r="C6579" s="130">
        <v>9949757429</v>
      </c>
      <c r="D6579" s="130"/>
      <c r="E6579" s="17" t="s">
        <v>8378</v>
      </c>
      <c r="F6579" s="4" t="s">
        <v>490</v>
      </c>
      <c r="G6579" s="3" t="s">
        <v>15</v>
      </c>
      <c r="H6579" s="2" t="s">
        <v>6158</v>
      </c>
      <c r="I6579" s="3" t="s">
        <v>42</v>
      </c>
      <c r="J6579" s="31">
        <v>46092</v>
      </c>
      <c r="K6579" s="31">
        <v>46095</v>
      </c>
      <c r="L6579" s="31">
        <v>46101</v>
      </c>
      <c r="M6579" s="31">
        <v>46122</v>
      </c>
      <c r="N6579" s="31"/>
      <c r="O6579" s="2" t="s">
        <v>297</v>
      </c>
    </row>
    <row r="6580" spans="1:15">
      <c r="A6580" s="133">
        <f t="shared" si="166"/>
        <v>6579</v>
      </c>
      <c r="B6580" s="65" t="s">
        <v>9392</v>
      </c>
      <c r="C6580" s="130">
        <v>7815804217</v>
      </c>
      <c r="D6580" s="130"/>
      <c r="E6580" s="17" t="s">
        <v>6537</v>
      </c>
      <c r="F6580" s="4" t="s">
        <v>419</v>
      </c>
      <c r="G6580" s="3" t="s">
        <v>14</v>
      </c>
      <c r="H6580" s="2" t="s">
        <v>6158</v>
      </c>
      <c r="I6580" s="3" t="s">
        <v>42</v>
      </c>
      <c r="J6580" s="31">
        <v>46092</v>
      </c>
      <c r="K6580" s="31">
        <v>46095</v>
      </c>
      <c r="L6580" s="31"/>
      <c r="M6580" s="31"/>
      <c r="N6580" s="31"/>
      <c r="O6580" s="2" t="s">
        <v>297</v>
      </c>
    </row>
    <row r="6581" spans="1:15">
      <c r="A6581" s="133">
        <f t="shared" si="166"/>
        <v>6580</v>
      </c>
      <c r="B6581" s="65" t="s">
        <v>9393</v>
      </c>
      <c r="C6581" s="130">
        <v>8897932010</v>
      </c>
      <c r="D6581" s="130">
        <v>6303641800</v>
      </c>
      <c r="E6581" s="17" t="s">
        <v>5557</v>
      </c>
      <c r="F6581" s="4" t="s">
        <v>1364</v>
      </c>
      <c r="G6581" s="3" t="s">
        <v>18</v>
      </c>
      <c r="H6581" s="2" t="s">
        <v>6158</v>
      </c>
      <c r="I6581" s="3" t="s">
        <v>42</v>
      </c>
      <c r="J6581" s="31">
        <v>46092</v>
      </c>
      <c r="K6581" s="31"/>
      <c r="L6581" s="31"/>
      <c r="M6581" s="31"/>
      <c r="N6581" s="31"/>
      <c r="O6581" s="2" t="s">
        <v>1004</v>
      </c>
    </row>
    <row r="6582" spans="1:15">
      <c r="A6582" s="133">
        <f t="shared" si="166"/>
        <v>6581</v>
      </c>
      <c r="B6582" s="65" t="s">
        <v>9394</v>
      </c>
      <c r="C6582" s="130">
        <v>9491554977</v>
      </c>
      <c r="D6582" s="130"/>
      <c r="E6582" s="17" t="s">
        <v>3344</v>
      </c>
      <c r="F6582" s="4" t="s">
        <v>2892</v>
      </c>
      <c r="G6582" s="3" t="s">
        <v>14</v>
      </c>
      <c r="H6582" s="2" t="s">
        <v>102</v>
      </c>
      <c r="I6582" s="3" t="s">
        <v>42</v>
      </c>
      <c r="J6582" s="31">
        <v>46092</v>
      </c>
      <c r="K6582" s="31">
        <v>46094</v>
      </c>
      <c r="L6582" s="31"/>
      <c r="M6582" s="31"/>
      <c r="N6582" s="31"/>
      <c r="O6582" s="2" t="s">
        <v>297</v>
      </c>
    </row>
    <row r="6583" spans="1:15">
      <c r="A6583" s="133">
        <f t="shared" si="166"/>
        <v>6582</v>
      </c>
      <c r="B6583" s="65" t="s">
        <v>9395</v>
      </c>
      <c r="C6583" s="130">
        <v>9975487295</v>
      </c>
      <c r="D6583" s="130">
        <v>9160487295</v>
      </c>
      <c r="E6583" s="17" t="s">
        <v>9178</v>
      </c>
      <c r="F6583" s="4" t="s">
        <v>3370</v>
      </c>
      <c r="G6583" s="3" t="s">
        <v>424</v>
      </c>
      <c r="H6583" s="2" t="s">
        <v>102</v>
      </c>
      <c r="I6583" s="3" t="s">
        <v>42</v>
      </c>
      <c r="J6583" s="31">
        <v>46092</v>
      </c>
      <c r="K6583" s="31">
        <v>46094</v>
      </c>
      <c r="L6583" s="31"/>
      <c r="M6583" s="31"/>
      <c r="N6583" s="31"/>
      <c r="O6583" s="2" t="s">
        <v>425</v>
      </c>
    </row>
    <row r="6584" spans="1:15">
      <c r="A6584" s="133">
        <f t="shared" si="166"/>
        <v>6583</v>
      </c>
      <c r="B6584" s="65" t="s">
        <v>9396</v>
      </c>
      <c r="C6584" s="130">
        <v>8072494745</v>
      </c>
      <c r="D6584" s="130"/>
      <c r="E6584" s="17" t="s">
        <v>5560</v>
      </c>
      <c r="F6584" s="4" t="s">
        <v>9397</v>
      </c>
      <c r="G6584" s="3" t="s">
        <v>424</v>
      </c>
      <c r="H6584" s="2" t="s">
        <v>6158</v>
      </c>
      <c r="I6584" s="3" t="s">
        <v>42</v>
      </c>
      <c r="J6584" s="31">
        <v>46093</v>
      </c>
      <c r="K6584" s="31">
        <v>46111</v>
      </c>
      <c r="L6584" s="31"/>
      <c r="M6584" s="31"/>
      <c r="N6584" s="31"/>
      <c r="O6584" s="2" t="s">
        <v>749</v>
      </c>
    </row>
    <row r="6585" spans="1:15">
      <c r="A6585" s="133">
        <f t="shared" si="166"/>
        <v>6584</v>
      </c>
      <c r="B6585" s="65" t="s">
        <v>9398</v>
      </c>
      <c r="C6585" s="130">
        <v>7702308320</v>
      </c>
      <c r="D6585" s="130"/>
      <c r="E6585" s="17" t="s">
        <v>5557</v>
      </c>
      <c r="F6585" s="4" t="s">
        <v>1364</v>
      </c>
      <c r="G6585" s="3" t="s">
        <v>7030</v>
      </c>
      <c r="H6585" s="2" t="s">
        <v>6158</v>
      </c>
      <c r="I6585" s="3" t="s">
        <v>42</v>
      </c>
      <c r="J6585" s="31">
        <v>46093</v>
      </c>
      <c r="K6585" s="31"/>
      <c r="L6585" s="31"/>
      <c r="M6585" s="31"/>
      <c r="N6585" s="31"/>
      <c r="O6585" s="2" t="s">
        <v>1004</v>
      </c>
    </row>
    <row r="6586" spans="1:15">
      <c r="A6586" s="133">
        <f t="shared" si="166"/>
        <v>6585</v>
      </c>
      <c r="B6586" s="65" t="s">
        <v>9399</v>
      </c>
      <c r="C6586" s="130">
        <v>9337894425</v>
      </c>
      <c r="D6586" s="130"/>
      <c r="E6586" s="17" t="s">
        <v>3344</v>
      </c>
      <c r="F6586" s="4" t="s">
        <v>1236</v>
      </c>
      <c r="G6586" s="3" t="s">
        <v>14</v>
      </c>
      <c r="H6586" s="2" t="s">
        <v>102</v>
      </c>
      <c r="I6586" s="3" t="s">
        <v>42</v>
      </c>
      <c r="J6586" s="31">
        <v>46093</v>
      </c>
      <c r="K6586" s="31">
        <v>46094</v>
      </c>
      <c r="L6586" s="31"/>
      <c r="M6586" s="31"/>
      <c r="N6586" s="31"/>
      <c r="O6586" s="2" t="s">
        <v>297</v>
      </c>
    </row>
    <row r="6587" spans="1:15">
      <c r="A6587" s="133">
        <f t="shared" si="166"/>
        <v>6586</v>
      </c>
      <c r="B6587" s="65" t="s">
        <v>9400</v>
      </c>
      <c r="C6587" s="130">
        <v>9110587449</v>
      </c>
      <c r="D6587" s="130"/>
      <c r="E6587" s="17" t="s">
        <v>9178</v>
      </c>
      <c r="F6587" s="4" t="s">
        <v>3370</v>
      </c>
      <c r="G6587" s="3" t="s">
        <v>424</v>
      </c>
      <c r="H6587" s="2" t="s">
        <v>102</v>
      </c>
      <c r="I6587" s="3" t="s">
        <v>42</v>
      </c>
      <c r="J6587" s="31">
        <v>46093</v>
      </c>
      <c r="K6587" s="31">
        <v>46094</v>
      </c>
      <c r="L6587" s="31"/>
      <c r="M6587" s="31"/>
      <c r="N6587" s="31"/>
      <c r="O6587" s="2" t="s">
        <v>425</v>
      </c>
    </row>
    <row r="6588" spans="1:15">
      <c r="A6588" s="133">
        <f t="shared" si="166"/>
        <v>6587</v>
      </c>
      <c r="B6588" s="65" t="s">
        <v>9401</v>
      </c>
      <c r="C6588" s="130">
        <v>9390484512</v>
      </c>
      <c r="D6588" s="130"/>
      <c r="E6588" s="17" t="s">
        <v>6537</v>
      </c>
      <c r="F6588" s="4" t="s">
        <v>1001</v>
      </c>
      <c r="G6588" s="3" t="s">
        <v>15</v>
      </c>
      <c r="H6588" s="2" t="s">
        <v>6158</v>
      </c>
      <c r="I6588" s="3" t="s">
        <v>42</v>
      </c>
      <c r="J6588" s="31">
        <v>46093</v>
      </c>
      <c r="K6588" s="31">
        <v>46099</v>
      </c>
      <c r="L6588" s="31">
        <v>46101</v>
      </c>
      <c r="M6588" s="31">
        <v>46112</v>
      </c>
      <c r="N6588" s="31"/>
      <c r="O6588" s="2" t="s">
        <v>297</v>
      </c>
    </row>
    <row r="6589" spans="1:15">
      <c r="A6589" s="133">
        <f t="shared" si="166"/>
        <v>6588</v>
      </c>
      <c r="B6589" s="65" t="s">
        <v>9402</v>
      </c>
      <c r="C6589" s="130">
        <v>8722556716</v>
      </c>
      <c r="D6589" s="130">
        <v>8317657130</v>
      </c>
      <c r="E6589" s="17" t="s">
        <v>6537</v>
      </c>
      <c r="F6589" s="4" t="s">
        <v>3242</v>
      </c>
      <c r="G6589" s="3" t="s">
        <v>15</v>
      </c>
      <c r="H6589" s="2" t="s">
        <v>6158</v>
      </c>
      <c r="I6589" s="3" t="s">
        <v>42</v>
      </c>
      <c r="J6589" s="31">
        <v>46093</v>
      </c>
      <c r="K6589" s="31">
        <v>46099</v>
      </c>
      <c r="L6589" s="31">
        <v>46108</v>
      </c>
      <c r="M6589" s="31">
        <v>46122</v>
      </c>
      <c r="N6589" s="31"/>
      <c r="O6589" s="2" t="s">
        <v>297</v>
      </c>
    </row>
    <row r="6590" spans="1:15">
      <c r="A6590" s="133">
        <f t="shared" si="166"/>
        <v>6589</v>
      </c>
      <c r="B6590" s="65" t="s">
        <v>9403</v>
      </c>
      <c r="C6590" s="130">
        <v>9133608263</v>
      </c>
      <c r="D6590" s="130"/>
      <c r="E6590" s="17" t="s">
        <v>6537</v>
      </c>
      <c r="F6590" s="4" t="s">
        <v>1001</v>
      </c>
      <c r="G6590" s="3" t="s">
        <v>15</v>
      </c>
      <c r="H6590" s="2" t="s">
        <v>6158</v>
      </c>
      <c r="I6590" s="3" t="s">
        <v>42</v>
      </c>
      <c r="J6590" s="31">
        <v>46093</v>
      </c>
      <c r="K6590" s="31">
        <v>46099</v>
      </c>
      <c r="L6590" s="31">
        <v>46101</v>
      </c>
      <c r="M6590" s="31">
        <v>46133</v>
      </c>
      <c r="N6590" s="31"/>
      <c r="O6590" s="2" t="s">
        <v>297</v>
      </c>
    </row>
    <row r="6591" spans="1:15">
      <c r="A6591" s="133">
        <f t="shared" si="166"/>
        <v>6590</v>
      </c>
      <c r="B6591" s="65" t="s">
        <v>9404</v>
      </c>
      <c r="C6591" s="130">
        <v>8008448544</v>
      </c>
      <c r="D6591" s="130"/>
      <c r="E6591" s="17" t="s">
        <v>6537</v>
      </c>
      <c r="F6591" s="4" t="s">
        <v>1001</v>
      </c>
      <c r="G6591" s="3" t="s">
        <v>764</v>
      </c>
      <c r="H6591" s="2" t="s">
        <v>6158</v>
      </c>
      <c r="I6591" s="3" t="s">
        <v>42</v>
      </c>
      <c r="J6591" s="31">
        <v>46093</v>
      </c>
      <c r="K6591" s="31"/>
      <c r="L6591" s="31"/>
      <c r="M6591" s="31"/>
      <c r="N6591" s="31"/>
      <c r="O6591" s="2" t="s">
        <v>8022</v>
      </c>
    </row>
    <row r="6592" spans="1:15">
      <c r="A6592" s="133">
        <f t="shared" si="166"/>
        <v>6591</v>
      </c>
      <c r="B6592" s="65" t="s">
        <v>9405</v>
      </c>
      <c r="C6592" s="130">
        <v>7032066947</v>
      </c>
      <c r="D6592" s="130"/>
      <c r="E6592" s="17" t="s">
        <v>6537</v>
      </c>
      <c r="F6592" s="4" t="s">
        <v>1001</v>
      </c>
      <c r="G6592" s="3" t="s">
        <v>764</v>
      </c>
      <c r="H6592" s="2" t="s">
        <v>6158</v>
      </c>
      <c r="I6592" s="3" t="s">
        <v>42</v>
      </c>
      <c r="J6592" s="31">
        <v>46093</v>
      </c>
      <c r="K6592" s="31"/>
      <c r="L6592" s="31"/>
      <c r="M6592" s="31"/>
      <c r="N6592" s="31"/>
      <c r="O6592" s="2" t="s">
        <v>8022</v>
      </c>
    </row>
    <row r="6593" spans="1:15">
      <c r="A6593" s="133">
        <f t="shared" si="166"/>
        <v>6592</v>
      </c>
      <c r="B6593" s="65" t="s">
        <v>9406</v>
      </c>
      <c r="C6593" s="130">
        <v>7349318455</v>
      </c>
      <c r="D6593" s="130"/>
      <c r="E6593" s="17" t="s">
        <v>8922</v>
      </c>
      <c r="F6593" s="4" t="s">
        <v>303</v>
      </c>
      <c r="G6593" s="3" t="s">
        <v>7030</v>
      </c>
      <c r="H6593" s="2" t="s">
        <v>6158</v>
      </c>
      <c r="I6593" s="3" t="s">
        <v>42</v>
      </c>
      <c r="J6593" s="31">
        <v>46093</v>
      </c>
      <c r="K6593" s="31"/>
      <c r="L6593" s="31"/>
      <c r="M6593" s="31"/>
      <c r="N6593" s="31"/>
      <c r="O6593" s="2" t="s">
        <v>1004</v>
      </c>
    </row>
    <row r="6594" spans="1:15">
      <c r="A6594" s="133">
        <f t="shared" si="166"/>
        <v>6593</v>
      </c>
      <c r="B6594" s="65" t="s">
        <v>9407</v>
      </c>
      <c r="C6594" s="130">
        <v>9989662664</v>
      </c>
      <c r="D6594" s="130"/>
      <c r="E6594" s="17" t="s">
        <v>8922</v>
      </c>
      <c r="F6594" s="4" t="s">
        <v>303</v>
      </c>
      <c r="G6594" s="3" t="s">
        <v>7030</v>
      </c>
      <c r="H6594" s="2" t="s">
        <v>6158</v>
      </c>
      <c r="I6594" s="3" t="s">
        <v>42</v>
      </c>
      <c r="J6594" s="31">
        <v>46093</v>
      </c>
      <c r="K6594" s="31"/>
      <c r="L6594" s="31"/>
      <c r="M6594" s="31"/>
      <c r="N6594" s="31"/>
      <c r="O6594" s="2" t="s">
        <v>1004</v>
      </c>
    </row>
    <row r="6595" spans="1:15">
      <c r="A6595" s="133">
        <f t="shared" si="166"/>
        <v>6594</v>
      </c>
      <c r="B6595" s="65" t="s">
        <v>9408</v>
      </c>
      <c r="C6595" s="130">
        <v>9347195002</v>
      </c>
      <c r="D6595" s="130"/>
      <c r="E6595" s="17" t="s">
        <v>9238</v>
      </c>
      <c r="F6595" s="4"/>
      <c r="G6595" s="3" t="s">
        <v>14</v>
      </c>
      <c r="H6595" s="2" t="s">
        <v>6158</v>
      </c>
      <c r="I6595" s="3" t="s">
        <v>42</v>
      </c>
      <c r="J6595" s="31">
        <v>46093</v>
      </c>
      <c r="K6595" s="31">
        <v>46114</v>
      </c>
      <c r="L6595" s="31"/>
      <c r="M6595" s="31"/>
      <c r="N6595" s="31"/>
      <c r="O6595" s="2" t="s">
        <v>297</v>
      </c>
    </row>
    <row r="6596" spans="1:15">
      <c r="A6596" s="133">
        <f t="shared" si="166"/>
        <v>6595</v>
      </c>
      <c r="B6596" s="65" t="s">
        <v>9409</v>
      </c>
      <c r="C6596" s="130">
        <v>9032588267</v>
      </c>
      <c r="D6596" s="130"/>
      <c r="E6596" s="17" t="s">
        <v>8875</v>
      </c>
      <c r="F6596" s="4" t="s">
        <v>9410</v>
      </c>
      <c r="G6596" s="3" t="s">
        <v>764</v>
      </c>
      <c r="H6596" s="2" t="s">
        <v>3240</v>
      </c>
      <c r="I6596" s="3" t="s">
        <v>42</v>
      </c>
      <c r="J6596" s="31">
        <v>46093</v>
      </c>
      <c r="K6596" s="31">
        <v>46114</v>
      </c>
      <c r="L6596" s="31"/>
      <c r="M6596" s="31"/>
      <c r="N6596" s="31"/>
      <c r="O6596" s="2" t="s">
        <v>425</v>
      </c>
    </row>
    <row r="6597" spans="1:15">
      <c r="A6597" s="133">
        <f t="shared" si="166"/>
        <v>6596</v>
      </c>
      <c r="B6597" s="65" t="s">
        <v>9411</v>
      </c>
      <c r="C6597" s="130">
        <v>7702864012</v>
      </c>
      <c r="D6597" s="130"/>
      <c r="E6597" s="17" t="s">
        <v>8442</v>
      </c>
      <c r="F6597" s="4" t="s">
        <v>1897</v>
      </c>
      <c r="G6597" s="3" t="s">
        <v>424</v>
      </c>
      <c r="H6597" s="2" t="s">
        <v>6353</v>
      </c>
      <c r="I6597" s="3" t="s">
        <v>42</v>
      </c>
      <c r="J6597" s="31">
        <v>46093</v>
      </c>
      <c r="K6597" s="31">
        <v>46111</v>
      </c>
      <c r="L6597" s="31"/>
      <c r="M6597" s="31"/>
      <c r="N6597" s="31"/>
      <c r="O6597" s="2" t="s">
        <v>749</v>
      </c>
    </row>
    <row r="6598" spans="1:15">
      <c r="A6598" s="133">
        <f t="shared" si="166"/>
        <v>6597</v>
      </c>
      <c r="B6598" s="65" t="s">
        <v>9412</v>
      </c>
      <c r="C6598" s="130">
        <v>6301679580</v>
      </c>
      <c r="D6598" s="130"/>
      <c r="E6598" s="17" t="s">
        <v>9413</v>
      </c>
      <c r="F6598" s="4" t="s">
        <v>9414</v>
      </c>
      <c r="G6598" s="3" t="s">
        <v>7030</v>
      </c>
      <c r="H6598" s="2" t="s">
        <v>6353</v>
      </c>
      <c r="I6598" s="3" t="s">
        <v>42</v>
      </c>
      <c r="J6598" s="31">
        <v>46093</v>
      </c>
      <c r="K6598" s="31"/>
      <c r="L6598" s="31"/>
      <c r="M6598" s="31"/>
      <c r="N6598" s="31"/>
      <c r="O6598" s="2" t="s">
        <v>1004</v>
      </c>
    </row>
    <row r="6599" spans="1:15">
      <c r="A6599" s="133">
        <f t="shared" si="166"/>
        <v>6598</v>
      </c>
      <c r="B6599" s="65" t="s">
        <v>9415</v>
      </c>
      <c r="C6599" s="130">
        <v>9123923258</v>
      </c>
      <c r="D6599" s="130">
        <v>8017372714</v>
      </c>
      <c r="E6599" s="17" t="s">
        <v>9295</v>
      </c>
      <c r="F6599" s="4" t="s">
        <v>920</v>
      </c>
      <c r="G6599" s="3" t="s">
        <v>7030</v>
      </c>
      <c r="H6599" s="2" t="s">
        <v>6353</v>
      </c>
      <c r="I6599" s="3" t="s">
        <v>42</v>
      </c>
      <c r="J6599" s="31">
        <v>46093</v>
      </c>
      <c r="K6599" s="31"/>
      <c r="L6599" s="31"/>
      <c r="M6599" s="31"/>
      <c r="N6599" s="31"/>
      <c r="O6599" s="2" t="s">
        <v>1004</v>
      </c>
    </row>
    <row r="6600" spans="1:15">
      <c r="A6600" s="133">
        <f t="shared" si="166"/>
        <v>6599</v>
      </c>
      <c r="B6600" s="65" t="s">
        <v>9416</v>
      </c>
      <c r="C6600" s="130">
        <v>8601457158</v>
      </c>
      <c r="D6600" s="130"/>
      <c r="E6600" s="17" t="s">
        <v>8725</v>
      </c>
      <c r="F6600" s="4" t="s">
        <v>9417</v>
      </c>
      <c r="G6600" s="3" t="s">
        <v>15</v>
      </c>
      <c r="H6600" s="2" t="s">
        <v>2364</v>
      </c>
      <c r="I6600" s="3" t="s">
        <v>88</v>
      </c>
      <c r="J6600" s="31">
        <v>46094</v>
      </c>
      <c r="K6600" s="31">
        <v>46094</v>
      </c>
      <c r="L6600" s="31">
        <v>46094</v>
      </c>
      <c r="M6600" s="31">
        <v>46125</v>
      </c>
      <c r="N6600" s="31"/>
      <c r="O6600" s="2" t="s">
        <v>297</v>
      </c>
    </row>
    <row r="6601" spans="1:15">
      <c r="A6601" s="133">
        <f t="shared" si="166"/>
        <v>6600</v>
      </c>
      <c r="B6601" s="65" t="s">
        <v>9418</v>
      </c>
      <c r="C6601" s="130">
        <v>9373603029</v>
      </c>
      <c r="D6601" s="130"/>
      <c r="E6601" s="17" t="s">
        <v>8725</v>
      </c>
      <c r="F6601" s="4" t="s">
        <v>9419</v>
      </c>
      <c r="G6601" s="3" t="s">
        <v>14</v>
      </c>
      <c r="H6601" s="2" t="s">
        <v>2364</v>
      </c>
      <c r="I6601" s="3" t="s">
        <v>88</v>
      </c>
      <c r="J6601" s="31">
        <v>46094</v>
      </c>
      <c r="K6601" s="31">
        <v>46094</v>
      </c>
      <c r="L6601" s="31"/>
      <c r="M6601" s="31"/>
      <c r="N6601" s="31"/>
      <c r="O6601" s="2" t="s">
        <v>297</v>
      </c>
    </row>
    <row r="6602" spans="1:15">
      <c r="A6602" s="133">
        <f t="shared" si="166"/>
        <v>6601</v>
      </c>
      <c r="B6602" s="65" t="s">
        <v>9420</v>
      </c>
      <c r="C6602" s="130">
        <v>9026093469</v>
      </c>
      <c r="D6602" s="130"/>
      <c r="E6602" s="17" t="s">
        <v>8725</v>
      </c>
      <c r="F6602" s="4" t="s">
        <v>3370</v>
      </c>
      <c r="G6602" s="3" t="s">
        <v>424</v>
      </c>
      <c r="H6602" s="2" t="s">
        <v>2364</v>
      </c>
      <c r="I6602" s="3" t="s">
        <v>88</v>
      </c>
      <c r="J6602" s="31">
        <v>46094</v>
      </c>
      <c r="K6602" s="31">
        <v>46094</v>
      </c>
      <c r="L6602" s="31"/>
      <c r="M6602" s="31"/>
      <c r="N6602" s="31"/>
      <c r="O6602" s="2" t="s">
        <v>425</v>
      </c>
    </row>
    <row r="6603" spans="1:15">
      <c r="A6603" s="133">
        <f t="shared" ref="A6603:A6625" si="167">ROW()-1</f>
        <v>6602</v>
      </c>
      <c r="B6603" s="65" t="s">
        <v>9421</v>
      </c>
      <c r="C6603" s="130">
        <v>9393524242</v>
      </c>
      <c r="D6603" s="130"/>
      <c r="E6603" s="17" t="s">
        <v>7685</v>
      </c>
      <c r="F6603" s="4" t="s">
        <v>9422</v>
      </c>
      <c r="G6603" s="3" t="s">
        <v>15</v>
      </c>
      <c r="H6603" s="2" t="s">
        <v>9423</v>
      </c>
      <c r="I6603" s="3" t="s">
        <v>42</v>
      </c>
      <c r="J6603" s="31">
        <v>46089</v>
      </c>
      <c r="K6603" s="31">
        <v>46091</v>
      </c>
      <c r="L6603" s="31">
        <v>46094</v>
      </c>
      <c r="M6603" s="31">
        <v>46114</v>
      </c>
      <c r="N6603" s="31"/>
      <c r="O6603" s="2" t="s">
        <v>297</v>
      </c>
    </row>
    <row r="6604" spans="1:15">
      <c r="A6604" s="133">
        <f t="shared" si="167"/>
        <v>6603</v>
      </c>
      <c r="B6604" s="65" t="s">
        <v>9424</v>
      </c>
      <c r="C6604" s="130">
        <v>6302907432</v>
      </c>
      <c r="D6604" s="130"/>
      <c r="E6604" s="17" t="s">
        <v>9178</v>
      </c>
      <c r="F6604" s="4" t="s">
        <v>9425</v>
      </c>
      <c r="G6604" s="3" t="s">
        <v>16</v>
      </c>
      <c r="H6604" s="2" t="s">
        <v>5774</v>
      </c>
      <c r="I6604" s="3" t="s">
        <v>42</v>
      </c>
      <c r="J6604" s="31">
        <v>46089</v>
      </c>
      <c r="K6604" s="31">
        <v>46091</v>
      </c>
      <c r="L6604" s="31">
        <v>46094</v>
      </c>
      <c r="M6604" s="31">
        <v>46104</v>
      </c>
      <c r="N6604" s="31">
        <v>46104</v>
      </c>
      <c r="O6604" s="2" t="s">
        <v>297</v>
      </c>
    </row>
    <row r="6605" spans="1:15">
      <c r="A6605" s="133">
        <f t="shared" si="167"/>
        <v>6604</v>
      </c>
      <c r="B6605" s="65" t="s">
        <v>9426</v>
      </c>
      <c r="C6605" s="130">
        <v>9347885079</v>
      </c>
      <c r="D6605" s="130"/>
      <c r="E6605" s="17" t="s">
        <v>9427</v>
      </c>
      <c r="F6605" s="4" t="s">
        <v>9428</v>
      </c>
      <c r="G6605" s="3" t="s">
        <v>16</v>
      </c>
      <c r="H6605" s="2" t="s">
        <v>4145</v>
      </c>
      <c r="I6605" s="3" t="s">
        <v>42</v>
      </c>
      <c r="J6605" s="31">
        <v>46089</v>
      </c>
      <c r="K6605" s="31">
        <v>46091</v>
      </c>
      <c r="L6605" s="31">
        <v>46094</v>
      </c>
      <c r="M6605" s="31">
        <v>46101</v>
      </c>
      <c r="N6605" s="31">
        <v>46101</v>
      </c>
      <c r="O6605" s="2" t="s">
        <v>297</v>
      </c>
    </row>
    <row r="6606" spans="1:15">
      <c r="A6606" s="133">
        <f t="shared" si="167"/>
        <v>6605</v>
      </c>
      <c r="B6606" s="65" t="s">
        <v>9429</v>
      </c>
      <c r="C6606" s="130">
        <v>9502335567</v>
      </c>
      <c r="D6606" s="130"/>
      <c r="E6606" s="17" t="s">
        <v>5557</v>
      </c>
      <c r="F6606" s="4" t="s">
        <v>3672</v>
      </c>
      <c r="G6606" s="3" t="s">
        <v>424</v>
      </c>
      <c r="H6606" s="2" t="s">
        <v>6158</v>
      </c>
      <c r="I6606" s="3" t="s">
        <v>42</v>
      </c>
      <c r="J6606" s="31">
        <v>46094</v>
      </c>
      <c r="K6606" s="31">
        <v>46111</v>
      </c>
      <c r="L6606" s="31"/>
      <c r="M6606" s="31"/>
      <c r="N6606" s="31"/>
      <c r="O6606" s="2" t="s">
        <v>425</v>
      </c>
    </row>
    <row r="6607" spans="1:15">
      <c r="A6607" s="133">
        <f t="shared" si="167"/>
        <v>6606</v>
      </c>
      <c r="B6607" s="65" t="s">
        <v>9430</v>
      </c>
      <c r="C6607" s="130">
        <v>7999216164</v>
      </c>
      <c r="D6607" s="130"/>
      <c r="E6607" s="17" t="s">
        <v>7149</v>
      </c>
      <c r="F6607" s="4" t="s">
        <v>2630</v>
      </c>
      <c r="G6607" s="3" t="s">
        <v>14</v>
      </c>
      <c r="H6607" s="2" t="s">
        <v>296</v>
      </c>
      <c r="I6607" s="3" t="s">
        <v>88</v>
      </c>
      <c r="J6607" s="31">
        <v>46094</v>
      </c>
      <c r="K6607" s="31">
        <v>46103</v>
      </c>
      <c r="L6607" s="31"/>
      <c r="M6607" s="31"/>
      <c r="N6607" s="31"/>
      <c r="O6607" s="2" t="s">
        <v>297</v>
      </c>
    </row>
    <row r="6608" spans="1:15">
      <c r="A6608" s="133">
        <f t="shared" si="167"/>
        <v>6607</v>
      </c>
      <c r="B6608" s="65" t="s">
        <v>3403</v>
      </c>
      <c r="C6608" s="130">
        <v>9472285987</v>
      </c>
      <c r="D6608" s="130"/>
      <c r="E6608" s="17" t="s">
        <v>7149</v>
      </c>
      <c r="F6608" s="4" t="s">
        <v>9431</v>
      </c>
      <c r="G6608" s="3" t="s">
        <v>764</v>
      </c>
      <c r="H6608" s="2" t="s">
        <v>296</v>
      </c>
      <c r="I6608" s="3" t="s">
        <v>88</v>
      </c>
      <c r="J6608" s="31">
        <v>46094</v>
      </c>
      <c r="K6608" s="31">
        <v>46108</v>
      </c>
      <c r="L6608" s="31"/>
      <c r="M6608" s="31"/>
      <c r="N6608" s="31"/>
      <c r="O6608" s="2" t="s">
        <v>425</v>
      </c>
    </row>
    <row r="6609" spans="1:15">
      <c r="A6609" s="133">
        <f t="shared" si="167"/>
        <v>6608</v>
      </c>
      <c r="B6609" s="65" t="s">
        <v>9432</v>
      </c>
      <c r="C6609" s="130">
        <v>7972167084</v>
      </c>
      <c r="D6609" s="130"/>
      <c r="E6609" s="17" t="s">
        <v>9433</v>
      </c>
      <c r="F6609" s="4" t="s">
        <v>446</v>
      </c>
      <c r="G6609" s="3" t="s">
        <v>15</v>
      </c>
      <c r="H6609" s="2" t="s">
        <v>296</v>
      </c>
      <c r="I6609" s="3" t="s">
        <v>88</v>
      </c>
      <c r="J6609" s="31">
        <v>46094</v>
      </c>
      <c r="K6609" s="31">
        <v>46103</v>
      </c>
      <c r="L6609" s="31">
        <v>46108</v>
      </c>
      <c r="M6609" s="31">
        <v>46139</v>
      </c>
      <c r="N6609" s="31"/>
      <c r="O6609" s="2" t="s">
        <v>297</v>
      </c>
    </row>
    <row r="6610" spans="1:15">
      <c r="A6610" s="133">
        <f t="shared" si="167"/>
        <v>6609</v>
      </c>
      <c r="B6610" s="65" t="s">
        <v>9434</v>
      </c>
      <c r="C6610" s="130">
        <v>8788951313</v>
      </c>
      <c r="D6610" s="130"/>
      <c r="E6610" s="17" t="s">
        <v>7149</v>
      </c>
      <c r="F6610" s="4" t="s">
        <v>6214</v>
      </c>
      <c r="G6610" s="3" t="s">
        <v>424</v>
      </c>
      <c r="H6610" s="2" t="s">
        <v>296</v>
      </c>
      <c r="I6610" s="3" t="s">
        <v>88</v>
      </c>
      <c r="J6610" s="31">
        <v>46094</v>
      </c>
      <c r="K6610" s="31">
        <v>46108</v>
      </c>
      <c r="L6610" s="31"/>
      <c r="M6610" s="31"/>
      <c r="N6610" s="31"/>
      <c r="O6610" s="2" t="s">
        <v>425</v>
      </c>
    </row>
    <row r="6611" spans="1:15" ht="15.6">
      <c r="A6611" s="133">
        <f t="shared" si="167"/>
        <v>6610</v>
      </c>
      <c r="B6611" s="65" t="s">
        <v>9435</v>
      </c>
      <c r="C6611" s="130">
        <v>9451016637</v>
      </c>
      <c r="D6611" s="136">
        <v>9340877239</v>
      </c>
      <c r="E6611" s="17" t="s">
        <v>7149</v>
      </c>
      <c r="F6611" s="4" t="s">
        <v>9436</v>
      </c>
      <c r="G6611" s="3" t="s">
        <v>7030</v>
      </c>
      <c r="H6611" s="2" t="s">
        <v>296</v>
      </c>
      <c r="I6611" s="3" t="s">
        <v>88</v>
      </c>
      <c r="J6611" s="31">
        <v>46094</v>
      </c>
      <c r="K6611" s="31"/>
      <c r="L6611" s="31"/>
      <c r="M6611" s="31"/>
      <c r="N6611" s="31"/>
      <c r="O6611" s="2" t="s">
        <v>1004</v>
      </c>
    </row>
    <row r="6612" spans="1:15">
      <c r="A6612" s="133">
        <f t="shared" si="167"/>
        <v>6611</v>
      </c>
      <c r="B6612" s="65" t="s">
        <v>9437</v>
      </c>
      <c r="C6612" s="130">
        <v>9347668021</v>
      </c>
      <c r="D6612" s="130"/>
      <c r="E6612" s="17" t="s">
        <v>7149</v>
      </c>
      <c r="F6612" s="4" t="s">
        <v>278</v>
      </c>
      <c r="G6612" s="3" t="s">
        <v>416</v>
      </c>
      <c r="H6612" s="2" t="s">
        <v>296</v>
      </c>
      <c r="I6612" s="3" t="s">
        <v>88</v>
      </c>
      <c r="J6612" s="31">
        <v>46094</v>
      </c>
      <c r="K6612" s="31">
        <v>46103</v>
      </c>
      <c r="L6612" s="31"/>
      <c r="M6612" s="31"/>
      <c r="N6612" s="31"/>
      <c r="O6612" s="2" t="s">
        <v>297</v>
      </c>
    </row>
    <row r="6613" spans="1:15" ht="15.6">
      <c r="A6613" s="133">
        <f t="shared" si="167"/>
        <v>6612</v>
      </c>
      <c r="B6613" s="65" t="s">
        <v>9438</v>
      </c>
      <c r="C6613" s="130">
        <v>9861573020</v>
      </c>
      <c r="D6613" s="136">
        <v>8917537632</v>
      </c>
      <c r="E6613" s="17" t="s">
        <v>7149</v>
      </c>
      <c r="F6613" s="4" t="s">
        <v>6517</v>
      </c>
      <c r="G6613" s="3" t="s">
        <v>424</v>
      </c>
      <c r="H6613" s="2" t="s">
        <v>296</v>
      </c>
      <c r="I6613" s="3" t="s">
        <v>88</v>
      </c>
      <c r="J6613" s="31">
        <v>46094</v>
      </c>
      <c r="K6613" s="31">
        <v>46108</v>
      </c>
      <c r="L6613" s="31"/>
      <c r="M6613" s="31"/>
      <c r="N6613" s="31"/>
      <c r="O6613" s="2" t="s">
        <v>425</v>
      </c>
    </row>
    <row r="6614" spans="1:15">
      <c r="A6614" s="133">
        <f t="shared" si="167"/>
        <v>6613</v>
      </c>
      <c r="B6614" s="65" t="s">
        <v>9439</v>
      </c>
      <c r="C6614" s="130">
        <v>9658861342</v>
      </c>
      <c r="D6614" s="130"/>
      <c r="E6614" s="17" t="s">
        <v>7149</v>
      </c>
      <c r="F6614" s="4" t="s">
        <v>8634</v>
      </c>
      <c r="G6614" s="3" t="s">
        <v>424</v>
      </c>
      <c r="H6614" s="2" t="s">
        <v>296</v>
      </c>
      <c r="I6614" s="3" t="s">
        <v>88</v>
      </c>
      <c r="J6614" s="31">
        <v>46094</v>
      </c>
      <c r="K6614" s="31">
        <v>46103</v>
      </c>
      <c r="L6614" s="31"/>
      <c r="M6614" s="31"/>
      <c r="N6614" s="31"/>
      <c r="O6614" s="2" t="s">
        <v>425</v>
      </c>
    </row>
    <row r="6615" spans="1:15">
      <c r="A6615" s="133">
        <f t="shared" si="167"/>
        <v>6614</v>
      </c>
      <c r="B6615" s="65" t="s">
        <v>9440</v>
      </c>
      <c r="C6615" s="130">
        <v>9800192382</v>
      </c>
      <c r="D6615" s="130"/>
      <c r="E6615" s="17" t="s">
        <v>7149</v>
      </c>
      <c r="F6615" s="4" t="s">
        <v>7156</v>
      </c>
      <c r="G6615" s="3" t="s">
        <v>7030</v>
      </c>
      <c r="H6615" s="2" t="s">
        <v>296</v>
      </c>
      <c r="I6615" s="3" t="s">
        <v>88</v>
      </c>
      <c r="J6615" s="31">
        <v>46094</v>
      </c>
      <c r="K6615" s="31"/>
      <c r="L6615" s="31"/>
      <c r="M6615" s="31"/>
      <c r="N6615" s="31"/>
      <c r="O6615" s="2" t="s">
        <v>1004</v>
      </c>
    </row>
    <row r="6616" spans="1:15">
      <c r="A6616" s="133">
        <f t="shared" si="167"/>
        <v>6615</v>
      </c>
      <c r="B6616" s="65" t="s">
        <v>7134</v>
      </c>
      <c r="C6616" s="130">
        <v>7981687733</v>
      </c>
      <c r="D6616" s="130"/>
      <c r="E6616" s="17" t="s">
        <v>7149</v>
      </c>
      <c r="F6616" s="4" t="s">
        <v>5196</v>
      </c>
      <c r="G6616" s="3" t="s">
        <v>764</v>
      </c>
      <c r="H6616" s="2" t="s">
        <v>296</v>
      </c>
      <c r="I6616" s="3" t="s">
        <v>88</v>
      </c>
      <c r="J6616" s="31">
        <v>46094</v>
      </c>
      <c r="K6616" s="31"/>
      <c r="L6616" s="31"/>
      <c r="M6616" s="31"/>
      <c r="N6616" s="31"/>
      <c r="O6616" s="2" t="s">
        <v>8022</v>
      </c>
    </row>
    <row r="6617" spans="1:15">
      <c r="A6617" s="133">
        <f t="shared" si="167"/>
        <v>6616</v>
      </c>
      <c r="B6617" s="65" t="s">
        <v>9441</v>
      </c>
      <c r="C6617" s="130">
        <v>8319970564</v>
      </c>
      <c r="D6617" s="130">
        <v>9752067075</v>
      </c>
      <c r="E6617" s="17" t="s">
        <v>7149</v>
      </c>
      <c r="F6617" s="4" t="s">
        <v>9442</v>
      </c>
      <c r="G6617" s="3" t="s">
        <v>424</v>
      </c>
      <c r="H6617" s="2" t="s">
        <v>296</v>
      </c>
      <c r="I6617" s="3" t="s">
        <v>88</v>
      </c>
      <c r="J6617" s="31">
        <v>46094</v>
      </c>
      <c r="K6617" s="31">
        <v>46103</v>
      </c>
      <c r="L6617" s="31"/>
      <c r="M6617" s="31"/>
      <c r="N6617" s="31"/>
      <c r="O6617" s="2" t="s">
        <v>425</v>
      </c>
    </row>
    <row r="6618" spans="1:15">
      <c r="A6618" s="133">
        <f t="shared" si="167"/>
        <v>6617</v>
      </c>
      <c r="B6618" s="65" t="s">
        <v>9443</v>
      </c>
      <c r="C6618" s="130">
        <v>7032406263</v>
      </c>
      <c r="D6618" s="130"/>
      <c r="E6618" s="17" t="s">
        <v>7580</v>
      </c>
      <c r="F6618" s="4" t="s">
        <v>9444</v>
      </c>
      <c r="G6618" s="3" t="s">
        <v>15</v>
      </c>
      <c r="H6618" s="2" t="s">
        <v>2364</v>
      </c>
      <c r="I6618" s="3" t="s">
        <v>88</v>
      </c>
      <c r="J6618" s="31">
        <v>46094</v>
      </c>
      <c r="K6618" s="31">
        <v>46094</v>
      </c>
      <c r="L6618" s="31">
        <v>46094</v>
      </c>
      <c r="M6618" s="31">
        <v>46125</v>
      </c>
      <c r="N6618" s="31"/>
      <c r="O6618" s="2" t="s">
        <v>297</v>
      </c>
    </row>
    <row r="6619" spans="1:15">
      <c r="A6619" s="133">
        <f t="shared" si="167"/>
        <v>6618</v>
      </c>
      <c r="B6619" s="65" t="s">
        <v>9445</v>
      </c>
      <c r="C6619" s="130">
        <v>9133105412</v>
      </c>
      <c r="D6619" s="130"/>
      <c r="E6619" s="17" t="s">
        <v>7545</v>
      </c>
      <c r="F6619" s="4" t="s">
        <v>1992</v>
      </c>
      <c r="G6619" s="3" t="s">
        <v>15</v>
      </c>
      <c r="H6619" s="2" t="s">
        <v>999</v>
      </c>
      <c r="I6619" s="3" t="s">
        <v>88</v>
      </c>
      <c r="J6619" s="31">
        <v>46094</v>
      </c>
      <c r="K6619" s="31">
        <v>46094</v>
      </c>
      <c r="L6619" s="31">
        <v>46094</v>
      </c>
      <c r="M6619" s="31">
        <v>46125</v>
      </c>
      <c r="N6619" s="31"/>
      <c r="O6619" s="2" t="s">
        <v>297</v>
      </c>
    </row>
    <row r="6620" spans="1:15">
      <c r="A6620" s="133">
        <f t="shared" si="167"/>
        <v>6619</v>
      </c>
      <c r="B6620" s="65" t="s">
        <v>9446</v>
      </c>
      <c r="C6620" s="130">
        <v>7893016253</v>
      </c>
      <c r="D6620" s="130"/>
      <c r="E6620" s="17" t="s">
        <v>5557</v>
      </c>
      <c r="F6620" s="4" t="s">
        <v>543</v>
      </c>
      <c r="G6620" s="3" t="s">
        <v>7030</v>
      </c>
      <c r="H6620" s="2" t="s">
        <v>6158</v>
      </c>
      <c r="I6620" s="3" t="s">
        <v>42</v>
      </c>
      <c r="J6620" s="31">
        <v>46094</v>
      </c>
      <c r="K6620" s="31"/>
      <c r="L6620" s="31"/>
      <c r="M6620" s="31"/>
      <c r="N6620" s="31"/>
      <c r="O6620" s="2" t="s">
        <v>1004</v>
      </c>
    </row>
    <row r="6621" spans="1:15">
      <c r="A6621" s="133">
        <f t="shared" si="167"/>
        <v>6620</v>
      </c>
      <c r="B6621" s="65" t="s">
        <v>9447</v>
      </c>
      <c r="C6621" s="130">
        <v>8317515674</v>
      </c>
      <c r="D6621" s="130"/>
      <c r="E6621" s="17" t="s">
        <v>8419</v>
      </c>
      <c r="F6621" s="4" t="s">
        <v>972</v>
      </c>
      <c r="G6621" s="3" t="s">
        <v>424</v>
      </c>
      <c r="H6621" s="2" t="s">
        <v>8395</v>
      </c>
      <c r="I6621" s="3" t="s">
        <v>42</v>
      </c>
      <c r="J6621" s="31">
        <v>46094</v>
      </c>
      <c r="K6621" s="31">
        <v>46111</v>
      </c>
      <c r="L6621" s="31"/>
      <c r="M6621" s="31"/>
      <c r="N6621" s="31"/>
      <c r="O6621" s="2" t="s">
        <v>425</v>
      </c>
    </row>
    <row r="6622" spans="1:15">
      <c r="A6622" s="133">
        <f t="shared" si="167"/>
        <v>6621</v>
      </c>
      <c r="B6622" s="65" t="s">
        <v>9448</v>
      </c>
      <c r="C6622" s="130">
        <v>9767894006</v>
      </c>
      <c r="D6622" s="130"/>
      <c r="E6622" s="17" t="s">
        <v>8419</v>
      </c>
      <c r="F6622" s="4" t="s">
        <v>7732</v>
      </c>
      <c r="G6622" s="3" t="s">
        <v>18</v>
      </c>
      <c r="H6622" s="2" t="s">
        <v>8395</v>
      </c>
      <c r="I6622" s="3" t="s">
        <v>42</v>
      </c>
      <c r="J6622" s="31">
        <v>46094</v>
      </c>
      <c r="K6622" s="31"/>
      <c r="L6622" s="31"/>
      <c r="M6622" s="31"/>
      <c r="N6622" s="31"/>
      <c r="O6622" s="2" t="s">
        <v>1004</v>
      </c>
    </row>
    <row r="6623" spans="1:15">
      <c r="A6623" s="133">
        <f t="shared" si="167"/>
        <v>6622</v>
      </c>
      <c r="B6623" s="65" t="s">
        <v>9449</v>
      </c>
      <c r="C6623" s="130">
        <v>9553650060</v>
      </c>
      <c r="D6623" s="130"/>
      <c r="E6623" s="17" t="s">
        <v>9178</v>
      </c>
      <c r="F6623" s="4" t="s">
        <v>1550</v>
      </c>
      <c r="G6623" s="3" t="s">
        <v>424</v>
      </c>
      <c r="H6623" s="2" t="s">
        <v>102</v>
      </c>
      <c r="I6623" s="3" t="s">
        <v>42</v>
      </c>
      <c r="J6623" s="31">
        <v>46094</v>
      </c>
      <c r="K6623" s="31">
        <v>46097</v>
      </c>
      <c r="L6623" s="31"/>
      <c r="M6623" s="31"/>
      <c r="N6623" s="31"/>
      <c r="O6623" s="2" t="s">
        <v>425</v>
      </c>
    </row>
    <row r="6624" spans="1:15">
      <c r="A6624" s="133">
        <f t="shared" si="167"/>
        <v>6623</v>
      </c>
      <c r="B6624" s="65" t="s">
        <v>9450</v>
      </c>
      <c r="C6624" s="130">
        <v>8985718209</v>
      </c>
      <c r="D6624" s="130"/>
      <c r="E6624" s="17" t="s">
        <v>9178</v>
      </c>
      <c r="F6624" s="4" t="s">
        <v>2501</v>
      </c>
      <c r="G6624" s="3" t="s">
        <v>14</v>
      </c>
      <c r="H6624" s="2" t="s">
        <v>102</v>
      </c>
      <c r="I6624" s="3" t="s">
        <v>42</v>
      </c>
      <c r="J6624" s="31">
        <v>46094</v>
      </c>
      <c r="K6624" s="31">
        <v>46097</v>
      </c>
      <c r="L6624" s="31"/>
      <c r="M6624" s="31"/>
      <c r="N6624" s="31"/>
      <c r="O6624" s="2" t="s">
        <v>297</v>
      </c>
    </row>
    <row r="6625" spans="1:15">
      <c r="A6625" s="133">
        <f t="shared" si="167"/>
        <v>6624</v>
      </c>
      <c r="B6625" s="65" t="s">
        <v>9451</v>
      </c>
      <c r="C6625" s="130">
        <v>9182057123</v>
      </c>
      <c r="D6625" s="130"/>
      <c r="E6625" s="17" t="s">
        <v>9178</v>
      </c>
      <c r="F6625" s="4" t="s">
        <v>9452</v>
      </c>
      <c r="G6625" s="3" t="s">
        <v>424</v>
      </c>
      <c r="H6625" s="2" t="s">
        <v>102</v>
      </c>
      <c r="I6625" s="3" t="s">
        <v>42</v>
      </c>
      <c r="J6625" s="31">
        <v>46094</v>
      </c>
      <c r="K6625" s="31">
        <v>46097</v>
      </c>
      <c r="L6625" s="31"/>
      <c r="M6625" s="31"/>
      <c r="N6625" s="31"/>
      <c r="O6625" s="2" t="s">
        <v>425</v>
      </c>
    </row>
    <row r="6626" spans="1:15">
      <c r="A6626" s="133">
        <f t="shared" ref="A6626:A6631" si="168">ROW()-1</f>
        <v>6625</v>
      </c>
      <c r="B6626" s="65" t="s">
        <v>9453</v>
      </c>
      <c r="C6626" s="130">
        <v>9100215368</v>
      </c>
      <c r="D6626" s="130"/>
      <c r="E6626" s="17" t="s">
        <v>6537</v>
      </c>
      <c r="F6626" s="4" t="s">
        <v>419</v>
      </c>
      <c r="G6626" s="3" t="s">
        <v>15</v>
      </c>
      <c r="H6626" s="2" t="s">
        <v>6158</v>
      </c>
      <c r="I6626" s="3" t="s">
        <v>42</v>
      </c>
      <c r="J6626" s="31">
        <v>46094</v>
      </c>
      <c r="K6626" s="31">
        <v>46098</v>
      </c>
      <c r="L6626" s="31">
        <v>46101</v>
      </c>
      <c r="M6626" s="31">
        <v>46122</v>
      </c>
      <c r="N6626" s="31"/>
      <c r="O6626" s="2" t="s">
        <v>297</v>
      </c>
    </row>
    <row r="6627" spans="1:15">
      <c r="A6627" s="133">
        <f t="shared" si="168"/>
        <v>6626</v>
      </c>
      <c r="B6627" s="65" t="s">
        <v>9454</v>
      </c>
      <c r="C6627" s="130">
        <v>8978332532</v>
      </c>
      <c r="D6627" s="130"/>
      <c r="E6627" s="17" t="s">
        <v>6537</v>
      </c>
      <c r="F6627" s="4" t="s">
        <v>1312</v>
      </c>
      <c r="G6627" s="3" t="s">
        <v>764</v>
      </c>
      <c r="H6627" s="2" t="s">
        <v>6158</v>
      </c>
      <c r="I6627" s="3" t="s">
        <v>42</v>
      </c>
      <c r="J6627" s="31">
        <v>46094</v>
      </c>
      <c r="K6627" s="31">
        <v>46098</v>
      </c>
      <c r="L6627" s="31"/>
      <c r="M6627" s="31"/>
      <c r="N6627" s="31"/>
      <c r="O6627" s="2" t="s">
        <v>425</v>
      </c>
    </row>
    <row r="6628" spans="1:15">
      <c r="A6628" s="133">
        <f t="shared" si="168"/>
        <v>6627</v>
      </c>
      <c r="B6628" s="65" t="s">
        <v>9455</v>
      </c>
      <c r="C6628" s="130">
        <v>6304653878</v>
      </c>
      <c r="D6628" s="130"/>
      <c r="E6628" s="17" t="s">
        <v>8433</v>
      </c>
      <c r="F6628" s="4" t="s">
        <v>9456</v>
      </c>
      <c r="G6628" s="3" t="s">
        <v>764</v>
      </c>
      <c r="H6628" s="2" t="s">
        <v>6158</v>
      </c>
      <c r="I6628" s="3" t="s">
        <v>42</v>
      </c>
      <c r="J6628" s="31">
        <v>46094</v>
      </c>
      <c r="K6628" s="31">
        <v>46098</v>
      </c>
      <c r="L6628" s="31"/>
      <c r="M6628" s="31"/>
      <c r="N6628" s="31"/>
      <c r="O6628" s="2" t="s">
        <v>425</v>
      </c>
    </row>
    <row r="6629" spans="1:15">
      <c r="A6629" s="133">
        <f t="shared" si="168"/>
        <v>6628</v>
      </c>
      <c r="B6629" s="65" t="s">
        <v>9457</v>
      </c>
      <c r="C6629" s="130">
        <v>8185053481</v>
      </c>
      <c r="D6629" s="130"/>
      <c r="E6629" s="17" t="s">
        <v>7114</v>
      </c>
      <c r="F6629" s="4" t="s">
        <v>1312</v>
      </c>
      <c r="G6629" s="3" t="s">
        <v>764</v>
      </c>
      <c r="H6629" s="2" t="s">
        <v>4145</v>
      </c>
      <c r="I6629" s="3" t="s">
        <v>42</v>
      </c>
      <c r="J6629" s="31">
        <v>46094</v>
      </c>
      <c r="K6629" s="31">
        <v>46098</v>
      </c>
      <c r="L6629" s="31"/>
      <c r="M6629" s="31"/>
      <c r="N6629" s="31"/>
      <c r="O6629" s="2" t="s">
        <v>425</v>
      </c>
    </row>
    <row r="6630" spans="1:15">
      <c r="A6630" s="133">
        <f t="shared" si="168"/>
        <v>6629</v>
      </c>
      <c r="B6630" s="65" t="s">
        <v>9458</v>
      </c>
      <c r="C6630" s="130">
        <v>7799873354</v>
      </c>
      <c r="D6630" s="130"/>
      <c r="E6630" s="17" t="s">
        <v>7114</v>
      </c>
      <c r="F6630" s="4" t="s">
        <v>1893</v>
      </c>
      <c r="G6630" s="3" t="s">
        <v>14</v>
      </c>
      <c r="H6630" s="2" t="s">
        <v>4145</v>
      </c>
      <c r="I6630" s="3" t="s">
        <v>42</v>
      </c>
      <c r="J6630" s="31">
        <v>46094</v>
      </c>
      <c r="K6630" s="31">
        <v>46098</v>
      </c>
      <c r="L6630" s="31"/>
      <c r="M6630" s="31"/>
      <c r="N6630" s="31"/>
      <c r="O6630" s="2" t="s">
        <v>297</v>
      </c>
    </row>
    <row r="6631" spans="1:15">
      <c r="A6631" s="133">
        <f t="shared" si="168"/>
        <v>6630</v>
      </c>
      <c r="B6631" s="65" t="s">
        <v>9459</v>
      </c>
      <c r="C6631" s="130">
        <v>7008681804</v>
      </c>
      <c r="D6631" s="130"/>
      <c r="E6631" s="17" t="s">
        <v>8419</v>
      </c>
      <c r="F6631" s="4" t="s">
        <v>9460</v>
      </c>
      <c r="G6631" s="3" t="s">
        <v>424</v>
      </c>
      <c r="H6631" s="2" t="s">
        <v>8395</v>
      </c>
      <c r="I6631" s="3" t="s">
        <v>42</v>
      </c>
      <c r="J6631" s="31">
        <v>46094</v>
      </c>
      <c r="K6631" s="31">
        <v>46111</v>
      </c>
      <c r="L6631" s="31"/>
      <c r="M6631" s="31"/>
      <c r="N6631" s="31"/>
      <c r="O6631" s="2" t="s">
        <v>749</v>
      </c>
    </row>
    <row r="6632" spans="1:15">
      <c r="A6632" s="133">
        <f t="shared" ref="A6632:A6650" si="169">ROW()-1</f>
        <v>6631</v>
      </c>
      <c r="B6632" s="65" t="s">
        <v>9461</v>
      </c>
      <c r="C6632" s="130">
        <v>6304067197</v>
      </c>
      <c r="D6632" s="130"/>
      <c r="E6632" s="17" t="s">
        <v>6537</v>
      </c>
      <c r="F6632" s="4" t="s">
        <v>2417</v>
      </c>
      <c r="G6632" s="3" t="s">
        <v>764</v>
      </c>
      <c r="H6632" s="2" t="s">
        <v>6158</v>
      </c>
      <c r="I6632" s="3" t="s">
        <v>42</v>
      </c>
      <c r="J6632" s="31">
        <v>46094</v>
      </c>
      <c r="K6632" s="31">
        <v>46098</v>
      </c>
      <c r="L6632" s="31"/>
      <c r="M6632" s="31"/>
      <c r="N6632" s="31"/>
      <c r="O6632" s="2" t="s">
        <v>425</v>
      </c>
    </row>
    <row r="6633" spans="1:15">
      <c r="A6633" s="133">
        <f t="shared" si="169"/>
        <v>6632</v>
      </c>
      <c r="B6633" s="65" t="s">
        <v>9462</v>
      </c>
      <c r="C6633" s="130">
        <v>8106975405</v>
      </c>
      <c r="D6633" s="130"/>
      <c r="E6633" s="17" t="s">
        <v>6537</v>
      </c>
      <c r="F6633" s="4" t="s">
        <v>7687</v>
      </c>
      <c r="G6633" s="3" t="s">
        <v>764</v>
      </c>
      <c r="H6633" s="2" t="s">
        <v>6158</v>
      </c>
      <c r="I6633" s="3" t="s">
        <v>42</v>
      </c>
      <c r="J6633" s="31">
        <v>46094</v>
      </c>
      <c r="K6633" s="31">
        <v>46098</v>
      </c>
      <c r="L6633" s="31"/>
      <c r="M6633" s="31"/>
      <c r="N6633" s="31"/>
      <c r="O6633" s="2" t="s">
        <v>425</v>
      </c>
    </row>
    <row r="6634" spans="1:15">
      <c r="A6634" s="133">
        <f t="shared" si="169"/>
        <v>6633</v>
      </c>
      <c r="B6634" s="65" t="s">
        <v>9463</v>
      </c>
      <c r="C6634" s="130">
        <v>9059775029</v>
      </c>
      <c r="D6634" s="130"/>
      <c r="E6634" s="17" t="s">
        <v>8244</v>
      </c>
      <c r="F6634" s="4"/>
      <c r="G6634" s="3" t="s">
        <v>14</v>
      </c>
      <c r="H6634" s="2" t="s">
        <v>3240</v>
      </c>
      <c r="I6634" s="3" t="s">
        <v>42</v>
      </c>
      <c r="J6634" s="31">
        <v>46094</v>
      </c>
      <c r="K6634" s="31">
        <v>46114</v>
      </c>
      <c r="L6634" s="31"/>
      <c r="M6634" s="31"/>
      <c r="N6634" s="31"/>
      <c r="O6634" s="2" t="s">
        <v>297</v>
      </c>
    </row>
    <row r="6635" spans="1:15">
      <c r="A6635" s="133">
        <f t="shared" si="169"/>
        <v>6634</v>
      </c>
      <c r="B6635" s="65" t="s">
        <v>9464</v>
      </c>
      <c r="C6635" s="130">
        <v>6387231397</v>
      </c>
      <c r="D6635" s="130"/>
      <c r="E6635" s="17" t="s">
        <v>8361</v>
      </c>
      <c r="F6635" s="4" t="s">
        <v>1312</v>
      </c>
      <c r="G6635" s="3" t="s">
        <v>764</v>
      </c>
      <c r="H6635" s="2" t="s">
        <v>3240</v>
      </c>
      <c r="I6635" s="3" t="s">
        <v>42</v>
      </c>
      <c r="J6635" s="31">
        <v>46094</v>
      </c>
      <c r="K6635" s="31">
        <v>46114</v>
      </c>
      <c r="L6635" s="31"/>
      <c r="M6635" s="31"/>
      <c r="N6635" s="31"/>
      <c r="O6635" s="2" t="s">
        <v>425</v>
      </c>
    </row>
    <row r="6636" spans="1:15">
      <c r="A6636" s="133">
        <f t="shared" si="169"/>
        <v>6635</v>
      </c>
      <c r="B6636" s="65" t="s">
        <v>9465</v>
      </c>
      <c r="C6636" s="130">
        <v>7893698640</v>
      </c>
      <c r="D6636" s="130"/>
      <c r="E6636" s="17" t="s">
        <v>9178</v>
      </c>
      <c r="F6636" s="4" t="s">
        <v>9466</v>
      </c>
      <c r="G6636" s="3" t="s">
        <v>15</v>
      </c>
      <c r="H6636" s="2" t="s">
        <v>102</v>
      </c>
      <c r="I6636" s="3" t="s">
        <v>42</v>
      </c>
      <c r="J6636" s="31">
        <v>46094</v>
      </c>
      <c r="K6636" s="31">
        <v>46097</v>
      </c>
      <c r="L6636" s="31">
        <v>46101</v>
      </c>
      <c r="M6636" s="31">
        <v>46116</v>
      </c>
      <c r="N6636" s="31"/>
      <c r="O6636" s="2" t="s">
        <v>297</v>
      </c>
    </row>
    <row r="6637" spans="1:15">
      <c r="A6637" s="133">
        <f t="shared" si="169"/>
        <v>6636</v>
      </c>
      <c r="B6637" s="65" t="s">
        <v>9467</v>
      </c>
      <c r="C6637" s="130">
        <v>9100656482</v>
      </c>
      <c r="D6637" s="130"/>
      <c r="E6637" s="17" t="s">
        <v>9468</v>
      </c>
      <c r="F6637" s="4" t="s">
        <v>245</v>
      </c>
      <c r="G6637" s="3" t="s">
        <v>14</v>
      </c>
      <c r="H6637" s="2" t="s">
        <v>94</v>
      </c>
      <c r="I6637" s="3" t="s">
        <v>94</v>
      </c>
      <c r="J6637" s="31">
        <v>46090</v>
      </c>
      <c r="K6637" s="31">
        <v>46093</v>
      </c>
      <c r="L6637" s="31"/>
      <c r="M6637" s="31"/>
      <c r="N6637" s="31"/>
      <c r="O6637" s="2" t="s">
        <v>297</v>
      </c>
    </row>
    <row r="6638" spans="1:15">
      <c r="A6638" s="133">
        <f t="shared" si="169"/>
        <v>6637</v>
      </c>
      <c r="B6638" s="65" t="s">
        <v>9469</v>
      </c>
      <c r="C6638" s="130">
        <v>8018012324</v>
      </c>
      <c r="D6638" s="130"/>
      <c r="E6638" s="17" t="s">
        <v>9468</v>
      </c>
      <c r="F6638" s="4" t="s">
        <v>245</v>
      </c>
      <c r="G6638" s="3" t="s">
        <v>14</v>
      </c>
      <c r="H6638" s="2" t="s">
        <v>94</v>
      </c>
      <c r="I6638" s="3" t="s">
        <v>94</v>
      </c>
      <c r="J6638" s="31">
        <v>46090</v>
      </c>
      <c r="K6638" s="31">
        <v>46093</v>
      </c>
      <c r="L6638" s="31"/>
      <c r="M6638" s="31"/>
      <c r="N6638" s="31"/>
      <c r="O6638" s="2" t="s">
        <v>297</v>
      </c>
    </row>
    <row r="6639" spans="1:15">
      <c r="A6639" s="133">
        <f t="shared" si="169"/>
        <v>6638</v>
      </c>
      <c r="B6639" s="65" t="s">
        <v>9470</v>
      </c>
      <c r="C6639" s="130">
        <v>9658309169</v>
      </c>
      <c r="D6639" s="130"/>
      <c r="E6639" s="17" t="s">
        <v>9468</v>
      </c>
      <c r="F6639" s="4" t="s">
        <v>245</v>
      </c>
      <c r="G6639" s="3" t="s">
        <v>14</v>
      </c>
      <c r="H6639" s="2" t="s">
        <v>94</v>
      </c>
      <c r="I6639" s="3" t="s">
        <v>94</v>
      </c>
      <c r="J6639" s="31">
        <v>46090</v>
      </c>
      <c r="K6639" s="31">
        <v>46093</v>
      </c>
      <c r="L6639" s="31"/>
      <c r="M6639" s="31"/>
      <c r="N6639" s="31"/>
      <c r="O6639" s="2" t="s">
        <v>297</v>
      </c>
    </row>
    <row r="6640" spans="1:15">
      <c r="A6640" s="133">
        <f t="shared" si="169"/>
        <v>6639</v>
      </c>
      <c r="B6640" s="65" t="s">
        <v>9471</v>
      </c>
      <c r="C6640" s="130">
        <v>7684800429</v>
      </c>
      <c r="D6640" s="130"/>
      <c r="E6640" s="17" t="s">
        <v>9468</v>
      </c>
      <c r="F6640" s="4" t="s">
        <v>245</v>
      </c>
      <c r="G6640" s="3" t="s">
        <v>14</v>
      </c>
      <c r="H6640" s="2" t="s">
        <v>94</v>
      </c>
      <c r="I6640" s="3" t="s">
        <v>94</v>
      </c>
      <c r="J6640" s="31">
        <v>46090</v>
      </c>
      <c r="K6640" s="31">
        <v>46093</v>
      </c>
      <c r="L6640" s="31"/>
      <c r="M6640" s="31"/>
      <c r="N6640" s="31"/>
      <c r="O6640" s="2" t="s">
        <v>297</v>
      </c>
    </row>
    <row r="6641" spans="1:15">
      <c r="A6641" s="133">
        <f t="shared" si="169"/>
        <v>6640</v>
      </c>
      <c r="B6641" s="65" t="s">
        <v>9472</v>
      </c>
      <c r="C6641" s="130">
        <v>9542896767</v>
      </c>
      <c r="D6641" s="130"/>
      <c r="E6641" s="17" t="s">
        <v>6903</v>
      </c>
      <c r="F6641" s="4" t="s">
        <v>245</v>
      </c>
      <c r="G6641" s="3" t="s">
        <v>14</v>
      </c>
      <c r="H6641" s="2" t="s">
        <v>94</v>
      </c>
      <c r="I6641" s="3" t="s">
        <v>94</v>
      </c>
      <c r="J6641" s="31">
        <v>46090</v>
      </c>
      <c r="K6641" s="31">
        <v>46093</v>
      </c>
      <c r="L6641" s="31"/>
      <c r="M6641" s="31"/>
      <c r="N6641" s="31"/>
      <c r="O6641" s="2" t="s">
        <v>297</v>
      </c>
    </row>
    <row r="6642" spans="1:15">
      <c r="A6642" s="133">
        <f t="shared" si="169"/>
        <v>6641</v>
      </c>
      <c r="B6642" s="65" t="s">
        <v>9473</v>
      </c>
      <c r="C6642" s="130">
        <v>9676359293</v>
      </c>
      <c r="D6642" s="130"/>
      <c r="E6642" s="17" t="s">
        <v>6903</v>
      </c>
      <c r="F6642" s="4" t="s">
        <v>245</v>
      </c>
      <c r="G6642" s="3" t="s">
        <v>14</v>
      </c>
      <c r="H6642" s="2" t="s">
        <v>94</v>
      </c>
      <c r="I6642" s="3" t="s">
        <v>94</v>
      </c>
      <c r="J6642" s="31">
        <v>46090</v>
      </c>
      <c r="K6642" s="31">
        <v>46093</v>
      </c>
      <c r="L6642" s="31"/>
      <c r="M6642" s="31"/>
      <c r="N6642" s="31"/>
      <c r="O6642" s="2" t="s">
        <v>297</v>
      </c>
    </row>
    <row r="6643" spans="1:15">
      <c r="A6643" s="133">
        <f t="shared" si="169"/>
        <v>6642</v>
      </c>
      <c r="B6643" s="65" t="s">
        <v>9474</v>
      </c>
      <c r="C6643" s="130">
        <v>7993644709</v>
      </c>
      <c r="D6643" s="130"/>
      <c r="E6643" s="17" t="s">
        <v>6903</v>
      </c>
      <c r="F6643" s="4" t="s">
        <v>245</v>
      </c>
      <c r="G6643" s="3" t="s">
        <v>14</v>
      </c>
      <c r="H6643" s="2" t="s">
        <v>94</v>
      </c>
      <c r="I6643" s="3" t="s">
        <v>94</v>
      </c>
      <c r="J6643" s="31">
        <v>46090</v>
      </c>
      <c r="K6643" s="31">
        <v>46093</v>
      </c>
      <c r="L6643" s="31"/>
      <c r="M6643" s="31"/>
      <c r="N6643" s="31"/>
      <c r="O6643" s="2" t="s">
        <v>297</v>
      </c>
    </row>
    <row r="6644" spans="1:15">
      <c r="A6644" s="133">
        <f t="shared" si="169"/>
        <v>6643</v>
      </c>
      <c r="B6644" s="65" t="s">
        <v>6682</v>
      </c>
      <c r="C6644" s="130">
        <v>9006218071</v>
      </c>
      <c r="D6644" s="130"/>
      <c r="E6644" s="17" t="s">
        <v>6903</v>
      </c>
      <c r="F6644" s="4" t="s">
        <v>245</v>
      </c>
      <c r="G6644" s="3" t="s">
        <v>14</v>
      </c>
      <c r="H6644" s="2" t="s">
        <v>94</v>
      </c>
      <c r="I6644" s="3" t="s">
        <v>94</v>
      </c>
      <c r="J6644" s="31">
        <v>46090</v>
      </c>
      <c r="K6644" s="31">
        <v>46093</v>
      </c>
      <c r="L6644" s="31"/>
      <c r="M6644" s="31"/>
      <c r="N6644" s="31"/>
      <c r="O6644" s="2" t="s">
        <v>297</v>
      </c>
    </row>
    <row r="6645" spans="1:15">
      <c r="A6645" s="133">
        <f t="shared" si="169"/>
        <v>6644</v>
      </c>
      <c r="B6645" s="65" t="s">
        <v>9475</v>
      </c>
      <c r="C6645" s="130">
        <v>9341674688</v>
      </c>
      <c r="D6645" s="130"/>
      <c r="E6645" s="17" t="s">
        <v>6903</v>
      </c>
      <c r="F6645" s="4" t="s">
        <v>245</v>
      </c>
      <c r="G6645" s="3" t="s">
        <v>14</v>
      </c>
      <c r="H6645" s="2" t="s">
        <v>94</v>
      </c>
      <c r="I6645" s="3" t="s">
        <v>94</v>
      </c>
      <c r="J6645" s="31">
        <v>46090</v>
      </c>
      <c r="K6645" s="31">
        <v>46093</v>
      </c>
      <c r="L6645" s="31"/>
      <c r="M6645" s="31"/>
      <c r="N6645" s="31"/>
      <c r="O6645" s="2" t="s">
        <v>297</v>
      </c>
    </row>
    <row r="6646" spans="1:15">
      <c r="A6646" s="133">
        <f t="shared" si="169"/>
        <v>6645</v>
      </c>
      <c r="B6646" s="65" t="s">
        <v>9476</v>
      </c>
      <c r="C6646" s="130">
        <v>6370027329</v>
      </c>
      <c r="D6646" s="130"/>
      <c r="E6646" s="17" t="s">
        <v>6903</v>
      </c>
      <c r="F6646" s="4" t="s">
        <v>245</v>
      </c>
      <c r="G6646" s="3" t="s">
        <v>14</v>
      </c>
      <c r="H6646" s="2" t="s">
        <v>94</v>
      </c>
      <c r="I6646" s="3" t="s">
        <v>94</v>
      </c>
      <c r="J6646" s="31">
        <v>46090</v>
      </c>
      <c r="K6646" s="31">
        <v>46093</v>
      </c>
      <c r="L6646" s="31"/>
      <c r="M6646" s="31"/>
      <c r="N6646" s="31"/>
      <c r="O6646" s="2" t="s">
        <v>297</v>
      </c>
    </row>
    <row r="6647" spans="1:15">
      <c r="A6647" s="133">
        <f t="shared" si="169"/>
        <v>6646</v>
      </c>
      <c r="B6647" s="65" t="s">
        <v>9477</v>
      </c>
      <c r="C6647" s="130">
        <v>6302381820</v>
      </c>
      <c r="D6647" s="130"/>
      <c r="E6647" s="17" t="s">
        <v>6903</v>
      </c>
      <c r="F6647" s="4" t="s">
        <v>245</v>
      </c>
      <c r="G6647" s="3" t="s">
        <v>14</v>
      </c>
      <c r="H6647" s="2" t="s">
        <v>94</v>
      </c>
      <c r="I6647" s="3" t="s">
        <v>94</v>
      </c>
      <c r="J6647" s="31">
        <v>46090</v>
      </c>
      <c r="K6647" s="31">
        <v>46093</v>
      </c>
      <c r="L6647" s="31"/>
      <c r="M6647" s="31"/>
      <c r="N6647" s="31"/>
      <c r="O6647" s="2" t="s">
        <v>297</v>
      </c>
    </row>
    <row r="6648" spans="1:15">
      <c r="A6648" s="133">
        <f t="shared" si="169"/>
        <v>6647</v>
      </c>
      <c r="B6648" s="65" t="s">
        <v>9478</v>
      </c>
      <c r="C6648" s="130">
        <v>9337887457</v>
      </c>
      <c r="D6648" s="130"/>
      <c r="E6648" s="17" t="s">
        <v>6903</v>
      </c>
      <c r="F6648" s="4" t="s">
        <v>245</v>
      </c>
      <c r="G6648" s="3" t="s">
        <v>14</v>
      </c>
      <c r="H6648" s="2" t="s">
        <v>94</v>
      </c>
      <c r="I6648" s="3" t="s">
        <v>94</v>
      </c>
      <c r="J6648" s="31">
        <v>46090</v>
      </c>
      <c r="K6648" s="31">
        <v>46093</v>
      </c>
      <c r="L6648" s="31"/>
      <c r="M6648" s="31"/>
      <c r="N6648" s="31"/>
      <c r="O6648" s="2" t="s">
        <v>297</v>
      </c>
    </row>
    <row r="6649" spans="1:15">
      <c r="A6649" s="133">
        <f t="shared" si="169"/>
        <v>6648</v>
      </c>
      <c r="B6649" s="65" t="s">
        <v>9479</v>
      </c>
      <c r="C6649" s="130">
        <v>9337486106</v>
      </c>
      <c r="D6649" s="130"/>
      <c r="E6649" s="17" t="s">
        <v>6903</v>
      </c>
      <c r="F6649" s="4" t="s">
        <v>245</v>
      </c>
      <c r="G6649" s="3" t="s">
        <v>14</v>
      </c>
      <c r="H6649" s="2" t="s">
        <v>94</v>
      </c>
      <c r="I6649" s="3" t="s">
        <v>94</v>
      </c>
      <c r="J6649" s="31">
        <v>46090</v>
      </c>
      <c r="K6649" s="31">
        <v>46093</v>
      </c>
      <c r="L6649" s="31"/>
      <c r="M6649" s="31"/>
      <c r="N6649" s="31"/>
      <c r="O6649" s="2" t="s">
        <v>297</v>
      </c>
    </row>
    <row r="6650" spans="1:15">
      <c r="A6650" s="133">
        <f t="shared" si="169"/>
        <v>6649</v>
      </c>
      <c r="B6650" s="65" t="s">
        <v>9480</v>
      </c>
      <c r="C6650" s="130">
        <v>9705900226</v>
      </c>
      <c r="D6650" s="130"/>
      <c r="E6650" s="17" t="s">
        <v>8419</v>
      </c>
      <c r="F6650" s="4" t="s">
        <v>9460</v>
      </c>
      <c r="G6650" s="3" t="s">
        <v>18</v>
      </c>
      <c r="H6650" s="2" t="s">
        <v>8395</v>
      </c>
      <c r="I6650" s="3" t="s">
        <v>42</v>
      </c>
      <c r="J6650" s="31">
        <v>46094</v>
      </c>
      <c r="K6650" s="31"/>
      <c r="L6650" s="31"/>
      <c r="M6650" s="31"/>
      <c r="N6650" s="31"/>
      <c r="O6650" s="2" t="s">
        <v>1004</v>
      </c>
    </row>
    <row r="6651" spans="1:15">
      <c r="A6651" s="133">
        <f t="shared" ref="A6651:A6656" si="170">ROW()-1</f>
        <v>6650</v>
      </c>
      <c r="B6651" s="65" t="s">
        <v>9481</v>
      </c>
      <c r="C6651" s="130">
        <v>8886709477</v>
      </c>
      <c r="D6651" s="130"/>
      <c r="E6651" s="17" t="s">
        <v>7114</v>
      </c>
      <c r="F6651" s="4" t="s">
        <v>451</v>
      </c>
      <c r="G6651" s="3" t="s">
        <v>15</v>
      </c>
      <c r="H6651" s="2" t="s">
        <v>4145</v>
      </c>
      <c r="I6651" s="3" t="s">
        <v>42</v>
      </c>
      <c r="J6651" s="31">
        <v>46094</v>
      </c>
      <c r="K6651" s="31">
        <v>46098</v>
      </c>
      <c r="L6651" s="31">
        <v>46101</v>
      </c>
      <c r="M6651" s="31">
        <v>46133</v>
      </c>
      <c r="N6651" s="31"/>
      <c r="O6651" s="2" t="s">
        <v>297</v>
      </c>
    </row>
    <row r="6652" spans="1:15">
      <c r="A6652" s="133">
        <f t="shared" si="170"/>
        <v>6651</v>
      </c>
      <c r="B6652" s="65" t="s">
        <v>9482</v>
      </c>
      <c r="C6652" s="130">
        <v>9014286804</v>
      </c>
      <c r="D6652" s="130"/>
      <c r="E6652" s="17" t="s">
        <v>7114</v>
      </c>
      <c r="F6652" s="4" t="s">
        <v>1312</v>
      </c>
      <c r="G6652" s="3" t="s">
        <v>7030</v>
      </c>
      <c r="H6652" s="2" t="s">
        <v>4145</v>
      </c>
      <c r="I6652" s="3" t="s">
        <v>42</v>
      </c>
      <c r="J6652" s="31">
        <v>46094</v>
      </c>
      <c r="K6652" s="31"/>
      <c r="L6652" s="31"/>
      <c r="M6652" s="31"/>
      <c r="N6652" s="31"/>
      <c r="O6652" s="2" t="s">
        <v>1004</v>
      </c>
    </row>
    <row r="6653" spans="1:15">
      <c r="A6653" s="133">
        <f t="shared" si="170"/>
        <v>6652</v>
      </c>
      <c r="B6653" s="65" t="s">
        <v>9483</v>
      </c>
      <c r="C6653" s="130">
        <v>9346395278</v>
      </c>
      <c r="D6653" s="130"/>
      <c r="E6653" s="17" t="s">
        <v>7114</v>
      </c>
      <c r="F6653" s="4" t="s">
        <v>9484</v>
      </c>
      <c r="G6653" s="3" t="s">
        <v>15</v>
      </c>
      <c r="H6653" s="2" t="s">
        <v>4145</v>
      </c>
      <c r="I6653" s="3" t="s">
        <v>42</v>
      </c>
      <c r="J6653" s="31">
        <v>46094</v>
      </c>
      <c r="K6653" s="31">
        <v>46098</v>
      </c>
      <c r="L6653" s="31">
        <v>46101</v>
      </c>
      <c r="M6653" s="31">
        <v>46133</v>
      </c>
      <c r="N6653" s="31"/>
      <c r="O6653" s="2" t="s">
        <v>297</v>
      </c>
    </row>
    <row r="6654" spans="1:15">
      <c r="A6654" s="133">
        <f t="shared" si="170"/>
        <v>6653</v>
      </c>
      <c r="B6654" s="65" t="s">
        <v>9485</v>
      </c>
      <c r="C6654" s="130">
        <v>9963775781</v>
      </c>
      <c r="D6654" s="130"/>
      <c r="E6654" s="17" t="s">
        <v>7114</v>
      </c>
      <c r="F6654" s="4" t="s">
        <v>9486</v>
      </c>
      <c r="G6654" s="3" t="s">
        <v>15</v>
      </c>
      <c r="H6654" s="2" t="s">
        <v>4145</v>
      </c>
      <c r="I6654" s="3" t="s">
        <v>42</v>
      </c>
      <c r="J6654" s="31">
        <v>46094</v>
      </c>
      <c r="K6654" s="31">
        <v>46098</v>
      </c>
      <c r="L6654" s="31">
        <v>46101</v>
      </c>
      <c r="M6654" s="31">
        <v>46112</v>
      </c>
      <c r="N6654" s="31"/>
      <c r="O6654" s="2" t="s">
        <v>297</v>
      </c>
    </row>
    <row r="6655" spans="1:15">
      <c r="A6655" s="133">
        <f t="shared" si="170"/>
        <v>6654</v>
      </c>
      <c r="B6655" s="65" t="s">
        <v>9487</v>
      </c>
      <c r="C6655" s="130">
        <v>9010462330</v>
      </c>
      <c r="D6655" s="130"/>
      <c r="E6655" s="17" t="s">
        <v>9226</v>
      </c>
      <c r="F6655" s="4"/>
      <c r="G6655" s="3" t="s">
        <v>15</v>
      </c>
      <c r="H6655" s="2" t="s">
        <v>94</v>
      </c>
      <c r="I6655" s="3" t="s">
        <v>94</v>
      </c>
      <c r="J6655" s="31">
        <v>46094</v>
      </c>
      <c r="K6655" s="31">
        <v>46094</v>
      </c>
      <c r="L6655" s="31">
        <v>46094</v>
      </c>
      <c r="M6655" s="31">
        <v>46104</v>
      </c>
      <c r="N6655" s="31"/>
      <c r="O6655" s="2" t="s">
        <v>297</v>
      </c>
    </row>
    <row r="6656" spans="1:15">
      <c r="A6656" s="133">
        <f t="shared" si="170"/>
        <v>6655</v>
      </c>
      <c r="B6656" s="65" t="s">
        <v>9488</v>
      </c>
      <c r="C6656" s="130">
        <v>8340222537</v>
      </c>
      <c r="D6656" s="130"/>
      <c r="E6656" s="17" t="s">
        <v>9489</v>
      </c>
      <c r="F6656" s="4"/>
      <c r="G6656" s="3" t="s">
        <v>15</v>
      </c>
      <c r="H6656" s="2" t="s">
        <v>162</v>
      </c>
      <c r="I6656" s="3" t="s">
        <v>94</v>
      </c>
      <c r="J6656" s="31">
        <v>46094</v>
      </c>
      <c r="K6656" s="31">
        <v>46094</v>
      </c>
      <c r="L6656" s="31">
        <v>46094</v>
      </c>
      <c r="M6656" s="31">
        <v>46104</v>
      </c>
      <c r="N6656" s="31"/>
      <c r="O6656" s="2" t="s">
        <v>297</v>
      </c>
    </row>
    <row r="6657" spans="1:15">
      <c r="A6657" s="133">
        <f>ROW()-1</f>
        <v>6656</v>
      </c>
      <c r="B6657" s="65" t="s">
        <v>9490</v>
      </c>
      <c r="C6657" s="130">
        <v>9922624789</v>
      </c>
      <c r="D6657" s="130"/>
      <c r="E6657" s="17" t="s">
        <v>8670</v>
      </c>
      <c r="F6657" s="4"/>
      <c r="G6657" s="3" t="s">
        <v>295</v>
      </c>
      <c r="H6657" s="2" t="s">
        <v>815</v>
      </c>
      <c r="I6657" s="3" t="s">
        <v>42</v>
      </c>
      <c r="J6657" s="31">
        <v>46094</v>
      </c>
      <c r="K6657" s="31">
        <v>46094</v>
      </c>
      <c r="L6657" s="31">
        <v>46094</v>
      </c>
      <c r="M6657" s="31">
        <v>46115</v>
      </c>
      <c r="N6657" s="31"/>
      <c r="O6657" s="2" t="s">
        <v>297</v>
      </c>
    </row>
    <row r="6658" spans="1:15">
      <c r="A6658" s="133">
        <f>ROW()-1</f>
        <v>6657</v>
      </c>
      <c r="B6658" s="65" t="s">
        <v>9491</v>
      </c>
      <c r="C6658" s="130">
        <v>9030242285</v>
      </c>
      <c r="D6658" s="130"/>
      <c r="E6658" s="17" t="s">
        <v>9427</v>
      </c>
      <c r="F6658" s="4"/>
      <c r="G6658" s="3" t="s">
        <v>15</v>
      </c>
      <c r="H6658" s="2" t="s">
        <v>88</v>
      </c>
      <c r="I6658" s="3" t="s">
        <v>42</v>
      </c>
      <c r="J6658" s="31">
        <v>46094</v>
      </c>
      <c r="K6658" s="31">
        <v>46094</v>
      </c>
      <c r="L6658" s="31">
        <v>46094</v>
      </c>
      <c r="M6658" s="31">
        <v>46115</v>
      </c>
      <c r="N6658" s="31"/>
      <c r="O6658" s="2" t="s">
        <v>297</v>
      </c>
    </row>
    <row r="6659" spans="1:15">
      <c r="A6659" s="133">
        <f>ROW()-1</f>
        <v>6658</v>
      </c>
      <c r="B6659" s="65" t="s">
        <v>9492</v>
      </c>
      <c r="C6659" s="130">
        <v>9704315653</v>
      </c>
      <c r="D6659" s="130"/>
      <c r="E6659" s="17" t="s">
        <v>8922</v>
      </c>
      <c r="F6659" s="4"/>
      <c r="G6659" s="3" t="s">
        <v>16</v>
      </c>
      <c r="H6659" s="2" t="s">
        <v>6158</v>
      </c>
      <c r="I6659" s="3" t="s">
        <v>42</v>
      </c>
      <c r="J6659" s="31">
        <v>46094</v>
      </c>
      <c r="K6659" s="31">
        <v>46094</v>
      </c>
      <c r="L6659" s="31">
        <v>46094</v>
      </c>
      <c r="M6659" s="31">
        <v>46104</v>
      </c>
      <c r="N6659" s="31">
        <v>46104</v>
      </c>
      <c r="O6659" s="2" t="s">
        <v>297</v>
      </c>
    </row>
    <row r="6660" spans="1:15">
      <c r="A6660" s="133">
        <f>ROW()-1</f>
        <v>6659</v>
      </c>
      <c r="B6660" s="65" t="s">
        <v>9493</v>
      </c>
      <c r="C6660" s="130">
        <v>7326915105</v>
      </c>
      <c r="D6660" s="130"/>
      <c r="E6660" s="17" t="s">
        <v>8193</v>
      </c>
      <c r="F6660" s="4"/>
      <c r="G6660" s="3" t="s">
        <v>16</v>
      </c>
      <c r="H6660" s="2" t="s">
        <v>815</v>
      </c>
      <c r="I6660" s="3" t="s">
        <v>42</v>
      </c>
      <c r="J6660" s="31">
        <v>46094</v>
      </c>
      <c r="K6660" s="31">
        <v>46094</v>
      </c>
      <c r="L6660" s="31">
        <v>46094</v>
      </c>
      <c r="M6660" s="31">
        <v>46104</v>
      </c>
      <c r="N6660" s="31">
        <v>46091</v>
      </c>
      <c r="O6660" s="2" t="s">
        <v>297</v>
      </c>
    </row>
    <row r="6661" spans="1:15">
      <c r="A6661" s="133">
        <f>ROW()-1</f>
        <v>6660</v>
      </c>
      <c r="B6661" s="65" t="s">
        <v>9494</v>
      </c>
      <c r="C6661" s="130">
        <v>7989940388</v>
      </c>
      <c r="D6661" s="130"/>
      <c r="E6661" s="17" t="s">
        <v>9292</v>
      </c>
      <c r="F6661" s="4"/>
      <c r="G6661" s="3" t="s">
        <v>16</v>
      </c>
      <c r="H6661" s="2" t="s">
        <v>42</v>
      </c>
      <c r="I6661" s="3" t="s">
        <v>42</v>
      </c>
      <c r="J6661" s="31">
        <v>46094</v>
      </c>
      <c r="K6661" s="31">
        <v>46094</v>
      </c>
      <c r="L6661" s="31">
        <v>46094</v>
      </c>
      <c r="M6661" s="31">
        <v>46101</v>
      </c>
      <c r="N6661" s="31">
        <v>46099</v>
      </c>
      <c r="O6661" s="2" t="s">
        <v>297</v>
      </c>
    </row>
    <row r="6662" spans="1:15">
      <c r="A6662" s="133">
        <f t="shared" ref="A6662:A6681" si="171">ROW()-1</f>
        <v>6661</v>
      </c>
      <c r="B6662" s="65" t="s">
        <v>9495</v>
      </c>
      <c r="C6662" s="130">
        <v>9676598084</v>
      </c>
      <c r="D6662" s="130">
        <v>9121235510</v>
      </c>
      <c r="E6662" s="17" t="s">
        <v>9496</v>
      </c>
      <c r="F6662" s="4" t="s">
        <v>9497</v>
      </c>
      <c r="G6662" s="3" t="s">
        <v>7030</v>
      </c>
      <c r="H6662" s="2" t="s">
        <v>42</v>
      </c>
      <c r="I6662" s="3" t="s">
        <v>42</v>
      </c>
      <c r="J6662" s="31">
        <v>46095</v>
      </c>
      <c r="K6662" s="31"/>
      <c r="L6662" s="31"/>
      <c r="M6662" s="31"/>
      <c r="N6662" s="31"/>
      <c r="O6662" s="2" t="s">
        <v>1004</v>
      </c>
    </row>
    <row r="6663" spans="1:15">
      <c r="A6663" s="133">
        <f t="shared" si="171"/>
        <v>6662</v>
      </c>
      <c r="B6663" s="65" t="s">
        <v>9498</v>
      </c>
      <c r="C6663" s="130">
        <v>9603809426</v>
      </c>
      <c r="D6663" s="130"/>
      <c r="E6663" s="17" t="s">
        <v>7674</v>
      </c>
      <c r="F6663" s="4" t="s">
        <v>612</v>
      </c>
      <c r="G6663" s="3" t="s">
        <v>15</v>
      </c>
      <c r="H6663" s="2" t="s">
        <v>2364</v>
      </c>
      <c r="I6663" s="3" t="s">
        <v>88</v>
      </c>
      <c r="J6663" s="31">
        <v>46097</v>
      </c>
      <c r="K6663" s="31">
        <v>46097</v>
      </c>
      <c r="L6663" s="31">
        <v>46101</v>
      </c>
      <c r="M6663" s="31">
        <v>46132</v>
      </c>
      <c r="N6663" s="31"/>
      <c r="O6663" s="2" t="s">
        <v>297</v>
      </c>
    </row>
    <row r="6664" spans="1:15">
      <c r="A6664" s="133">
        <f t="shared" si="171"/>
        <v>6663</v>
      </c>
      <c r="B6664" s="65" t="s">
        <v>9499</v>
      </c>
      <c r="C6664" s="130">
        <v>7670831116</v>
      </c>
      <c r="D6664" s="130"/>
      <c r="E6664" s="17" t="s">
        <v>8419</v>
      </c>
      <c r="F6664" s="4" t="s">
        <v>972</v>
      </c>
      <c r="G6664" s="3" t="s">
        <v>424</v>
      </c>
      <c r="H6664" s="2" t="s">
        <v>8395</v>
      </c>
      <c r="I6664" s="3" t="s">
        <v>42</v>
      </c>
      <c r="J6664" s="31">
        <v>46098</v>
      </c>
      <c r="K6664" s="31">
        <v>46111</v>
      </c>
      <c r="L6664" s="31"/>
      <c r="M6664" s="31"/>
      <c r="N6664" s="31"/>
      <c r="O6664" s="2" t="s">
        <v>425</v>
      </c>
    </row>
    <row r="6665" spans="1:15">
      <c r="A6665" s="133">
        <f t="shared" si="171"/>
        <v>6664</v>
      </c>
      <c r="B6665" s="65" t="s">
        <v>9500</v>
      </c>
      <c r="C6665" s="130">
        <v>7997229170</v>
      </c>
      <c r="D6665" s="130"/>
      <c r="E6665" s="17" t="s">
        <v>5560</v>
      </c>
      <c r="F6665" s="4" t="s">
        <v>877</v>
      </c>
      <c r="G6665" s="3" t="s">
        <v>7030</v>
      </c>
      <c r="H6665" s="2" t="s">
        <v>6158</v>
      </c>
      <c r="I6665" s="3" t="s">
        <v>42</v>
      </c>
      <c r="J6665" s="31">
        <v>46098</v>
      </c>
      <c r="K6665" s="31"/>
      <c r="L6665" s="31"/>
      <c r="M6665" s="31"/>
      <c r="N6665" s="31"/>
      <c r="O6665" s="2" t="s">
        <v>1004</v>
      </c>
    </row>
    <row r="6666" spans="1:15">
      <c r="A6666" s="133">
        <f t="shared" si="171"/>
        <v>6665</v>
      </c>
      <c r="B6666" s="65" t="s">
        <v>9501</v>
      </c>
      <c r="C6666" s="130">
        <v>8757465223</v>
      </c>
      <c r="D6666" s="130"/>
      <c r="E6666" s="17" t="s">
        <v>5557</v>
      </c>
      <c r="F6666" s="4" t="s">
        <v>9502</v>
      </c>
      <c r="G6666" s="3" t="s">
        <v>7030</v>
      </c>
      <c r="H6666" s="2" t="s">
        <v>6158</v>
      </c>
      <c r="I6666" s="3" t="s">
        <v>42</v>
      </c>
      <c r="J6666" s="31">
        <v>46098</v>
      </c>
      <c r="K6666" s="31"/>
      <c r="L6666" s="31"/>
      <c r="M6666" s="31"/>
      <c r="N6666" s="31"/>
      <c r="O6666" s="2" t="s">
        <v>1004</v>
      </c>
    </row>
    <row r="6667" spans="1:15">
      <c r="A6667" s="133">
        <f t="shared" si="171"/>
        <v>6666</v>
      </c>
      <c r="B6667" s="65" t="s">
        <v>9503</v>
      </c>
      <c r="C6667" s="130">
        <v>8930728472</v>
      </c>
      <c r="D6667" s="130"/>
      <c r="E6667" s="17" t="s">
        <v>5557</v>
      </c>
      <c r="F6667" s="4" t="s">
        <v>9504</v>
      </c>
      <c r="G6667" s="3" t="s">
        <v>7030</v>
      </c>
      <c r="H6667" s="2" t="s">
        <v>6158</v>
      </c>
      <c r="I6667" s="3" t="s">
        <v>42</v>
      </c>
      <c r="J6667" s="31">
        <v>46098</v>
      </c>
      <c r="K6667" s="31"/>
      <c r="L6667" s="31"/>
      <c r="M6667" s="31"/>
      <c r="N6667" s="31"/>
      <c r="O6667" s="2" t="s">
        <v>1004</v>
      </c>
    </row>
    <row r="6668" spans="1:15">
      <c r="A6668" s="133">
        <f t="shared" si="171"/>
        <v>6667</v>
      </c>
      <c r="B6668" s="65" t="s">
        <v>9505</v>
      </c>
      <c r="C6668" s="130">
        <v>9133691500</v>
      </c>
      <c r="D6668" s="130"/>
      <c r="E6668" s="17" t="s">
        <v>8433</v>
      </c>
      <c r="F6668" s="4" t="s">
        <v>9506</v>
      </c>
      <c r="G6668" s="3" t="s">
        <v>15</v>
      </c>
      <c r="H6668" s="2" t="s">
        <v>6158</v>
      </c>
      <c r="I6668" s="3" t="s">
        <v>42</v>
      </c>
      <c r="J6668" s="31">
        <v>46098</v>
      </c>
      <c r="K6668" s="31">
        <v>46101</v>
      </c>
      <c r="L6668" s="31">
        <v>46101</v>
      </c>
      <c r="M6668" s="31">
        <v>46112</v>
      </c>
      <c r="N6668" s="31"/>
      <c r="O6668" s="2" t="s">
        <v>297</v>
      </c>
    </row>
    <row r="6669" spans="1:15">
      <c r="A6669" s="133">
        <f t="shared" si="171"/>
        <v>6668</v>
      </c>
      <c r="B6669" s="65" t="s">
        <v>9507</v>
      </c>
      <c r="C6669" s="130">
        <v>8709717012</v>
      </c>
      <c r="D6669" s="130"/>
      <c r="E6669" s="17" t="s">
        <v>8922</v>
      </c>
      <c r="F6669" s="4" t="s">
        <v>575</v>
      </c>
      <c r="G6669" s="3" t="s">
        <v>15</v>
      </c>
      <c r="H6669" s="2" t="s">
        <v>6158</v>
      </c>
      <c r="I6669" s="3" t="s">
        <v>42</v>
      </c>
      <c r="J6669" s="31">
        <v>46098</v>
      </c>
      <c r="K6669" s="31">
        <v>46101</v>
      </c>
      <c r="L6669" s="31">
        <v>46101</v>
      </c>
      <c r="M6669" s="31">
        <v>46116</v>
      </c>
      <c r="N6669" s="31"/>
      <c r="O6669" s="2" t="s">
        <v>297</v>
      </c>
    </row>
    <row r="6670" spans="1:15">
      <c r="A6670" s="133">
        <f t="shared" si="171"/>
        <v>6669</v>
      </c>
      <c r="B6670" s="65" t="s">
        <v>9508</v>
      </c>
      <c r="C6670" s="130">
        <v>9109846106</v>
      </c>
      <c r="D6670" s="130">
        <v>6263451578</v>
      </c>
      <c r="E6670" s="17" t="s">
        <v>8922</v>
      </c>
      <c r="F6670" s="4" t="s">
        <v>490</v>
      </c>
      <c r="G6670" s="3" t="s">
        <v>15</v>
      </c>
      <c r="H6670" s="2" t="s">
        <v>6158</v>
      </c>
      <c r="I6670" s="3" t="s">
        <v>42</v>
      </c>
      <c r="J6670" s="31">
        <v>46098</v>
      </c>
      <c r="K6670" s="31">
        <v>46101</v>
      </c>
      <c r="L6670" s="31">
        <v>46108</v>
      </c>
      <c r="M6670" s="31">
        <v>46122</v>
      </c>
      <c r="N6670" s="31"/>
      <c r="O6670" s="2" t="s">
        <v>297</v>
      </c>
    </row>
    <row r="6671" spans="1:15">
      <c r="A6671" s="133">
        <f t="shared" si="171"/>
        <v>6670</v>
      </c>
      <c r="B6671" s="65" t="s">
        <v>9509</v>
      </c>
      <c r="C6671" s="130">
        <v>8839052040</v>
      </c>
      <c r="D6671" s="130"/>
      <c r="E6671" s="17" t="s">
        <v>6537</v>
      </c>
      <c r="F6671" s="4" t="s">
        <v>748</v>
      </c>
      <c r="G6671" s="3" t="s">
        <v>15</v>
      </c>
      <c r="H6671" s="2" t="s">
        <v>6158</v>
      </c>
      <c r="I6671" s="3" t="s">
        <v>42</v>
      </c>
      <c r="J6671" s="31">
        <v>46098</v>
      </c>
      <c r="K6671" s="31">
        <v>46101</v>
      </c>
      <c r="L6671" s="31">
        <v>46101</v>
      </c>
      <c r="M6671" s="31">
        <v>46122</v>
      </c>
      <c r="N6671" s="31"/>
      <c r="O6671" s="2" t="s">
        <v>297</v>
      </c>
    </row>
    <row r="6672" spans="1:15">
      <c r="A6672" s="133">
        <f t="shared" si="171"/>
        <v>6671</v>
      </c>
      <c r="B6672" s="65" t="s">
        <v>9510</v>
      </c>
      <c r="C6672" s="130">
        <v>8919819059</v>
      </c>
      <c r="D6672" s="130"/>
      <c r="E6672" s="17" t="s">
        <v>6537</v>
      </c>
      <c r="F6672" s="4" t="s">
        <v>308</v>
      </c>
      <c r="G6672" s="3" t="s">
        <v>14</v>
      </c>
      <c r="H6672" s="2" t="s">
        <v>6158</v>
      </c>
      <c r="I6672" s="3" t="s">
        <v>42</v>
      </c>
      <c r="J6672" s="31">
        <v>46098</v>
      </c>
      <c r="K6672" s="31">
        <v>46101</v>
      </c>
      <c r="L6672" s="31"/>
      <c r="M6672" s="31"/>
      <c r="N6672" s="31"/>
      <c r="O6672" s="2" t="s">
        <v>297</v>
      </c>
    </row>
    <row r="6673" spans="1:15">
      <c r="A6673" s="133">
        <f t="shared" si="171"/>
        <v>6672</v>
      </c>
      <c r="B6673" s="65" t="s">
        <v>9511</v>
      </c>
      <c r="C6673" s="130">
        <v>9490607692</v>
      </c>
      <c r="D6673" s="130"/>
      <c r="E6673" s="17" t="s">
        <v>9178</v>
      </c>
      <c r="F6673" s="4" t="s">
        <v>333</v>
      </c>
      <c r="G6673" s="3" t="s">
        <v>15</v>
      </c>
      <c r="H6673" s="2" t="s">
        <v>102</v>
      </c>
      <c r="I6673" s="3" t="s">
        <v>42</v>
      </c>
      <c r="J6673" s="31">
        <v>46098</v>
      </c>
      <c r="K6673" s="31">
        <v>46104</v>
      </c>
      <c r="L6673" s="31">
        <v>46108</v>
      </c>
      <c r="M6673" s="31">
        <v>46113</v>
      </c>
      <c r="N6673" s="31"/>
      <c r="O6673" s="2" t="s">
        <v>297</v>
      </c>
    </row>
    <row r="6674" spans="1:15">
      <c r="A6674" s="133">
        <f t="shared" si="171"/>
        <v>6673</v>
      </c>
      <c r="B6674" s="65" t="s">
        <v>9512</v>
      </c>
      <c r="C6674" s="130">
        <v>9611859351</v>
      </c>
      <c r="D6674" s="130"/>
      <c r="E6674" s="17" t="s">
        <v>3344</v>
      </c>
      <c r="F6674" s="4" t="s">
        <v>1060</v>
      </c>
      <c r="G6674" s="3" t="s">
        <v>424</v>
      </c>
      <c r="H6674" s="2" t="s">
        <v>102</v>
      </c>
      <c r="I6674" s="3" t="s">
        <v>42</v>
      </c>
      <c r="J6674" s="31">
        <v>46098</v>
      </c>
      <c r="K6674" s="31">
        <v>46104</v>
      </c>
      <c r="L6674" s="31"/>
      <c r="M6674" s="31"/>
      <c r="N6674" s="31"/>
      <c r="O6674" s="2" t="s">
        <v>425</v>
      </c>
    </row>
    <row r="6675" spans="1:15">
      <c r="A6675" s="133">
        <f t="shared" si="171"/>
        <v>6674</v>
      </c>
      <c r="B6675" s="65" t="s">
        <v>9513</v>
      </c>
      <c r="C6675" s="130">
        <v>7350929448</v>
      </c>
      <c r="D6675" s="130"/>
      <c r="E6675" s="17" t="s">
        <v>7563</v>
      </c>
      <c r="F6675" s="4" t="s">
        <v>294</v>
      </c>
      <c r="G6675" s="3" t="s">
        <v>14</v>
      </c>
      <c r="H6675" s="2" t="s">
        <v>9305</v>
      </c>
      <c r="I6675" s="3" t="s">
        <v>42</v>
      </c>
      <c r="J6675" s="31">
        <v>46098</v>
      </c>
      <c r="K6675" s="31">
        <v>46114</v>
      </c>
      <c r="L6675" s="31"/>
      <c r="M6675" s="31"/>
      <c r="N6675" s="31"/>
      <c r="O6675" s="2" t="s">
        <v>297</v>
      </c>
    </row>
    <row r="6676" spans="1:15">
      <c r="A6676" s="133">
        <f t="shared" si="171"/>
        <v>6675</v>
      </c>
      <c r="B6676" s="65" t="s">
        <v>6121</v>
      </c>
      <c r="C6676" s="130">
        <v>9779754172</v>
      </c>
      <c r="D6676" s="130"/>
      <c r="E6676" s="17" t="s">
        <v>9514</v>
      </c>
      <c r="F6676" s="4" t="s">
        <v>461</v>
      </c>
      <c r="G6676" s="3" t="s">
        <v>15</v>
      </c>
      <c r="H6676" s="2" t="s">
        <v>1613</v>
      </c>
      <c r="I6676" s="3" t="s">
        <v>88</v>
      </c>
      <c r="J6676" s="31">
        <v>46098</v>
      </c>
      <c r="K6676" s="31">
        <v>46101</v>
      </c>
      <c r="L6676" s="31">
        <v>46101</v>
      </c>
      <c r="M6676" s="31">
        <v>46132</v>
      </c>
      <c r="N6676" s="31"/>
      <c r="O6676" s="2" t="s">
        <v>297</v>
      </c>
    </row>
    <row r="6677" spans="1:15">
      <c r="A6677" s="133">
        <f t="shared" si="171"/>
        <v>6676</v>
      </c>
      <c r="B6677" s="65" t="s">
        <v>2208</v>
      </c>
      <c r="C6677" s="130">
        <v>7088794707</v>
      </c>
      <c r="D6677" s="130"/>
      <c r="E6677" s="17" t="s">
        <v>7200</v>
      </c>
      <c r="F6677" s="4" t="s">
        <v>360</v>
      </c>
      <c r="G6677" s="3" t="s">
        <v>18</v>
      </c>
      <c r="H6677" s="2" t="s">
        <v>1613</v>
      </c>
      <c r="I6677" s="3" t="s">
        <v>94</v>
      </c>
      <c r="J6677" s="31">
        <v>46098</v>
      </c>
      <c r="K6677" s="31">
        <v>46101</v>
      </c>
      <c r="L6677" s="31"/>
      <c r="M6677" s="31"/>
      <c r="N6677" s="31"/>
      <c r="O6677" s="2" t="s">
        <v>297</v>
      </c>
    </row>
    <row r="6678" spans="1:15">
      <c r="A6678" s="133">
        <f t="shared" si="171"/>
        <v>6677</v>
      </c>
      <c r="B6678" s="65" t="s">
        <v>9515</v>
      </c>
      <c r="C6678" s="130">
        <v>9639239923</v>
      </c>
      <c r="D6678" s="130"/>
      <c r="E6678" s="17" t="s">
        <v>7200</v>
      </c>
      <c r="F6678" s="4" t="s">
        <v>360</v>
      </c>
      <c r="G6678" s="3" t="s">
        <v>15</v>
      </c>
      <c r="H6678" s="2" t="s">
        <v>1613</v>
      </c>
      <c r="I6678" s="3" t="s">
        <v>94</v>
      </c>
      <c r="J6678" s="31">
        <v>46098</v>
      </c>
      <c r="K6678" s="31">
        <v>46101</v>
      </c>
      <c r="L6678" s="31">
        <v>46101</v>
      </c>
      <c r="M6678" s="31">
        <v>46116</v>
      </c>
      <c r="N6678" s="31"/>
      <c r="O6678" s="2" t="s">
        <v>297</v>
      </c>
    </row>
    <row r="6679" spans="1:15">
      <c r="A6679" s="133">
        <f t="shared" si="171"/>
        <v>6678</v>
      </c>
      <c r="B6679" s="65" t="s">
        <v>9516</v>
      </c>
      <c r="C6679" s="130">
        <v>7009815820</v>
      </c>
      <c r="D6679" s="130"/>
      <c r="E6679" s="17" t="s">
        <v>7200</v>
      </c>
      <c r="F6679" s="4" t="s">
        <v>360</v>
      </c>
      <c r="G6679" s="3" t="s">
        <v>15</v>
      </c>
      <c r="H6679" s="2" t="s">
        <v>1613</v>
      </c>
      <c r="I6679" s="3" t="s">
        <v>94</v>
      </c>
      <c r="J6679" s="31">
        <v>46098</v>
      </c>
      <c r="K6679" s="31">
        <v>46101</v>
      </c>
      <c r="L6679" s="31">
        <v>46106</v>
      </c>
      <c r="M6679" s="31">
        <v>46120</v>
      </c>
      <c r="N6679" s="31"/>
      <c r="O6679" s="2" t="s">
        <v>297</v>
      </c>
    </row>
    <row r="6680" spans="1:15">
      <c r="A6680" s="133">
        <f t="shared" si="171"/>
        <v>6679</v>
      </c>
      <c r="B6680" s="65" t="s">
        <v>9517</v>
      </c>
      <c r="C6680" s="130">
        <v>9641139623</v>
      </c>
      <c r="D6680" s="130"/>
      <c r="E6680" s="17" t="s">
        <v>7200</v>
      </c>
      <c r="F6680" s="4" t="s">
        <v>360</v>
      </c>
      <c r="G6680" s="3" t="s">
        <v>18</v>
      </c>
      <c r="H6680" s="2" t="s">
        <v>1613</v>
      </c>
      <c r="I6680" s="3" t="s">
        <v>94</v>
      </c>
      <c r="J6680" s="31">
        <v>46098</v>
      </c>
      <c r="K6680" s="31">
        <v>46101</v>
      </c>
      <c r="L6680" s="31"/>
      <c r="M6680" s="31"/>
      <c r="N6680" s="31"/>
      <c r="O6680" s="2" t="s">
        <v>297</v>
      </c>
    </row>
    <row r="6681" spans="1:15">
      <c r="A6681" s="133">
        <f t="shared" si="171"/>
        <v>6680</v>
      </c>
      <c r="B6681" s="65" t="s">
        <v>9518</v>
      </c>
      <c r="C6681" s="130">
        <v>9545739075</v>
      </c>
      <c r="D6681" s="130"/>
      <c r="E6681" s="17" t="s">
        <v>7883</v>
      </c>
      <c r="F6681" s="4" t="s">
        <v>1044</v>
      </c>
      <c r="G6681" s="3" t="s">
        <v>15</v>
      </c>
      <c r="H6681" s="2" t="s">
        <v>1613</v>
      </c>
      <c r="I6681" s="3" t="s">
        <v>94</v>
      </c>
      <c r="J6681" s="31">
        <v>46098</v>
      </c>
      <c r="K6681" s="31">
        <v>46101</v>
      </c>
      <c r="L6681" s="31">
        <v>46101</v>
      </c>
      <c r="M6681" s="31">
        <v>46132</v>
      </c>
      <c r="N6681" s="31"/>
      <c r="O6681" s="2" t="s">
        <v>297</v>
      </c>
    </row>
    <row r="6682" spans="1:15">
      <c r="A6682" s="133">
        <f>ROW()-1</f>
        <v>6681</v>
      </c>
      <c r="B6682" s="65" t="s">
        <v>9519</v>
      </c>
      <c r="C6682" s="130">
        <v>9958056164</v>
      </c>
      <c r="D6682" s="130"/>
      <c r="E6682" s="17" t="s">
        <v>7853</v>
      </c>
      <c r="F6682" s="4" t="s">
        <v>1835</v>
      </c>
      <c r="G6682" s="3" t="s">
        <v>15</v>
      </c>
      <c r="H6682" s="2" t="s">
        <v>815</v>
      </c>
      <c r="I6682" s="3" t="s">
        <v>94</v>
      </c>
      <c r="J6682" s="31">
        <v>46098</v>
      </c>
      <c r="K6682" s="31">
        <v>46101</v>
      </c>
      <c r="L6682" s="31">
        <v>46101</v>
      </c>
      <c r="M6682" s="31">
        <v>46133</v>
      </c>
      <c r="N6682" s="31"/>
      <c r="O6682" s="2" t="s">
        <v>297</v>
      </c>
    </row>
    <row r="6683" spans="1:15">
      <c r="A6683" s="133">
        <f>ROW()-1</f>
        <v>6682</v>
      </c>
      <c r="B6683" s="65" t="s">
        <v>9520</v>
      </c>
      <c r="C6683" s="130">
        <v>7043816591</v>
      </c>
      <c r="D6683" s="130">
        <v>7004091591</v>
      </c>
      <c r="E6683" s="17" t="s">
        <v>7853</v>
      </c>
      <c r="F6683" s="4" t="s">
        <v>1835</v>
      </c>
      <c r="G6683" s="3" t="s">
        <v>416</v>
      </c>
      <c r="H6683" s="2" t="s">
        <v>815</v>
      </c>
      <c r="I6683" s="3" t="s">
        <v>94</v>
      </c>
      <c r="J6683" s="31">
        <v>46098</v>
      </c>
      <c r="K6683" s="31">
        <v>46101</v>
      </c>
      <c r="L6683" s="31"/>
      <c r="M6683" s="31"/>
      <c r="N6683" s="31"/>
      <c r="O6683" s="2" t="s">
        <v>297</v>
      </c>
    </row>
    <row r="6684" spans="1:15">
      <c r="A6684" s="133">
        <f>ROW()-1</f>
        <v>6683</v>
      </c>
      <c r="B6684" s="65" t="s">
        <v>9521</v>
      </c>
      <c r="C6684" s="130">
        <v>9797852881</v>
      </c>
      <c r="D6684" s="130"/>
      <c r="E6684" s="17" t="s">
        <v>5560</v>
      </c>
      <c r="F6684" s="4" t="s">
        <v>9522</v>
      </c>
      <c r="G6684" s="3" t="s">
        <v>424</v>
      </c>
      <c r="H6684" s="2" t="s">
        <v>6158</v>
      </c>
      <c r="I6684" s="3" t="s">
        <v>42</v>
      </c>
      <c r="J6684" s="31">
        <v>46099</v>
      </c>
      <c r="K6684" s="31">
        <v>46111</v>
      </c>
      <c r="L6684" s="31"/>
      <c r="M6684" s="31"/>
      <c r="N6684" s="31"/>
      <c r="O6684" s="2" t="s">
        <v>749</v>
      </c>
    </row>
    <row r="6685" spans="1:15">
      <c r="A6685" s="133">
        <f t="shared" ref="A6685:A6700" si="172">ROW()-1</f>
        <v>6684</v>
      </c>
      <c r="B6685" s="65" t="s">
        <v>9523</v>
      </c>
      <c r="C6685" s="130">
        <v>9000012441</v>
      </c>
      <c r="D6685" s="130"/>
      <c r="E6685" s="17" t="s">
        <v>9083</v>
      </c>
      <c r="F6685" s="4" t="s">
        <v>269</v>
      </c>
      <c r="G6685" s="3" t="s">
        <v>7030</v>
      </c>
      <c r="H6685" s="2" t="s">
        <v>8395</v>
      </c>
      <c r="I6685" s="3" t="s">
        <v>94</v>
      </c>
      <c r="J6685" s="31">
        <v>46101</v>
      </c>
      <c r="K6685" s="31"/>
      <c r="L6685" s="31"/>
      <c r="M6685" s="31"/>
      <c r="N6685" s="31"/>
      <c r="O6685" s="2" t="s">
        <v>1004</v>
      </c>
    </row>
    <row r="6686" spans="1:15">
      <c r="A6686" s="133">
        <f t="shared" si="172"/>
        <v>6685</v>
      </c>
      <c r="B6686" s="65" t="s">
        <v>9524</v>
      </c>
      <c r="C6686" s="130">
        <v>7337473344</v>
      </c>
      <c r="D6686" s="130">
        <v>9177896334</v>
      </c>
      <c r="E6686" s="17" t="s">
        <v>9083</v>
      </c>
      <c r="F6686" s="4" t="s">
        <v>269</v>
      </c>
      <c r="G6686" s="3" t="s">
        <v>18</v>
      </c>
      <c r="H6686" s="2" t="s">
        <v>8395</v>
      </c>
      <c r="I6686" s="3" t="s">
        <v>94</v>
      </c>
      <c r="J6686" s="31">
        <v>46101</v>
      </c>
      <c r="K6686" s="31">
        <v>46101</v>
      </c>
      <c r="L6686" s="31"/>
      <c r="M6686" s="31"/>
      <c r="N6686" s="31"/>
      <c r="O6686" s="2" t="s">
        <v>297</v>
      </c>
    </row>
    <row r="6687" spans="1:15">
      <c r="A6687" s="133">
        <f t="shared" si="172"/>
        <v>6686</v>
      </c>
      <c r="B6687" s="65" t="s">
        <v>9525</v>
      </c>
      <c r="C6687" s="130">
        <v>8626939741</v>
      </c>
      <c r="D6687" s="130"/>
      <c r="E6687" s="17" t="s">
        <v>9083</v>
      </c>
      <c r="F6687" s="4" t="s">
        <v>269</v>
      </c>
      <c r="G6687" s="3" t="s">
        <v>15</v>
      </c>
      <c r="H6687" s="2" t="s">
        <v>8395</v>
      </c>
      <c r="I6687" s="3" t="s">
        <v>94</v>
      </c>
      <c r="J6687" s="31">
        <v>46101</v>
      </c>
      <c r="K6687" s="31">
        <v>46101</v>
      </c>
      <c r="L6687" s="31">
        <v>46106</v>
      </c>
      <c r="M6687" s="31">
        <v>46137</v>
      </c>
      <c r="N6687" s="31"/>
      <c r="O6687" s="2" t="s">
        <v>297</v>
      </c>
    </row>
    <row r="6688" spans="1:15">
      <c r="A6688" s="133">
        <f t="shared" si="172"/>
        <v>6687</v>
      </c>
      <c r="B6688" s="65" t="s">
        <v>9526</v>
      </c>
      <c r="C6688" s="130">
        <v>8292417493</v>
      </c>
      <c r="D6688" s="130">
        <v>6352105976</v>
      </c>
      <c r="E6688" s="17" t="s">
        <v>9083</v>
      </c>
      <c r="F6688" s="4" t="s">
        <v>269</v>
      </c>
      <c r="G6688" s="3" t="s">
        <v>7030</v>
      </c>
      <c r="H6688" s="2" t="s">
        <v>8395</v>
      </c>
      <c r="I6688" s="3" t="s">
        <v>94</v>
      </c>
      <c r="J6688" s="31">
        <v>46101</v>
      </c>
      <c r="K6688" s="31"/>
      <c r="L6688" s="31"/>
      <c r="M6688" s="31"/>
      <c r="N6688" s="31"/>
      <c r="O6688" s="2" t="s">
        <v>1004</v>
      </c>
    </row>
    <row r="6689" spans="1:15">
      <c r="A6689" s="133">
        <f t="shared" si="172"/>
        <v>6688</v>
      </c>
      <c r="B6689" s="65" t="s">
        <v>516</v>
      </c>
      <c r="C6689" s="130">
        <v>9437658649</v>
      </c>
      <c r="D6689" s="130"/>
      <c r="E6689" s="17" t="s">
        <v>9083</v>
      </c>
      <c r="F6689" s="4" t="s">
        <v>269</v>
      </c>
      <c r="G6689" s="3" t="s">
        <v>7030</v>
      </c>
      <c r="H6689" s="2" t="s">
        <v>8395</v>
      </c>
      <c r="I6689" s="3" t="s">
        <v>94</v>
      </c>
      <c r="J6689" s="31">
        <v>46101</v>
      </c>
      <c r="K6689" s="31"/>
      <c r="L6689" s="31"/>
      <c r="M6689" s="31"/>
      <c r="N6689" s="31"/>
      <c r="O6689" s="2" t="s">
        <v>1004</v>
      </c>
    </row>
    <row r="6690" spans="1:15">
      <c r="A6690" s="133">
        <f t="shared" si="172"/>
        <v>6689</v>
      </c>
      <c r="B6690" s="65" t="s">
        <v>9527</v>
      </c>
      <c r="C6690" s="130">
        <v>8972354983</v>
      </c>
      <c r="D6690" s="130"/>
      <c r="E6690" s="17" t="s">
        <v>9083</v>
      </c>
      <c r="F6690" s="4" t="s">
        <v>269</v>
      </c>
      <c r="G6690" s="3" t="s">
        <v>7030</v>
      </c>
      <c r="H6690" s="2" t="s">
        <v>8395</v>
      </c>
      <c r="I6690" s="3" t="s">
        <v>94</v>
      </c>
      <c r="J6690" s="31">
        <v>46101</v>
      </c>
      <c r="K6690" s="31"/>
      <c r="L6690" s="31"/>
      <c r="M6690" s="31"/>
      <c r="N6690" s="31"/>
      <c r="O6690" s="2" t="s">
        <v>1004</v>
      </c>
    </row>
    <row r="6691" spans="1:15">
      <c r="A6691" s="133">
        <f t="shared" si="172"/>
        <v>6690</v>
      </c>
      <c r="B6691" s="65" t="s">
        <v>9528</v>
      </c>
      <c r="C6691" s="130">
        <v>7018211772</v>
      </c>
      <c r="D6691" s="130"/>
      <c r="E6691" s="17" t="s">
        <v>9083</v>
      </c>
      <c r="F6691" s="4" t="s">
        <v>1746</v>
      </c>
      <c r="G6691" s="3" t="s">
        <v>15</v>
      </c>
      <c r="H6691" s="2" t="s">
        <v>8395</v>
      </c>
      <c r="I6691" s="3" t="s">
        <v>94</v>
      </c>
      <c r="J6691" s="31">
        <v>46101</v>
      </c>
      <c r="K6691" s="31">
        <v>46101</v>
      </c>
      <c r="L6691" s="31">
        <v>46106</v>
      </c>
      <c r="M6691" s="31">
        <v>46120</v>
      </c>
      <c r="N6691" s="31"/>
      <c r="O6691" s="2" t="s">
        <v>297</v>
      </c>
    </row>
    <row r="6692" spans="1:15">
      <c r="A6692" s="133">
        <f t="shared" si="172"/>
        <v>6691</v>
      </c>
      <c r="B6692" s="65" t="s">
        <v>9529</v>
      </c>
      <c r="C6692" s="130">
        <v>6301126709</v>
      </c>
      <c r="D6692" s="130"/>
      <c r="E6692" s="17" t="s">
        <v>9083</v>
      </c>
      <c r="F6692" s="4" t="s">
        <v>269</v>
      </c>
      <c r="G6692" s="3" t="s">
        <v>15</v>
      </c>
      <c r="H6692" s="2" t="s">
        <v>8395</v>
      </c>
      <c r="I6692" s="3" t="s">
        <v>94</v>
      </c>
      <c r="J6692" s="31">
        <v>46101</v>
      </c>
      <c r="K6692" s="31">
        <v>46101</v>
      </c>
      <c r="L6692" s="31">
        <v>46106</v>
      </c>
      <c r="M6692" s="31">
        <v>46116</v>
      </c>
      <c r="N6692" s="31"/>
      <c r="O6692" s="2" t="s">
        <v>297</v>
      </c>
    </row>
    <row r="6693" spans="1:15">
      <c r="A6693" s="133">
        <f t="shared" si="172"/>
        <v>6692</v>
      </c>
      <c r="B6693" s="65" t="s">
        <v>9530</v>
      </c>
      <c r="C6693" s="130">
        <v>9336775575</v>
      </c>
      <c r="D6693" s="130"/>
      <c r="E6693" s="17" t="s">
        <v>9083</v>
      </c>
      <c r="F6693" s="4" t="s">
        <v>269</v>
      </c>
      <c r="G6693" s="3" t="s">
        <v>7030</v>
      </c>
      <c r="H6693" s="2" t="s">
        <v>8395</v>
      </c>
      <c r="I6693" s="3" t="s">
        <v>94</v>
      </c>
      <c r="J6693" s="31">
        <v>46101</v>
      </c>
      <c r="K6693" s="31"/>
      <c r="L6693" s="31"/>
      <c r="M6693" s="31"/>
      <c r="N6693" s="31"/>
      <c r="O6693" s="2" t="s">
        <v>1004</v>
      </c>
    </row>
    <row r="6694" spans="1:15">
      <c r="A6694" s="133">
        <f t="shared" si="172"/>
        <v>6693</v>
      </c>
      <c r="B6694" s="65" t="s">
        <v>7940</v>
      </c>
      <c r="C6694" s="130">
        <v>9140745319</v>
      </c>
      <c r="D6694" s="130">
        <v>9554211067</v>
      </c>
      <c r="E6694" s="17" t="s">
        <v>7928</v>
      </c>
      <c r="F6694" s="4" t="s">
        <v>1935</v>
      </c>
      <c r="G6694" s="3" t="s">
        <v>15</v>
      </c>
      <c r="H6694" s="2" t="s">
        <v>930</v>
      </c>
      <c r="I6694" s="3" t="s">
        <v>94</v>
      </c>
      <c r="J6694" s="31">
        <v>46101</v>
      </c>
      <c r="K6694" s="31">
        <v>46105</v>
      </c>
      <c r="L6694" s="31">
        <v>46112</v>
      </c>
      <c r="M6694" s="31">
        <v>46122</v>
      </c>
      <c r="N6694" s="31"/>
      <c r="O6694" s="2" t="s">
        <v>297</v>
      </c>
    </row>
    <row r="6695" spans="1:15">
      <c r="A6695" s="133">
        <f t="shared" si="172"/>
        <v>6694</v>
      </c>
      <c r="B6695" s="65" t="s">
        <v>9531</v>
      </c>
      <c r="C6695" s="130">
        <v>6394936106</v>
      </c>
      <c r="D6695" s="130"/>
      <c r="E6695" s="17" t="s">
        <v>7928</v>
      </c>
      <c r="F6695" s="4" t="s">
        <v>8041</v>
      </c>
      <c r="G6695" s="3" t="s">
        <v>7030</v>
      </c>
      <c r="H6695" s="2" t="s">
        <v>930</v>
      </c>
      <c r="I6695" s="3" t="s">
        <v>94</v>
      </c>
      <c r="J6695" s="31">
        <v>46101</v>
      </c>
      <c r="K6695" s="31"/>
      <c r="L6695" s="31"/>
      <c r="M6695" s="31"/>
      <c r="N6695" s="31"/>
      <c r="O6695" s="2" t="s">
        <v>1004</v>
      </c>
    </row>
    <row r="6696" spans="1:15">
      <c r="A6696" s="133">
        <f t="shared" si="172"/>
        <v>6695</v>
      </c>
      <c r="B6696" s="65" t="s">
        <v>9532</v>
      </c>
      <c r="C6696" s="130">
        <v>8009409211</v>
      </c>
      <c r="D6696" s="130"/>
      <c r="E6696" s="17" t="s">
        <v>7928</v>
      </c>
      <c r="F6696" s="4" t="s">
        <v>8041</v>
      </c>
      <c r="G6696" s="3" t="s">
        <v>424</v>
      </c>
      <c r="H6696" s="2" t="s">
        <v>930</v>
      </c>
      <c r="I6696" s="3" t="s">
        <v>94</v>
      </c>
      <c r="J6696" s="31">
        <v>46101</v>
      </c>
      <c r="K6696" s="31">
        <v>46105</v>
      </c>
      <c r="L6696" s="31"/>
      <c r="M6696" s="31"/>
      <c r="N6696" s="31"/>
      <c r="O6696" s="2" t="s">
        <v>425</v>
      </c>
    </row>
    <row r="6697" spans="1:15">
      <c r="A6697" s="133">
        <f t="shared" si="172"/>
        <v>6696</v>
      </c>
      <c r="B6697" s="65" t="s">
        <v>9533</v>
      </c>
      <c r="C6697" s="130">
        <v>8871979856</v>
      </c>
      <c r="D6697" s="130">
        <v>7772977361</v>
      </c>
      <c r="E6697" s="17" t="s">
        <v>7928</v>
      </c>
      <c r="F6697" s="4" t="s">
        <v>1935</v>
      </c>
      <c r="G6697" s="3" t="s">
        <v>764</v>
      </c>
      <c r="H6697" s="2" t="s">
        <v>930</v>
      </c>
      <c r="I6697" s="3" t="s">
        <v>94</v>
      </c>
      <c r="J6697" s="31">
        <v>46101</v>
      </c>
      <c r="K6697" s="31">
        <v>46111</v>
      </c>
      <c r="L6697" s="31"/>
      <c r="M6697" s="31"/>
      <c r="N6697" s="31"/>
      <c r="O6697" s="2" t="s">
        <v>425</v>
      </c>
    </row>
    <row r="6698" spans="1:15">
      <c r="A6698" s="133">
        <f t="shared" si="172"/>
        <v>6697</v>
      </c>
      <c r="B6698" s="65" t="s">
        <v>9534</v>
      </c>
      <c r="C6698" s="130">
        <v>9236568043</v>
      </c>
      <c r="D6698" s="130"/>
      <c r="E6698" s="17" t="s">
        <v>7092</v>
      </c>
      <c r="F6698" s="4" t="s">
        <v>989</v>
      </c>
      <c r="G6698" s="3" t="s">
        <v>15</v>
      </c>
      <c r="H6698" s="2" t="s">
        <v>1613</v>
      </c>
      <c r="I6698" s="3" t="s">
        <v>94</v>
      </c>
      <c r="J6698" s="31">
        <v>46101</v>
      </c>
      <c r="K6698" s="31">
        <v>46101</v>
      </c>
      <c r="L6698" s="31">
        <v>46106</v>
      </c>
      <c r="M6698" s="31">
        <v>46120</v>
      </c>
      <c r="N6698" s="31"/>
      <c r="O6698" s="2" t="s">
        <v>297</v>
      </c>
    </row>
    <row r="6699" spans="1:15">
      <c r="A6699" s="133">
        <f t="shared" si="172"/>
        <v>6698</v>
      </c>
      <c r="B6699" s="65" t="s">
        <v>9535</v>
      </c>
      <c r="C6699" s="130">
        <v>9102043533</v>
      </c>
      <c r="D6699" s="130"/>
      <c r="E6699" s="17" t="s">
        <v>7092</v>
      </c>
      <c r="F6699" s="4" t="s">
        <v>989</v>
      </c>
      <c r="G6699" s="3" t="s">
        <v>416</v>
      </c>
      <c r="H6699" s="2" t="s">
        <v>1613</v>
      </c>
      <c r="I6699" s="3" t="s">
        <v>94</v>
      </c>
      <c r="J6699" s="31">
        <v>46101</v>
      </c>
      <c r="K6699" s="31">
        <v>46105</v>
      </c>
      <c r="L6699" s="31"/>
      <c r="M6699" s="31"/>
      <c r="N6699" s="31"/>
      <c r="O6699" s="2" t="s">
        <v>297</v>
      </c>
    </row>
    <row r="6700" spans="1:15">
      <c r="A6700" s="133">
        <f t="shared" si="172"/>
        <v>6699</v>
      </c>
      <c r="B6700" s="65" t="s">
        <v>9536</v>
      </c>
      <c r="C6700" s="130">
        <v>8107995057</v>
      </c>
      <c r="D6700" s="130"/>
      <c r="E6700" s="17" t="s">
        <v>7092</v>
      </c>
      <c r="F6700" s="4" t="s">
        <v>989</v>
      </c>
      <c r="G6700" s="3" t="s">
        <v>15</v>
      </c>
      <c r="H6700" s="2" t="s">
        <v>1613</v>
      </c>
      <c r="I6700" s="3" t="s">
        <v>94</v>
      </c>
      <c r="J6700" s="31">
        <v>46101</v>
      </c>
      <c r="K6700" s="31">
        <v>46101</v>
      </c>
      <c r="L6700" s="31">
        <v>46106</v>
      </c>
      <c r="M6700" s="31">
        <v>46137</v>
      </c>
      <c r="N6700" s="31"/>
      <c r="O6700" s="2" t="s">
        <v>297</v>
      </c>
    </row>
    <row r="6701" spans="1:15">
      <c r="A6701" s="133">
        <f t="shared" ref="A6701:A6711" si="173">ROW()-1</f>
        <v>6700</v>
      </c>
      <c r="B6701" s="65" t="s">
        <v>9537</v>
      </c>
      <c r="C6701" s="130">
        <v>6300037585</v>
      </c>
      <c r="D6701" s="130"/>
      <c r="E6701" s="17" t="s">
        <v>7901</v>
      </c>
      <c r="F6701" s="4" t="s">
        <v>3778</v>
      </c>
      <c r="G6701" s="3" t="s">
        <v>7030</v>
      </c>
      <c r="H6701" s="2" t="s">
        <v>368</v>
      </c>
      <c r="I6701" s="3" t="s">
        <v>88</v>
      </c>
      <c r="J6701" s="31">
        <v>46101</v>
      </c>
      <c r="K6701" s="31"/>
      <c r="L6701" s="31"/>
      <c r="M6701" s="31"/>
      <c r="N6701" s="31"/>
      <c r="O6701" s="2" t="s">
        <v>1004</v>
      </c>
    </row>
    <row r="6702" spans="1:15">
      <c r="A6702" s="133">
        <f t="shared" si="173"/>
        <v>6701</v>
      </c>
      <c r="B6702" s="65" t="s">
        <v>9538</v>
      </c>
      <c r="C6702" s="130">
        <v>7278260592</v>
      </c>
      <c r="D6702" s="130"/>
      <c r="E6702" s="17" t="s">
        <v>7912</v>
      </c>
      <c r="F6702" s="4" t="s">
        <v>4238</v>
      </c>
      <c r="G6702" s="3" t="s">
        <v>7030</v>
      </c>
      <c r="H6702" s="2" t="s">
        <v>368</v>
      </c>
      <c r="I6702" s="3" t="s">
        <v>88</v>
      </c>
      <c r="J6702" s="31">
        <v>46101</v>
      </c>
      <c r="K6702" s="31"/>
      <c r="L6702" s="31"/>
      <c r="M6702" s="31"/>
      <c r="N6702" s="31"/>
      <c r="O6702" s="2" t="s">
        <v>1004</v>
      </c>
    </row>
    <row r="6703" spans="1:15">
      <c r="A6703" s="133">
        <f t="shared" si="173"/>
        <v>6702</v>
      </c>
      <c r="B6703" s="65" t="s">
        <v>6597</v>
      </c>
      <c r="C6703" s="130">
        <v>8628004311</v>
      </c>
      <c r="D6703" s="130"/>
      <c r="E6703" s="17" t="s">
        <v>7912</v>
      </c>
      <c r="F6703" s="4" t="s">
        <v>3778</v>
      </c>
      <c r="G6703" s="3" t="s">
        <v>7030</v>
      </c>
      <c r="H6703" s="2" t="s">
        <v>368</v>
      </c>
      <c r="I6703" s="3" t="s">
        <v>88</v>
      </c>
      <c r="J6703" s="31">
        <v>46101</v>
      </c>
      <c r="K6703" s="31"/>
      <c r="L6703" s="31"/>
      <c r="M6703" s="31"/>
      <c r="N6703" s="31"/>
      <c r="O6703" s="2" t="s">
        <v>1004</v>
      </c>
    </row>
    <row r="6704" spans="1:15">
      <c r="A6704" s="133">
        <f t="shared" si="173"/>
        <v>6703</v>
      </c>
      <c r="B6704" s="65" t="s">
        <v>9539</v>
      </c>
      <c r="C6704" s="130">
        <v>8126314705</v>
      </c>
      <c r="D6704" s="130"/>
      <c r="E6704" s="17" t="s">
        <v>7901</v>
      </c>
      <c r="F6704" s="4" t="s">
        <v>8842</v>
      </c>
      <c r="G6704" s="3" t="s">
        <v>7030</v>
      </c>
      <c r="H6704" s="2" t="s">
        <v>368</v>
      </c>
      <c r="I6704" s="3" t="s">
        <v>88</v>
      </c>
      <c r="J6704" s="31">
        <v>46101</v>
      </c>
      <c r="K6704" s="31"/>
      <c r="L6704" s="31"/>
      <c r="M6704" s="31"/>
      <c r="N6704" s="31"/>
      <c r="O6704" s="2" t="s">
        <v>1004</v>
      </c>
    </row>
    <row r="6705" spans="1:15">
      <c r="A6705" s="133">
        <f t="shared" si="173"/>
        <v>6704</v>
      </c>
      <c r="B6705" s="65" t="s">
        <v>9540</v>
      </c>
      <c r="C6705" s="130">
        <v>8699745640</v>
      </c>
      <c r="D6705" s="130"/>
      <c r="E6705" s="17" t="s">
        <v>7901</v>
      </c>
      <c r="F6705" s="4" t="s">
        <v>4238</v>
      </c>
      <c r="G6705" s="3" t="s">
        <v>7030</v>
      </c>
      <c r="H6705" s="2" t="s">
        <v>368</v>
      </c>
      <c r="I6705" s="3" t="s">
        <v>88</v>
      </c>
      <c r="J6705" s="31">
        <v>46101</v>
      </c>
      <c r="K6705" s="31"/>
      <c r="L6705" s="31"/>
      <c r="M6705" s="31"/>
      <c r="N6705" s="31"/>
      <c r="O6705" s="2" t="s">
        <v>1004</v>
      </c>
    </row>
    <row r="6706" spans="1:15">
      <c r="A6706" s="133">
        <f t="shared" si="173"/>
        <v>6705</v>
      </c>
      <c r="B6706" s="65" t="s">
        <v>9541</v>
      </c>
      <c r="C6706" s="130">
        <v>8738854104</v>
      </c>
      <c r="D6706" s="130"/>
      <c r="E6706" s="17" t="s">
        <v>7901</v>
      </c>
      <c r="F6706" s="4" t="s">
        <v>3778</v>
      </c>
      <c r="G6706" s="3" t="s">
        <v>7030</v>
      </c>
      <c r="H6706" s="2" t="s">
        <v>368</v>
      </c>
      <c r="I6706" s="3" t="s">
        <v>88</v>
      </c>
      <c r="J6706" s="31">
        <v>46101</v>
      </c>
      <c r="K6706" s="31"/>
      <c r="L6706" s="31"/>
      <c r="M6706" s="31"/>
      <c r="N6706" s="31"/>
      <c r="O6706" s="2" t="s">
        <v>1004</v>
      </c>
    </row>
    <row r="6707" spans="1:15">
      <c r="A6707" s="133">
        <f t="shared" si="173"/>
        <v>6706</v>
      </c>
      <c r="B6707" s="65" t="s">
        <v>9542</v>
      </c>
      <c r="C6707" s="130">
        <v>9359165821</v>
      </c>
      <c r="D6707" s="130"/>
      <c r="E6707" s="17" t="s">
        <v>8922</v>
      </c>
      <c r="F6707" s="4" t="s">
        <v>9543</v>
      </c>
      <c r="G6707" s="3" t="s">
        <v>15</v>
      </c>
      <c r="H6707" s="2" t="s">
        <v>6158</v>
      </c>
      <c r="I6707" s="3" t="s">
        <v>42</v>
      </c>
      <c r="J6707" s="31">
        <v>46101</v>
      </c>
      <c r="K6707" s="31">
        <v>46104</v>
      </c>
      <c r="L6707" s="31">
        <v>46108</v>
      </c>
      <c r="M6707" s="31">
        <v>46127</v>
      </c>
      <c r="N6707" s="31"/>
      <c r="O6707" s="2" t="s">
        <v>297</v>
      </c>
    </row>
    <row r="6708" spans="1:15">
      <c r="A6708" s="133">
        <f t="shared" si="173"/>
        <v>6707</v>
      </c>
      <c r="B6708" s="65" t="s">
        <v>9544</v>
      </c>
      <c r="C6708" s="130">
        <v>8639234427</v>
      </c>
      <c r="D6708" s="130"/>
      <c r="E6708" s="17" t="s">
        <v>8922</v>
      </c>
      <c r="F6708" s="4" t="s">
        <v>490</v>
      </c>
      <c r="G6708" s="3" t="s">
        <v>14</v>
      </c>
      <c r="H6708" s="2" t="s">
        <v>6158</v>
      </c>
      <c r="I6708" s="3" t="s">
        <v>42</v>
      </c>
      <c r="J6708" s="31">
        <v>46101</v>
      </c>
      <c r="K6708" s="31">
        <v>46104</v>
      </c>
      <c r="L6708" s="31"/>
      <c r="M6708" s="31"/>
      <c r="N6708" s="31"/>
      <c r="O6708" s="2" t="s">
        <v>297</v>
      </c>
    </row>
    <row r="6709" spans="1:15">
      <c r="A6709" s="133">
        <f t="shared" si="173"/>
        <v>6708</v>
      </c>
      <c r="B6709" s="65" t="s">
        <v>9545</v>
      </c>
      <c r="C6709" s="130">
        <v>7287822118</v>
      </c>
      <c r="D6709" s="130"/>
      <c r="E6709" s="17" t="s">
        <v>8922</v>
      </c>
      <c r="F6709" s="4" t="s">
        <v>961</v>
      </c>
      <c r="G6709" s="3" t="s">
        <v>764</v>
      </c>
      <c r="H6709" s="2" t="s">
        <v>6158</v>
      </c>
      <c r="I6709" s="3" t="s">
        <v>42</v>
      </c>
      <c r="J6709" s="31">
        <v>46101</v>
      </c>
      <c r="K6709" s="31">
        <v>46104</v>
      </c>
      <c r="L6709" s="31"/>
      <c r="M6709" s="31"/>
      <c r="N6709" s="31"/>
      <c r="O6709" s="2" t="s">
        <v>425</v>
      </c>
    </row>
    <row r="6710" spans="1:15">
      <c r="A6710" s="133">
        <f t="shared" si="173"/>
        <v>6709</v>
      </c>
      <c r="B6710" s="65" t="s">
        <v>9546</v>
      </c>
      <c r="C6710" s="130">
        <v>9391952438</v>
      </c>
      <c r="D6710" s="130"/>
      <c r="E6710" s="17" t="s">
        <v>8922</v>
      </c>
      <c r="F6710" s="4" t="s">
        <v>303</v>
      </c>
      <c r="G6710" s="3" t="s">
        <v>14</v>
      </c>
      <c r="H6710" s="2" t="s">
        <v>6158</v>
      </c>
      <c r="I6710" s="3" t="s">
        <v>42</v>
      </c>
      <c r="J6710" s="31">
        <v>46101</v>
      </c>
      <c r="K6710" s="31">
        <v>46104</v>
      </c>
      <c r="L6710" s="31"/>
      <c r="M6710" s="31"/>
      <c r="N6710" s="31"/>
      <c r="O6710" s="2" t="s">
        <v>297</v>
      </c>
    </row>
    <row r="6711" spans="1:15">
      <c r="A6711" s="133">
        <f t="shared" si="173"/>
        <v>6710</v>
      </c>
      <c r="B6711" s="65" t="s">
        <v>9547</v>
      </c>
      <c r="C6711" s="130">
        <v>6204005198</v>
      </c>
      <c r="D6711" s="130"/>
      <c r="E6711" s="17" t="s">
        <v>8922</v>
      </c>
      <c r="F6711" s="4" t="s">
        <v>303</v>
      </c>
      <c r="G6711" s="3" t="s">
        <v>15</v>
      </c>
      <c r="H6711" s="2" t="s">
        <v>6158</v>
      </c>
      <c r="I6711" s="3" t="s">
        <v>42</v>
      </c>
      <c r="J6711" s="31">
        <v>46101</v>
      </c>
      <c r="K6711" s="31">
        <v>46104</v>
      </c>
      <c r="L6711" s="31">
        <v>46108</v>
      </c>
      <c r="M6711" s="31">
        <v>46122</v>
      </c>
      <c r="N6711" s="31"/>
      <c r="O6711" s="2" t="s">
        <v>297</v>
      </c>
    </row>
    <row r="6712" spans="1:15">
      <c r="A6712" s="133">
        <f t="shared" ref="A6712:A6746" si="174">ROW()-1</f>
        <v>6711</v>
      </c>
      <c r="B6712" s="65" t="s">
        <v>9548</v>
      </c>
      <c r="C6712" s="130">
        <v>7266929061</v>
      </c>
      <c r="D6712" s="130"/>
      <c r="E6712" s="17" t="s">
        <v>8244</v>
      </c>
      <c r="F6712" s="4" t="s">
        <v>308</v>
      </c>
      <c r="G6712" s="3" t="s">
        <v>764</v>
      </c>
      <c r="H6712" s="2" t="s">
        <v>6158</v>
      </c>
      <c r="I6712" s="3" t="s">
        <v>42</v>
      </c>
      <c r="J6712" s="31">
        <v>46101</v>
      </c>
      <c r="K6712" s="31"/>
      <c r="L6712" s="31"/>
      <c r="M6712" s="31"/>
      <c r="N6712" s="31"/>
      <c r="O6712" s="2" t="s">
        <v>8022</v>
      </c>
    </row>
    <row r="6713" spans="1:15">
      <c r="A6713" s="133">
        <f t="shared" si="174"/>
        <v>6712</v>
      </c>
      <c r="B6713" s="65" t="s">
        <v>9549</v>
      </c>
      <c r="C6713" s="130">
        <v>9949710150</v>
      </c>
      <c r="D6713" s="130"/>
      <c r="E6713" s="17" t="s">
        <v>8244</v>
      </c>
      <c r="F6713" s="4" t="s">
        <v>308</v>
      </c>
      <c r="G6713" s="3" t="s">
        <v>7030</v>
      </c>
      <c r="H6713" s="2" t="s">
        <v>6158</v>
      </c>
      <c r="I6713" s="3" t="s">
        <v>42</v>
      </c>
      <c r="J6713" s="31">
        <v>46101</v>
      </c>
      <c r="K6713" s="31"/>
      <c r="L6713" s="31"/>
      <c r="M6713" s="31"/>
      <c r="N6713" s="31"/>
      <c r="O6713" s="2" t="s">
        <v>1004</v>
      </c>
    </row>
    <row r="6714" spans="1:15">
      <c r="A6714" s="133">
        <f t="shared" si="174"/>
        <v>6713</v>
      </c>
      <c r="B6714" s="65" t="s">
        <v>9550</v>
      </c>
      <c r="C6714" s="130">
        <v>9179417973</v>
      </c>
      <c r="D6714" s="130"/>
      <c r="E6714" s="17" t="s">
        <v>8244</v>
      </c>
      <c r="F6714" s="4" t="s">
        <v>419</v>
      </c>
      <c r="G6714" s="3" t="s">
        <v>15</v>
      </c>
      <c r="H6714" s="2" t="s">
        <v>6158</v>
      </c>
      <c r="I6714" s="3" t="s">
        <v>42</v>
      </c>
      <c r="J6714" s="31">
        <v>46101</v>
      </c>
      <c r="K6714" s="31">
        <v>46105</v>
      </c>
      <c r="L6714" s="31">
        <v>46108</v>
      </c>
      <c r="M6714" s="31">
        <v>46122</v>
      </c>
      <c r="N6714" s="31"/>
      <c r="O6714" s="2" t="s">
        <v>297</v>
      </c>
    </row>
    <row r="6715" spans="1:15">
      <c r="A6715" s="133">
        <f t="shared" si="174"/>
        <v>6714</v>
      </c>
      <c r="B6715" s="65" t="s">
        <v>9551</v>
      </c>
      <c r="C6715" s="130">
        <v>6261763444</v>
      </c>
      <c r="D6715" s="130"/>
      <c r="E6715" s="17" t="s">
        <v>8244</v>
      </c>
      <c r="F6715" s="4" t="s">
        <v>419</v>
      </c>
      <c r="G6715" s="3" t="s">
        <v>14</v>
      </c>
      <c r="H6715" s="2" t="s">
        <v>6158</v>
      </c>
      <c r="I6715" s="3" t="s">
        <v>42</v>
      </c>
      <c r="J6715" s="31">
        <v>46101</v>
      </c>
      <c r="K6715" s="31">
        <v>46104</v>
      </c>
      <c r="L6715" s="31"/>
      <c r="M6715" s="31"/>
      <c r="N6715" s="31"/>
      <c r="O6715" s="2" t="s">
        <v>297</v>
      </c>
    </row>
    <row r="6716" spans="1:15">
      <c r="A6716" s="133">
        <f t="shared" si="174"/>
        <v>6715</v>
      </c>
      <c r="B6716" s="65" t="s">
        <v>9552</v>
      </c>
      <c r="C6716" s="130">
        <v>8712306520</v>
      </c>
      <c r="D6716" s="130"/>
      <c r="E6716" s="17" t="s">
        <v>9178</v>
      </c>
      <c r="F6716" s="4" t="s">
        <v>2340</v>
      </c>
      <c r="G6716" s="3" t="s">
        <v>424</v>
      </c>
      <c r="H6716" s="2" t="s">
        <v>102</v>
      </c>
      <c r="I6716" s="3" t="s">
        <v>42</v>
      </c>
      <c r="J6716" s="31">
        <v>46101</v>
      </c>
      <c r="K6716" s="31">
        <v>46106</v>
      </c>
      <c r="L6716" s="31"/>
      <c r="M6716" s="31"/>
      <c r="N6716" s="31"/>
      <c r="O6716" s="2" t="s">
        <v>425</v>
      </c>
    </row>
    <row r="6717" spans="1:15">
      <c r="A6717" s="133">
        <f t="shared" si="174"/>
        <v>6716</v>
      </c>
      <c r="B6717" s="65" t="s">
        <v>9553</v>
      </c>
      <c r="C6717" s="130">
        <v>6300427671</v>
      </c>
      <c r="D6717" s="130">
        <v>8142953589</v>
      </c>
      <c r="E6717" s="17" t="s">
        <v>7563</v>
      </c>
      <c r="F6717" s="4" t="s">
        <v>277</v>
      </c>
      <c r="G6717" s="3" t="s">
        <v>14</v>
      </c>
      <c r="H6717" s="2" t="s">
        <v>9305</v>
      </c>
      <c r="I6717" s="3" t="s">
        <v>42</v>
      </c>
      <c r="J6717" s="31">
        <v>46101</v>
      </c>
      <c r="K6717" s="31">
        <v>46108</v>
      </c>
      <c r="L6717" s="31"/>
      <c r="M6717" s="31"/>
      <c r="N6717" s="31"/>
      <c r="O6717" s="2" t="s">
        <v>297</v>
      </c>
    </row>
    <row r="6718" spans="1:15">
      <c r="A6718" s="133">
        <f t="shared" si="174"/>
        <v>6717</v>
      </c>
      <c r="B6718" s="65" t="s">
        <v>9554</v>
      </c>
      <c r="C6718" s="130">
        <v>8790825685</v>
      </c>
      <c r="D6718" s="130"/>
      <c r="E6718" s="17" t="s">
        <v>7114</v>
      </c>
      <c r="F6718" s="4" t="s">
        <v>308</v>
      </c>
      <c r="G6718" s="3" t="s">
        <v>7030</v>
      </c>
      <c r="H6718" s="2" t="s">
        <v>4145</v>
      </c>
      <c r="I6718" s="3" t="s">
        <v>42</v>
      </c>
      <c r="J6718" s="31">
        <v>46101</v>
      </c>
      <c r="K6718" s="31"/>
      <c r="L6718" s="31"/>
      <c r="M6718" s="31"/>
      <c r="N6718" s="31"/>
      <c r="O6718" s="2" t="s">
        <v>1004</v>
      </c>
    </row>
    <row r="6719" spans="1:15">
      <c r="A6719" s="133">
        <f t="shared" si="174"/>
        <v>6718</v>
      </c>
      <c r="B6719" s="65" t="s">
        <v>9555</v>
      </c>
      <c r="C6719" s="130">
        <v>9006145077</v>
      </c>
      <c r="D6719" s="130"/>
      <c r="E6719" s="17" t="s">
        <v>5207</v>
      </c>
      <c r="F6719" s="4"/>
      <c r="G6719" s="3" t="s">
        <v>15</v>
      </c>
      <c r="H6719" s="2" t="s">
        <v>674</v>
      </c>
      <c r="I6719" s="3" t="s">
        <v>94</v>
      </c>
      <c r="J6719" s="31">
        <v>46095</v>
      </c>
      <c r="K6719" s="31">
        <v>46097</v>
      </c>
      <c r="L6719" s="31">
        <v>46101</v>
      </c>
      <c r="M6719" s="31">
        <v>46133</v>
      </c>
      <c r="N6719" s="31"/>
      <c r="O6719" s="2" t="s">
        <v>297</v>
      </c>
    </row>
    <row r="6720" spans="1:15">
      <c r="A6720" s="133">
        <f t="shared" si="174"/>
        <v>6719</v>
      </c>
      <c r="B6720" s="65" t="s">
        <v>9556</v>
      </c>
      <c r="C6720" s="130">
        <v>8763550898</v>
      </c>
      <c r="D6720" s="130"/>
      <c r="E6720" s="17" t="s">
        <v>5207</v>
      </c>
      <c r="F6720" s="4"/>
      <c r="G6720" s="3" t="s">
        <v>15</v>
      </c>
      <c r="H6720" s="2" t="s">
        <v>674</v>
      </c>
      <c r="I6720" s="3" t="s">
        <v>94</v>
      </c>
      <c r="J6720" s="31">
        <v>46095</v>
      </c>
      <c r="K6720" s="31">
        <v>46097</v>
      </c>
      <c r="L6720" s="31">
        <v>46101</v>
      </c>
      <c r="M6720" s="31">
        <v>46133</v>
      </c>
      <c r="N6720" s="31"/>
      <c r="O6720" s="2" t="s">
        <v>297</v>
      </c>
    </row>
    <row r="6721" spans="1:15">
      <c r="A6721" s="133">
        <f t="shared" si="174"/>
        <v>6720</v>
      </c>
      <c r="B6721" s="65" t="s">
        <v>9557</v>
      </c>
      <c r="C6721" s="130">
        <v>9348376039</v>
      </c>
      <c r="D6721" s="130"/>
      <c r="E6721" s="17" t="s">
        <v>5364</v>
      </c>
      <c r="F6721" s="4"/>
      <c r="G6721" s="3" t="s">
        <v>15</v>
      </c>
      <c r="H6721" s="2" t="s">
        <v>815</v>
      </c>
      <c r="I6721" s="3" t="s">
        <v>94</v>
      </c>
      <c r="J6721" s="31">
        <v>46095</v>
      </c>
      <c r="K6721" s="31">
        <v>46097</v>
      </c>
      <c r="L6721" s="31">
        <v>46101</v>
      </c>
      <c r="M6721" s="31">
        <v>46112</v>
      </c>
      <c r="N6721" s="31"/>
      <c r="O6721" s="2" t="s">
        <v>297</v>
      </c>
    </row>
    <row r="6722" spans="1:15">
      <c r="A6722" s="133">
        <f t="shared" si="174"/>
        <v>6721</v>
      </c>
      <c r="B6722" s="65" t="s">
        <v>9558</v>
      </c>
      <c r="C6722" s="130">
        <v>8602828404</v>
      </c>
      <c r="D6722" s="130"/>
      <c r="E6722" s="17" t="s">
        <v>7751</v>
      </c>
      <c r="F6722" s="4"/>
      <c r="G6722" s="3" t="s">
        <v>15</v>
      </c>
      <c r="H6722" s="2" t="s">
        <v>296</v>
      </c>
      <c r="I6722" s="3" t="s">
        <v>94</v>
      </c>
      <c r="J6722" s="31">
        <v>46095</v>
      </c>
      <c r="K6722" s="31">
        <v>46097</v>
      </c>
      <c r="L6722" s="31">
        <v>46101</v>
      </c>
      <c r="M6722" s="31">
        <v>46112</v>
      </c>
      <c r="N6722" s="31"/>
      <c r="O6722" s="2" t="s">
        <v>297</v>
      </c>
    </row>
    <row r="6723" spans="1:15">
      <c r="A6723" s="133">
        <f t="shared" si="174"/>
        <v>6722</v>
      </c>
      <c r="B6723" s="65" t="s">
        <v>9559</v>
      </c>
      <c r="C6723" s="130">
        <v>6300237067</v>
      </c>
      <c r="D6723" s="130"/>
      <c r="E6723" s="17" t="s">
        <v>5432</v>
      </c>
      <c r="F6723" s="4"/>
      <c r="G6723" s="3" t="s">
        <v>15</v>
      </c>
      <c r="H6723" s="3" t="s">
        <v>94</v>
      </c>
      <c r="I6723" s="3" t="s">
        <v>94</v>
      </c>
      <c r="J6723" s="31">
        <v>46095</v>
      </c>
      <c r="K6723" s="31">
        <v>46097</v>
      </c>
      <c r="L6723" s="31">
        <v>46101</v>
      </c>
      <c r="M6723" s="31">
        <v>46116</v>
      </c>
      <c r="N6723" s="31"/>
      <c r="O6723" s="2" t="s">
        <v>297</v>
      </c>
    </row>
    <row r="6724" spans="1:15">
      <c r="A6724" s="133">
        <f t="shared" si="174"/>
        <v>6723</v>
      </c>
      <c r="B6724" s="65" t="s">
        <v>9560</v>
      </c>
      <c r="C6724" s="130">
        <v>9640501277</v>
      </c>
      <c r="D6724" s="130"/>
      <c r="E6724" s="17" t="s">
        <v>9561</v>
      </c>
      <c r="F6724" s="4" t="s">
        <v>273</v>
      </c>
      <c r="G6724" s="3" t="s">
        <v>15</v>
      </c>
      <c r="H6724" s="3" t="s">
        <v>8395</v>
      </c>
      <c r="I6724" s="3" t="s">
        <v>42</v>
      </c>
      <c r="J6724" s="31">
        <v>46095</v>
      </c>
      <c r="K6724" s="31">
        <v>46097</v>
      </c>
      <c r="L6724" s="31">
        <v>46101</v>
      </c>
      <c r="M6724" s="31">
        <v>46112</v>
      </c>
      <c r="N6724" s="31"/>
      <c r="O6724" s="2" t="s">
        <v>297</v>
      </c>
    </row>
    <row r="6725" spans="1:15">
      <c r="A6725" s="133">
        <f t="shared" si="174"/>
        <v>6724</v>
      </c>
      <c r="B6725" s="65" t="s">
        <v>9562</v>
      </c>
      <c r="C6725" s="130">
        <v>9666609796</v>
      </c>
      <c r="D6725" s="130"/>
      <c r="E6725" s="17" t="s">
        <v>8543</v>
      </c>
      <c r="F6725" s="4" t="s">
        <v>9563</v>
      </c>
      <c r="G6725" s="3" t="s">
        <v>15</v>
      </c>
      <c r="H6725" s="3" t="s">
        <v>815</v>
      </c>
      <c r="I6725" s="3" t="s">
        <v>42</v>
      </c>
      <c r="J6725" s="31">
        <v>46095</v>
      </c>
      <c r="K6725" s="31">
        <v>46097</v>
      </c>
      <c r="L6725" s="31">
        <v>46101</v>
      </c>
      <c r="M6725" s="31">
        <v>46116</v>
      </c>
      <c r="N6725" s="31"/>
      <c r="O6725" s="2" t="s">
        <v>297</v>
      </c>
    </row>
    <row r="6726" spans="1:15">
      <c r="A6726" s="133">
        <f t="shared" si="174"/>
        <v>6725</v>
      </c>
      <c r="B6726" s="65" t="s">
        <v>6837</v>
      </c>
      <c r="C6726" s="130">
        <v>7093076013</v>
      </c>
      <c r="D6726" s="130"/>
      <c r="E6726" s="17" t="s">
        <v>8963</v>
      </c>
      <c r="F6726" s="4" t="s">
        <v>310</v>
      </c>
      <c r="G6726" s="3" t="s">
        <v>15</v>
      </c>
      <c r="H6726" s="3" t="s">
        <v>2364</v>
      </c>
      <c r="I6726" s="3" t="s">
        <v>42</v>
      </c>
      <c r="J6726" s="31">
        <v>46095</v>
      </c>
      <c r="K6726" s="31">
        <v>46097</v>
      </c>
      <c r="L6726" s="31">
        <v>46101</v>
      </c>
      <c r="M6726" s="31">
        <v>46127</v>
      </c>
      <c r="N6726" s="31"/>
      <c r="O6726" s="2" t="s">
        <v>297</v>
      </c>
    </row>
    <row r="6727" spans="1:15">
      <c r="A6727" s="133">
        <f t="shared" si="174"/>
        <v>6726</v>
      </c>
      <c r="B6727" s="65" t="s">
        <v>9564</v>
      </c>
      <c r="C6727" s="130">
        <v>9908786065</v>
      </c>
      <c r="D6727" s="130"/>
      <c r="E6727" s="17" t="s">
        <v>8188</v>
      </c>
      <c r="F6727" s="4" t="s">
        <v>9565</v>
      </c>
      <c r="G6727" s="3" t="s">
        <v>15</v>
      </c>
      <c r="H6727" s="3" t="s">
        <v>162</v>
      </c>
      <c r="I6727" s="3" t="s">
        <v>42</v>
      </c>
      <c r="J6727" s="31">
        <v>46095</v>
      </c>
      <c r="K6727" s="31">
        <v>46097</v>
      </c>
      <c r="L6727" s="31">
        <v>46101</v>
      </c>
      <c r="M6727" s="31">
        <v>46112</v>
      </c>
      <c r="N6727" s="31"/>
      <c r="O6727" s="2" t="s">
        <v>297</v>
      </c>
    </row>
    <row r="6728" spans="1:15">
      <c r="A6728" s="133">
        <f t="shared" si="174"/>
        <v>6727</v>
      </c>
      <c r="B6728" s="65" t="s">
        <v>9566</v>
      </c>
      <c r="C6728" s="130">
        <v>941508874</v>
      </c>
      <c r="D6728" s="130"/>
      <c r="E6728" s="17" t="s">
        <v>6236</v>
      </c>
      <c r="F6728" s="4" t="s">
        <v>9567</v>
      </c>
      <c r="G6728" s="3" t="s">
        <v>15</v>
      </c>
      <c r="H6728" s="3" t="s">
        <v>9423</v>
      </c>
      <c r="I6728" s="3" t="s">
        <v>42</v>
      </c>
      <c r="J6728" s="31">
        <v>46095</v>
      </c>
      <c r="K6728" s="31">
        <v>46097</v>
      </c>
      <c r="L6728" s="31">
        <v>46101</v>
      </c>
      <c r="M6728" s="31">
        <v>46116</v>
      </c>
      <c r="N6728" s="31"/>
      <c r="O6728" s="2" t="s">
        <v>297</v>
      </c>
    </row>
    <row r="6729" spans="1:15">
      <c r="A6729" s="133">
        <f t="shared" si="174"/>
        <v>6728</v>
      </c>
      <c r="B6729" s="65" t="s">
        <v>9568</v>
      </c>
      <c r="C6729" s="130">
        <v>7702732675</v>
      </c>
      <c r="D6729" s="130"/>
      <c r="E6729" s="17" t="s">
        <v>9569</v>
      </c>
      <c r="F6729" s="4" t="s">
        <v>274</v>
      </c>
      <c r="G6729" s="3" t="s">
        <v>15</v>
      </c>
      <c r="H6729" s="3" t="s">
        <v>2597</v>
      </c>
      <c r="I6729" s="3" t="s">
        <v>42</v>
      </c>
      <c r="J6729" s="31">
        <v>46095</v>
      </c>
      <c r="K6729" s="31">
        <v>46097</v>
      </c>
      <c r="L6729" s="31">
        <v>46101</v>
      </c>
      <c r="M6729" s="31">
        <v>46112</v>
      </c>
      <c r="N6729" s="31"/>
      <c r="O6729" s="2" t="s">
        <v>297</v>
      </c>
    </row>
    <row r="6730" spans="1:15">
      <c r="A6730" s="133">
        <f t="shared" si="174"/>
        <v>6729</v>
      </c>
      <c r="B6730" s="65" t="s">
        <v>9570</v>
      </c>
      <c r="C6730" s="130">
        <v>9640911965</v>
      </c>
      <c r="D6730" s="130"/>
      <c r="E6730" s="17" t="s">
        <v>8673</v>
      </c>
      <c r="F6730" s="4" t="s">
        <v>9571</v>
      </c>
      <c r="G6730" s="3" t="s">
        <v>764</v>
      </c>
      <c r="H6730" s="3" t="s">
        <v>9035</v>
      </c>
      <c r="I6730" s="3" t="s">
        <v>42</v>
      </c>
      <c r="J6730" s="31">
        <v>46102</v>
      </c>
      <c r="K6730" s="31">
        <v>46107</v>
      </c>
      <c r="L6730" s="31"/>
      <c r="M6730" s="31"/>
      <c r="N6730" s="31"/>
      <c r="O6730" s="2" t="s">
        <v>425</v>
      </c>
    </row>
    <row r="6731" spans="1:15">
      <c r="A6731" s="133">
        <f t="shared" si="174"/>
        <v>6730</v>
      </c>
      <c r="B6731" s="65" t="s">
        <v>9572</v>
      </c>
      <c r="C6731" s="130">
        <v>9966682839</v>
      </c>
      <c r="D6731" s="130"/>
      <c r="E6731" s="17" t="s">
        <v>4963</v>
      </c>
      <c r="F6731" s="4" t="s">
        <v>9573</v>
      </c>
      <c r="G6731" s="3" t="s">
        <v>7030</v>
      </c>
      <c r="H6731" s="3" t="s">
        <v>999</v>
      </c>
      <c r="I6731" s="3" t="s">
        <v>42</v>
      </c>
      <c r="J6731" s="31">
        <v>46104</v>
      </c>
      <c r="K6731" s="31"/>
      <c r="L6731" s="31"/>
      <c r="M6731" s="31"/>
      <c r="N6731" s="31"/>
      <c r="O6731" s="2" t="s">
        <v>1004</v>
      </c>
    </row>
    <row r="6732" spans="1:15">
      <c r="A6732" s="133">
        <f t="shared" si="174"/>
        <v>6731</v>
      </c>
      <c r="B6732" s="65" t="s">
        <v>1401</v>
      </c>
      <c r="C6732" s="130">
        <v>9963363096</v>
      </c>
      <c r="D6732" s="130"/>
      <c r="E6732" s="17" t="s">
        <v>4963</v>
      </c>
      <c r="F6732" s="4" t="s">
        <v>9574</v>
      </c>
      <c r="G6732" s="3" t="s">
        <v>7030</v>
      </c>
      <c r="H6732" s="3" t="s">
        <v>999</v>
      </c>
      <c r="I6732" s="3" t="s">
        <v>42</v>
      </c>
      <c r="J6732" s="31">
        <v>46104</v>
      </c>
      <c r="K6732" s="31"/>
      <c r="L6732" s="31"/>
      <c r="M6732" s="31"/>
      <c r="N6732" s="31"/>
      <c r="O6732" s="2" t="s">
        <v>1004</v>
      </c>
    </row>
    <row r="6733" spans="1:15">
      <c r="A6733" s="133">
        <f t="shared" si="174"/>
        <v>6732</v>
      </c>
      <c r="B6733" s="65" t="s">
        <v>9575</v>
      </c>
      <c r="C6733" s="130">
        <v>9640730320</v>
      </c>
      <c r="D6733" s="130"/>
      <c r="E6733" s="17" t="s">
        <v>9178</v>
      </c>
      <c r="F6733" s="4" t="s">
        <v>3370</v>
      </c>
      <c r="G6733" s="3" t="s">
        <v>15</v>
      </c>
      <c r="H6733" s="3" t="s">
        <v>102</v>
      </c>
      <c r="I6733" s="3" t="s">
        <v>42</v>
      </c>
      <c r="J6733" s="31">
        <v>46104</v>
      </c>
      <c r="K6733" s="31">
        <v>46107</v>
      </c>
      <c r="L6733" s="31">
        <v>46108</v>
      </c>
      <c r="M6733" s="31">
        <v>46139</v>
      </c>
      <c r="N6733" s="31"/>
      <c r="O6733" s="2" t="s">
        <v>297</v>
      </c>
    </row>
    <row r="6734" spans="1:15">
      <c r="A6734" s="133">
        <f t="shared" si="174"/>
        <v>6733</v>
      </c>
      <c r="B6734" s="65" t="s">
        <v>9576</v>
      </c>
      <c r="C6734" s="130">
        <v>8077982609</v>
      </c>
      <c r="D6734" s="130"/>
      <c r="E6734" s="17" t="s">
        <v>9178</v>
      </c>
      <c r="F6734" s="4" t="s">
        <v>3370</v>
      </c>
      <c r="G6734" s="3" t="s">
        <v>424</v>
      </c>
      <c r="H6734" s="3" t="s">
        <v>102</v>
      </c>
      <c r="I6734" s="3" t="s">
        <v>42</v>
      </c>
      <c r="J6734" s="31">
        <v>46104</v>
      </c>
      <c r="K6734" s="31">
        <v>46107</v>
      </c>
      <c r="L6734" s="31"/>
      <c r="M6734" s="31"/>
      <c r="N6734" s="31"/>
      <c r="O6734" s="2" t="s">
        <v>425</v>
      </c>
    </row>
    <row r="6735" spans="1:15">
      <c r="A6735" s="133">
        <f t="shared" si="174"/>
        <v>6734</v>
      </c>
      <c r="B6735" s="65" t="s">
        <v>9577</v>
      </c>
      <c r="C6735" s="130">
        <v>9288448045</v>
      </c>
      <c r="D6735" s="130"/>
      <c r="E6735" s="17" t="s">
        <v>3344</v>
      </c>
      <c r="F6735" s="4" t="s">
        <v>1060</v>
      </c>
      <c r="G6735" s="3" t="s">
        <v>14</v>
      </c>
      <c r="H6735" s="3" t="s">
        <v>102</v>
      </c>
      <c r="I6735" s="3" t="s">
        <v>42</v>
      </c>
      <c r="J6735" s="31">
        <v>46104</v>
      </c>
      <c r="K6735" s="31">
        <v>46107</v>
      </c>
      <c r="L6735" s="31"/>
      <c r="M6735" s="31"/>
      <c r="N6735" s="31"/>
      <c r="O6735" s="2" t="s">
        <v>297</v>
      </c>
    </row>
    <row r="6736" spans="1:15">
      <c r="A6736" s="133">
        <f t="shared" si="174"/>
        <v>6735</v>
      </c>
      <c r="B6736" s="65" t="s">
        <v>9578</v>
      </c>
      <c r="C6736" s="130">
        <v>8445319359</v>
      </c>
      <c r="D6736" s="130">
        <v>7525026231</v>
      </c>
      <c r="E6736" s="17" t="s">
        <v>9178</v>
      </c>
      <c r="F6736" s="4" t="s">
        <v>3370</v>
      </c>
      <c r="G6736" s="3" t="s">
        <v>15</v>
      </c>
      <c r="H6736" s="3" t="s">
        <v>102</v>
      </c>
      <c r="I6736" s="3" t="s">
        <v>42</v>
      </c>
      <c r="J6736" s="31">
        <v>46104</v>
      </c>
      <c r="K6736" s="31">
        <v>46107</v>
      </c>
      <c r="L6736" s="31">
        <v>46108</v>
      </c>
      <c r="M6736" s="31">
        <v>46139</v>
      </c>
      <c r="N6736" s="31"/>
      <c r="O6736" s="2" t="s">
        <v>297</v>
      </c>
    </row>
    <row r="6737" spans="1:15">
      <c r="A6737" s="133">
        <f t="shared" si="174"/>
        <v>6736</v>
      </c>
      <c r="B6737" s="65" t="s">
        <v>5950</v>
      </c>
      <c r="C6737" s="130">
        <v>8521613092</v>
      </c>
      <c r="D6737" s="130"/>
      <c r="E6737" s="17" t="s">
        <v>3344</v>
      </c>
      <c r="F6737" s="4" t="s">
        <v>1060</v>
      </c>
      <c r="G6737" s="3" t="s">
        <v>14</v>
      </c>
      <c r="H6737" s="3" t="s">
        <v>102</v>
      </c>
      <c r="I6737" s="3" t="s">
        <v>42</v>
      </c>
      <c r="J6737" s="31">
        <v>46104</v>
      </c>
      <c r="K6737" s="31">
        <v>46107</v>
      </c>
      <c r="L6737" s="31"/>
      <c r="M6737" s="31"/>
      <c r="N6737" s="31"/>
      <c r="O6737" s="2" t="s">
        <v>297</v>
      </c>
    </row>
    <row r="6738" spans="1:15">
      <c r="A6738" s="133">
        <f t="shared" si="174"/>
        <v>6737</v>
      </c>
      <c r="B6738" s="65" t="s">
        <v>9579</v>
      </c>
      <c r="C6738" s="130">
        <v>7205151975</v>
      </c>
      <c r="D6738" s="130"/>
      <c r="E6738" s="17" t="s">
        <v>8809</v>
      </c>
      <c r="F6738" s="4" t="s">
        <v>4671</v>
      </c>
      <c r="G6738" s="3" t="s">
        <v>7030</v>
      </c>
      <c r="H6738" s="3" t="s">
        <v>815</v>
      </c>
      <c r="I6738" s="3" t="s">
        <v>94</v>
      </c>
      <c r="J6738" s="31">
        <v>46105</v>
      </c>
      <c r="K6738" s="31"/>
      <c r="L6738" s="31"/>
      <c r="M6738" s="31"/>
      <c r="N6738" s="31"/>
      <c r="O6738" s="2" t="s">
        <v>1004</v>
      </c>
    </row>
    <row r="6739" spans="1:15">
      <c r="A6739" s="133">
        <f t="shared" si="174"/>
        <v>6738</v>
      </c>
      <c r="B6739" s="65" t="s">
        <v>9580</v>
      </c>
      <c r="C6739" s="130">
        <v>7678157511</v>
      </c>
      <c r="D6739" s="130"/>
      <c r="E6739" s="17" t="s">
        <v>8809</v>
      </c>
      <c r="F6739" s="4" t="s">
        <v>4671</v>
      </c>
      <c r="G6739" s="3" t="s">
        <v>7030</v>
      </c>
      <c r="H6739" s="3" t="s">
        <v>815</v>
      </c>
      <c r="I6739" s="3" t="s">
        <v>94</v>
      </c>
      <c r="J6739" s="31">
        <v>46105</v>
      </c>
      <c r="K6739" s="31"/>
      <c r="L6739" s="31"/>
      <c r="M6739" s="31"/>
      <c r="N6739" s="31"/>
      <c r="O6739" s="2" t="s">
        <v>1004</v>
      </c>
    </row>
    <row r="6740" spans="1:15">
      <c r="A6740" s="133">
        <f t="shared" si="174"/>
        <v>6739</v>
      </c>
      <c r="B6740" s="65" t="s">
        <v>1621</v>
      </c>
      <c r="C6740" s="130">
        <v>7013535813</v>
      </c>
      <c r="D6740" s="130"/>
      <c r="E6740" s="17" t="s">
        <v>8244</v>
      </c>
      <c r="F6740" s="4" t="s">
        <v>308</v>
      </c>
      <c r="G6740" s="3" t="s">
        <v>14</v>
      </c>
      <c r="H6740" s="3" t="s">
        <v>3240</v>
      </c>
      <c r="I6740" s="3" t="s">
        <v>42</v>
      </c>
      <c r="J6740" s="31">
        <v>46105</v>
      </c>
      <c r="K6740" s="31">
        <v>46114</v>
      </c>
      <c r="L6740" s="31"/>
      <c r="M6740" s="31"/>
      <c r="N6740" s="31"/>
      <c r="O6740" s="2" t="s">
        <v>297</v>
      </c>
    </row>
    <row r="6741" spans="1:15">
      <c r="A6741" s="133">
        <f t="shared" si="174"/>
        <v>6740</v>
      </c>
      <c r="B6741" s="65" t="s">
        <v>9581</v>
      </c>
      <c r="C6741" s="130">
        <v>9550504522</v>
      </c>
      <c r="D6741" s="130"/>
      <c r="E6741" s="17" t="s">
        <v>8244</v>
      </c>
      <c r="F6741" s="4" t="s">
        <v>308</v>
      </c>
      <c r="G6741" s="3" t="s">
        <v>764</v>
      </c>
      <c r="H6741" s="3" t="s">
        <v>3240</v>
      </c>
      <c r="I6741" s="3" t="s">
        <v>42</v>
      </c>
      <c r="J6741" s="31">
        <v>46105</v>
      </c>
      <c r="K6741" s="31">
        <v>46114</v>
      </c>
      <c r="L6741" s="31"/>
      <c r="M6741" s="31"/>
      <c r="N6741" s="31"/>
      <c r="O6741" s="2" t="s">
        <v>425</v>
      </c>
    </row>
    <row r="6742" spans="1:15">
      <c r="A6742" s="133">
        <f t="shared" si="174"/>
        <v>6741</v>
      </c>
      <c r="B6742" s="65" t="s">
        <v>9582</v>
      </c>
      <c r="C6742" s="130">
        <v>7601071678</v>
      </c>
      <c r="D6742" s="130"/>
      <c r="E6742" s="17" t="s">
        <v>8244</v>
      </c>
      <c r="F6742" s="4" t="s">
        <v>308</v>
      </c>
      <c r="G6742" s="3" t="s">
        <v>14</v>
      </c>
      <c r="H6742" s="3" t="s">
        <v>3240</v>
      </c>
      <c r="I6742" s="3" t="s">
        <v>42</v>
      </c>
      <c r="J6742" s="31">
        <v>46105</v>
      </c>
      <c r="K6742" s="31">
        <v>46114</v>
      </c>
      <c r="L6742" s="31"/>
      <c r="M6742" s="31"/>
      <c r="N6742" s="31"/>
      <c r="O6742" s="2" t="s">
        <v>297</v>
      </c>
    </row>
    <row r="6743" spans="1:15">
      <c r="A6743" s="133">
        <f t="shared" si="174"/>
        <v>6742</v>
      </c>
      <c r="B6743" s="65" t="s">
        <v>9583</v>
      </c>
      <c r="C6743" s="130">
        <v>8142677987</v>
      </c>
      <c r="D6743" s="130"/>
      <c r="E6743" s="17" t="s">
        <v>9584</v>
      </c>
      <c r="F6743" s="4" t="s">
        <v>308</v>
      </c>
      <c r="G6743" s="3" t="s">
        <v>7030</v>
      </c>
      <c r="H6743" s="3" t="s">
        <v>42</v>
      </c>
      <c r="I6743" s="3" t="s">
        <v>42</v>
      </c>
      <c r="J6743" s="31">
        <v>46105</v>
      </c>
      <c r="K6743" s="31"/>
      <c r="L6743" s="31"/>
      <c r="M6743" s="31"/>
      <c r="N6743" s="31"/>
      <c r="O6743" s="2" t="s">
        <v>1004</v>
      </c>
    </row>
    <row r="6744" spans="1:15">
      <c r="A6744" s="133">
        <f t="shared" si="174"/>
        <v>6743</v>
      </c>
      <c r="B6744" s="65" t="s">
        <v>9585</v>
      </c>
      <c r="C6744" s="130">
        <v>9550944800</v>
      </c>
      <c r="D6744" s="130">
        <v>9703094808</v>
      </c>
      <c r="E6744" s="17" t="s">
        <v>9584</v>
      </c>
      <c r="F6744" s="4" t="s">
        <v>9586</v>
      </c>
      <c r="G6744" s="3" t="s">
        <v>7030</v>
      </c>
      <c r="H6744" s="3" t="s">
        <v>42</v>
      </c>
      <c r="I6744" s="3" t="s">
        <v>42</v>
      </c>
      <c r="J6744" s="31">
        <v>46105</v>
      </c>
      <c r="K6744" s="31"/>
      <c r="L6744" s="31"/>
      <c r="M6744" s="31"/>
      <c r="N6744" s="31"/>
      <c r="O6744" s="2" t="s">
        <v>1004</v>
      </c>
    </row>
    <row r="6745" spans="1:15">
      <c r="A6745" s="133">
        <f t="shared" si="174"/>
        <v>6744</v>
      </c>
      <c r="B6745" s="65" t="s">
        <v>9587</v>
      </c>
      <c r="C6745" s="130">
        <v>7000815698</v>
      </c>
      <c r="D6745" s="130"/>
      <c r="E6745" s="17" t="s">
        <v>7950</v>
      </c>
      <c r="F6745" s="4" t="s">
        <v>481</v>
      </c>
      <c r="G6745" s="3" t="s">
        <v>7030</v>
      </c>
      <c r="H6745" s="3" t="s">
        <v>162</v>
      </c>
      <c r="I6745" s="3" t="s">
        <v>94</v>
      </c>
      <c r="J6745" s="31">
        <v>46105</v>
      </c>
      <c r="K6745" s="31"/>
      <c r="L6745" s="31"/>
      <c r="M6745" s="31"/>
      <c r="N6745" s="31"/>
      <c r="O6745" s="2" t="s">
        <v>1004</v>
      </c>
    </row>
    <row r="6746" spans="1:15">
      <c r="A6746" s="133">
        <f t="shared" si="174"/>
        <v>6745</v>
      </c>
      <c r="B6746" s="65" t="s">
        <v>9588</v>
      </c>
      <c r="C6746" s="130">
        <v>9470657026</v>
      </c>
      <c r="D6746" s="130">
        <v>7903090988</v>
      </c>
      <c r="E6746" s="17" t="s">
        <v>7950</v>
      </c>
      <c r="F6746" s="4" t="s">
        <v>481</v>
      </c>
      <c r="G6746" s="3" t="s">
        <v>7030</v>
      </c>
      <c r="H6746" s="3" t="s">
        <v>162</v>
      </c>
      <c r="I6746" s="3" t="s">
        <v>94</v>
      </c>
      <c r="J6746" s="31">
        <v>46105</v>
      </c>
      <c r="K6746" s="31"/>
      <c r="L6746" s="31"/>
      <c r="M6746" s="31"/>
      <c r="N6746" s="31"/>
      <c r="O6746" s="2" t="s">
        <v>1004</v>
      </c>
    </row>
    <row r="6747" spans="1:15">
      <c r="A6747" s="133">
        <f t="shared" ref="A6747:A6767" si="175">ROW()-1</f>
        <v>6746</v>
      </c>
      <c r="B6747" s="65" t="s">
        <v>9589</v>
      </c>
      <c r="C6747" s="130">
        <v>7382347080</v>
      </c>
      <c r="D6747" s="130"/>
      <c r="E6747" s="17" t="s">
        <v>7344</v>
      </c>
      <c r="F6747" s="4" t="s">
        <v>9590</v>
      </c>
      <c r="G6747" s="3" t="s">
        <v>15</v>
      </c>
      <c r="H6747" s="3" t="s">
        <v>785</v>
      </c>
      <c r="I6747" s="3" t="s">
        <v>88</v>
      </c>
      <c r="J6747" s="31">
        <v>46106</v>
      </c>
      <c r="K6747" s="31">
        <v>46105</v>
      </c>
      <c r="L6747" s="31">
        <v>46108</v>
      </c>
      <c r="M6747" s="31">
        <v>46139</v>
      </c>
      <c r="N6747" s="31"/>
      <c r="O6747" s="2" t="s">
        <v>297</v>
      </c>
    </row>
    <row r="6748" spans="1:15">
      <c r="A6748" s="133">
        <f t="shared" si="175"/>
        <v>6747</v>
      </c>
      <c r="B6748" s="65" t="s">
        <v>9591</v>
      </c>
      <c r="C6748" s="130">
        <v>7416140321</v>
      </c>
      <c r="D6748" s="130"/>
      <c r="E6748" s="17" t="s">
        <v>9592</v>
      </c>
      <c r="F6748" s="4" t="s">
        <v>461</v>
      </c>
      <c r="G6748" s="2" t="s">
        <v>15</v>
      </c>
      <c r="H6748" s="3" t="s">
        <v>1613</v>
      </c>
      <c r="I6748" s="3" t="s">
        <v>88</v>
      </c>
      <c r="J6748" s="31">
        <v>46106</v>
      </c>
      <c r="K6748" s="31">
        <v>46106</v>
      </c>
      <c r="L6748" s="31">
        <v>46108</v>
      </c>
      <c r="M6748" s="31">
        <v>46139</v>
      </c>
      <c r="N6748" s="31"/>
      <c r="O6748" s="2" t="s">
        <v>297</v>
      </c>
    </row>
    <row r="6749" spans="1:15">
      <c r="A6749" s="133">
        <f t="shared" si="175"/>
        <v>6748</v>
      </c>
      <c r="B6749" s="65" t="s">
        <v>1770</v>
      </c>
      <c r="C6749" s="130">
        <v>7780352133</v>
      </c>
      <c r="D6749" s="130"/>
      <c r="E6749" s="17" t="s">
        <v>9592</v>
      </c>
      <c r="F6749" s="4" t="s">
        <v>461</v>
      </c>
      <c r="G6749" s="3" t="s">
        <v>14</v>
      </c>
      <c r="H6749" s="3" t="s">
        <v>1613</v>
      </c>
      <c r="I6749" s="3" t="s">
        <v>88</v>
      </c>
      <c r="J6749" s="31">
        <v>46106</v>
      </c>
      <c r="K6749" s="31">
        <v>46106</v>
      </c>
      <c r="L6749" s="31"/>
      <c r="M6749" s="31"/>
      <c r="N6749" s="31"/>
      <c r="O6749" s="2" t="s">
        <v>297</v>
      </c>
    </row>
    <row r="6750" spans="1:15">
      <c r="A6750" s="133">
        <f t="shared" si="175"/>
        <v>6749</v>
      </c>
      <c r="B6750" s="65" t="s">
        <v>9593</v>
      </c>
      <c r="C6750" s="130">
        <v>7978846636</v>
      </c>
      <c r="D6750" s="130"/>
      <c r="E6750" s="17" t="s">
        <v>3326</v>
      </c>
      <c r="F6750" s="4" t="s">
        <v>9594</v>
      </c>
      <c r="G6750" s="3" t="s">
        <v>7030</v>
      </c>
      <c r="H6750" s="3" t="s">
        <v>630</v>
      </c>
      <c r="I6750" s="3" t="s">
        <v>94</v>
      </c>
      <c r="J6750" s="31">
        <v>46106</v>
      </c>
      <c r="K6750" s="31"/>
      <c r="L6750" s="31"/>
      <c r="M6750" s="31"/>
      <c r="N6750" s="31"/>
      <c r="O6750" s="2" t="s">
        <v>1004</v>
      </c>
    </row>
    <row r="6751" spans="1:15">
      <c r="A6751" s="133">
        <f t="shared" si="175"/>
        <v>6750</v>
      </c>
      <c r="B6751" s="65" t="s">
        <v>9595</v>
      </c>
      <c r="C6751" s="130">
        <v>7828478972</v>
      </c>
      <c r="D6751" s="130"/>
      <c r="E6751" s="17" t="s">
        <v>3326</v>
      </c>
      <c r="F6751" s="4" t="s">
        <v>294</v>
      </c>
      <c r="G6751" s="3" t="s">
        <v>7030</v>
      </c>
      <c r="H6751" s="3" t="s">
        <v>630</v>
      </c>
      <c r="I6751" s="3" t="s">
        <v>94</v>
      </c>
      <c r="J6751" s="31">
        <v>46106</v>
      </c>
      <c r="K6751" s="31"/>
      <c r="L6751" s="31"/>
      <c r="M6751" s="31"/>
      <c r="N6751" s="31"/>
      <c r="O6751" s="2" t="s">
        <v>1004</v>
      </c>
    </row>
    <row r="6752" spans="1:15">
      <c r="A6752" s="133">
        <f t="shared" si="175"/>
        <v>6751</v>
      </c>
      <c r="B6752" s="65" t="s">
        <v>9596</v>
      </c>
      <c r="C6752" s="130">
        <v>7980301489</v>
      </c>
      <c r="D6752" s="130"/>
      <c r="E6752" s="17" t="s">
        <v>3326</v>
      </c>
      <c r="F6752" s="4" t="s">
        <v>294</v>
      </c>
      <c r="G6752" s="3" t="s">
        <v>7030</v>
      </c>
      <c r="H6752" s="3" t="s">
        <v>630</v>
      </c>
      <c r="I6752" s="3" t="s">
        <v>94</v>
      </c>
      <c r="J6752" s="31">
        <v>46106</v>
      </c>
      <c r="K6752" s="31"/>
      <c r="L6752" s="31"/>
      <c r="M6752" s="31"/>
      <c r="N6752" s="31"/>
      <c r="O6752" s="2" t="s">
        <v>1004</v>
      </c>
    </row>
    <row r="6753" spans="1:15">
      <c r="A6753" s="133">
        <f t="shared" si="175"/>
        <v>6752</v>
      </c>
      <c r="B6753" s="65" t="s">
        <v>9597</v>
      </c>
      <c r="C6753" s="130">
        <v>7036547036</v>
      </c>
      <c r="D6753" s="130"/>
      <c r="E6753" s="17" t="s">
        <v>7114</v>
      </c>
      <c r="F6753" s="4" t="s">
        <v>308</v>
      </c>
      <c r="G6753" s="3" t="s">
        <v>7030</v>
      </c>
      <c r="H6753" s="3" t="s">
        <v>4145</v>
      </c>
      <c r="I6753" s="3" t="s">
        <v>42</v>
      </c>
      <c r="J6753" s="31">
        <v>46106</v>
      </c>
      <c r="K6753" s="31"/>
      <c r="L6753" s="31"/>
      <c r="M6753" s="31"/>
      <c r="N6753" s="31"/>
      <c r="O6753" s="2" t="s">
        <v>1004</v>
      </c>
    </row>
    <row r="6754" spans="1:15">
      <c r="A6754" s="133">
        <f t="shared" si="175"/>
        <v>6753</v>
      </c>
      <c r="B6754" s="65" t="s">
        <v>9598</v>
      </c>
      <c r="C6754" s="130">
        <v>7731083005</v>
      </c>
      <c r="D6754" s="130"/>
      <c r="E6754" s="17" t="s">
        <v>3344</v>
      </c>
      <c r="F6754" s="4" t="s">
        <v>2697</v>
      </c>
      <c r="G6754" s="3" t="s">
        <v>7030</v>
      </c>
      <c r="H6754" s="3" t="s">
        <v>102</v>
      </c>
      <c r="I6754" s="3" t="s">
        <v>42</v>
      </c>
      <c r="J6754" s="31">
        <v>46106</v>
      </c>
      <c r="K6754" s="31"/>
      <c r="L6754" s="31"/>
      <c r="M6754" s="31"/>
      <c r="N6754" s="31"/>
      <c r="O6754" s="2" t="s">
        <v>1004</v>
      </c>
    </row>
    <row r="6755" spans="1:15">
      <c r="A6755" s="133">
        <f t="shared" si="175"/>
        <v>6754</v>
      </c>
      <c r="B6755" s="65" t="s">
        <v>3271</v>
      </c>
      <c r="C6755" s="130">
        <v>7075120179</v>
      </c>
      <c r="D6755" s="130"/>
      <c r="E6755" s="17" t="s">
        <v>8639</v>
      </c>
      <c r="F6755" s="4" t="s">
        <v>9599</v>
      </c>
      <c r="G6755" s="3" t="s">
        <v>7030</v>
      </c>
      <c r="H6755" s="3" t="s">
        <v>102</v>
      </c>
      <c r="I6755" s="3" t="s">
        <v>42</v>
      </c>
      <c r="J6755" s="31">
        <v>46106</v>
      </c>
      <c r="K6755" s="31"/>
      <c r="L6755" s="31"/>
      <c r="M6755" s="31"/>
      <c r="N6755" s="31"/>
      <c r="O6755" s="2" t="s">
        <v>1004</v>
      </c>
    </row>
    <row r="6756" spans="1:15">
      <c r="A6756" s="133">
        <f t="shared" si="175"/>
        <v>6755</v>
      </c>
      <c r="B6756" s="65" t="s">
        <v>9600</v>
      </c>
      <c r="C6756" s="130">
        <v>9966500433</v>
      </c>
      <c r="D6756" s="130"/>
      <c r="E6756" s="17" t="s">
        <v>8639</v>
      </c>
      <c r="F6756" s="4" t="s">
        <v>9599</v>
      </c>
      <c r="G6756" s="3" t="s">
        <v>7030</v>
      </c>
      <c r="H6756" s="3" t="s">
        <v>102</v>
      </c>
      <c r="I6756" s="3" t="s">
        <v>42</v>
      </c>
      <c r="J6756" s="31">
        <v>46106</v>
      </c>
      <c r="K6756" s="31"/>
      <c r="L6756" s="31"/>
      <c r="M6756" s="31"/>
      <c r="N6756" s="31"/>
      <c r="O6756" s="2" t="s">
        <v>1004</v>
      </c>
    </row>
    <row r="6757" spans="1:15">
      <c r="A6757" s="133">
        <f t="shared" si="175"/>
        <v>6756</v>
      </c>
      <c r="B6757" s="65" t="s">
        <v>9601</v>
      </c>
      <c r="C6757" s="130">
        <v>9161301467</v>
      </c>
      <c r="D6757" s="130">
        <v>6355667019</v>
      </c>
      <c r="E6757" s="17" t="s">
        <v>6537</v>
      </c>
      <c r="F6757" s="4" t="s">
        <v>9602</v>
      </c>
      <c r="G6757" s="3" t="s">
        <v>14</v>
      </c>
      <c r="H6757" s="3" t="s">
        <v>6158</v>
      </c>
      <c r="I6757" s="3" t="s">
        <v>42</v>
      </c>
      <c r="J6757" s="31">
        <v>46106</v>
      </c>
      <c r="K6757" s="31">
        <v>46108</v>
      </c>
      <c r="L6757" s="31"/>
      <c r="M6757" s="31"/>
      <c r="N6757" s="31"/>
      <c r="O6757" s="2" t="s">
        <v>297</v>
      </c>
    </row>
    <row r="6758" spans="1:15">
      <c r="A6758" s="133">
        <f t="shared" si="175"/>
        <v>6757</v>
      </c>
      <c r="B6758" s="65" t="s">
        <v>9603</v>
      </c>
      <c r="C6758" s="130">
        <v>9353051266</v>
      </c>
      <c r="D6758" s="130"/>
      <c r="E6758" s="17" t="s">
        <v>8922</v>
      </c>
      <c r="F6758" s="4" t="s">
        <v>303</v>
      </c>
      <c r="G6758" s="3" t="s">
        <v>14</v>
      </c>
      <c r="H6758" s="3" t="s">
        <v>6158</v>
      </c>
      <c r="I6758" s="3" t="s">
        <v>42</v>
      </c>
      <c r="J6758" s="31">
        <v>46106</v>
      </c>
      <c r="K6758" s="31">
        <v>46108</v>
      </c>
      <c r="L6758" s="31"/>
      <c r="M6758" s="31"/>
      <c r="N6758" s="31"/>
      <c r="O6758" s="2" t="s">
        <v>297</v>
      </c>
    </row>
    <row r="6759" spans="1:15">
      <c r="A6759" s="133">
        <f t="shared" si="175"/>
        <v>6758</v>
      </c>
      <c r="B6759" s="65" t="s">
        <v>9604</v>
      </c>
      <c r="C6759" s="130">
        <v>8555853626</v>
      </c>
      <c r="D6759" s="130">
        <v>9160948444</v>
      </c>
      <c r="E6759" s="17" t="s">
        <v>5557</v>
      </c>
      <c r="F6759" s="4" t="s">
        <v>1364</v>
      </c>
      <c r="G6759" s="3" t="s">
        <v>7030</v>
      </c>
      <c r="H6759" s="3" t="s">
        <v>6158</v>
      </c>
      <c r="I6759" s="3" t="s">
        <v>42</v>
      </c>
      <c r="J6759" s="31">
        <v>46106</v>
      </c>
      <c r="K6759" s="31"/>
      <c r="L6759" s="31"/>
      <c r="M6759" s="31"/>
      <c r="N6759" s="31"/>
      <c r="O6759" s="2" t="s">
        <v>1004</v>
      </c>
    </row>
    <row r="6760" spans="1:15">
      <c r="A6760" s="133">
        <f t="shared" si="175"/>
        <v>6759</v>
      </c>
      <c r="B6760" s="65" t="s">
        <v>9605</v>
      </c>
      <c r="C6760" s="130">
        <v>9177972435</v>
      </c>
      <c r="D6760" s="130">
        <v>7780652748</v>
      </c>
      <c r="E6760" s="17" t="s">
        <v>4963</v>
      </c>
      <c r="F6760" s="4" t="s">
        <v>9606</v>
      </c>
      <c r="G6760" s="3" t="s">
        <v>7030</v>
      </c>
      <c r="H6760" s="3" t="s">
        <v>999</v>
      </c>
      <c r="I6760" s="3" t="s">
        <v>42</v>
      </c>
      <c r="J6760" s="31">
        <v>46106</v>
      </c>
      <c r="K6760" s="31"/>
      <c r="L6760" s="31"/>
      <c r="M6760" s="31"/>
      <c r="N6760" s="31"/>
      <c r="O6760" s="2" t="s">
        <v>1004</v>
      </c>
    </row>
    <row r="6761" spans="1:15">
      <c r="A6761" s="133">
        <f t="shared" si="175"/>
        <v>6760</v>
      </c>
      <c r="B6761" s="65" t="s">
        <v>9607</v>
      </c>
      <c r="C6761" s="130">
        <v>9985897718</v>
      </c>
      <c r="D6761" s="130"/>
      <c r="E6761" s="17" t="s">
        <v>9608</v>
      </c>
      <c r="F6761" s="4" t="s">
        <v>9609</v>
      </c>
      <c r="G6761" s="3" t="s">
        <v>7030</v>
      </c>
      <c r="H6761" s="3" t="s">
        <v>9035</v>
      </c>
      <c r="I6761" s="3" t="s">
        <v>42</v>
      </c>
      <c r="J6761" s="31">
        <v>46106</v>
      </c>
      <c r="K6761" s="31"/>
      <c r="L6761" s="31"/>
      <c r="M6761" s="31"/>
      <c r="N6761" s="31"/>
      <c r="O6761" s="2" t="s">
        <v>1004</v>
      </c>
    </row>
    <row r="6762" spans="1:15">
      <c r="A6762" s="133">
        <f t="shared" si="175"/>
        <v>6761</v>
      </c>
      <c r="B6762" s="65" t="s">
        <v>9610</v>
      </c>
      <c r="C6762" s="130">
        <v>8977788003</v>
      </c>
      <c r="D6762" s="130"/>
      <c r="E6762" s="17" t="s">
        <v>9608</v>
      </c>
      <c r="F6762" s="4" t="s">
        <v>2199</v>
      </c>
      <c r="G6762" s="3" t="s">
        <v>7030</v>
      </c>
      <c r="H6762" s="3" t="s">
        <v>9035</v>
      </c>
      <c r="I6762" s="3" t="s">
        <v>42</v>
      </c>
      <c r="J6762" s="31">
        <v>46106</v>
      </c>
      <c r="K6762" s="31"/>
      <c r="L6762" s="31"/>
      <c r="M6762" s="31"/>
      <c r="N6762" s="31"/>
      <c r="O6762" s="2" t="s">
        <v>1004</v>
      </c>
    </row>
    <row r="6763" spans="1:15">
      <c r="A6763" s="133">
        <f t="shared" si="175"/>
        <v>6762</v>
      </c>
      <c r="B6763" s="65" t="s">
        <v>9611</v>
      </c>
      <c r="C6763" s="130">
        <v>9052921296</v>
      </c>
      <c r="D6763" s="130"/>
      <c r="E6763" s="17" t="s">
        <v>1735</v>
      </c>
      <c r="F6763" s="4" t="s">
        <v>7046</v>
      </c>
      <c r="G6763" s="3" t="s">
        <v>15</v>
      </c>
      <c r="H6763" s="3" t="s">
        <v>815</v>
      </c>
      <c r="I6763" s="3" t="s">
        <v>88</v>
      </c>
      <c r="J6763" s="31">
        <v>46106</v>
      </c>
      <c r="K6763" s="31">
        <v>46106</v>
      </c>
      <c r="L6763" s="31">
        <v>46108</v>
      </c>
      <c r="M6763" s="31">
        <v>46139</v>
      </c>
      <c r="N6763" s="31"/>
      <c r="O6763" s="2" t="s">
        <v>297</v>
      </c>
    </row>
    <row r="6764" spans="1:15">
      <c r="A6764" s="133">
        <f t="shared" si="175"/>
        <v>6763</v>
      </c>
      <c r="B6764" s="65" t="s">
        <v>9612</v>
      </c>
      <c r="C6764" s="130">
        <v>8185981200</v>
      </c>
      <c r="D6764" s="130"/>
      <c r="E6764" s="17" t="s">
        <v>8193</v>
      </c>
      <c r="F6764" s="4"/>
      <c r="G6764" s="3" t="s">
        <v>15</v>
      </c>
      <c r="H6764" s="3" t="s">
        <v>815</v>
      </c>
      <c r="I6764" s="3" t="s">
        <v>94</v>
      </c>
      <c r="J6764" s="31">
        <v>46104</v>
      </c>
      <c r="K6764" s="31">
        <v>46105</v>
      </c>
      <c r="L6764" s="31">
        <v>46106</v>
      </c>
      <c r="M6764" s="31">
        <v>46113</v>
      </c>
      <c r="N6764" s="31"/>
      <c r="O6764" s="2" t="s">
        <v>297</v>
      </c>
    </row>
    <row r="6765" spans="1:15">
      <c r="A6765" s="133">
        <f t="shared" si="175"/>
        <v>6764</v>
      </c>
      <c r="B6765" s="65" t="s">
        <v>9613</v>
      </c>
      <c r="C6765" s="130">
        <v>9179505075</v>
      </c>
      <c r="D6765" s="130"/>
      <c r="E6765" s="17" t="s">
        <v>5364</v>
      </c>
      <c r="F6765" s="4"/>
      <c r="G6765" s="3" t="s">
        <v>15</v>
      </c>
      <c r="H6765" s="3" t="s">
        <v>815</v>
      </c>
      <c r="I6765" s="3" t="s">
        <v>94</v>
      </c>
      <c r="J6765" s="31">
        <v>46104</v>
      </c>
      <c r="K6765" s="31">
        <v>46105</v>
      </c>
      <c r="L6765" s="31">
        <v>46106</v>
      </c>
      <c r="M6765" s="31">
        <v>46113</v>
      </c>
      <c r="N6765" s="31"/>
      <c r="O6765" s="2" t="s">
        <v>297</v>
      </c>
    </row>
    <row r="6766" spans="1:15">
      <c r="A6766" s="133">
        <f t="shared" si="175"/>
        <v>6765</v>
      </c>
      <c r="B6766" s="65" t="s">
        <v>9614</v>
      </c>
      <c r="C6766" s="130">
        <v>7407301076</v>
      </c>
      <c r="D6766" s="130"/>
      <c r="E6766" s="17" t="s">
        <v>8719</v>
      </c>
      <c r="F6766" s="4"/>
      <c r="G6766" s="3" t="s">
        <v>15</v>
      </c>
      <c r="H6766" s="3" t="s">
        <v>162</v>
      </c>
      <c r="I6766" s="3" t="s">
        <v>94</v>
      </c>
      <c r="J6766" s="31">
        <v>46104</v>
      </c>
      <c r="K6766" s="31">
        <v>46105</v>
      </c>
      <c r="L6766" s="31">
        <v>46106</v>
      </c>
      <c r="M6766" s="31">
        <v>46116</v>
      </c>
      <c r="N6766" s="31"/>
      <c r="O6766" s="2" t="s">
        <v>297</v>
      </c>
    </row>
    <row r="6767" spans="1:15">
      <c r="A6767" s="133">
        <f t="shared" si="175"/>
        <v>6766</v>
      </c>
      <c r="B6767" s="65" t="s">
        <v>9615</v>
      </c>
      <c r="C6767" s="130">
        <v>8084995363</v>
      </c>
      <c r="D6767" s="130"/>
      <c r="E6767" s="17" t="s">
        <v>7768</v>
      </c>
      <c r="F6767" s="4"/>
      <c r="G6767" s="3" t="s">
        <v>15</v>
      </c>
      <c r="H6767" s="3" t="s">
        <v>4709</v>
      </c>
      <c r="I6767" s="3" t="s">
        <v>94</v>
      </c>
      <c r="J6767" s="31">
        <v>46104</v>
      </c>
      <c r="K6767" s="31">
        <v>46105</v>
      </c>
      <c r="L6767" s="31">
        <v>46106</v>
      </c>
      <c r="M6767" s="31">
        <v>46116</v>
      </c>
      <c r="N6767" s="31"/>
      <c r="O6767" s="2" t="s">
        <v>297</v>
      </c>
    </row>
    <row r="6768" spans="1:15">
      <c r="A6768" s="133">
        <f t="shared" ref="A6768:A6820" si="176">ROW()-1</f>
        <v>6767</v>
      </c>
      <c r="B6768" s="65" t="s">
        <v>6444</v>
      </c>
      <c r="C6768" s="130">
        <v>8709318241</v>
      </c>
      <c r="D6768" s="130"/>
      <c r="E6768" s="17" t="s">
        <v>8639</v>
      </c>
      <c r="F6768" s="4" t="s">
        <v>3481</v>
      </c>
      <c r="G6768" s="3" t="s">
        <v>7030</v>
      </c>
      <c r="H6768" s="3" t="s">
        <v>102</v>
      </c>
      <c r="I6768" s="3" t="s">
        <v>42</v>
      </c>
      <c r="J6768" s="31">
        <v>46107</v>
      </c>
      <c r="K6768" s="31"/>
      <c r="L6768" s="31"/>
      <c r="M6768" s="31"/>
      <c r="N6768" s="31"/>
      <c r="O6768" s="2" t="s">
        <v>1004</v>
      </c>
    </row>
    <row r="6769" spans="1:15">
      <c r="A6769" s="133">
        <f t="shared" si="176"/>
        <v>6768</v>
      </c>
      <c r="B6769" s="65" t="s">
        <v>9616</v>
      </c>
      <c r="C6769" s="130">
        <v>9131004589</v>
      </c>
      <c r="D6769" s="130">
        <v>9009364223</v>
      </c>
      <c r="E6769" s="17" t="s">
        <v>8639</v>
      </c>
      <c r="F6769" s="4" t="s">
        <v>1236</v>
      </c>
      <c r="G6769" s="3" t="s">
        <v>7030</v>
      </c>
      <c r="H6769" s="3" t="s">
        <v>102</v>
      </c>
      <c r="I6769" s="3" t="s">
        <v>42</v>
      </c>
      <c r="J6769" s="31">
        <v>46107</v>
      </c>
      <c r="K6769" s="31"/>
      <c r="L6769" s="31"/>
      <c r="M6769" s="31"/>
      <c r="N6769" s="31"/>
      <c r="O6769" s="2" t="s">
        <v>1004</v>
      </c>
    </row>
    <row r="6770" spans="1:15">
      <c r="A6770" s="133">
        <f t="shared" si="176"/>
        <v>6769</v>
      </c>
      <c r="B6770" s="65" t="s">
        <v>9617</v>
      </c>
      <c r="C6770" s="130">
        <v>7981952044</v>
      </c>
      <c r="D6770" s="130"/>
      <c r="E6770" s="17" t="s">
        <v>6537</v>
      </c>
      <c r="F6770" s="4" t="s">
        <v>1001</v>
      </c>
      <c r="G6770" s="3" t="s">
        <v>7030</v>
      </c>
      <c r="H6770" s="3" t="s">
        <v>6158</v>
      </c>
      <c r="I6770" s="3" t="s">
        <v>42</v>
      </c>
      <c r="J6770" s="31">
        <v>46107</v>
      </c>
      <c r="K6770" s="31"/>
      <c r="L6770" s="31"/>
      <c r="M6770" s="31"/>
      <c r="N6770" s="31"/>
      <c r="O6770" s="2" t="s">
        <v>1004</v>
      </c>
    </row>
    <row r="6771" spans="1:15">
      <c r="A6771" s="133">
        <f t="shared" si="176"/>
        <v>6770</v>
      </c>
      <c r="B6771" s="65" t="s">
        <v>9618</v>
      </c>
      <c r="C6771" s="130">
        <v>7095763662</v>
      </c>
      <c r="D6771" s="130"/>
      <c r="E6771" s="17" t="s">
        <v>6537</v>
      </c>
      <c r="F6771" s="4" t="s">
        <v>1001</v>
      </c>
      <c r="G6771" s="3" t="s">
        <v>7030</v>
      </c>
      <c r="H6771" s="3" t="s">
        <v>6158</v>
      </c>
      <c r="I6771" s="3" t="s">
        <v>42</v>
      </c>
      <c r="J6771" s="31">
        <v>46107</v>
      </c>
      <c r="K6771" s="31"/>
      <c r="L6771" s="31"/>
      <c r="M6771" s="31"/>
      <c r="N6771" s="31"/>
      <c r="O6771" s="2" t="s">
        <v>1004</v>
      </c>
    </row>
    <row r="6772" spans="1:15">
      <c r="A6772" s="133">
        <f t="shared" si="176"/>
        <v>6771</v>
      </c>
      <c r="B6772" s="65" t="s">
        <v>9619</v>
      </c>
      <c r="C6772" s="130">
        <v>7780228097</v>
      </c>
      <c r="D6772" s="130"/>
      <c r="E6772" s="17" t="s">
        <v>8922</v>
      </c>
      <c r="F6772" s="4" t="s">
        <v>9620</v>
      </c>
      <c r="G6772" s="3" t="s">
        <v>14</v>
      </c>
      <c r="H6772" s="3" t="s">
        <v>6158</v>
      </c>
      <c r="I6772" s="3" t="s">
        <v>42</v>
      </c>
      <c r="J6772" s="31">
        <v>46107</v>
      </c>
      <c r="K6772" s="31">
        <v>46108</v>
      </c>
      <c r="L6772" s="31"/>
      <c r="M6772" s="31"/>
      <c r="N6772" s="31"/>
      <c r="O6772" s="3" t="s">
        <v>297</v>
      </c>
    </row>
    <row r="6773" spans="1:15">
      <c r="A6773" s="133">
        <f t="shared" si="176"/>
        <v>6772</v>
      </c>
      <c r="B6773" s="65" t="s">
        <v>9621</v>
      </c>
      <c r="C6773" s="130">
        <v>7997424528</v>
      </c>
      <c r="D6773" s="130"/>
      <c r="E6773" s="17" t="s">
        <v>7563</v>
      </c>
      <c r="F6773" s="4" t="s">
        <v>277</v>
      </c>
      <c r="G6773" s="3" t="s">
        <v>14</v>
      </c>
      <c r="H6773" s="3" t="s">
        <v>9305</v>
      </c>
      <c r="I6773" s="3" t="s">
        <v>42</v>
      </c>
      <c r="J6773" s="31">
        <v>46107</v>
      </c>
      <c r="K6773" s="31">
        <v>46108</v>
      </c>
      <c r="L6773" s="31"/>
      <c r="M6773" s="31"/>
      <c r="N6773" s="31"/>
      <c r="O6773" s="2" t="s">
        <v>297</v>
      </c>
    </row>
    <row r="6774" spans="1:15">
      <c r="A6774" s="133">
        <f t="shared" si="176"/>
        <v>6773</v>
      </c>
      <c r="B6774" s="65" t="s">
        <v>9622</v>
      </c>
      <c r="C6774" s="130">
        <v>7224032166</v>
      </c>
      <c r="D6774" s="130"/>
      <c r="E6774" s="17" t="s">
        <v>6914</v>
      </c>
      <c r="F6774" s="4" t="s">
        <v>1935</v>
      </c>
      <c r="G6774" s="3" t="s">
        <v>7030</v>
      </c>
      <c r="H6774" s="3" t="s">
        <v>930</v>
      </c>
      <c r="I6774" s="3" t="s">
        <v>94</v>
      </c>
      <c r="J6774" s="31">
        <v>46107</v>
      </c>
      <c r="K6774" s="31"/>
      <c r="L6774" s="31"/>
      <c r="M6774" s="31"/>
      <c r="N6774" s="31"/>
      <c r="O6774" s="2" t="s">
        <v>1004</v>
      </c>
    </row>
    <row r="6775" spans="1:15">
      <c r="A6775" s="133">
        <f t="shared" si="176"/>
        <v>6774</v>
      </c>
      <c r="B6775" s="65" t="s">
        <v>9623</v>
      </c>
      <c r="C6775" s="130">
        <v>8604469217</v>
      </c>
      <c r="D6775" s="130"/>
      <c r="E6775" s="17" t="s">
        <v>6914</v>
      </c>
      <c r="F6775" s="4" t="s">
        <v>1935</v>
      </c>
      <c r="G6775" s="3" t="s">
        <v>7030</v>
      </c>
      <c r="H6775" s="3" t="s">
        <v>930</v>
      </c>
      <c r="I6775" s="3" t="s">
        <v>94</v>
      </c>
      <c r="J6775" s="31">
        <v>46107</v>
      </c>
      <c r="K6775" s="31"/>
      <c r="L6775" s="31"/>
      <c r="M6775" s="31"/>
      <c r="N6775" s="31"/>
      <c r="O6775" s="2" t="s">
        <v>1004</v>
      </c>
    </row>
    <row r="6776" spans="1:15">
      <c r="A6776" s="133">
        <f t="shared" si="176"/>
        <v>6775</v>
      </c>
      <c r="B6776" s="65" t="s">
        <v>9624</v>
      </c>
      <c r="C6776" s="130">
        <v>9301087744</v>
      </c>
      <c r="D6776" s="130"/>
      <c r="E6776" s="17" t="s">
        <v>6914</v>
      </c>
      <c r="F6776" s="4" t="s">
        <v>1935</v>
      </c>
      <c r="G6776" s="3" t="s">
        <v>7030</v>
      </c>
      <c r="H6776" s="3" t="s">
        <v>930</v>
      </c>
      <c r="I6776" s="3" t="s">
        <v>94</v>
      </c>
      <c r="J6776" s="31">
        <v>46107</v>
      </c>
      <c r="K6776" s="31"/>
      <c r="L6776" s="31"/>
      <c r="M6776" s="31"/>
      <c r="N6776" s="31"/>
      <c r="O6776" s="2" t="s">
        <v>1004</v>
      </c>
    </row>
    <row r="6777" spans="1:15">
      <c r="A6777" s="133">
        <f t="shared" si="176"/>
        <v>6776</v>
      </c>
      <c r="B6777" s="65" t="s">
        <v>6880</v>
      </c>
      <c r="C6777" s="130">
        <v>8085287870</v>
      </c>
      <c r="D6777" s="130"/>
      <c r="E6777" s="17" t="s">
        <v>6914</v>
      </c>
      <c r="F6777" s="4" t="s">
        <v>1935</v>
      </c>
      <c r="G6777" s="3" t="s">
        <v>7030</v>
      </c>
      <c r="H6777" s="3" t="s">
        <v>930</v>
      </c>
      <c r="I6777" s="3" t="s">
        <v>94</v>
      </c>
      <c r="J6777" s="31">
        <v>46107</v>
      </c>
      <c r="K6777" s="31"/>
      <c r="L6777" s="31"/>
      <c r="M6777" s="31"/>
      <c r="N6777" s="31"/>
      <c r="O6777" s="2" t="s">
        <v>1004</v>
      </c>
    </row>
    <row r="6778" spans="1:15">
      <c r="A6778" s="133">
        <f t="shared" si="176"/>
        <v>6777</v>
      </c>
      <c r="B6778" s="65" t="s">
        <v>9625</v>
      </c>
      <c r="C6778" s="130">
        <v>7608063767</v>
      </c>
      <c r="D6778" s="130"/>
      <c r="E6778" s="17" t="s">
        <v>8639</v>
      </c>
      <c r="F6778" s="4" t="s">
        <v>9626</v>
      </c>
      <c r="G6778" s="3" t="s">
        <v>7030</v>
      </c>
      <c r="H6778" s="3" t="s">
        <v>102</v>
      </c>
      <c r="I6778" s="3" t="s">
        <v>42</v>
      </c>
      <c r="J6778" s="31">
        <v>46108</v>
      </c>
      <c r="K6778" s="31"/>
      <c r="L6778" s="31"/>
      <c r="M6778" s="31"/>
      <c r="N6778" s="31"/>
      <c r="O6778" s="2" t="s">
        <v>1004</v>
      </c>
    </row>
    <row r="6779" spans="1:15">
      <c r="A6779" s="133">
        <f t="shared" si="176"/>
        <v>6778</v>
      </c>
      <c r="B6779" s="65" t="s">
        <v>9627</v>
      </c>
      <c r="C6779" s="130">
        <v>8730064742</v>
      </c>
      <c r="D6779" s="130"/>
      <c r="E6779" s="17" t="s">
        <v>3344</v>
      </c>
      <c r="F6779" s="4" t="s">
        <v>9628</v>
      </c>
      <c r="G6779" s="3" t="s">
        <v>7030</v>
      </c>
      <c r="H6779" s="3" t="s">
        <v>102</v>
      </c>
      <c r="I6779" s="3" t="s">
        <v>42</v>
      </c>
      <c r="J6779" s="31">
        <v>46108</v>
      </c>
      <c r="K6779" s="31"/>
      <c r="L6779" s="31"/>
      <c r="M6779" s="31"/>
      <c r="N6779" s="31"/>
      <c r="O6779" s="2" t="s">
        <v>1004</v>
      </c>
    </row>
    <row r="6780" spans="1:15">
      <c r="A6780" s="133">
        <f t="shared" si="176"/>
        <v>6779</v>
      </c>
      <c r="B6780" s="65" t="s">
        <v>9629</v>
      </c>
      <c r="C6780" s="130">
        <v>8459671182</v>
      </c>
      <c r="D6780" s="130"/>
      <c r="E6780" s="17" t="s">
        <v>3344</v>
      </c>
      <c r="F6780" s="4" t="s">
        <v>1236</v>
      </c>
      <c r="G6780" s="3" t="s">
        <v>7030</v>
      </c>
      <c r="H6780" s="3" t="s">
        <v>102</v>
      </c>
      <c r="I6780" s="3" t="s">
        <v>42</v>
      </c>
      <c r="J6780" s="31">
        <v>46108</v>
      </c>
      <c r="K6780" s="31"/>
      <c r="L6780" s="31"/>
      <c r="M6780" s="31"/>
      <c r="N6780" s="31"/>
      <c r="O6780" s="2" t="s">
        <v>1004</v>
      </c>
    </row>
    <row r="6781" spans="1:15">
      <c r="A6781" s="133">
        <f t="shared" si="176"/>
        <v>6780</v>
      </c>
      <c r="B6781" s="65" t="s">
        <v>9630</v>
      </c>
      <c r="C6781" s="130">
        <v>9912402553</v>
      </c>
      <c r="D6781" s="130"/>
      <c r="E6781" s="17" t="s">
        <v>6537</v>
      </c>
      <c r="F6781" s="4" t="s">
        <v>308</v>
      </c>
      <c r="G6781" s="3" t="s">
        <v>14</v>
      </c>
      <c r="H6781" s="3" t="s">
        <v>6158</v>
      </c>
      <c r="I6781" s="3" t="s">
        <v>42</v>
      </c>
      <c r="J6781" s="31">
        <v>46108</v>
      </c>
      <c r="K6781" s="31">
        <v>46108</v>
      </c>
      <c r="L6781" s="31"/>
      <c r="M6781" s="31"/>
      <c r="N6781" s="31"/>
      <c r="O6781" s="3" t="s">
        <v>297</v>
      </c>
    </row>
    <row r="6782" spans="1:15">
      <c r="A6782" s="133">
        <f t="shared" si="176"/>
        <v>6781</v>
      </c>
      <c r="B6782" s="65" t="s">
        <v>9631</v>
      </c>
      <c r="C6782" s="130">
        <v>9133878685</v>
      </c>
      <c r="D6782" s="130">
        <v>7287977287</v>
      </c>
      <c r="E6782" s="17" t="s">
        <v>8433</v>
      </c>
      <c r="F6782" s="4" t="s">
        <v>9626</v>
      </c>
      <c r="G6782" s="3" t="s">
        <v>14</v>
      </c>
      <c r="H6782" s="3" t="s">
        <v>6158</v>
      </c>
      <c r="I6782" s="3" t="s">
        <v>42</v>
      </c>
      <c r="J6782" s="31">
        <v>46108</v>
      </c>
      <c r="K6782" s="31">
        <v>46108</v>
      </c>
      <c r="L6782" s="31"/>
      <c r="M6782" s="31"/>
      <c r="N6782" s="31"/>
      <c r="O6782" s="3" t="s">
        <v>297</v>
      </c>
    </row>
    <row r="6783" spans="1:15">
      <c r="A6783" s="133">
        <f t="shared" si="176"/>
        <v>6782</v>
      </c>
      <c r="B6783" s="65" t="s">
        <v>9632</v>
      </c>
      <c r="C6783" s="130">
        <v>9573833852</v>
      </c>
      <c r="D6783" s="130"/>
      <c r="E6783" s="17" t="s">
        <v>1899</v>
      </c>
      <c r="F6783" s="4" t="s">
        <v>9633</v>
      </c>
      <c r="G6783" s="3" t="s">
        <v>15</v>
      </c>
      <c r="H6783" s="3" t="s">
        <v>1544</v>
      </c>
      <c r="I6783" s="3" t="s">
        <v>42</v>
      </c>
      <c r="J6783" s="31">
        <v>46104</v>
      </c>
      <c r="K6783" s="31">
        <v>46105</v>
      </c>
      <c r="L6783" s="31">
        <v>46108</v>
      </c>
      <c r="M6783" s="31">
        <v>46139</v>
      </c>
      <c r="N6783" s="31"/>
      <c r="O6783" s="2" t="s">
        <v>297</v>
      </c>
    </row>
    <row r="6784" spans="1:15">
      <c r="A6784" s="133">
        <f t="shared" si="176"/>
        <v>6783</v>
      </c>
      <c r="B6784" s="65" t="s">
        <v>9634</v>
      </c>
      <c r="C6784" s="130">
        <v>8886061415</v>
      </c>
      <c r="D6784" s="130"/>
      <c r="E6784" s="17" t="s">
        <v>75</v>
      </c>
      <c r="F6784" s="4" t="s">
        <v>9635</v>
      </c>
      <c r="G6784" s="3" t="s">
        <v>15</v>
      </c>
      <c r="H6784" s="3" t="s">
        <v>1432</v>
      </c>
      <c r="I6784" s="3" t="s">
        <v>42</v>
      </c>
      <c r="J6784" s="31">
        <v>46104</v>
      </c>
      <c r="K6784" s="31">
        <v>46105</v>
      </c>
      <c r="L6784" s="31">
        <v>46108</v>
      </c>
      <c r="M6784" s="31">
        <v>46139</v>
      </c>
      <c r="N6784" s="31"/>
      <c r="O6784" s="2" t="s">
        <v>297</v>
      </c>
    </row>
    <row r="6785" spans="1:15">
      <c r="A6785" s="133">
        <f t="shared" si="176"/>
        <v>6784</v>
      </c>
      <c r="B6785" s="65" t="s">
        <v>9636</v>
      </c>
      <c r="C6785" s="130">
        <v>7396064509</v>
      </c>
      <c r="D6785" s="130"/>
      <c r="E6785" s="17" t="s">
        <v>8673</v>
      </c>
      <c r="F6785" s="4" t="s">
        <v>9637</v>
      </c>
      <c r="G6785" s="3" t="s">
        <v>15</v>
      </c>
      <c r="H6785" s="3" t="s">
        <v>8674</v>
      </c>
      <c r="I6785" s="3" t="s">
        <v>42</v>
      </c>
      <c r="J6785" s="31">
        <v>46104</v>
      </c>
      <c r="K6785" s="31">
        <v>46105</v>
      </c>
      <c r="L6785" s="31">
        <v>46108</v>
      </c>
      <c r="M6785" s="31">
        <v>46118</v>
      </c>
      <c r="N6785" s="31"/>
      <c r="O6785" s="2" t="s">
        <v>297</v>
      </c>
    </row>
    <row r="6786" spans="1:15">
      <c r="A6786" s="133">
        <f t="shared" si="176"/>
        <v>6785</v>
      </c>
      <c r="B6786" s="65" t="s">
        <v>9638</v>
      </c>
      <c r="C6786" s="130">
        <v>7448682905</v>
      </c>
      <c r="D6786" s="130"/>
      <c r="E6786" s="17" t="s">
        <v>8846</v>
      </c>
      <c r="F6786" s="4" t="s">
        <v>9639</v>
      </c>
      <c r="G6786" s="3" t="s">
        <v>15</v>
      </c>
      <c r="H6786" s="3" t="s">
        <v>9640</v>
      </c>
      <c r="I6786" s="3" t="s">
        <v>42</v>
      </c>
      <c r="J6786" s="31">
        <v>46104</v>
      </c>
      <c r="K6786" s="31">
        <v>46105</v>
      </c>
      <c r="L6786" s="31">
        <v>46108</v>
      </c>
      <c r="M6786" s="31">
        <v>46122</v>
      </c>
      <c r="N6786" s="31"/>
      <c r="O6786" s="2" t="s">
        <v>297</v>
      </c>
    </row>
    <row r="6787" spans="1:15">
      <c r="A6787" s="133">
        <f t="shared" si="176"/>
        <v>6786</v>
      </c>
      <c r="B6787" s="65" t="s">
        <v>9641</v>
      </c>
      <c r="C6787" s="130">
        <v>7702990118</v>
      </c>
      <c r="D6787" s="130"/>
      <c r="E6787" s="17" t="s">
        <v>8846</v>
      </c>
      <c r="F6787" s="4" t="s">
        <v>9642</v>
      </c>
      <c r="G6787" s="3" t="s">
        <v>15</v>
      </c>
      <c r="H6787" s="3" t="s">
        <v>9643</v>
      </c>
      <c r="I6787" s="3" t="s">
        <v>42</v>
      </c>
      <c r="J6787" s="31">
        <v>46104</v>
      </c>
      <c r="K6787" s="31">
        <v>46105</v>
      </c>
      <c r="L6787" s="31">
        <v>46108</v>
      </c>
      <c r="M6787" s="31">
        <v>46118</v>
      </c>
      <c r="N6787" s="31"/>
      <c r="O6787" s="2" t="s">
        <v>297</v>
      </c>
    </row>
    <row r="6788" spans="1:15">
      <c r="A6788" s="133">
        <f t="shared" si="176"/>
        <v>6787</v>
      </c>
      <c r="B6788" s="65" t="s">
        <v>9644</v>
      </c>
      <c r="C6788" s="130">
        <v>9346291582</v>
      </c>
      <c r="D6788" s="130"/>
      <c r="E6788" s="17" t="s">
        <v>8361</v>
      </c>
      <c r="F6788" s="4"/>
      <c r="G6788" s="3" t="s">
        <v>15</v>
      </c>
      <c r="H6788" s="3" t="s">
        <v>2553</v>
      </c>
      <c r="I6788" s="3" t="s">
        <v>42</v>
      </c>
      <c r="J6788" s="31">
        <v>46104</v>
      </c>
      <c r="K6788" s="31">
        <v>46105</v>
      </c>
      <c r="L6788" s="31">
        <v>46108</v>
      </c>
      <c r="M6788" s="31">
        <v>46122</v>
      </c>
      <c r="N6788" s="31"/>
      <c r="O6788" s="2" t="s">
        <v>297</v>
      </c>
    </row>
    <row r="6789" spans="1:15">
      <c r="A6789" s="133">
        <f t="shared" si="176"/>
        <v>6788</v>
      </c>
      <c r="B6789" s="65" t="s">
        <v>9645</v>
      </c>
      <c r="C6789" s="130">
        <v>9182783846</v>
      </c>
      <c r="D6789" s="130"/>
      <c r="E6789" s="17" t="s">
        <v>8361</v>
      </c>
      <c r="F6789" s="4"/>
      <c r="G6789" s="3" t="s">
        <v>15</v>
      </c>
      <c r="H6789" s="3" t="s">
        <v>2553</v>
      </c>
      <c r="I6789" s="3" t="s">
        <v>42</v>
      </c>
      <c r="J6789" s="31">
        <v>46104</v>
      </c>
      <c r="K6789" s="31">
        <v>46105</v>
      </c>
      <c r="L6789" s="31">
        <v>46108</v>
      </c>
      <c r="M6789" s="31">
        <v>46122</v>
      </c>
      <c r="N6789" s="31"/>
      <c r="O6789" s="2" t="s">
        <v>297</v>
      </c>
    </row>
    <row r="6790" spans="1:15">
      <c r="A6790" s="133">
        <f t="shared" si="176"/>
        <v>6789</v>
      </c>
      <c r="B6790" s="65" t="s">
        <v>9646</v>
      </c>
      <c r="C6790" s="130">
        <v>7013931171</v>
      </c>
      <c r="D6790" s="130"/>
      <c r="E6790" s="17" t="s">
        <v>8361</v>
      </c>
      <c r="F6790" s="4"/>
      <c r="G6790" s="3" t="s">
        <v>15</v>
      </c>
      <c r="H6790" s="3" t="s">
        <v>2553</v>
      </c>
      <c r="I6790" s="3" t="s">
        <v>42</v>
      </c>
      <c r="J6790" s="31">
        <v>46104</v>
      </c>
      <c r="K6790" s="31">
        <v>46105</v>
      </c>
      <c r="L6790" s="31">
        <v>46108</v>
      </c>
      <c r="M6790" s="31">
        <v>46122</v>
      </c>
      <c r="N6790" s="31"/>
      <c r="O6790" s="2" t="s">
        <v>297</v>
      </c>
    </row>
    <row r="6791" spans="1:15">
      <c r="A6791" s="133">
        <f t="shared" si="176"/>
        <v>6790</v>
      </c>
      <c r="B6791" s="65" t="s">
        <v>9647</v>
      </c>
      <c r="C6791" s="130">
        <v>8978075277</v>
      </c>
      <c r="D6791" s="130"/>
      <c r="E6791" s="17" t="s">
        <v>8361</v>
      </c>
      <c r="F6791" s="4"/>
      <c r="G6791" s="3" t="s">
        <v>15</v>
      </c>
      <c r="H6791" s="3" t="s">
        <v>2553</v>
      </c>
      <c r="I6791" s="3" t="s">
        <v>42</v>
      </c>
      <c r="J6791" s="31">
        <v>46104</v>
      </c>
      <c r="K6791" s="31">
        <v>46105</v>
      </c>
      <c r="L6791" s="31">
        <v>46108</v>
      </c>
      <c r="M6791" s="31">
        <v>46122</v>
      </c>
      <c r="N6791" s="31"/>
      <c r="O6791" s="2" t="s">
        <v>297</v>
      </c>
    </row>
    <row r="6792" spans="1:15">
      <c r="A6792" s="133">
        <f t="shared" si="176"/>
        <v>6791</v>
      </c>
      <c r="B6792" s="65" t="s">
        <v>9648</v>
      </c>
      <c r="C6792" s="130">
        <v>9346800797</v>
      </c>
      <c r="D6792" s="130"/>
      <c r="E6792" s="17" t="s">
        <v>9336</v>
      </c>
      <c r="F6792" s="4"/>
      <c r="G6792" s="3" t="s">
        <v>15</v>
      </c>
      <c r="H6792" s="3" t="s">
        <v>2553</v>
      </c>
      <c r="I6792" s="3" t="s">
        <v>42</v>
      </c>
      <c r="J6792" s="31">
        <v>46104</v>
      </c>
      <c r="K6792" s="31">
        <v>46105</v>
      </c>
      <c r="L6792" s="31">
        <v>46108</v>
      </c>
      <c r="M6792" s="31">
        <v>46122</v>
      </c>
      <c r="N6792" s="31"/>
      <c r="O6792" s="2" t="s">
        <v>297</v>
      </c>
    </row>
    <row r="6793" spans="1:15">
      <c r="A6793" s="133">
        <f t="shared" si="176"/>
        <v>6792</v>
      </c>
      <c r="B6793" s="65" t="s">
        <v>9649</v>
      </c>
      <c r="C6793" s="130">
        <v>6301494741</v>
      </c>
      <c r="D6793" s="130"/>
      <c r="E6793" s="17" t="s">
        <v>9336</v>
      </c>
      <c r="F6793" s="4"/>
      <c r="G6793" s="3" t="s">
        <v>15</v>
      </c>
      <c r="H6793" s="3" t="s">
        <v>2553</v>
      </c>
      <c r="I6793" s="3" t="s">
        <v>42</v>
      </c>
      <c r="J6793" s="31">
        <v>46104</v>
      </c>
      <c r="K6793" s="31">
        <v>46105</v>
      </c>
      <c r="L6793" s="31">
        <v>46108</v>
      </c>
      <c r="M6793" s="31">
        <v>46122</v>
      </c>
      <c r="N6793" s="31"/>
      <c r="O6793" s="2" t="s">
        <v>297</v>
      </c>
    </row>
    <row r="6794" spans="1:15">
      <c r="A6794" s="133">
        <f t="shared" si="176"/>
        <v>6793</v>
      </c>
      <c r="B6794" s="65" t="s">
        <v>9650</v>
      </c>
      <c r="C6794" s="130">
        <v>8106010648</v>
      </c>
      <c r="D6794" s="130"/>
      <c r="E6794" s="17" t="s">
        <v>9336</v>
      </c>
      <c r="F6794" s="4"/>
      <c r="G6794" s="3" t="s">
        <v>15</v>
      </c>
      <c r="H6794" s="3" t="s">
        <v>2553</v>
      </c>
      <c r="I6794" s="3" t="s">
        <v>42</v>
      </c>
      <c r="J6794" s="31">
        <v>46104</v>
      </c>
      <c r="K6794" s="31">
        <v>46105</v>
      </c>
      <c r="L6794" s="31">
        <v>46108</v>
      </c>
      <c r="M6794" s="31">
        <v>46122</v>
      </c>
      <c r="N6794" s="31"/>
      <c r="O6794" s="2" t="s">
        <v>297</v>
      </c>
    </row>
    <row r="6795" spans="1:15">
      <c r="A6795" s="133">
        <f t="shared" si="176"/>
        <v>6794</v>
      </c>
      <c r="B6795" s="65" t="s">
        <v>9651</v>
      </c>
      <c r="C6795" s="130">
        <v>8374945585</v>
      </c>
      <c r="D6795" s="130"/>
      <c r="E6795" s="17" t="s">
        <v>9336</v>
      </c>
      <c r="F6795" s="4"/>
      <c r="G6795" s="3" t="s">
        <v>15</v>
      </c>
      <c r="H6795" s="3" t="s">
        <v>2553</v>
      </c>
      <c r="I6795" s="3" t="s">
        <v>42</v>
      </c>
      <c r="J6795" s="31">
        <v>46104</v>
      </c>
      <c r="K6795" s="31">
        <v>46105</v>
      </c>
      <c r="L6795" s="31">
        <v>46108</v>
      </c>
      <c r="M6795" s="31">
        <v>46122</v>
      </c>
      <c r="N6795" s="31"/>
      <c r="O6795" s="2" t="s">
        <v>297</v>
      </c>
    </row>
    <row r="6796" spans="1:15">
      <c r="A6796" s="133">
        <f t="shared" si="176"/>
        <v>6795</v>
      </c>
      <c r="B6796" s="65" t="s">
        <v>9652</v>
      </c>
      <c r="C6796" s="130">
        <v>9666700733</v>
      </c>
      <c r="D6796" s="130">
        <v>9666693944</v>
      </c>
      <c r="E6796" s="17" t="s">
        <v>9653</v>
      </c>
      <c r="F6796" s="4" t="s">
        <v>3242</v>
      </c>
      <c r="G6796" s="3" t="s">
        <v>7030</v>
      </c>
      <c r="H6796" s="3" t="s">
        <v>9035</v>
      </c>
      <c r="I6796" s="3" t="s">
        <v>42</v>
      </c>
      <c r="J6796" s="31">
        <v>46107</v>
      </c>
      <c r="K6796" s="31"/>
      <c r="L6796" s="31"/>
      <c r="M6796" s="31"/>
      <c r="N6796" s="31"/>
      <c r="O6796" s="2" t="s">
        <v>1004</v>
      </c>
    </row>
    <row r="6797" spans="1:15">
      <c r="A6797" s="133">
        <f t="shared" si="176"/>
        <v>6796</v>
      </c>
      <c r="B6797" s="65" t="s">
        <v>9654</v>
      </c>
      <c r="C6797" s="130">
        <v>8197249234</v>
      </c>
      <c r="D6797" s="130"/>
      <c r="E6797" s="17" t="s">
        <v>9653</v>
      </c>
      <c r="F6797" s="4" t="s">
        <v>3242</v>
      </c>
      <c r="G6797" s="3" t="s">
        <v>7030</v>
      </c>
      <c r="H6797" s="3" t="s">
        <v>9035</v>
      </c>
      <c r="I6797" s="3" t="s">
        <v>42</v>
      </c>
      <c r="J6797" s="31">
        <v>46107</v>
      </c>
      <c r="K6797" s="31"/>
      <c r="L6797" s="31"/>
      <c r="M6797" s="31"/>
      <c r="N6797" s="31"/>
      <c r="O6797" s="2" t="s">
        <v>1004</v>
      </c>
    </row>
    <row r="6798" spans="1:15">
      <c r="A6798" s="133">
        <f t="shared" si="176"/>
        <v>6797</v>
      </c>
      <c r="B6798" s="65" t="s">
        <v>9655</v>
      </c>
      <c r="C6798" s="130">
        <v>7032836113</v>
      </c>
      <c r="D6798" s="130">
        <v>9398265646</v>
      </c>
      <c r="E6798" s="17" t="s">
        <v>9656</v>
      </c>
      <c r="F6798" s="4" t="s">
        <v>2511</v>
      </c>
      <c r="G6798" s="3" t="s">
        <v>7030</v>
      </c>
      <c r="H6798" s="3" t="s">
        <v>9035</v>
      </c>
      <c r="I6798" s="3" t="s">
        <v>42</v>
      </c>
      <c r="J6798" s="31">
        <v>46107</v>
      </c>
      <c r="K6798" s="31"/>
      <c r="L6798" s="31"/>
      <c r="M6798" s="31"/>
      <c r="N6798" s="31"/>
      <c r="O6798" s="2" t="s">
        <v>1004</v>
      </c>
    </row>
    <row r="6799" spans="1:15">
      <c r="A6799" s="133">
        <f t="shared" si="176"/>
        <v>6798</v>
      </c>
      <c r="B6799" s="65" t="s">
        <v>9657</v>
      </c>
      <c r="C6799" s="130">
        <v>9666184040</v>
      </c>
      <c r="D6799" s="130"/>
      <c r="E6799" s="17" t="s">
        <v>9653</v>
      </c>
      <c r="F6799" s="4" t="s">
        <v>9658</v>
      </c>
      <c r="G6799" s="3" t="s">
        <v>424</v>
      </c>
      <c r="H6799" s="3" t="s">
        <v>9035</v>
      </c>
      <c r="I6799" s="3" t="s">
        <v>42</v>
      </c>
      <c r="J6799" s="31">
        <v>46107</v>
      </c>
      <c r="K6799" s="31">
        <v>46111</v>
      </c>
      <c r="L6799" s="31"/>
      <c r="M6799" s="31"/>
      <c r="N6799" s="31"/>
      <c r="O6799" s="2" t="s">
        <v>425</v>
      </c>
    </row>
    <row r="6800" spans="1:15">
      <c r="A6800" s="133">
        <f t="shared" si="176"/>
        <v>6799</v>
      </c>
      <c r="B6800" s="65" t="s">
        <v>9659</v>
      </c>
      <c r="C6800" s="130"/>
      <c r="D6800" s="130"/>
      <c r="E6800" s="17" t="s">
        <v>8670</v>
      </c>
      <c r="F6800" s="4" t="s">
        <v>9660</v>
      </c>
      <c r="G6800" s="3" t="s">
        <v>15</v>
      </c>
      <c r="H6800" s="3" t="s">
        <v>815</v>
      </c>
      <c r="I6800" s="3" t="s">
        <v>42</v>
      </c>
      <c r="J6800" s="31">
        <v>46107</v>
      </c>
      <c r="K6800" s="31">
        <v>46107</v>
      </c>
      <c r="L6800" s="31">
        <v>46108</v>
      </c>
      <c r="M6800" s="31">
        <v>46127</v>
      </c>
      <c r="N6800" s="31"/>
      <c r="O6800" s="2" t="s">
        <v>297</v>
      </c>
    </row>
    <row r="6801" spans="1:15">
      <c r="A6801" s="133">
        <f t="shared" si="176"/>
        <v>6800</v>
      </c>
      <c r="B6801" s="65" t="s">
        <v>9661</v>
      </c>
      <c r="C6801" s="130"/>
      <c r="D6801" s="130"/>
      <c r="E6801" s="17" t="s">
        <v>9653</v>
      </c>
      <c r="F6801" s="4" t="s">
        <v>9662</v>
      </c>
      <c r="G6801" s="3" t="s">
        <v>15</v>
      </c>
      <c r="H6801" s="3" t="s">
        <v>9035</v>
      </c>
      <c r="I6801" s="3" t="s">
        <v>42</v>
      </c>
      <c r="J6801" s="31">
        <v>46107</v>
      </c>
      <c r="K6801" s="31">
        <v>46107</v>
      </c>
      <c r="L6801" s="31">
        <v>46108</v>
      </c>
      <c r="M6801" s="31">
        <v>46127</v>
      </c>
      <c r="N6801" s="31"/>
      <c r="O6801" s="2" t="s">
        <v>297</v>
      </c>
    </row>
    <row r="6802" spans="1:15">
      <c r="A6802" s="133">
        <f t="shared" si="176"/>
        <v>6801</v>
      </c>
      <c r="B6802" s="65" t="s">
        <v>9663</v>
      </c>
      <c r="C6802" s="130"/>
      <c r="D6802" s="130"/>
      <c r="E6802" s="17" t="s">
        <v>7563</v>
      </c>
      <c r="F6802" s="4" t="s">
        <v>9664</v>
      </c>
      <c r="G6802" s="3" t="s">
        <v>15</v>
      </c>
      <c r="H6802" s="3" t="s">
        <v>9035</v>
      </c>
      <c r="I6802" s="3" t="s">
        <v>42</v>
      </c>
      <c r="J6802" s="31">
        <v>46107</v>
      </c>
      <c r="K6802" s="31">
        <v>46107</v>
      </c>
      <c r="L6802" s="31">
        <v>46108</v>
      </c>
      <c r="M6802" s="31">
        <v>46118</v>
      </c>
      <c r="N6802" s="31"/>
      <c r="O6802" s="2" t="s">
        <v>297</v>
      </c>
    </row>
    <row r="6803" spans="1:15">
      <c r="A6803" s="133">
        <f t="shared" si="176"/>
        <v>6802</v>
      </c>
      <c r="B6803" s="65" t="s">
        <v>9665</v>
      </c>
      <c r="C6803" s="130"/>
      <c r="D6803" s="130"/>
      <c r="E6803" s="17" t="s">
        <v>8361</v>
      </c>
      <c r="F6803" s="4" t="s">
        <v>1864</v>
      </c>
      <c r="G6803" s="3" t="s">
        <v>15</v>
      </c>
      <c r="H6803" s="3" t="s">
        <v>7467</v>
      </c>
      <c r="I6803" s="3" t="s">
        <v>42</v>
      </c>
      <c r="J6803" s="31">
        <v>46107</v>
      </c>
      <c r="K6803" s="31">
        <v>46107</v>
      </c>
      <c r="L6803" s="31">
        <v>46108</v>
      </c>
      <c r="M6803" s="31">
        <v>46118</v>
      </c>
      <c r="N6803" s="31"/>
      <c r="O6803" s="2" t="s">
        <v>297</v>
      </c>
    </row>
    <row r="6804" spans="1:15">
      <c r="A6804" s="133">
        <f t="shared" si="176"/>
        <v>6803</v>
      </c>
      <c r="B6804" s="65" t="s">
        <v>9666</v>
      </c>
      <c r="C6804" s="130"/>
      <c r="D6804" s="130"/>
      <c r="E6804" s="17" t="s">
        <v>9514</v>
      </c>
      <c r="F6804" s="4" t="s">
        <v>989</v>
      </c>
      <c r="G6804" s="3" t="s">
        <v>15</v>
      </c>
      <c r="H6804" s="3" t="s">
        <v>1613</v>
      </c>
      <c r="I6804" s="3" t="s">
        <v>88</v>
      </c>
      <c r="J6804" s="31">
        <v>46107</v>
      </c>
      <c r="K6804" s="31">
        <v>46107</v>
      </c>
      <c r="L6804" s="31">
        <v>46108</v>
      </c>
      <c r="M6804" s="31">
        <v>46169</v>
      </c>
      <c r="N6804" s="31"/>
      <c r="O6804" s="2" t="s">
        <v>297</v>
      </c>
    </row>
    <row r="6805" spans="1:15">
      <c r="A6805" s="133">
        <f t="shared" si="176"/>
        <v>6804</v>
      </c>
      <c r="B6805" s="65" t="s">
        <v>9667</v>
      </c>
      <c r="C6805" s="130"/>
      <c r="D6805" s="130"/>
      <c r="E6805" s="17" t="s">
        <v>9514</v>
      </c>
      <c r="F6805" s="4" t="s">
        <v>503</v>
      </c>
      <c r="G6805" s="3" t="s">
        <v>15</v>
      </c>
      <c r="H6805" s="3" t="s">
        <v>1613</v>
      </c>
      <c r="I6805" s="3" t="s">
        <v>88</v>
      </c>
      <c r="J6805" s="31">
        <v>46107</v>
      </c>
      <c r="K6805" s="31">
        <v>46107</v>
      </c>
      <c r="L6805" s="31">
        <v>46108</v>
      </c>
      <c r="M6805" s="31">
        <v>46169</v>
      </c>
      <c r="N6805" s="31"/>
      <c r="O6805" s="2" t="s">
        <v>297</v>
      </c>
    </row>
    <row r="6806" spans="1:15">
      <c r="A6806" s="133">
        <f t="shared" si="176"/>
        <v>6805</v>
      </c>
      <c r="B6806" s="65" t="s">
        <v>9668</v>
      </c>
      <c r="C6806" s="130">
        <v>9848873041</v>
      </c>
      <c r="D6806" s="130"/>
      <c r="E6806" s="17" t="s">
        <v>7344</v>
      </c>
      <c r="F6806" s="4"/>
      <c r="G6806" s="3" t="s">
        <v>7030</v>
      </c>
      <c r="H6806" s="3" t="s">
        <v>785</v>
      </c>
      <c r="I6806" s="3" t="s">
        <v>88</v>
      </c>
      <c r="J6806" s="31">
        <v>46111</v>
      </c>
      <c r="K6806" s="31"/>
      <c r="L6806" s="31"/>
      <c r="M6806" s="31"/>
      <c r="N6806" s="31"/>
      <c r="O6806" s="2" t="s">
        <v>1004</v>
      </c>
    </row>
    <row r="6807" spans="1:15">
      <c r="A6807" s="133">
        <f t="shared" si="176"/>
        <v>6806</v>
      </c>
      <c r="B6807" s="65" t="s">
        <v>9669</v>
      </c>
      <c r="C6807" s="130">
        <v>9340048970</v>
      </c>
      <c r="D6807" s="130"/>
      <c r="E6807" s="17" t="s">
        <v>7344</v>
      </c>
      <c r="F6807" s="4"/>
      <c r="G6807" s="3" t="s">
        <v>7030</v>
      </c>
      <c r="H6807" s="3" t="s">
        <v>785</v>
      </c>
      <c r="I6807" s="3" t="s">
        <v>88</v>
      </c>
      <c r="J6807" s="31">
        <v>46111</v>
      </c>
      <c r="K6807" s="31"/>
      <c r="L6807" s="31"/>
      <c r="M6807" s="31"/>
      <c r="N6807" s="31"/>
      <c r="O6807" s="2" t="s">
        <v>1004</v>
      </c>
    </row>
    <row r="6808" spans="1:15">
      <c r="A6808" s="133">
        <f t="shared" si="176"/>
        <v>6807</v>
      </c>
      <c r="B6808" s="65" t="s">
        <v>9670</v>
      </c>
      <c r="C6808" s="130"/>
      <c r="D6808" s="130" t="s">
        <v>2697</v>
      </c>
      <c r="E6808" s="17" t="s">
        <v>8405</v>
      </c>
      <c r="F6808" s="4"/>
      <c r="G6808" s="3" t="s">
        <v>16</v>
      </c>
      <c r="H6808" s="3" t="s">
        <v>162</v>
      </c>
      <c r="I6808" s="3" t="s">
        <v>42</v>
      </c>
      <c r="J6808" s="31">
        <v>46088</v>
      </c>
      <c r="K6808" s="31">
        <v>46088</v>
      </c>
      <c r="L6808" s="31">
        <v>46090</v>
      </c>
      <c r="M6808" s="31">
        <v>46098</v>
      </c>
      <c r="N6808" s="31"/>
      <c r="O6808" s="2" t="s">
        <v>297</v>
      </c>
    </row>
    <row r="6809" spans="1:15">
      <c r="A6809" s="133">
        <f t="shared" si="176"/>
        <v>6808</v>
      </c>
      <c r="B6809" s="65" t="s">
        <v>9671</v>
      </c>
      <c r="C6809" s="130">
        <v>9182746893</v>
      </c>
      <c r="D6809" s="130" t="s">
        <v>2697</v>
      </c>
      <c r="E6809" s="17" t="s">
        <v>8405</v>
      </c>
      <c r="F6809" s="4"/>
      <c r="G6809" s="3" t="s">
        <v>16</v>
      </c>
      <c r="H6809" s="3" t="s">
        <v>162</v>
      </c>
      <c r="I6809" s="3" t="s">
        <v>42</v>
      </c>
      <c r="J6809" s="31">
        <v>46068</v>
      </c>
      <c r="K6809" s="31">
        <v>46068</v>
      </c>
      <c r="L6809" s="31">
        <v>46070</v>
      </c>
      <c r="M6809" s="31">
        <v>46078</v>
      </c>
      <c r="N6809" s="31"/>
      <c r="O6809" s="2" t="s">
        <v>297</v>
      </c>
    </row>
    <row r="6810" spans="1:15">
      <c r="A6810" s="133">
        <f t="shared" si="176"/>
        <v>6809</v>
      </c>
      <c r="B6810" s="65" t="s">
        <v>9672</v>
      </c>
      <c r="C6810" s="130">
        <v>9063717344</v>
      </c>
      <c r="D6810" s="130" t="s">
        <v>2697</v>
      </c>
      <c r="E6810" s="17" t="s">
        <v>8405</v>
      </c>
      <c r="F6810" s="4"/>
      <c r="G6810" s="3" t="s">
        <v>16</v>
      </c>
      <c r="H6810" s="3" t="s">
        <v>162</v>
      </c>
      <c r="I6810" s="3" t="s">
        <v>42</v>
      </c>
      <c r="J6810" s="31">
        <v>46071</v>
      </c>
      <c r="K6810" s="31">
        <v>46071</v>
      </c>
      <c r="L6810" s="31">
        <v>46073</v>
      </c>
      <c r="M6810" s="31">
        <v>46081</v>
      </c>
      <c r="N6810" s="31"/>
      <c r="O6810" s="2" t="s">
        <v>297</v>
      </c>
    </row>
    <row r="6811" spans="1:15">
      <c r="A6811" s="133">
        <f t="shared" si="176"/>
        <v>6810</v>
      </c>
      <c r="B6811" s="65" t="s">
        <v>9673</v>
      </c>
      <c r="C6811" s="130">
        <v>6305991939</v>
      </c>
      <c r="D6811" s="130" t="s">
        <v>2697</v>
      </c>
      <c r="E6811" s="17" t="s">
        <v>8405</v>
      </c>
      <c r="F6811" s="4"/>
      <c r="G6811" s="3" t="s">
        <v>16</v>
      </c>
      <c r="H6811" s="3" t="s">
        <v>162</v>
      </c>
      <c r="I6811" s="3" t="s">
        <v>42</v>
      </c>
      <c r="J6811" s="31">
        <v>46073</v>
      </c>
      <c r="K6811" s="31">
        <v>46073</v>
      </c>
      <c r="L6811" s="31">
        <v>46075</v>
      </c>
      <c r="M6811" s="31">
        <v>46083</v>
      </c>
      <c r="N6811" s="31"/>
      <c r="O6811" s="2" t="s">
        <v>297</v>
      </c>
    </row>
    <row r="6812" spans="1:15">
      <c r="A6812" s="133">
        <f t="shared" si="176"/>
        <v>6811</v>
      </c>
      <c r="B6812" s="65" t="s">
        <v>9674</v>
      </c>
      <c r="C6812" s="130">
        <v>9391854507</v>
      </c>
      <c r="D6812" s="130" t="s">
        <v>2697</v>
      </c>
      <c r="E6812" s="17" t="s">
        <v>8405</v>
      </c>
      <c r="F6812" s="4"/>
      <c r="G6812" s="3" t="s">
        <v>16</v>
      </c>
      <c r="H6812" s="3" t="s">
        <v>162</v>
      </c>
      <c r="I6812" s="3" t="s">
        <v>42</v>
      </c>
      <c r="J6812" s="31">
        <v>46080</v>
      </c>
      <c r="K6812" s="31">
        <v>46080</v>
      </c>
      <c r="L6812" s="31">
        <v>46083</v>
      </c>
      <c r="M6812" s="31">
        <v>46090</v>
      </c>
      <c r="N6812" s="31"/>
      <c r="O6812" s="2" t="s">
        <v>297</v>
      </c>
    </row>
    <row r="6813" spans="1:15">
      <c r="A6813" s="133">
        <f t="shared" si="176"/>
        <v>6812</v>
      </c>
      <c r="B6813" s="65" t="s">
        <v>9675</v>
      </c>
      <c r="C6813" s="130">
        <v>9492546440</v>
      </c>
      <c r="D6813" s="130" t="s">
        <v>2697</v>
      </c>
      <c r="E6813" s="17" t="s">
        <v>8430</v>
      </c>
      <c r="F6813" s="4"/>
      <c r="G6813" s="3" t="s">
        <v>16</v>
      </c>
      <c r="H6813" s="3" t="s">
        <v>162</v>
      </c>
      <c r="I6813" s="3" t="s">
        <v>42</v>
      </c>
      <c r="J6813" s="31">
        <v>46082</v>
      </c>
      <c r="K6813" s="31">
        <v>46082</v>
      </c>
      <c r="L6813" s="31">
        <v>46084</v>
      </c>
      <c r="M6813" s="31">
        <v>46092</v>
      </c>
      <c r="N6813" s="31"/>
      <c r="O6813" s="2" t="s">
        <v>297</v>
      </c>
    </row>
    <row r="6814" spans="1:15">
      <c r="A6814" s="133">
        <f t="shared" si="176"/>
        <v>6813</v>
      </c>
      <c r="B6814" s="65" t="s">
        <v>9676</v>
      </c>
      <c r="C6814" s="130">
        <v>7354194642</v>
      </c>
      <c r="D6814" s="130" t="s">
        <v>2697</v>
      </c>
      <c r="E6814" s="17" t="s">
        <v>8430</v>
      </c>
      <c r="F6814" s="4"/>
      <c r="G6814" s="3" t="s">
        <v>16</v>
      </c>
      <c r="H6814" s="3" t="s">
        <v>162</v>
      </c>
      <c r="I6814" s="3" t="s">
        <v>42</v>
      </c>
      <c r="J6814" s="31">
        <v>46085</v>
      </c>
      <c r="K6814" s="31">
        <v>46085</v>
      </c>
      <c r="L6814" s="31">
        <v>46087</v>
      </c>
      <c r="M6814" s="31">
        <v>46095</v>
      </c>
      <c r="N6814" s="31"/>
      <c r="O6814" s="2" t="s">
        <v>297</v>
      </c>
    </row>
    <row r="6815" spans="1:15">
      <c r="A6815" s="133">
        <f t="shared" si="176"/>
        <v>6814</v>
      </c>
      <c r="B6815" s="65" t="s">
        <v>9677</v>
      </c>
      <c r="C6815" s="130"/>
      <c r="D6815" s="130" t="s">
        <v>2697</v>
      </c>
      <c r="E6815" s="17" t="s">
        <v>8430</v>
      </c>
      <c r="F6815" s="4"/>
      <c r="G6815" s="3" t="s">
        <v>16</v>
      </c>
      <c r="H6815" s="3" t="s">
        <v>162</v>
      </c>
      <c r="I6815" s="3" t="s">
        <v>42</v>
      </c>
      <c r="J6815" s="31">
        <v>46088</v>
      </c>
      <c r="K6815" s="31">
        <v>46088</v>
      </c>
      <c r="L6815" s="31">
        <v>46090</v>
      </c>
      <c r="M6815" s="31">
        <v>46098</v>
      </c>
      <c r="N6815" s="31"/>
      <c r="O6815" s="2" t="s">
        <v>297</v>
      </c>
    </row>
    <row r="6816" spans="1:15">
      <c r="A6816" s="133">
        <f t="shared" si="176"/>
        <v>6815</v>
      </c>
      <c r="B6816" s="65" t="s">
        <v>9678</v>
      </c>
      <c r="C6816" s="130">
        <v>7815867483</v>
      </c>
      <c r="D6816" s="130" t="s">
        <v>2697</v>
      </c>
      <c r="E6816" s="17" t="s">
        <v>8430</v>
      </c>
      <c r="F6816" s="4"/>
      <c r="G6816" s="3" t="s">
        <v>16</v>
      </c>
      <c r="H6816" s="3" t="s">
        <v>162</v>
      </c>
      <c r="I6816" s="3" t="s">
        <v>42</v>
      </c>
      <c r="J6816" s="31">
        <v>46080</v>
      </c>
      <c r="K6816" s="31">
        <v>46080</v>
      </c>
      <c r="L6816" s="31">
        <v>46083</v>
      </c>
      <c r="M6816" s="31">
        <v>46090</v>
      </c>
      <c r="N6816" s="31"/>
      <c r="O6816" s="2" t="s">
        <v>297</v>
      </c>
    </row>
    <row r="6817" spans="1:15">
      <c r="A6817" s="133">
        <f t="shared" si="176"/>
        <v>6816</v>
      </c>
      <c r="B6817" s="65" t="s">
        <v>9679</v>
      </c>
      <c r="C6817" s="130">
        <v>7893782752</v>
      </c>
      <c r="D6817" s="130" t="s">
        <v>2697</v>
      </c>
      <c r="E6817" s="17" t="s">
        <v>8430</v>
      </c>
      <c r="F6817" s="4"/>
      <c r="G6817" s="3" t="s">
        <v>16</v>
      </c>
      <c r="H6817" s="3" t="s">
        <v>162</v>
      </c>
      <c r="I6817" s="3" t="s">
        <v>42</v>
      </c>
      <c r="J6817" s="31">
        <v>46064</v>
      </c>
      <c r="K6817" s="31">
        <v>46064</v>
      </c>
      <c r="L6817" s="31">
        <v>46066</v>
      </c>
      <c r="M6817" s="31">
        <v>46074</v>
      </c>
      <c r="N6817" s="31"/>
      <c r="O6817" s="2" t="s">
        <v>297</v>
      </c>
    </row>
    <row r="6818" spans="1:15">
      <c r="A6818" s="133">
        <f t="shared" si="176"/>
        <v>6817</v>
      </c>
      <c r="B6818" s="65" t="s">
        <v>3417</v>
      </c>
      <c r="C6818" s="130">
        <v>7893938524</v>
      </c>
      <c r="D6818" s="130"/>
      <c r="E6818" s="17" t="s">
        <v>2321</v>
      </c>
      <c r="F6818" s="4"/>
      <c r="G6818" s="3" t="s">
        <v>15</v>
      </c>
      <c r="H6818" s="3" t="s">
        <v>815</v>
      </c>
      <c r="I6818" s="3" t="s">
        <v>88</v>
      </c>
      <c r="J6818" s="31">
        <v>46107</v>
      </c>
      <c r="K6818" s="31">
        <v>46107</v>
      </c>
      <c r="L6818" s="31">
        <v>46108</v>
      </c>
      <c r="M6818" s="31">
        <v>46169</v>
      </c>
      <c r="N6818" s="31"/>
      <c r="O6818" s="2" t="s">
        <v>297</v>
      </c>
    </row>
    <row r="6819" spans="1:15">
      <c r="A6819" s="133">
        <f t="shared" si="176"/>
        <v>6818</v>
      </c>
      <c r="B6819" s="65" t="s">
        <v>9680</v>
      </c>
      <c r="C6819" s="130">
        <v>9550994494</v>
      </c>
      <c r="D6819" s="130"/>
      <c r="E6819" s="17" t="s">
        <v>8419</v>
      </c>
      <c r="F6819" s="4" t="s">
        <v>4931</v>
      </c>
      <c r="G6819" s="3" t="s">
        <v>7030</v>
      </c>
      <c r="H6819" s="3" t="s">
        <v>5774</v>
      </c>
      <c r="I6819" s="3" t="s">
        <v>42</v>
      </c>
      <c r="J6819" s="31">
        <v>46112</v>
      </c>
      <c r="K6819" s="31"/>
      <c r="L6819" s="31"/>
      <c r="M6819" s="31"/>
      <c r="N6819" s="31"/>
      <c r="O6819" s="2" t="s">
        <v>1004</v>
      </c>
    </row>
    <row r="6820" spans="1:15">
      <c r="A6820" s="133">
        <f t="shared" si="176"/>
        <v>6819</v>
      </c>
      <c r="B6820" s="65" t="s">
        <v>9681</v>
      </c>
      <c r="C6820" s="130">
        <v>9948727867</v>
      </c>
      <c r="D6820" s="130"/>
      <c r="E6820" s="17" t="s">
        <v>8419</v>
      </c>
      <c r="F6820" s="4" t="s">
        <v>972</v>
      </c>
      <c r="G6820" s="3" t="s">
        <v>7030</v>
      </c>
      <c r="H6820" s="3" t="s">
        <v>5774</v>
      </c>
      <c r="I6820" s="3" t="s">
        <v>42</v>
      </c>
      <c r="J6820" s="31">
        <v>46112</v>
      </c>
      <c r="K6820" s="31"/>
      <c r="L6820" s="31"/>
      <c r="M6820" s="31"/>
      <c r="N6820" s="31"/>
      <c r="O6820" s="2" t="s">
        <v>1004</v>
      </c>
    </row>
    <row r="6821" spans="1:15">
      <c r="A6821" s="133">
        <f t="shared" ref="A6821:A6833" si="177">ROW()-1</f>
        <v>6820</v>
      </c>
      <c r="B6821" s="65" t="s">
        <v>9682</v>
      </c>
      <c r="C6821" s="130">
        <v>9966300689</v>
      </c>
      <c r="D6821" s="130"/>
      <c r="E6821" s="17" t="s">
        <v>5557</v>
      </c>
      <c r="F6821" s="4" t="s">
        <v>9683</v>
      </c>
      <c r="G6821" s="3" t="s">
        <v>15</v>
      </c>
      <c r="H6821" s="3" t="s">
        <v>7467</v>
      </c>
      <c r="I6821" s="3" t="s">
        <v>42</v>
      </c>
      <c r="J6821" s="31">
        <v>46109</v>
      </c>
      <c r="K6821" s="31">
        <v>46110</v>
      </c>
      <c r="L6821" s="31">
        <v>46112</v>
      </c>
      <c r="M6821" s="31">
        <v>46151</v>
      </c>
      <c r="N6821" s="31"/>
      <c r="O6821" s="2" t="s">
        <v>297</v>
      </c>
    </row>
    <row r="6822" spans="1:15">
      <c r="A6822" s="133">
        <f t="shared" si="177"/>
        <v>6821</v>
      </c>
      <c r="B6822" s="65" t="s">
        <v>9684</v>
      </c>
      <c r="C6822" s="130">
        <v>9573130692</v>
      </c>
      <c r="D6822" s="130"/>
      <c r="E6822" s="17" t="s">
        <v>7685</v>
      </c>
      <c r="F6822" s="4" t="s">
        <v>9685</v>
      </c>
      <c r="G6822" s="3" t="s">
        <v>15</v>
      </c>
      <c r="H6822" s="3" t="s">
        <v>6158</v>
      </c>
      <c r="I6822" s="3" t="s">
        <v>42</v>
      </c>
      <c r="J6822" s="31">
        <v>46109</v>
      </c>
      <c r="K6822" s="31">
        <v>46110</v>
      </c>
      <c r="L6822" s="31">
        <v>46112</v>
      </c>
      <c r="M6822" s="31">
        <v>46122</v>
      </c>
      <c r="N6822" s="31"/>
      <c r="O6822" s="2" t="s">
        <v>297</v>
      </c>
    </row>
    <row r="6823" spans="1:15">
      <c r="A6823" s="133">
        <f t="shared" si="177"/>
        <v>6822</v>
      </c>
      <c r="B6823" s="65" t="s">
        <v>9686</v>
      </c>
      <c r="C6823" s="130">
        <v>9441991822</v>
      </c>
      <c r="D6823" s="130"/>
      <c r="E6823" s="17" t="s">
        <v>9496</v>
      </c>
      <c r="F6823" s="4" t="s">
        <v>9687</v>
      </c>
      <c r="G6823" s="3" t="s">
        <v>15</v>
      </c>
      <c r="H6823" s="3" t="s">
        <v>42</v>
      </c>
      <c r="I6823" s="3" t="s">
        <v>42</v>
      </c>
      <c r="J6823" s="31">
        <v>46109</v>
      </c>
      <c r="K6823" s="31">
        <v>46110</v>
      </c>
      <c r="L6823" s="31">
        <v>46112</v>
      </c>
      <c r="M6823" s="31">
        <v>46119</v>
      </c>
      <c r="N6823" s="31"/>
      <c r="O6823" s="2" t="s">
        <v>297</v>
      </c>
    </row>
    <row r="6824" spans="1:15">
      <c r="A6824" s="133">
        <f t="shared" si="177"/>
        <v>6823</v>
      </c>
      <c r="B6824" s="65" t="s">
        <v>9688</v>
      </c>
      <c r="C6824" s="130">
        <v>7569537225</v>
      </c>
      <c r="D6824" s="130"/>
      <c r="E6824" s="17" t="s">
        <v>9336</v>
      </c>
      <c r="F6824" s="4" t="s">
        <v>9689</v>
      </c>
      <c r="G6824" s="3" t="s">
        <v>15</v>
      </c>
      <c r="H6824" s="3" t="s">
        <v>9690</v>
      </c>
      <c r="I6824" s="3" t="s">
        <v>42</v>
      </c>
      <c r="J6824" s="31">
        <v>46109</v>
      </c>
      <c r="K6824" s="31">
        <v>46110</v>
      </c>
      <c r="L6824" s="31">
        <v>46112</v>
      </c>
      <c r="M6824" s="31">
        <v>46119</v>
      </c>
      <c r="N6824" s="31"/>
      <c r="O6824" s="2" t="s">
        <v>297</v>
      </c>
    </row>
    <row r="6825" spans="1:15">
      <c r="A6825" s="133">
        <f t="shared" si="177"/>
        <v>6824</v>
      </c>
      <c r="B6825" s="65" t="s">
        <v>9691</v>
      </c>
      <c r="C6825" s="130">
        <v>7780231736</v>
      </c>
      <c r="D6825" s="130"/>
      <c r="E6825" s="17" t="s">
        <v>5540</v>
      </c>
      <c r="F6825" s="4" t="s">
        <v>9692</v>
      </c>
      <c r="G6825" s="3" t="s">
        <v>15</v>
      </c>
      <c r="H6825" s="3" t="s">
        <v>815</v>
      </c>
      <c r="I6825" s="3" t="s">
        <v>42</v>
      </c>
      <c r="J6825" s="31">
        <v>46109</v>
      </c>
      <c r="K6825" s="31">
        <v>46110</v>
      </c>
      <c r="L6825" s="31">
        <v>46112</v>
      </c>
      <c r="M6825" s="31">
        <v>46127</v>
      </c>
      <c r="N6825" s="31"/>
      <c r="O6825" s="2" t="s">
        <v>297</v>
      </c>
    </row>
    <row r="6826" spans="1:15">
      <c r="A6826" s="133">
        <f t="shared" si="177"/>
        <v>6825</v>
      </c>
      <c r="B6826" s="65" t="s">
        <v>9693</v>
      </c>
      <c r="C6826" s="130">
        <v>9704642589</v>
      </c>
      <c r="D6826" s="130"/>
      <c r="E6826" s="17" t="s">
        <v>5540</v>
      </c>
      <c r="F6826" s="4" t="s">
        <v>8599</v>
      </c>
      <c r="G6826" s="3" t="s">
        <v>15</v>
      </c>
      <c r="H6826" s="3" t="s">
        <v>815</v>
      </c>
      <c r="I6826" s="3" t="s">
        <v>42</v>
      </c>
      <c r="J6826" s="31">
        <v>46109</v>
      </c>
      <c r="K6826" s="31">
        <v>46110</v>
      </c>
      <c r="L6826" s="31">
        <v>46112</v>
      </c>
      <c r="M6826" s="31">
        <v>46119</v>
      </c>
      <c r="N6826" s="31"/>
      <c r="O6826" s="2" t="s">
        <v>297</v>
      </c>
    </row>
    <row r="6827" spans="1:15">
      <c r="A6827" s="133">
        <f t="shared" si="177"/>
        <v>6826</v>
      </c>
      <c r="B6827" s="65" t="s">
        <v>9694</v>
      </c>
      <c r="C6827" s="130">
        <v>7416658845</v>
      </c>
      <c r="D6827" s="130"/>
      <c r="E6827" s="17" t="s">
        <v>5540</v>
      </c>
      <c r="F6827" s="4" t="s">
        <v>8599</v>
      </c>
      <c r="G6827" s="3" t="s">
        <v>15</v>
      </c>
      <c r="H6827" s="3" t="s">
        <v>815</v>
      </c>
      <c r="I6827" s="3" t="s">
        <v>42</v>
      </c>
      <c r="J6827" s="31">
        <v>46109</v>
      </c>
      <c r="K6827" s="31">
        <v>46110</v>
      </c>
      <c r="L6827" s="31">
        <v>46112</v>
      </c>
      <c r="M6827" s="31">
        <v>46119</v>
      </c>
      <c r="N6827" s="31"/>
      <c r="O6827" s="2" t="s">
        <v>297</v>
      </c>
    </row>
    <row r="6828" spans="1:15">
      <c r="A6828" s="133">
        <f t="shared" si="177"/>
        <v>6827</v>
      </c>
      <c r="B6828" s="65" t="s">
        <v>9695</v>
      </c>
      <c r="C6828" s="130">
        <v>9861177425</v>
      </c>
      <c r="D6828" s="130"/>
      <c r="E6828" s="17" t="s">
        <v>8193</v>
      </c>
      <c r="F6828" s="4" t="s">
        <v>6146</v>
      </c>
      <c r="G6828" s="3" t="s">
        <v>15</v>
      </c>
      <c r="H6828" s="3" t="s">
        <v>815</v>
      </c>
      <c r="I6828" s="3" t="s">
        <v>42</v>
      </c>
      <c r="J6828" s="31">
        <v>46109</v>
      </c>
      <c r="K6828" s="31">
        <v>46110</v>
      </c>
      <c r="L6828" s="31">
        <v>46112</v>
      </c>
      <c r="M6828" s="31">
        <v>46117</v>
      </c>
      <c r="N6828" s="31"/>
      <c r="O6828" s="2" t="s">
        <v>297</v>
      </c>
    </row>
    <row r="6829" spans="1:15">
      <c r="A6829" s="133">
        <f t="shared" si="177"/>
        <v>6828</v>
      </c>
      <c r="B6829" s="65" t="s">
        <v>9696</v>
      </c>
      <c r="C6829" s="130">
        <v>9666082054</v>
      </c>
      <c r="D6829" s="130"/>
      <c r="E6829" s="17" t="s">
        <v>8193</v>
      </c>
      <c r="F6829" s="4" t="s">
        <v>6146</v>
      </c>
      <c r="G6829" s="3" t="s">
        <v>15</v>
      </c>
      <c r="H6829" s="3" t="s">
        <v>815</v>
      </c>
      <c r="I6829" s="3" t="s">
        <v>42</v>
      </c>
      <c r="J6829" s="31">
        <v>46109</v>
      </c>
      <c r="K6829" s="31">
        <v>46110</v>
      </c>
      <c r="L6829" s="31">
        <v>46112</v>
      </c>
      <c r="M6829" s="31">
        <v>46117</v>
      </c>
      <c r="N6829" s="31"/>
      <c r="O6829" s="2" t="s">
        <v>297</v>
      </c>
    </row>
    <row r="6830" spans="1:15">
      <c r="A6830" s="133">
        <f t="shared" si="177"/>
        <v>6829</v>
      </c>
      <c r="B6830" s="65" t="s">
        <v>9697</v>
      </c>
      <c r="C6830" s="130">
        <v>6300406341</v>
      </c>
      <c r="D6830" s="130"/>
      <c r="E6830" s="17" t="s">
        <v>8193</v>
      </c>
      <c r="F6830" s="4" t="s">
        <v>6146</v>
      </c>
      <c r="G6830" s="3" t="s">
        <v>15</v>
      </c>
      <c r="H6830" s="3" t="s">
        <v>815</v>
      </c>
      <c r="I6830" s="3" t="s">
        <v>42</v>
      </c>
      <c r="J6830" s="31">
        <v>46109</v>
      </c>
      <c r="K6830" s="31">
        <v>46110</v>
      </c>
      <c r="L6830" s="31">
        <v>46112</v>
      </c>
      <c r="M6830" s="31">
        <v>46117</v>
      </c>
      <c r="N6830" s="31"/>
      <c r="O6830" s="2" t="s">
        <v>297</v>
      </c>
    </row>
    <row r="6831" spans="1:15">
      <c r="A6831" s="133">
        <f t="shared" si="177"/>
        <v>6830</v>
      </c>
      <c r="B6831" s="65" t="s">
        <v>5318</v>
      </c>
      <c r="C6831" s="130">
        <v>8809859511</v>
      </c>
      <c r="D6831" s="130"/>
      <c r="E6831" s="17" t="s">
        <v>8978</v>
      </c>
      <c r="F6831" s="4"/>
      <c r="G6831" s="3" t="s">
        <v>15</v>
      </c>
      <c r="H6831" s="3" t="s">
        <v>815</v>
      </c>
      <c r="I6831" s="3" t="s">
        <v>94</v>
      </c>
      <c r="J6831" s="31">
        <v>46109</v>
      </c>
      <c r="K6831" s="31">
        <v>46110</v>
      </c>
      <c r="L6831" s="31">
        <v>46112</v>
      </c>
      <c r="M6831" s="31">
        <v>46122</v>
      </c>
      <c r="N6831" s="31"/>
      <c r="O6831" s="2" t="s">
        <v>297</v>
      </c>
    </row>
    <row r="6832" spans="1:15">
      <c r="A6832" s="133">
        <f t="shared" si="177"/>
        <v>6831</v>
      </c>
      <c r="B6832" s="65" t="s">
        <v>9698</v>
      </c>
      <c r="C6832" s="130">
        <v>9755375638</v>
      </c>
      <c r="D6832" s="130"/>
      <c r="E6832" s="17" t="s">
        <v>7855</v>
      </c>
      <c r="F6832" s="4"/>
      <c r="G6832" s="3" t="s">
        <v>15</v>
      </c>
      <c r="H6832" s="3" t="s">
        <v>815</v>
      </c>
      <c r="I6832" s="3" t="s">
        <v>94</v>
      </c>
      <c r="J6832" s="31">
        <v>46109</v>
      </c>
      <c r="K6832" s="31">
        <v>46110</v>
      </c>
      <c r="L6832" s="31">
        <v>46112</v>
      </c>
      <c r="M6832" s="31">
        <v>46122</v>
      </c>
      <c r="N6832" s="31"/>
      <c r="O6832" s="2" t="s">
        <v>297</v>
      </c>
    </row>
    <row r="6833" spans="1:15">
      <c r="A6833" s="133">
        <f t="shared" si="177"/>
        <v>6832</v>
      </c>
      <c r="B6833" s="65" t="s">
        <v>9699</v>
      </c>
      <c r="C6833" s="130">
        <v>7091207782</v>
      </c>
      <c r="D6833" s="130"/>
      <c r="E6833" s="17" t="s">
        <v>5364</v>
      </c>
      <c r="F6833" s="4"/>
      <c r="G6833" s="3" t="s">
        <v>15</v>
      </c>
      <c r="H6833" s="3" t="s">
        <v>815</v>
      </c>
      <c r="I6833" s="3" t="s">
        <v>94</v>
      </c>
      <c r="J6833" s="31">
        <v>46109</v>
      </c>
      <c r="K6833" s="31">
        <v>46110</v>
      </c>
      <c r="L6833" s="31">
        <v>46112</v>
      </c>
      <c r="M6833" s="31">
        <v>46127</v>
      </c>
      <c r="N6833" s="31"/>
      <c r="O6833" s="2" t="s">
        <v>297</v>
      </c>
    </row>
    <row r="6834" spans="1:15">
      <c r="A6834" s="133">
        <f t="shared" ref="A6834:A6850" si="178">ROW()-1</f>
        <v>6833</v>
      </c>
      <c r="B6834" s="65" t="s">
        <v>9700</v>
      </c>
      <c r="C6834" s="130">
        <v>8972243060</v>
      </c>
      <c r="D6834" s="130"/>
      <c r="E6834" s="17" t="s">
        <v>8486</v>
      </c>
      <c r="F6834" s="4" t="s">
        <v>3285</v>
      </c>
      <c r="G6834" s="3" t="s">
        <v>7030</v>
      </c>
      <c r="H6834" s="3" t="s">
        <v>296</v>
      </c>
      <c r="I6834" s="3" t="s">
        <v>88</v>
      </c>
      <c r="J6834" s="31">
        <v>46113</v>
      </c>
      <c r="K6834" s="31"/>
      <c r="L6834" s="31"/>
      <c r="M6834" s="31"/>
      <c r="N6834" s="31"/>
      <c r="O6834" s="2" t="s">
        <v>1004</v>
      </c>
    </row>
    <row r="6835" spans="1:15">
      <c r="A6835" s="133">
        <f t="shared" si="178"/>
        <v>6834</v>
      </c>
      <c r="B6835" s="65" t="s">
        <v>9701</v>
      </c>
      <c r="C6835" s="130">
        <v>6294598419</v>
      </c>
      <c r="D6835" s="130"/>
      <c r="E6835" s="17" t="s">
        <v>8486</v>
      </c>
      <c r="F6835" s="4" t="s">
        <v>294</v>
      </c>
      <c r="G6835" s="3" t="s">
        <v>7030</v>
      </c>
      <c r="H6835" s="3" t="s">
        <v>296</v>
      </c>
      <c r="I6835" s="3" t="s">
        <v>88</v>
      </c>
      <c r="J6835" s="31">
        <v>46113</v>
      </c>
      <c r="K6835" s="31"/>
      <c r="L6835" s="31"/>
      <c r="M6835" s="31"/>
      <c r="N6835" s="31"/>
      <c r="O6835" s="2" t="s">
        <v>1004</v>
      </c>
    </row>
    <row r="6836" spans="1:15">
      <c r="A6836" s="133">
        <f t="shared" si="178"/>
        <v>6835</v>
      </c>
      <c r="B6836" s="65" t="s">
        <v>9702</v>
      </c>
      <c r="C6836" s="130">
        <v>8359976905</v>
      </c>
      <c r="D6836" s="130"/>
      <c r="E6836" s="17" t="s">
        <v>8486</v>
      </c>
      <c r="F6836" s="4" t="s">
        <v>294</v>
      </c>
      <c r="G6836" s="3" t="s">
        <v>7030</v>
      </c>
      <c r="H6836" s="3" t="s">
        <v>296</v>
      </c>
      <c r="I6836" s="3" t="s">
        <v>88</v>
      </c>
      <c r="J6836" s="31">
        <v>46113</v>
      </c>
      <c r="K6836" s="31"/>
      <c r="L6836" s="31"/>
      <c r="M6836" s="31"/>
      <c r="N6836" s="31"/>
      <c r="O6836" s="2" t="s">
        <v>1004</v>
      </c>
    </row>
    <row r="6837" spans="1:15">
      <c r="A6837" s="133">
        <f t="shared" si="178"/>
        <v>6836</v>
      </c>
      <c r="B6837" s="65" t="s">
        <v>9703</v>
      </c>
      <c r="C6837" s="130">
        <v>7001518059</v>
      </c>
      <c r="D6837" s="130"/>
      <c r="E6837" s="17" t="s">
        <v>8486</v>
      </c>
      <c r="F6837" s="4" t="s">
        <v>294</v>
      </c>
      <c r="G6837" s="3" t="s">
        <v>7030</v>
      </c>
      <c r="H6837" s="3" t="s">
        <v>296</v>
      </c>
      <c r="I6837" s="3" t="s">
        <v>88</v>
      </c>
      <c r="J6837" s="31">
        <v>46113</v>
      </c>
      <c r="K6837" s="31"/>
      <c r="L6837" s="31"/>
      <c r="M6837" s="31"/>
      <c r="N6837" s="31"/>
      <c r="O6837" s="2" t="s">
        <v>1004</v>
      </c>
    </row>
    <row r="6838" spans="1:15">
      <c r="A6838" s="133">
        <f t="shared" si="178"/>
        <v>6837</v>
      </c>
      <c r="B6838" s="65" t="s">
        <v>9704</v>
      </c>
      <c r="C6838" s="130">
        <v>7865813774</v>
      </c>
      <c r="D6838" s="130"/>
      <c r="E6838" s="17" t="s">
        <v>8486</v>
      </c>
      <c r="F6838" s="4" t="s">
        <v>294</v>
      </c>
      <c r="G6838" s="3" t="s">
        <v>7030</v>
      </c>
      <c r="H6838" s="3" t="s">
        <v>296</v>
      </c>
      <c r="I6838" s="3" t="s">
        <v>88</v>
      </c>
      <c r="J6838" s="31">
        <v>46113</v>
      </c>
      <c r="K6838" s="31"/>
      <c r="L6838" s="31"/>
      <c r="M6838" s="31"/>
      <c r="N6838" s="31"/>
      <c r="O6838" s="2" t="s">
        <v>1004</v>
      </c>
    </row>
    <row r="6839" spans="1:15">
      <c r="A6839" s="133">
        <f t="shared" si="178"/>
        <v>6838</v>
      </c>
      <c r="B6839" s="65" t="s">
        <v>9705</v>
      </c>
      <c r="C6839" s="130">
        <v>9382212628</v>
      </c>
      <c r="D6839" s="130"/>
      <c r="E6839" s="17" t="s">
        <v>8486</v>
      </c>
      <c r="F6839" s="4" t="s">
        <v>294</v>
      </c>
      <c r="G6839" s="3" t="s">
        <v>7030</v>
      </c>
      <c r="H6839" s="3" t="s">
        <v>296</v>
      </c>
      <c r="I6839" s="3" t="s">
        <v>88</v>
      </c>
      <c r="J6839" s="31">
        <v>46113</v>
      </c>
      <c r="K6839" s="31"/>
      <c r="L6839" s="31"/>
      <c r="M6839" s="31"/>
      <c r="N6839" s="31"/>
      <c r="O6839" s="2" t="s">
        <v>1004</v>
      </c>
    </row>
    <row r="6840" spans="1:15">
      <c r="A6840" s="133">
        <f t="shared" si="178"/>
        <v>6839</v>
      </c>
      <c r="B6840" s="65" t="s">
        <v>7703</v>
      </c>
      <c r="C6840" s="130">
        <v>9622278240</v>
      </c>
      <c r="D6840" s="130">
        <v>9149877352</v>
      </c>
      <c r="E6840" s="17" t="s">
        <v>8486</v>
      </c>
      <c r="F6840" s="4" t="s">
        <v>294</v>
      </c>
      <c r="G6840" s="3" t="s">
        <v>7030</v>
      </c>
      <c r="H6840" s="3" t="s">
        <v>296</v>
      </c>
      <c r="I6840" s="3" t="s">
        <v>88</v>
      </c>
      <c r="J6840" s="31">
        <v>46113</v>
      </c>
      <c r="K6840" s="31"/>
      <c r="L6840" s="31"/>
      <c r="M6840" s="31"/>
      <c r="N6840" s="31"/>
      <c r="O6840" s="2" t="s">
        <v>1004</v>
      </c>
    </row>
    <row r="6841" spans="1:15">
      <c r="A6841" s="133">
        <f t="shared" si="178"/>
        <v>6840</v>
      </c>
      <c r="B6841" s="65" t="s">
        <v>9706</v>
      </c>
      <c r="C6841" s="130">
        <v>9490967281</v>
      </c>
      <c r="D6841" s="130"/>
      <c r="E6841" s="17" t="s">
        <v>1735</v>
      </c>
      <c r="F6841" s="4" t="s">
        <v>2650</v>
      </c>
      <c r="G6841" s="3" t="s">
        <v>7030</v>
      </c>
      <c r="H6841" s="3" t="s">
        <v>815</v>
      </c>
      <c r="I6841" s="3" t="s">
        <v>88</v>
      </c>
      <c r="J6841" s="31">
        <v>46113</v>
      </c>
      <c r="K6841" s="31"/>
      <c r="L6841" s="31"/>
      <c r="M6841" s="31"/>
      <c r="N6841" s="31"/>
      <c r="O6841" s="2" t="s">
        <v>1004</v>
      </c>
    </row>
    <row r="6842" spans="1:15">
      <c r="A6842" s="133">
        <f t="shared" si="178"/>
        <v>6841</v>
      </c>
      <c r="B6842" s="65" t="s">
        <v>9707</v>
      </c>
      <c r="C6842" s="130">
        <v>6204652954</v>
      </c>
      <c r="D6842" s="130"/>
      <c r="E6842" s="17" t="s">
        <v>2321</v>
      </c>
      <c r="F6842" s="4" t="s">
        <v>1555</v>
      </c>
      <c r="G6842" s="3" t="s">
        <v>14</v>
      </c>
      <c r="H6842" s="3" t="s">
        <v>815</v>
      </c>
      <c r="I6842" s="3" t="s">
        <v>88</v>
      </c>
      <c r="J6842" s="31">
        <v>46113</v>
      </c>
      <c r="K6842" s="31">
        <v>46113</v>
      </c>
      <c r="L6842" s="31"/>
      <c r="M6842" s="31"/>
      <c r="N6842" s="31"/>
      <c r="O6842" s="2" t="s">
        <v>297</v>
      </c>
    </row>
    <row r="6843" spans="1:15">
      <c r="A6843" s="133">
        <f t="shared" si="178"/>
        <v>6842</v>
      </c>
      <c r="B6843" s="65" t="s">
        <v>413</v>
      </c>
      <c r="C6843" s="130">
        <v>9340950185</v>
      </c>
      <c r="D6843" s="130"/>
      <c r="E6843" s="17" t="s">
        <v>1735</v>
      </c>
      <c r="F6843" s="4" t="s">
        <v>863</v>
      </c>
      <c r="G6843" s="3" t="s">
        <v>14</v>
      </c>
      <c r="H6843" s="3" t="s">
        <v>815</v>
      </c>
      <c r="I6843" s="3" t="s">
        <v>88</v>
      </c>
      <c r="J6843" s="31">
        <v>46113</v>
      </c>
      <c r="K6843" s="31">
        <v>46113</v>
      </c>
      <c r="L6843" s="31"/>
      <c r="M6843" s="31"/>
      <c r="N6843" s="31"/>
      <c r="O6843" s="2" t="s">
        <v>297</v>
      </c>
    </row>
    <row r="6844" spans="1:15">
      <c r="A6844" s="133">
        <f t="shared" si="178"/>
        <v>6843</v>
      </c>
      <c r="B6844" s="65" t="s">
        <v>9708</v>
      </c>
      <c r="C6844" s="130">
        <v>7893982135</v>
      </c>
      <c r="D6844" s="130"/>
      <c r="E6844" s="17" t="s">
        <v>7685</v>
      </c>
      <c r="F6844" s="4" t="s">
        <v>4506</v>
      </c>
      <c r="G6844" s="3" t="s">
        <v>7030</v>
      </c>
      <c r="H6844" s="3" t="s">
        <v>6158</v>
      </c>
      <c r="I6844" s="3" t="s">
        <v>42</v>
      </c>
      <c r="J6844" s="31">
        <v>46113</v>
      </c>
      <c r="K6844" s="31"/>
      <c r="L6844" s="31"/>
      <c r="M6844" s="31"/>
      <c r="N6844" s="31"/>
      <c r="O6844" s="2" t="s">
        <v>1004</v>
      </c>
    </row>
    <row r="6845" spans="1:15">
      <c r="A6845" s="133">
        <f t="shared" si="178"/>
        <v>6844</v>
      </c>
      <c r="B6845" s="65" t="s">
        <v>9709</v>
      </c>
      <c r="C6845" s="130">
        <v>8328275501</v>
      </c>
      <c r="D6845" s="130"/>
      <c r="E6845" s="17" t="s">
        <v>7685</v>
      </c>
      <c r="F6845" s="4" t="s">
        <v>4506</v>
      </c>
      <c r="G6845" s="3" t="s">
        <v>7030</v>
      </c>
      <c r="H6845" s="3" t="s">
        <v>6158</v>
      </c>
      <c r="I6845" s="3" t="s">
        <v>42</v>
      </c>
      <c r="J6845" s="31">
        <v>46113</v>
      </c>
      <c r="K6845" s="31"/>
      <c r="L6845" s="31"/>
      <c r="M6845" s="31"/>
      <c r="N6845" s="31"/>
      <c r="O6845" s="2" t="s">
        <v>1004</v>
      </c>
    </row>
    <row r="6846" spans="1:15">
      <c r="A6846" s="133">
        <f t="shared" si="178"/>
        <v>6845</v>
      </c>
      <c r="B6846" s="65" t="s">
        <v>9710</v>
      </c>
      <c r="C6846" s="130">
        <v>9966187522</v>
      </c>
      <c r="D6846" s="130"/>
      <c r="E6846" s="17" t="s">
        <v>9608</v>
      </c>
      <c r="F6846" s="4" t="s">
        <v>4571</v>
      </c>
      <c r="G6846" s="3" t="s">
        <v>7030</v>
      </c>
      <c r="H6846" s="3" t="s">
        <v>9035</v>
      </c>
      <c r="I6846" s="3" t="s">
        <v>42</v>
      </c>
      <c r="J6846" s="31">
        <v>46113</v>
      </c>
      <c r="K6846" s="31"/>
      <c r="L6846" s="31"/>
      <c r="M6846" s="31"/>
      <c r="N6846" s="31"/>
      <c r="O6846" s="2" t="s">
        <v>1004</v>
      </c>
    </row>
    <row r="6847" spans="1:15">
      <c r="A6847" s="133">
        <f t="shared" si="178"/>
        <v>6846</v>
      </c>
      <c r="B6847" s="65" t="s">
        <v>1524</v>
      </c>
      <c r="C6847" s="130">
        <v>9102213236</v>
      </c>
      <c r="D6847" s="130"/>
      <c r="E6847" s="17" t="s">
        <v>7751</v>
      </c>
      <c r="F6847" s="4" t="s">
        <v>8314</v>
      </c>
      <c r="G6847" s="3" t="s">
        <v>7030</v>
      </c>
      <c r="H6847" s="3" t="s">
        <v>296</v>
      </c>
      <c r="I6847" s="3" t="s">
        <v>94</v>
      </c>
      <c r="J6847" s="31">
        <v>46114</v>
      </c>
      <c r="K6847" s="31"/>
      <c r="L6847" s="31"/>
      <c r="M6847" s="31"/>
      <c r="N6847" s="31"/>
      <c r="O6847" s="2" t="s">
        <v>1004</v>
      </c>
    </row>
    <row r="6848" spans="1:15">
      <c r="A6848" s="133">
        <f t="shared" si="178"/>
        <v>6847</v>
      </c>
      <c r="B6848" s="65" t="s">
        <v>9711</v>
      </c>
      <c r="C6848" s="130">
        <v>9001598839</v>
      </c>
      <c r="D6848" s="130"/>
      <c r="E6848" s="17" t="s">
        <v>7751</v>
      </c>
      <c r="F6848" s="4" t="s">
        <v>8314</v>
      </c>
      <c r="G6848" s="3" t="s">
        <v>7030</v>
      </c>
      <c r="H6848" s="3" t="s">
        <v>296</v>
      </c>
      <c r="I6848" s="3" t="s">
        <v>94</v>
      </c>
      <c r="J6848" s="31">
        <v>46114</v>
      </c>
      <c r="K6848" s="31"/>
      <c r="L6848" s="31"/>
      <c r="M6848" s="31"/>
      <c r="N6848" s="31"/>
      <c r="O6848" s="2" t="s">
        <v>1004</v>
      </c>
    </row>
    <row r="6849" spans="1:15">
      <c r="A6849" s="133">
        <f t="shared" si="178"/>
        <v>6848</v>
      </c>
      <c r="B6849" s="65" t="s">
        <v>9712</v>
      </c>
      <c r="C6849" s="130">
        <v>8979613533</v>
      </c>
      <c r="D6849" s="130"/>
      <c r="E6849" s="17" t="s">
        <v>7751</v>
      </c>
      <c r="F6849" s="4" t="s">
        <v>8314</v>
      </c>
      <c r="G6849" s="3" t="s">
        <v>7030</v>
      </c>
      <c r="H6849" s="3" t="s">
        <v>296</v>
      </c>
      <c r="I6849" s="3" t="s">
        <v>94</v>
      </c>
      <c r="J6849" s="31">
        <v>46114</v>
      </c>
      <c r="K6849" s="31"/>
      <c r="L6849" s="31"/>
      <c r="M6849" s="31"/>
      <c r="N6849" s="31"/>
      <c r="O6849" s="2" t="s">
        <v>1004</v>
      </c>
    </row>
    <row r="6850" spans="1:15">
      <c r="A6850" s="133">
        <f t="shared" si="178"/>
        <v>6849</v>
      </c>
      <c r="B6850" s="65" t="s">
        <v>9713</v>
      </c>
      <c r="C6850" s="130">
        <v>9981407360</v>
      </c>
      <c r="D6850" s="130"/>
      <c r="E6850" s="17" t="s">
        <v>7751</v>
      </c>
      <c r="F6850" s="4" t="s">
        <v>8314</v>
      </c>
      <c r="G6850" s="3" t="s">
        <v>7030</v>
      </c>
      <c r="H6850" s="3" t="s">
        <v>296</v>
      </c>
      <c r="I6850" s="3" t="s">
        <v>94</v>
      </c>
      <c r="J6850" s="31">
        <v>46114</v>
      </c>
      <c r="K6850" s="31"/>
      <c r="L6850" s="31"/>
      <c r="M6850" s="31"/>
      <c r="N6850" s="31"/>
      <c r="O6850" s="2" t="s">
        <v>1004</v>
      </c>
    </row>
    <row r="1048186" spans="11:11">
      <c r="K1048186" s="31"/>
    </row>
    <row r="1048237" spans="11:11">
      <c r="K1048237" s="31"/>
    </row>
    <row r="1048315" spans="13:13">
      <c r="M1048315" s="31"/>
    </row>
  </sheetData>
  <sheetProtection autoFilter="0" pivotTables="0"/>
  <conditionalFormatting sqref="B3150:C3157">
    <cfRule type="duplicateValues" dxfId="10" priority="349"/>
  </conditionalFormatting>
  <conditionalFormatting sqref="D3640">
    <cfRule type="duplicateValues" dxfId="9" priority="283"/>
  </conditionalFormatting>
  <conditionalFormatting sqref="D4325">
    <cfRule type="duplicateValues" dxfId="8" priority="282"/>
  </conditionalFormatting>
  <conditionalFormatting sqref="D4913 C3091:C3149 C3158:C3955 C2072:C3089 C1769:C2070 C1762:C1767 C868:C1760 C3957:C4912 C1:C866 C4914:C6850">
    <cfRule type="duplicateValues" dxfId="7" priority="680"/>
  </conditionalFormatting>
  <conditionalFormatting sqref="D6126">
    <cfRule type="duplicateValues" dxfId="6" priority="43"/>
  </conditionalFormatting>
  <conditionalFormatting sqref="E6328">
    <cfRule type="duplicateValues" dxfId="5" priority="30"/>
  </conditionalFormatting>
  <conditionalFormatting sqref="E6605">
    <cfRule type="duplicateValues" dxfId="4" priority="27"/>
  </conditionalFormatting>
  <conditionalFormatting sqref="E6724">
    <cfRule type="duplicateValues" dxfId="3" priority="16"/>
  </conditionalFormatting>
  <conditionalFormatting sqref="E6783">
    <cfRule type="duplicateValues" dxfId="2" priority="9"/>
  </conditionalFormatting>
  <conditionalFormatting sqref="E6784:E6787">
    <cfRule type="duplicateValues" dxfId="1" priority="8"/>
  </conditionalFormatting>
  <dataValidations count="13">
    <dataValidation allowBlank="1" showInputMessage="1" showErrorMessage="1" sqref="H199:N199 H181:N191 H843:N843 H405:N405 H682:N689 H840:N841 H678:N680 H213:N215 H435:N435 H438:N438 H929:N932 H469:N501 H833:N833 H708:N708 H582:N610 H1076:N1086 H1124:N1137 H375:N389 H710:N714 H921:N926 H691:N706 H1325:N1326 H441:N464 H416:N432 H218:N231 H1300:N1300 H1303:N1308 H1242:N1242 H1364:N1364 H1370:N1370 H1378:N1379 H1381:N1381 H803:N827 H1152:N1161 H1164:N1166 H1099:N1111 H1342:N1355 H503:N515 H1409:N1429 H1446:N1447 H1495:N1499 H1002:N1016 H1667:N1700 H1316:N1319 H911:N918 H628:N667 H1536:N1551 H1597:N1605 F658 H1702:N1710 H1781:N1781 H1716:N1720 H1783:N1801 H673:N676 H1373:N1374 H1812:N1817 H1998:N2014 H1244:N1291 H2050:N2055 H2064:N2071 H1506:N1525 H2077:N2082 H2144:N2151 H2157:N2159 H1947:N1949 H1761:N1768 H2190:N2191 H2201:N2206 H2180:N2182 H2309:N2309 H2016:N2037 B3092:B3093 H1528:N1529 H1558:N1588 H2302:N2306 H1024:N1073 H984:N993 H161:N169 H935:N976 H407:N413 H522:N577 H846:N907 H1432:N1443 H1832:N1862 H2212:N2221 H2093:N2136 H1867:N1891 H1726:N1756 H1329:N1330 H2502:N2505 H2547:N2558 H2560:N2563 H2570:N2571 H2608:N2617 H4758:N4774 H2621:N2622 H2585:N2606 H2397:N2398 H2353:N2371 H2270:N2295 H2688:N2690 H2847:N2851 H2435:N2444 F2730:F2737 H2511:N2545 F2743:F2746 F2758:F2761 F2768:F2771 H2378:N2390 H2768:N2771 H2777:N2778 H2670:N2671 H2785:N2786 H2725:N2738 H2796:N2798 H2808:N2808 F2817:F2818 H2410:N2429 H2833:N2834 H2836:N2844 H75:N153 F2721:F2722 F2856:F2857 H2858:N2868 H2906:N2908 H391:N398 H2763:N2766 F2937:F2938 H2937:N2938 H2400:N2407 H2940:N2941 H2958:N2959 H2961:N2961 H2967:N2968 H2954:N2955 F2988:F2993 H2894:N2894 F3000:F3007 H2971:N2987 H3005:N3007 F3023 E3030:F3035 H3023:N3025 F3036 F3049:F3055 H3064:N3064 H3066:N3068 H3058:N3060 H3070:N3072 F3073 B3096:B3103 H1608:N1664 F3089 B3111:B3113 F3092:F3103 H3090:N3103 B3139:B3140 F3111:F3113 H3110:N3121 H3146:N3147 B3146:B3147 F3138:F3140 H3138:N3140 H3149:N3149 H1895:N1940 B3126:B3131 F3146:F3147 H3158:N3158 H3166:N3168 H3126:N3131 F3126:F3131 B3215 H3175:N3182 F2824:F2828 H2817:N2828 H3185:N3189 F3203:F3204 F3207 B3181:B3196 F3214:F3217 H3215:N3223 H3225:N3227 H3230:N3231 F3242 H3242:N3242 F3283:F3291 F3181:F3196 B3250:B3252 H2872:N2883 F4563:F4579 B3265:B3269 F3249:F3252 H3251:N3252 H2578:N2581 F2848:F2851 H2573:N2576 B3283:B3287 F3265:F3269 F3272:F3275 F3280:F3281 B3295 H3290:N3291 H3288:N3288 B3228:B3231 F3294:F3295 H3294:N3295 F3228:F3231 B3173 F3171:F3173 H3172:N3173 B4563:B4579 B3298:B3299 H3014:N3020 F3018:F3021 H2994:N3003 H2948:N2950 H2742:N2761 H2712:N2722 H2625:N2667 H2454:N2500 B3306 F3298:F3299 H3299:N3303 B3236:B3237 F3306 H3339:N3340 F3316 H3312:N3316 H2243:N2264 H3331:N3334 F3612:F3616 H3270:N3279 H3236:N3237 F3236:F3237 B3331:B3335 H3199:N3207 H3077:N3088 F2791:F2797 H4565:N4573 B3341:B3350 H1458:N1490 H292:N373 H3342:N3342 H3344:N3344 H3346:N3346 B3354:B3356 F3341:F3350 F3356:F3357 B3401:B3402 H3356:N3356 H3030:N3055 B3432 F3401:F3402 B3459 F3431:F3432 B3499:B3500 F3459 H3469:N3473 H3475:N3475 F3488:F3495 H3488:N3499 B3503:B3504 B3325:B3329 F3503:F3504 F3371:F3376 F3324:F3335 B3371:B3376 B3560:B3569 H3555:N3559 B3603:B3608 F3560:F3569 H3576:N3584 H3597:N3599 B3612:B3616 F3603:F3608 B3157:B3163 H3609:N3611 H3530:N3547 F3823:F3837 B3578:B3597 F3157:F3163 B3686:B3694 F3578:F3597 H3624:N3633 H3645:N3645 H3431:N3431 H3681:N3681 H3683:N3685 B3699:B3702 F3686:F3694 B3740:B3747 F3699:F3702 B3801:B3802 F3751:F3752 H3351:N3354 H3359:N3402 H3782:N3785 B3808:B3812 F3801:F3802 B3850:B3851 F3808:F3812 H3821:N3822 B3706:B3733 F3850:F3851 H3860:N3860 F3706:F3733 B3524:B3554 B3860:B3861 F3524:F3554 H3504:N3523 H3405:N3405 B3865 F3860:F3861 H3868:N3868 B3868 H3865:N3865 B3929:B3931 H3872:N3888 E3957 F3150:F3155 B3618:B3630 F3928:F3931 B3956:B3957 B3645:B3665 F3956:F3957 H3956:N3957 C1 H3787:N3800 F3740:F3749 H3689:N3702 B3634:B3640 F3645:F3665 H3647:N3668 F3634:F3640 B3978 F3618:F3630 B4001:B4008 F3978 H2314:N2321 H4001:N4005 B4097 F4001:F4008 H4012:N4017 H4032:N4033 F4039 H4060:N4064 H4066:N4067 F4094 H4128:N4129 B4101 F4096:F4097 B3872:B3876 F4101 H4102:N4104 B4105:B4106 B4109 B4112:B4116 F4105:F4109 H4107:N4111 B4125 F4112:F4122 B4128:B4131 F4125 H4115:N4125 F3865:F3868 H3425:N3427 F4128:F4132 H3890:N3893 B4164:B4165 H4132:N4132 H2692:N2706 H4145:N4151 B4170 F4163:F4165 H4165:N4165 B4173:B4177 F4170 B3982:B3987 F4173:F4177 H4174:N4180 H4211:N4213 B4760:B4768 F3982:F3987 H4976:N4987 B3258:B3263 H233:N289 B4253:B4258 H3258:N3263 F3258:F3263 H4252:N4252 B4263:B4264 B4269:B4275 F4261:F4268 H4261:N4268 B4318:B4330 F4270:F4275 H4316:N4316 F4388:F4389 B4357:B4363 H4318:N4330 B4373:B4374 F4357:F4363 B4378 F4373:F4374 B4388:B4389 F4378 H4378:N4378 H4388:N4388 H4485:N4485 H4220:N4225 H4192:N4208 B4399:B4402 B4444 H4399:N4408 H4410:N4411 H4415:N4425 F4444 B4447:B4454 B3823:B3837 F4760:F4774 B4487:B4489 H4477:N4483 B4496 H4487:N4492 B4502:B4506 F4496 H4509:N4511 B4516:B4517 F4502:F4511 B4523 H4520:N4520 B4531:B4536 H4522:N4523 F4516:F4523 F4447:F4456 H4526:N4533 H4535:N4535 B4554:B4557 F4526:F4536 F4544:F4547 H4546:N4549 H4551:N4553 B4595:B4600 F4549:F4560 H4563:N4563 H5023:N5027 F4595:F4600 B4889 F4593 B4621 B4474:B4482 F4621 H4726:N4735 H4632:N4635 H4638:N4639 B4336:B4346 F4474:F4489 H4357:N4374 B4299:B4314 H4333:N4345 B4280:B4295 F4299:F4346 H4280:N4314 F4279:F4295 B4233:B4251 H4233:N4249 F4233:F4258 B4209:B4220 B4181:B4199 F4209:F4216 H4186:N4189 B4137:B4158 F4181:F4199 H4170:N4172 H4153:N4156 B4078:B4089 F4137:F4158 H4075:N4089 F4078:F4089 B4059:B4071 F4053:F4071 B4012:B4033 H4039:N4057 F4012:F4033 B3878:B3913 H3978:N3987 H3947:N3949 H3924:N3931 H3901:N3917 B3764:B3787 F3872:F3913 H3837:N3837 F3764:F3787 B3749:B3752 B4636:B4646 H3724:N3757 H3319:N3324 B4648:B4650 F4631:F4646 H4642:N4646 H4648:N4650 B4671:B4705 F4648:F4650 B4725:B4726 F4925:F4928 H4673:N4724 B4728:B4731 B4753 F4725:F4731 H4464:N4473 H4445:N4458 H4542:N4543 F4745:F4749 H4745:N4752 F4752:F4753 B4757 H4754:N4756 B4774 F4757 H4889:N4889 F4658:F4663 H2161:N2172 B4602:B4614 H1388:N1403 H2227:N2239 H4575:N4577 F4602:F4614 B4799:B4801 F4799:F4800 H4799:N4799 F4778:F4781 H4778:N4780 B4836:B4838 F4836:F4841 B4847:B4848 B4409:B4435 H4848:N4850 F4399:F4435 B4850:B4860 B4867 F4847:F4860 H4853:N4866 B4877:B4880 F4865:F4867 B4898 H4881:N4881 F4913:F4914 F4898 B4913:B4914 F4903:F4905 H4904:N4909 H4913:N4913 B4925:B4928 H4839:N4846 B4883 F4671:F4705 H4923:N4931 F4877:F4886 B4933:B4945 B4954 F4933:F4945 H4939:N4953 B4960 F4954 B4976:B4977 F4956:F4960 H2339:N2351 B4993:B5001 B5010:B5011 B5014:B5017 F5010:F5011 H5011:N5011 B5026:B5027 H5014:N5017 F5014:F5018 H5019:N5020 B5052:B5055 F5021:F5027 H5041:N5041 F2914:F2918 H2910:N2934 B4779:B4791 H5059:N5060 H4783:N4791 F4783:F4791 B5069:B5071 B5078 F5069:F5071 H5069:N5071 H716:N800 B5035:B5041 F5078 H5035:N5039 F5035:F5041 B5127 F5101 H5098:N5101 B5130:B5136 F5127 H5127:N5127 B5140:B5143 B5061:B5066 F5130:F5143 H5047:N5055 H4437:N4437 H5150:N5151 F5061:F5066 B5194:B5196 F5047:F5058 H4616:N4623 H4442:N4443 H4439:N4440 H4432:N4435 F5161:F5163 H5162:N5162 F4976:F4987 H4961:N4973 B5215 F5194:F5196 H4496:N4505 B5239 H5213:N5215 F5215:F5216 H5217:N5218 H4596:N4614 B5260:B5265 F5239 B4823:B4834 F5260:F5265 H5284:N5284 F5282:F5285 F4823:F4834 B4654:B4656 B5111:B5113 F4654:F4656 H5288:N5290 F5309 H5309:N5309 H5334:N5342 B5368:B5379 H5111:N5113 F5111:F5113 H5369:N5372 B5384:B5388 F5368:F5379 H5376:N5379 B5399 F5384:F5388 H5382:N5388 B5402 H5399:N5401 B5472 F5399:F5402 H4580:N4594 H5426:N5432 H5443:N5444 B5484 F5472 H4654:N4667 H4915:N4919 H5472:N5475 F5476:F5481 H5478:N5481 B5519 F5484 H5485:N5485 H5487:N5491 H5501:N5505 B5524 F5519 B5543:B5545 F5524 B5555:B5564 F5539:F5545 H5543:N5545 B5576:B5582 H5566:N5566 B5595:B5598 F5555:F5582 H5579:N5582 B5606:B5609 F5595:F5598 B5613:B5615 F5606:F5609 B5619 B5642 H1187:N1239 B5658 H5675:N5676 F5642 B5693:B5699 F5658 H5678:N5684 H1177:N1185 F5673:F5686 H5686:N5696 H5698:N5698 F5693:F5699 H5634:N5641 H5620:N5629 B5488:B5509 B5426:B5451 F5488:F5509 F5426:F5451 B5350:B5359 B5329:B5333 F5350:F5359 H5350:N5354 F5329:F5333 B5272:B5276 H5292:N5305 F5271:F5276 B5094:B5097 H4811:N4836 H5229:N5244 B5161:B5170 F5094:F5097 H4994:N5005 F4993:F5005 H4955:N4959 B5716:B5725 H5169:N5177 F5165:F5170 B5730 H5719:N5726 B5750 F5730 H5728:N5730 B5770:B5771 F5750 H5747:N5750 H1951:N1987 H5766:N5766 H5768:N5768 B5776 F5766:F5771 H5771:N5771 B5796 F5776 H5776:N5776 H2330:N2335 F5796:F5797 H5797:N5797 B5850 H5809:N5810 H5821:N5822 F5828:F5831 H5825:N5831 H5842:N5844 B5862:B5875 F5850 H5857:N5858 H5862:N5872 B5878 F5862:F5875 H5875:N5875 B5814:B5822 F5878 H5888:N5891 F5888:F5898 H5893:N5898 H5900:N5903 H5922:N5940 H5814:N5818 B5800:B5802 F5814:F5822 H5800:N5802 F5800:F5802 B5661:B5663 H5659:N5673 F5662:F5663 B5630:B5637 F5613:F5637 B5410:B5416 H5410:N5416 F5410:F5416 B5919:B5921 H5250:N5276 B5943:B5944 F5919:F5921 B5959:B5962 F5943:F5944 H5943:N5955 B5727 F5959:F5962 H5959:N5971 B5975:B5981 F5716:F5727 F5975:F5977 H4256:N4258 B5987 B6015 H5979:N5987 F5979:F5990 H5995:N5998 F6001 H6001:N6014 B6018:B6023 F6015 H6018:N6020 F6018:F6022 B6033 H5975:N5977 H6022:N6026 H6028:N6030 F6026:F6033 H6033:N6033 B6057 B6059:B6061 B5783:B5787 F6059:F6064 H6059:N6064 H6068:N6072 H5783:N5787 F5783:F5787 B4658:B4663 B6115 H6115:N6115 B6118:B6121 F6119:F6121 H6118:N6121 F6125:F6135 H6129:N6135 H6153:N6159 B6169:B6173 F6169:F6173 H6174:N6175 H5643:N5657 B6196:B6197 F6196:F6197 H6196:N6197 H6202:N6218 B6212:B6223 F6212:F6223 B6227:B6231 F6227:F6231 B6237 F6237 F6248:F6255 H6255:N6258 B6260:B6263 F6259:F6263 B6265:B6267 F6265:F6267 H6260:N6267 H6125:N6127 B6278:B6282 B6299:B6300 F5915:F5917 H5525:N5538 H5134:N5147 F6299:F6300 F5530:F5533 B5530:B5533 B6303:B6304 F6303:F6304 B6306:B6314 F6307:F6314 B6318 H6341:N6341 F6345 H6345:N6346 H6348:N6349 H6351:N6351 F6356 H6356:N6356 B6359 F6359 H6359:N6359 H6375:N6375 H6272:N6277 F6272:F6282 B6362 H6362:N6363 B6365:B6367 H6367:N6367 H6373:N6373 F6334:F6341 B6334:B6340 F6362:F6378 H6377:N6378 B6377:B6379 H6380:N6380 H6383:N6384 B6390:B6394 F6390:F6394 H6390:N6394 H6399:N6399 B6405 F6405 H6405:N6405 B6413:B6420 F6413:F6420 H6413:N6421 H5588:N5617 H6429:N6429 B6432:B6439 B6086:B6089 H6432:N6442 H6079:N6089 F6086:F6089 F6430:F6446 H6445:N6446 H6463:N6463 H6283:N6298 B6097:B6102 F6097:F6102 B6475 F6471:F6475 H6470:N6476 B6482 F6482 F6494 H6492:N6494 B6501:B6507 F6501:F6507 B6043:B6049 H6043:N6049 F6043:F6049 B6522 B6531 F6522:F6531 H6522:N6531 B6537 H6543:N6543 H6551:N6552 F6557:F6558 H6557:N6559 D3742 H6565:N6568 B6571:B6572 F6571:F6572 H6571:N6575 H6582:N6583 H6586:N6587 F6595 H6597:N6603 H6605:N6605 H6607:N6619 H6621:N6625 H6629:N6631 F6634 H6636:N6636 B6650 H6220:N6236 H6650:N6654 H6656:N6657 H6660:N6660 H6533:N6539 F6537:F6539 H6481:N6486 H6305:N6321 F6655:F6661 H6501:N6520 H2:N72 H6663:N6664 B6847:B1048576 B6677:B6683 F6677:F6683 H6673:N6683 B6685:B6700 F6685:F6700 H6685:N6700 B1:B3063 H6716:N6718 H6721:N6722 F6719:F6723 B6738:B6739 F6738:F6739 H6724:N6739 B6745:B6746 F6745:F6746 H6745:N6749 B6750:B6752 F6750:F6752 H6753:N6756 H6760:N6766 F6764:F6767 H6768:N6769 F6774:F6777 H6773:N6780 B6783:B6787 F6783:F6795 C3094:C3095 B6800:B6805 F6800:F6818 H6783:N6818 H6821:N6821 F6847:F1048576 F6831:F6833 C3751:E3751 H6824:N6843 H6846:N1048576 F6650 F5150" xr:uid="{19125D96-D684-4483-9217-E882D6AF7D1E}"/>
    <dataValidation operator="equal" allowBlank="1" showInputMessage="1" showErrorMessage="1" sqref="E4170 E128:E129 E134:E135 E29:E30 E53:E62 E66:E69 E280:E303 E442:E447 E746:E749 E927:E928 E1516:E1527 E736:E742 E414:E418 E722:E727 E80:E84 E1113:E1115 E1133:E1136 E1074:E1075 E1002:E1007 E675:E680 E1244:E1245 E1100:E1111 E1416:E1419 E1012:E1036 E917:E918 E755:E766 E1331:E1345 E1321:E1328 E216:E217 E1597:E1607 F658 E550:E568 E2020:E2022 E1434:E1437 E1715:E1718 E2135:E2137 E2161:E2162 E533:E547 E2355:E2362 E1449:E1453 E1439:E1441 E2066:E2067 E1721:E1723 E1409:E1414 E968:E986 E1315:E1318 E1647:E1648 E1832:E1839 E944:E961 E1189:E1230 E1808:E1809 E1895:E1906 E792:E800 E709:E715 E1532:E1533 E2084:E2085 E2193:E2196 E1683:E1697 E858:E870 E1984:E1985 E1513:E1514 E876:E885 E1398:E1405 E1292:E1299 E2202:E2203 E1576:E1593 E891:E900 E1812:E1817 E1852:E1855 E2094:E2109 E2144:E2150 E1427:E1428 E2391:E2392 E1725:E1733 E988:E993 E140:E141 E159:E173 E964:E966 E2056:E2064 E1495:E1506 E817:E855 E2212:E2219 E1941:E1942 E1881:E1892 E1735:E1779 E1367:E1384 E2172:E2175 E2500 E1999:E2016 E2516:E2526 E2533:E2535 E2554:E2557 E1988:E1997 E2610:E2617 E2621:E2624 E2630:E2631 E2562:E2569 E650:E667 E2281:E2295 E2183:E2189 E4940:E4941 E2051:E2054 E1264:E1287 E2025:E2026 E1702:E1710 E1783:E1801 E1536:E1549 E1491:E1493 E1301:E1308 E497:E516 E393:E397 E1152:E1182 E611:E648 E132 E2669 E1432 E2018 E1830 E409 E1551 E1781 E2325 E2210 E2178 E2139 E2087 E1944 E995 E1805 E1946 E1866 E2081 E697:E698 E1311 E433 E1388 E465 E1595 E683 E1043 E92 E673 E1680 E41:E48 E72:E77 E51 E571:E582 E114 E488:E495 E90 E109 E118 E336 E137 E8:E9 E2503:E2510 E2470:E2474 E2435:E2442 E2365:E2380 E2038:E2049 C3030:C3035 E2704:E2710 E2735:E2737 E2758:E2761 E2768:E2771 E2785 E2693:E2700 E2634:E2637 E2299 E2817:E2818 E906:E915 E143:E157 C2633 E2848:E2851 E2909 E2918 E2932 E2937:E2941 C2721:C2722 E1821:E1827 E2127:E2133 E175:E179 E2988:E2993 E2792:E2797 E1364:E1365 E2897:E2905 E3036 E3049:E3055 E1609:E1645 E438:E440 E3092:E3103 E3112:E3113 E309:E334 E3146 E3127:E3131 E2826:E2828 E1908:E1939 E3250:E3252 E3265:E3269 E3282:E3287 E3323 E3295 E3228:E3231 E3173 E3018:E3021 E2255:E2265 E3612:E3616 E3236:E3237 E3157 E3331:E3335 E340:E391 E1455:E1478 E3341:E3350 E1530 E3356:E3357 E3181:E3196 E3401:E3402 E3431:E3432 E3459 E3473:E3474 E3493:E3495 E3503:E3504 E3371:E3376 E3325:E3329 E3560:E3569 E3597 E3603:E3608 E3159:E3163 E3578:E3595 E3686:E3694 E3699 E3701:E3702 E3801:E3802 E3808:E3812 E2267:E2272 E3850:E3851 E3706:E3733 E3524:E3554 E3929:E3931 E3956 E3645:E3665 E3634:E3640 E3978 E3618:E3630 E2302:E2321 E4001:E4008 E4097 E4101 E4105:E4109 E4112:E4116 E4125 E3860:E3868 E4128:E4132 E4163:E4165 E4173:E4177 E3982:E3987 E181:E214 E220:E278 E3258:E3263 E4261:E4264 E4269:E4275 E4357:E4363 E4373:E4374 E4378 E4400:E4402 E4444 E4447:E4454 E4496 E4502:E4506 E4516:E4517 E5151 E4531:E4536 E4550:E4559 E4595:E4600 E4593 E4621 E4474:E4489 E4299:E4346 E4280:E4295 E4233:E4258 E4209:E4220 E4181:E4199 E4078:E4089 E4059:E4071 E4012:E4033 E3872:E3913 E3764:E3787 E3740:E3752 E4638:E4646 E4648:E4650 E4671:E4705 E4725:E4726 E4729:E4731 E2226:E2238 E4753 E4137:E4158 E4757 E4774 E4602:E4614 E4799:E4801 E4837:E4838 E4847:E4848 E4409:E4435 E5161:E5162 E4884 E4886 E3823:E3837 E4658:E4663 E4564:E4579 E4898 E4850:E4859 E4960 E2339:E2353 E4976:E4977 E4763:E4768 E5010:E5011 E5014:E5020 E5026:E5027 E5047:E5055 E5069 E4780:E4791 E5078 E5035:E5041 E5142:E5143 E4943:E4945 E4826:E4834 E5060:E5066 E4877 E5194:E5196 E5216 E4952 E5239 E4823:E4824 E4654:E4656 E5130:E5135 E4993:E5001 E4760 E5309 E6531 E5111:E5113 E5368:E5379 E5384:E5388 E5399 E5402 E5478 E5519 E5524 E5539:E5545 E5555:E5564 E5567 E4933:E4938 E1678 E5576:E5582 E4913 E1650:E1676 E5264 E5597:E5598 E5620:E5621 E5606:E5609 E5613:E5615 E5642 E5569:E5573 E5618 E5658 E5673:E5674 E5678:E5683 E4925:E4931 E5685:E5686 E5693:E5699 E5488:E5509 E5462:E5472 E5426:E5451 E5350:E5359 E5330:E5333 E5094:E5097 E5165:E5170 E5716:E5726 E5730 E1948:E1977 E5750 E5766 E5769:E5771 E5776 E2330:E2335 E5850 E5878 E5814:E5822 E5800:E5802 E5662:E5663 E5629:E5637 E5410:E5416 E5919:E5921 E5943:E5944 E5959:E5962 E5862:E5875 E5975:E5977 E5983:E5987 E5999:E6000 E6015 E6018:E6023 E6028:E6030 E6033 E6218 E6059:E6064 E5783:E5787 E6119:E6121 E6129 E6132 E6169:E6173 C2 E6192:E6193 E6196:E6197 E6220:E6221 E6237 E6256:E6258 E6260:E6263 E6265:E6267 E6212:E6216 E6278:E6282 E5530:E5533 E6299:E6300 E6276 E6303:E6304 E6272:E6274 E6307:E6314 E6227:E6231 E6356 E6359 E6362 E6365:E6370 E6334:E6341 E6377:E6378 E6390:E6394 E6405 E6413:E6420 E6086:E6089 E6431:E6439 E6468:E6470 E6501:E6507 E6097:E6102 E6043:E6049 E6494 E5592:E5593 E5260 E5588 E5590 E6522 E6536:E6537 E6557 D4364:D4365 E6571:E6572 E6635 E6650 E1:E4 E33:E35 E19:E21 E6847:E1048576 E6677:E6683 E6685:E6700 E6738:E6739 E6745:E6746 E6750:E6752 E6766:E6767 E6785:E6787 E6774:E6777 E6801:E6802 D5048 E6823 C2730:C2734 E6821 E1117:E1130" xr:uid="{566D431D-D180-431D-8AED-A49A57A61225}"/>
    <dataValidation type="textLength" operator="equal" allowBlank="1" showInputMessage="1" showErrorMessage="1" errorTitle="Invalid number" error="Please enter 10 digits only" sqref="C495:C496 C1735:C1750 C736:C742 C817:C855 C988:C993 C2272:C2279 C2391:C2392 C2355:C2358 C1762:C1767 C927:C928 C891:C900 C745:C749 C2056:C2070 C1818:C1831 C2161:C2162 C698 C435:C437 C578:C583 C587 C509 C2002:C2014 C475 C465:C469 C1907 C1834:C1835 C432 C1803:C1807 C1363:C1384 C1783 C1715:C1717 C1189:C1230 C1321:C1328 C1331:C1345 C751:C766 C792:C800 C906:C918 C1012:C1036 C634:C649 C1244:C1245 C673:C680 C1002:C1007 C1100:C1136 C1177:C1183 C1165:C1166 C1162:C1163 C1147 C1075:C1086 C962:C963 C707:C714 C1043 C876:C885 C2503:C2510 C2470:C2474 C2365:C2377 C2634:C2637 C2817:C2818 C1702:C1710 C1264:C1286 C1694:C1698 C2721:C2722 C2856:C2857 C2621:C2627 C3049:C3055 C2182 C3023 C2630:C2631 C2918 C3036 C2302:C2306 C2937:C2938 C868:C870 C2554:C2557 C2095:C2106 C2988:C2993 C1576:C1585 C439:C445 C1597:C1605 C3092:C3103 C1513:C1516 C3111:C3113 C2435:C2442 C2038:C2049 C1506:C1508 C3139:C3140 C3147 C3127:C3131 C2826:C2828 C2704:C2713 C2653:C2665 C1921:C1939 C3181:C3196 C3250:C3252 C2848:C2851 C3266:C3267 C3269 C3283:C3287 C2730:C2737 C3018:C3021 C3228:C3231 D3093:D3097 D3100:D3101 D3103 D3124 D3126:D3130 D3132:D3133 D3121:D3122 D3135:D3137 C3173 D3141:D3143 D3145:D3149 C3298:C3299 D3161 D3169 D2857 D3064:D3068 E3139:E3140 D3211:D3223 D3105:D3119 C3306 D3225:D3230 D3171:D3188 C1495:C1499 C2743:C2746 C2255:C2262 D3292:D3307 C2758:C2761 C3236:C3237 C2791:C2797 C3332:C3335 C280:C392 C1449:C1478 C3341:C3350 C3401:C3402 C3432 C3459 D3276:D3283 D3235:D3246 C3499:C3500 D3190:D3209 C3503:C3504 D3081:D3084 C3325:C3329 C3371:C3376 C3560:C3569 C3603:C3608 D3355:D3360 D3373 C3612:C3616 D3389:D3393 D3398:D3399 C3355:C3356 C1427:C1429 C3157:C3163 C3578:C3597 D3407:D3425 C3686:C3694 D3443:D3448 D3450:D3455 D3489:D3491 C3699:C3702 D3395:D3396 C3740:C3747 D3326:D3330 D3531:D3532 C3801:C3802 D3534 C3808:C3812 C2267:C2269 D3375:D3387 D3544:D3570 C3850:C3851 D3573 D3575:D3585 D3587:D3588 C3868 D3590:D3597 D3601 D3599 D3603:D3616 C3524:C3554 D3536:D3542 D3470:D3483 D3458:D3468 D3427:D3429 C3860:C3861 C3707:C3733 D3163:D3164 D3629 D3632:D3633 D3662:D3669 D3675:D3694 C3865 D3703 D3735:D3736 D3738 C3929:C3931 D3740:D3742 C3957 D3744:D3746 D3332:D3353 D3510:D3512 D3493:D3506 D3485:D3486 C3645:C3665 C3634:C3640 D3431:D3441 D3401:D3404 D3756:D3760 D3762:D3768 D3778:D3783 D3785:D3787 D3829:D3830 D3843:D3847 D3850:D3856 C3618:C3630 C3978 D3858 D3860:D3862 C3982:C3987 D3706:D3733 C4001:C4008 D3644:D3647 D3524:D3529 C2768:C2771 C1416:C1419 C4097 D3876:D3878 D3880:D3890 C4101 D3905:D3907 D3910:D3912 C4105:C4106 D3151:D3158 D3929:D3930 D3933:D3938 D3940:D3942 D3944:D3945 D3956:D3957 C4109 D3962 D3965 D3967:D3968 D3970:D3974 D3976 D3618:D3626 D3790:D3819 D3696:D3701 D3649:D3660 D3990 D3362:D3371 C1769:C1779 D4001 C1757:C1760 C858:C866 D4004 C4112:C4116 D4006:D4024 D4026 D4029:D4031 C4125 D4033:D4034 D4037:D4038 D4040:D4044 D4062 D4048:D4060 D4067:D4068 D4070:D4078 C1434:C1441 D4094:D4120 D4122:D4135 D3078:D3079 C2785 C4128:C4131 D4190:D4193 C2693:C2700 C4163:C4165 C4170 C4173:C4177 C2669 C216:C278 C3258:C3263 D4195:D4199 D4202:D4210 C4253:C4258 C4263:C4264 C2610:C2617 D3249:D3271 D4247:D4252 D4255:D4256 C4269:C4275 C4318:C4330 C4357:C4363 D4261:D4262 C4373:C4374 D4279 D4281 C4378 D4283:D4287 C4388:C4389 C4399:C4402 D4296 D4298 D4304 D4306:D4309 D4316:D4318 D4320:D4322 D4324:D4325 D4327 D4341:D4362 D4367:D4368 D4370:D4373 C4444 D4375 C4447:C4454 D4264:D4275 D4386:D4392 C4487:C4489 D4394 C4496 D4413:D4416 C4502:C4506 D4418:D4423 D4433:D4434 C4517 D4436 D4438:D4440 D4442:D4444 D4402:D4411 D4462:D4463 C4523 D4471 C4531:C4536 D4504:D4511 D4513:D4533 D4535:D4536 C4554:C4557 C4621 C4624:C4630 D4549:D4555 C4474:C4482 C4336:C4346 D4557:D4559 D4614 C4299:C4314 D3309:D3323 C4280:C4295 D4477:D4492 D4473:D4475 C4234:C4251 C4209:C4220 D4377:D4384 D4330:D4339 C4181:C4199 D4311:D4314 D4301:D4302 C4137:C4158 D4290:D4294 D4212:D4245 C4078:C4089 D4175:D4187 C4059:C4071 D4142:D4173 C4012:C4033 D4137:D4139 C3872:C3913 C3763:C3787 D4080:D4092 D4065 C3750:C3752 D3978:D3986 D3947:D3954 C4636:C4646 D3914:D3927 C4648:C4650 C4671:C4705 D3893:D3903 D3865:D3874 D3821:D3827 D3771:D3776 C4725:C4731 D3748:D3754 D4648:D4651 C4753 D4659:D4667 D4669 C4757 C4774 C4602:C4614 D4671:D4673 D4676:D4677 D4679 D4681:D4689 D4692:D4695 D4698 D4701:D4704 D4706:D4716 D4718:D4729 D4731 C4799:C4801 D4541:D4547 D4465:D4469 C4836:C4838 D4447:D4460 D4734:D4735 D4740:D4743 D4737:D4738 D4745:D4760 D4765 D4602:D4611 C4847:C4848 C4409:C4435 D4567:D4574 D4807 C4850:C4860 D4809:D4819 C4867 D3671:D3672 C4877:C4880 D4425:D4430 D4854:D4856 D4858:D4859 D4861:D4878 C4760:C4768 C4658:C4663 C4563:C4579 D3832:D3841 D4762 C3823:C3837 C4889 D4617:D4646 C4925:C4928 D4888:D4891 C4883 D4561:D4565 C4933:C4945 D4893:D4906 C4954 C4960 D4836:D4852 D4880:D4886 D4922:D4952 D4998:D5008 C4976:C4977 C4993:C5001 C5014:C5017 D5053 C5026:C5027 C5035:C5041 C4779:C4791 C5071 D5027:D5051 C5078 D5055:D5060 C5047 C5052:C5055 C5127 D4821:D4825 D5088:D5089 D5092 C5131:C5136 D5099:D5101 C5140:C5143 C5061:C5066 D4767:D4805 C5161:C5163 C5194:C5196 D5109:D5117 D5132:D5134 D5136:D5142 C5215 D5146 D5062:D5086 C5239 C5260:C5265 D4967:D4968 D4963:D4965 D5148:D5152 C4654:C4656 D5154 D5157:D5160 D5162:D5163 D5179:D5193 D5195 C5111:C5113 D5197:D5207 D5209:D5217 D4494:D4502 C5368:C5379 D5220:D5224 C5384:C5388 D5226 D5228 D5231:D5237 D5246 D5248:D5250 C5399 D5252 D5255:D5257 D4653:D4655 D4832:D4834 D5174:D5177 D5104:D5107 D4827:D4830 D5315:D5320 D5294:D5299 C5402 D5305:D5309 C5484 D5312:D5313 D5322 D5324:D5326 D5336 D5338:D5343 D5368:D5371 D5353:D5359 D5373:D5374 D5376:D5379 C5524 D5393:D5397 D5399:D5402 C5543:C5545 C5555:C5564 D5408:D5411 D5422:D5424 C5576:C5580 D5426 D5428 D5430:D5431 D5434 D5436:D5439 D5441:D5451 D5453:D5456 D5458:D5459 D5461 D5467:D5468 D5470 D4576:D4600 D5010:D5025 D4970:D4987 D4397:D4400 D5474:D5491 D5493:D5494 C5582 D5512 C5595:C5598 D5514:D5517 D3997:D3999 D5551:D5583 C5606:C5609 D5546:D5548 C5613:C5615 D5586:D5591 D5609:D5623 C5619 C5642 C5658 D4954:D4961 C5693:C5699 C5488:C5509 C5426:C5451 D5625 C5350:C5359 C5329:C5333 C5272:C5276 D5503:D5510 D5496:D5501 C5165:C5170 D5463:D5465 C5730 D5404:D5405 D5345:D5351 C5750 D5328:D5334 C5770:C5771 D5239:D5244 D5710:D5715 C5776 C1951:C1977 D5717 D5719:D5722 D5724 D5168:D5172 D5119:D5130 D5773 C5796 C5850 D5775:D5777 C5862:C5875 D5802 C5878 D4990:D4996 C5814:C5822 C5800:C5802 C5661:C5663 C5630:C5637 D5863:D5864 D5866:D5874 D5910 D5259:D5291 C5410:C5416 C5919:C5921 D5833:D5842 D5804:D5831 D5799:D5800 C5943:C5944 D5791:D5797 C5959:C5962 D5627:D5639 D5413:D5419 C5716:C5727 D5381:D5391 C5975:C5981 C5987 D5949:D5953 D5956:D5962 C4823:C4834 C5010:C5011 D5964:D5967 C4595:C4600 D5969:D5972 D6018:D6030 D3635:D3642 C2562:C2569 C6015 C6018:C6022 C6033 C2516:C2532 C6059:C6061 C722:C727 D6032:D6041 D6051:D6053 C5783:C5787 C6115 D6067 D5779:D5789 D6116:D6122 C6119:C6121 C4913:C4914 C6169:C6173 C6196:C6197 D6146 D6148 D6150:D6151 D6153 D6155:D6158 D4914:D4918 D4910:D4912 D6160:D6164 C6212:C6223 D6169 D6171 D6192 D5641:D5707 D6194:D6195 D6215:D6223 C651:C667 D6229 C6228:C6231 C6260:C6263 D6231:D6232 D6234:D6246 C6265:C6267 D6248:D6249 D6251:D6259 D6261:D6270 D5144 C6278:C6282 C5530:C5533 D6197:D6212 C6299:C6300 D6073:D6078 D6055:D6065 D5912:D5947 D5876:D5908 D5844:D5847 D5519:D5543 D6306:D6307 C6303:C6304 C6307:C6314 C6359 D6310:D6312 D3086 C6362 D6329:D6331 D6333 D6345:D6352 D6354 D6356 D6272:D6281 C6365:C6367 D6335:D6341 C6334:C6340 C6377:C6378 D6225:D6226 C6390:C6394 D6358:D6380 C6405 D6393:D6395 C6432:C6439 D6402:D6405 D6408:D6410 C6086:C6089 D6174:D6185 D6425:D6438 D5593:D5606 C6097:C6102 D6080:D6093 C6475 D6440:D6448 D6459:D6461 D6463:D6466 D5726:D5771 D6450:D6457 D6397:D6400 D6095:D6105 D5850:D5861 C6482 D6468:D6482 C6501:C6507 C6522 D6490:D6500 D6502 D6124:D6139 C6531 D6521 D6523:D6532 C6537 C6557:C6558 D6534:D6536 C6571:C6572 D6539:D6547 D6549:D6553 C3:C214 D6555:D6564 D6567:D6568 D6570:D6572 D6574:D6580 D6582 D3088:D3091 D6584:D6588 D6590:D6598 D6600:D6610 D6612 D6614:D6616 D6618:D6650 C2500 D6314:D6327 D6487:D6488 D6423 D6382:D6390 D6652:D6661 D6504:D6517 C6650 D6663:D6669 C6677:C6683 D6671:D6682 C6685:C6700 D6684:D6687 D6689:D6693 D6695:D6696 C6738:C6739 D6283:D6303 D6698:D6716 D6718:D6735 C6745:C6746 D6737:D6743 D6745 C6750:C6752 C6784:C6787 D6747:D6756 D6758 D6761:D6768 D6770:D6773 D6775 D6777:D6781 C6800:C6805 D6783:D6795 D6797 D6799:D6807 D5974:D6016 D6818:D6839 C6043:D6049 C5094:D5097 C5472:D5472 C6413:D6420 C1867:C1885 D6841:D1048576 C6847:C1048576" xr:uid="{CC5B001F-1B48-42D0-9A51-2C69D70E07D1}">
      <formula1>10</formula1>
    </dataValidation>
    <dataValidation type="date" allowBlank="1" showInputMessage="1" showErrorMessage="1" sqref="J1:N1 B4451:C4454 D4451:D4457 B4271:C4273" xr:uid="{318120BA-082D-4F7C-B9B7-C4EB6B3134B4}">
      <formula1>45292</formula1>
      <formula2>46022</formula2>
    </dataValidation>
    <dataValidation type="list" allowBlank="1" showInputMessage="1" showErrorMessage="1" sqref="G3295:G3307 G4450:G4459 G3014 G3077 G4054:G4056 G3309:G3311 G2985:G2987 G3229:G3240 G3339:G3340 G3790 G3169:G3174 G3069:G3071 G3225:G3227 G3609 G3158:G3167 G3910:G3916 G3220:G3222 G4546:G4555 G3274:G3275 G5937:G5938 G3250 G3792:G3798 G3066 G3265:G3271 G3247:G3248 G3520:G3528 G3681:G3687 G3668 G3195:G3208 G3292:G3293 G3242:G3245 G3289:G3290 G3807:G3822 G3216:G3218 G3438:G3440 G3490:G3492 G3645:G3654 G3360 G4786:G4797 G3554:G3560 G3673 G3990:G4006 G5000:G5004 G3190:G3193 G4502:G4513 G3210:G3214 G3329:G3334 G3187 G3537 G3443:G3458 G3861:G3867 G3342:G3353 G4482:G4484 G3356 G3539:G3541 G3566:G3570 G3176:G3185 G3825:G3826 G3316 G4969 G1657 G3800:G3805 G3500 G3139 G4120 G3358 G3313:G3314 G3318:G3321 G3664:G3665 G3956:G3966 G4133:G4144 G3728:G3734 G3736:G3767 G3869:G3870 G3531:G3534 G3845:G3849 G4259:G4264 G3512:G3518 G3504:G3510 G3460:G3465 G3423:G3425 G3362:G3372 G3325:G3327 G3436 G3897:G3898 G3695 G3656:G3660 G3662 G3838:G3843 G3886 G3894:G3895 G4190 G3851:G3859 N4941 G4246:G4257 G4108:G4109 G4266 G3689:G3693 G3888:G3890 G4018:G4052 G3979:G3980 G3636:G3637 G3480:G3488 G4558:G4563 G4565:G4571 G5064 G4462:G4473 G3678:G3679 G3954 G4069:G4096 G4489:G4491 G3903:G3907 G3375:G3405 G4359:G4364 G4837:G4850 G3606 G3256:G3259 G3920:G3933 G5015:G5017 G3968:G3971 G4445:G4447 G4203 G3935:G3940 G4205:G4244 G5526:G5527 G3412:G3421 G5060 G4887:G4888 G5099:G5116 G4192:G4201 G4877:G4885 G4493 G4908 G3467:G3478 G4309:G4315 G3943:G3952 G4157:G4183 G4658:G4665 G3407:G3410 G3882:G3883 G3900:G3901 G4113:G4118 G4317:G4340 G4516:G4518 G5035:G5045 G3277:G3287 G3974:G3977 G4123:G4131 G3769:G3770 G3697:G3700 G5047:G5051 G5679:G5682 G4734:G4736 G5013 G5032:G5033 G6387:G6432 G5378:G5382 G4652:G4656 G3782:G3787 G3496:G3498 G3594:G3595 G4910:G4913 G5019:G5029 G3702 G5055:G5058 G4775 G4525:G4543 G3639 G4523 G4366:G4370 G4809:G4815 G4725:G4731 G3918 G4758:G4761 G4098:G4104 G3982:G3988 G3676 G3253:G3254 G4573:G4613 G4615:G4633 G5235:G5245 G4875 G4442:G4443 G5479 G4755 G5006:G5011 G4817:G4835 G4995:G4998 G4498:G4499 G4976:G4989 G5909:G5918 G5363 G4957:G4967 G6445:G6480 G5869:G5872 G5181 G4495:G4496 G5228 G5084:G5085 G5272:G5285 G5726:G5734 G5183:G5185 G5134 G4971:G4973 G5270 G5074:G5077 G6284:G6292 G5287:G5290 G3543:G3552 G3562:G3563 G3573:G3592 G3612:G3613 G3615:G3624 G3704:G3708 G3710 G3712:G3722 G3829:G3836 G3872:G3878 G3880 G3892 G4008:G4016 G4106 G4146:G4155 G4185:G4188 G4268:G4293 G4342:G4357 G4476:G4478 G3427:G3434 G5079:G5082 G4924:G4931 G5742:G5746 G4746:G4753 G5561:G5565 G4773 G4636:G4650 G5230:G5233 G5567:G5573 G4915:G4916 G4374:G4390 G4739:G4744 G5430:G5449 G5384:G5398 G5684 G5187:G5192 G5195:G5196 G3597:G3604 G4667:G4695 G4697:G4698 G5313:G5329 G5265:G5268 G3626:G3634 G3725:G3726 G4058:G4067 G4295:G4307 G4480 G4487 G4520:G4521 G4700:G4723 G4763:G4769 G4771 G4933:G4955 G5533:G5543 G5097 G5130:G5132 G4991:G4993 G5607:G5617 G4895:G4905 G5353:G5361 G5403:G5407 G5736 G5622:G5623 G5625:G5627 G5127:G5128 G5694:G5696 G4807 G6294:G6305 D3991:D3994 G5451:G5460 G5942 G4918:G4922 G5161:G5172 G5298:G5299 G5400 G5637 G5631:G5633 G5066:G5072 G5763:G5772 G6255:G6273 G5462:G5471 G5904:G5907 G5301:G5311 G5667:G5672 G6071:G6082 G6025:G6026 G5660:G5665 G5966:G5968 G5584:G5589 G5807:G5845 G6060 G5340:G5342 G4799:G4805 G5548:G5553 G5640:G5648 G5620 G5137 G5247:G5254 G6200:G6247 G5474:G5477 G5701:G5705 G5546 G5675:G5676 G5575:G5578 G4861:G4873 G5257:G5263 G5118:G5123 G5761 G4417:G4440 G5293 G5331:G5338 G6374:G6385 G5710 G5509:G5522 G6275:G6279 G5629 G5962:G5964 G5215:G5226 G5556:G5557 G5798:G5805 G6434:G6443 G5651:G5657 G5598:G5601 G5983:G5986 G5990:G5992 G5198:G5213 G5790:G5796 G6127:G6153 G5922:G5926 G5605 G6028:G6029 G5738:G5740 G5995:G6014 G6365:G6367 G5707:G5708 G6530:G6656 G5981 G6158:G6180 G5928:G5930 G6068:G6069 G5505:G5506 G6058 G5945:G5960 G6119:G6122 G6482:G6496 G5593:G5596 G6062:G6066 G6369:G6372 G6249:G6253 G6031:G6054 G3772:G3780 G4372 G4398:G4415 G4777:G4784 G4853:G4855 G4857:G4859 G5094:G5095 G5139:G5142 G5345:G5351 G5368:G5376 G5410:G5428 G5482:G5503 G5529:G5531 G5559 G5687:G5692 G5712:G5720 G5722:G5724 G5777:G5785 G5849:G5867 G5976:G5978 G5890:G5901 G6101 G6124 G6103:G6114 G6090:G6099 G5175:G5179 G5748:G5759 G5787:G5788 G5933:G5934 G6182:G6198 G5635 G6282 G5144:G5159 G6311:G6354 G6116:G6117 G5940 G6749:G6762 G6356:G6363 G6084:G6088 G6307:G6308 G5879:G5888 G4890:G4893 G6764:G1048576 G5874:G5877 G5970:G5971 G6155:G6156 G6498:G6528 G6016:G6021 G6056 G5591 G6023 G6658:G6747" xr:uid="{696A6EC2-8245-4D9A-B8BE-CB5FE69FD2C6}">
      <formula1>"Profile shared with Interviewer, Resume Screening Done, Shortlisted for next round of interview, Interview Done, Offer Negotiation in Process, Offer Negotiation Hold, Offer Released, Joined, Candidate Not Interested"</formula1>
    </dataValidation>
    <dataValidation type="list" allowBlank="1" showInputMessage="1" showErrorMessage="1" sqref="O4547 J1:M1 O4548:O4614 O3556:O4546 O4616:O5001 O5002:O5150 D3562 O1:O3555 O5151:O6636 O6637:O1048576" xr:uid="{DE89A2A7-F547-4C22-A6BE-285F8CD6367F}">
      <formula1>"Accepted, Rejected, Ongoing Process, Candidate Not Responding, Hold For Future"</formula1>
    </dataValidation>
    <dataValidation type="list" allowBlank="1" showInputMessage="1" showErrorMessage="1" sqref="G3317 G3357 G3291 G3175 G3503 G3596 G3068 G3062:G3063 G3223:G3224 G3273 G3276 G3312 G3219 G3335 G3610:G3611 G3194 G3215 G3536 G3538 G3264 G3308 G3791 G3519 G3542 G3823 G3493 G3489 G3799 G3355 G3868 G3426 G3788:G3789 G4057 G3806 G3696 G3981 G4119 G4121:G4122 G4053 G3322 G3860 G4265 G3315 G3871 G3917 G3955 G3511 G3466 G3661 G3663 G3885 G3887 G4191 G3850 G3967 G4245 G3694 G3891 G4007 G4145 G3735 G4494 G4492 G3953 G3411 G3896 G3902 G4184 G4341 G4519 G4544:G4545 G3978 G4132 G3771 G3908 G3701 G4745 G4756 G4808 G3561 G3607:G3608 G3638 G4914 G3941 G3703 G5059 G4776 G4371 G4816 G3919 G4762 G4968 G5005 G5012 G5214 G4392 G5366 G5574 G5683 G4500:G4501 G4990 G5227 G4497 G3435 G3827 G5399 G5408:G5409 G5685 G4754 G5291 G4917 G5117 G4932 G5523 G5525 G3605 G5597 G4699 G5330 G5450 G4696 G3635 G3640 G3724 G3727 G4068 G4308 G4475 G4481 G4486 G4488 G4522 G4635 G4724 G4770 G4772 G4956 G4999 G5133 G5138 G4994 G5507 G5160 G5246 G5383 G5547 G5624 G5628 G5678 G5889 G4738 G5129 G5982 G5634 G4923 G5173 G5300 G5528 G5566 G5269 G5472 G4806 G5931:G5932 G5264 G4974:G4975 G5193 G5339 G5481 G5797 G5638:G5639 G5747 G5762 G5806 G5994 G5706 G6027 G6015 G5988 G5618:G5619 G5927 G5603:G5604 G5741 G5848 G6030 G6070 G6123 G6022 G6154 G6067 G6199 G6355 G6481 G5973:G5974 G6373 G6444 G6433 G6364 G5180 G5649:G5650 G5658:G5659 G5700 G5760 G5789 G5935:G5936 G6274 G5554:G5555 G5636 G5980 G6283 G6306 G6125 G6657 G5255 G5941 G6089 G4894 G5234 G5296 G5590 G5878 G6115 G6157 G6309 G6529 G5583 G5592 G5902:G5903 G6024" xr:uid="{0BE50655-4E0B-4D88-86EE-31F3E7E5DBC9}">
      <formula1>"Profile shared with Interviewer, Resume Screening Done, Shortlisted for next round of interview, Interview Done, Offer Negotiation in Process, Offer Negotiation Hold, Offer Released, Joined, Candidate Not Interested, Offer Dropped"</formula1>
    </dataValidation>
    <dataValidation type="list" allowBlank="1" showInputMessage="1" showErrorMessage="1" sqref="G4396:G4397 G3064:G3065 G3156:G3157 G3072:G3076 G3251:G3252 G3132:G3134 G3138 G3228 G3130 G3168 G3899 G3140:G3150 G2988:G3013 G3209 G3294 G3361 G3246 G3459 G3494:G3495 G3437 G3441:G3442 G3529:G3530 G3571:G3572 G3655 G3688 G3768 G3824 G2969:G2984 G3323:G3324 G3354 G3499 G3186 G3015:G3042 G5065 G3535 G3044:G3061 G3328 G3373 G3781 G3909 G4316 G4097 G4258 G4448:G4449 G4479 G4634 G4886 G4267 G4460:G4461 G4514:G4515 G4556:G4557 G4564 G4572 G4851:G4852 G4889 G5018 G5063 G4474 G3406 G3844 G3934 G3942 G3972:G3973 G4202 G4204 G4657 G4732:G4733 G4774 G5461 G4836 G4874 G4876 G4906:G4907 G4909 G3422 G3479 G3078:G3128 G4365 G4666 G4757 G3288 G4441 G4651 G4737 G5030:G5031 G5034 G5046 G2215:G2562 G5711 G5229 G5271 G5286 G5297 G5401:G5402 G5478 G5480 G5078 G5186 G5197 G5312 G5697:G5699 G5621 G5686 G5367 G1658:G2213 G6280:G6281 G3553 G3564:G3565 G3593 G3614 G3625 G3709 G3711 G3723 G3837 G3879 G3881 G3884 G3893 G4017 G4107 G4112 G4156 G4189 G4294 G4358 G4485 G5182 G5343 G5364 G5083 G5256 G5362 G5073 G6293 G5606 G5666 G5673:G5674 G5735 G5908 G5961 G5965 G5972 G5969 G5993 G1350:G1656 G6055 G6059 G6061 G6083 G867:G1347 G6248 G5558 G5630 G5943:G5944 G5989 G5939 G5987 G6368 G5709 G6181 G1:G865 G3828 G4373 G4416 G4785 G4856 G4860 G5096 G5136 G5143 G5352 G5377 G5429 G5473 G5504 G5508 G5532 G5560 G5677 G5693 G5721 G5725 G5786 G5868 G5979 G6100 G6102 G6126 G6254 G2564:G2967 G6748 G6763" xr:uid="{1E018B95-0953-4AC8-B860-2113B83986B9}">
      <formula1>"Profile shared with Interviewer, Resume Screening Done, Shortlisted for next round of interview, Interview Done, Offer Negotiation in Process, Offer Negotiation Hold, Offer Released, Joined, Candidate Not Interested, Offer Dropped, Joined &amp; Left"</formula1>
    </dataValidation>
    <dataValidation type="list" allowBlank="1" showInputMessage="1" showErrorMessage="1" sqref="G2968 G1348:G1349" xr:uid="{B953E104-EEE6-4013-AADA-51C952E1A248}">
      <formula1>"Profile shared with Interviewer, Resume Screening Done, Shortlisted for next round of interview, Interview Done, Offer Negotiation in Process, Offer Negotiation Hold, Offer Released, Joined, Candidate Not Interested, Offer Dropped, Interview Hold"</formula1>
    </dataValidation>
    <dataValidation type="list" allowBlank="1" showInputMessage="1" showErrorMessage="1" sqref="G3341 G3336:G3338 G3666:G3667 G3641:G3644 G3674 G3680 G3669:G3672 G4110:G4111 G4391 G4393:G4395 G4524 G5086:G5093 G5014 G5052:G5054 G5061:G5062 G5135 G4970 G3501:G3502 G5737 G5919:G5921 G6118 G5873 G5579:G5582 G5098 G5174 G5124:G5126 G5194 G5524 G5773:G5776 G6057 G5975 G5292 G5846:G5847 G5544:G5545 G6497 G5602 G6386 G5294:G5295" xr:uid="{1E87B78E-F5A9-4583-837B-34CC26879E21}">
      <formula1>"Profile shared with Interviewer, Resume Screening Done, Shortlisted for next round of interview, Interview Done, Offer Negotiation in Process, Offer Negotiation Hold, Offer Released, Joined, Candidate Not Interested, Interview Hold"</formula1>
    </dataValidation>
    <dataValidation type="list" allowBlank="1" showInputMessage="1" showErrorMessage="1" sqref="G3249 G3374 G3359 G3675 G4105 G3989 G3677 G5344 G5365 G2214 G3255 G2563 G4614 G866 G4444 G4798 G6310" xr:uid="{53F878DF-1327-42BF-AAA4-09226E796757}">
      <formula1>"Profile shared with Interviewer, Resume Screening Done, Shortlisted for next round of interview, Interview Done, Offer Negotiation in Process, Offer Negotiation Hold, Offer Released, Joined, Candidate Not Interested, Joined &amp; Left"</formula1>
    </dataValidation>
    <dataValidation type="list" allowBlank="1" showInputMessage="1" showErrorMessage="1" sqref="G3043" xr:uid="{42F43F50-7AB7-4882-AE97-07E12B043ED5}">
      <formula1>"Profile shared with Interviewer, Resume Screening Done, Shortlisted for next round of interview, Interview Done, Offer Negotiation in Process, Offer Negotiation Hold, Offer Released, Joined, Candidate Not Interested, Joined &amp; Left, Interview Hold"</formula1>
    </dataValidation>
    <dataValidation type="date" allowBlank="1" showInputMessage="1" showErrorMessage="1" sqref="K4902:N4987 K4988 M5213:M5216 K5730 N5180:N5189 N5046:N5084 N5191:N5203 N5159:N5177 K4989:M5001 N5248:N5309 N5471:N5517 N4989:N5044 M5002:M5153 J6818:K1048576 J5229:J6636 N5205:N5246 N5312:N5469 J6637:N6650 N5086:N5157 K6652 L6651:M6651 N2:N4899 J2:J4987 K2:M4900 K5217:M5729 N5519:N5729 J6651:J6807 K6303:N6636 L6652:N1048576 K5731:N6301 J5002:K5212 L5002:L5154 L5154:M5212 K6654:K6807" xr:uid="{CBFAD9DA-239E-4994-B422-AFBA78B63CCF}">
      <formula1>45292</formula1>
      <formula2>46368</formula2>
    </dataValidation>
  </dataValidations>
  <hyperlinks>
    <hyperlink ref="B6206" r:id="rId1" xr:uid="{89FD9BE9-9BBB-4AF3-A7CF-05B915D12F83}"/>
  </hyperlink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ADCL Codes Updated</vt:lpstr>
      <vt:lpstr>Profiles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Naveen Dhanala</cp:lastModifiedBy>
  <cp:revision/>
  <dcterms:created xsi:type="dcterms:W3CDTF">2024-12-27T04:51:07Z</dcterms:created>
  <dcterms:modified xsi:type="dcterms:W3CDTF">2026-04-03T04:59:26Z</dcterms:modified>
  <cp:category/>
  <cp:contentStatus/>
</cp:coreProperties>
</file>